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eovia\Desktop\"/>
    </mc:Choice>
  </mc:AlternateContent>
  <xr:revisionPtr revIDLastSave="0" documentId="8_{014CB259-8234-4E17-81D5-1705FBC253DF}" xr6:coauthVersionLast="47" xr6:coauthVersionMax="47" xr10:uidLastSave="{00000000-0000-0000-0000-000000000000}"/>
  <bookViews>
    <workbookView xWindow="-120" yWindow="-120" windowWidth="29040" windowHeight="15720" tabRatio="808" xr2:uid="{297E1973-4C20-4DFC-BBCB-710AB5FB1B7B}"/>
  </bookViews>
  <sheets>
    <sheet name="EQUIPAMENTOS" sheetId="1" r:id="rId1"/>
    <sheet name="GASTOS" sheetId="2" r:id="rId2"/>
    <sheet name="CONSUMO VEICULOS LEVES ETANOL" sheetId="5" r:id="rId3"/>
    <sheet name="NF DIESEL ENTRADAS" sheetId="7" r:id="rId4"/>
    <sheet name="ESTOQUE" sheetId="9" r:id="rId5"/>
    <sheet name="CONSUMO DIESEL EQUIPAMENTOS" sheetId="10" r:id="rId6"/>
    <sheet name="VEICULOS LEVES" sheetId="11" r:id="rId7"/>
  </sheets>
  <definedNames>
    <definedName name="_xlnm._FilterDatabase" localSheetId="4" hidden="1">ESTOQUE!$A$3:$K$159</definedName>
    <definedName name="_xlnm.Print_Area" localSheetId="4">ESTOQUE!$A$1:$L$160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1" i="11" l="1"/>
  <c r="C51" i="11"/>
  <c r="D1547" i="10"/>
  <c r="J1547" i="10"/>
  <c r="D159" i="9"/>
  <c r="J158" i="9"/>
  <c r="K158" i="9" s="1"/>
  <c r="I158" i="9"/>
  <c r="G158" i="9"/>
  <c r="E158" i="9"/>
  <c r="J157" i="9"/>
  <c r="K157" i="9" s="1"/>
  <c r="I157" i="9"/>
  <c r="G157" i="9"/>
  <c r="E157" i="9"/>
  <c r="J156" i="9"/>
  <c r="K156" i="9" s="1"/>
  <c r="I156" i="9"/>
  <c r="G156" i="9"/>
  <c r="E156" i="9"/>
  <c r="J155" i="9"/>
  <c r="K155" i="9" s="1"/>
  <c r="I155" i="9"/>
  <c r="G155" i="9"/>
  <c r="E155" i="9"/>
  <c r="J154" i="9"/>
  <c r="K154" i="9" s="1"/>
  <c r="I154" i="9"/>
  <c r="G154" i="9"/>
  <c r="E154" i="9"/>
  <c r="J153" i="9"/>
  <c r="K153" i="9" s="1"/>
  <c r="I153" i="9"/>
  <c r="G153" i="9"/>
  <c r="E153" i="9"/>
  <c r="J152" i="9"/>
  <c r="K152" i="9" s="1"/>
  <c r="I152" i="9"/>
  <c r="G152" i="9"/>
  <c r="E152" i="9"/>
  <c r="J151" i="9"/>
  <c r="K151" i="9" s="1"/>
  <c r="I151" i="9"/>
  <c r="G151" i="9"/>
  <c r="E151" i="9"/>
  <c r="H150" i="9"/>
  <c r="F150" i="9"/>
  <c r="E150" i="9"/>
  <c r="J149" i="9"/>
  <c r="K149" i="9" s="1"/>
  <c r="I149" i="9"/>
  <c r="G149" i="9"/>
  <c r="E149" i="9"/>
  <c r="J148" i="9"/>
  <c r="K148" i="9" s="1"/>
  <c r="I148" i="9"/>
  <c r="G148" i="9"/>
  <c r="E148" i="9"/>
  <c r="J147" i="9"/>
  <c r="K147" i="9" s="1"/>
  <c r="I147" i="9"/>
  <c r="G147" i="9"/>
  <c r="E147" i="9"/>
  <c r="K146" i="9"/>
  <c r="I146" i="9"/>
  <c r="G146" i="9"/>
  <c r="E146" i="9"/>
  <c r="J145" i="9"/>
  <c r="K145" i="9" s="1"/>
  <c r="I145" i="9"/>
  <c r="G145" i="9"/>
  <c r="E145" i="9"/>
  <c r="J144" i="9"/>
  <c r="K144" i="9" s="1"/>
  <c r="I144" i="9"/>
  <c r="G144" i="9"/>
  <c r="E144" i="9"/>
  <c r="J143" i="9"/>
  <c r="K143" i="9" s="1"/>
  <c r="G143" i="9"/>
  <c r="E143" i="9"/>
  <c r="J142" i="9"/>
  <c r="K142" i="9" s="1"/>
  <c r="G142" i="9"/>
  <c r="E142" i="9"/>
  <c r="J141" i="9"/>
  <c r="K141" i="9" s="1"/>
  <c r="G141" i="9"/>
  <c r="E141" i="9"/>
  <c r="J140" i="9"/>
  <c r="K140" i="9" s="1"/>
  <c r="I140" i="9"/>
  <c r="G140" i="9"/>
  <c r="E140" i="9"/>
  <c r="J139" i="9"/>
  <c r="K139" i="9" s="1"/>
  <c r="I139" i="9"/>
  <c r="G139" i="9"/>
  <c r="E139" i="9"/>
  <c r="J138" i="9"/>
  <c r="K138" i="9" s="1"/>
  <c r="I138" i="9"/>
  <c r="G138" i="9"/>
  <c r="E138" i="9"/>
  <c r="J137" i="9"/>
  <c r="K137" i="9" s="1"/>
  <c r="I137" i="9"/>
  <c r="G137" i="9"/>
  <c r="E137" i="9"/>
  <c r="J136" i="9"/>
  <c r="K136" i="9" s="1"/>
  <c r="I136" i="9"/>
  <c r="G136" i="9"/>
  <c r="E136" i="9"/>
  <c r="J135" i="9"/>
  <c r="K135" i="9" s="1"/>
  <c r="I135" i="9"/>
  <c r="G135" i="9"/>
  <c r="E135" i="9"/>
  <c r="J134" i="9"/>
  <c r="K134" i="9" s="1"/>
  <c r="I134" i="9"/>
  <c r="G134" i="9"/>
  <c r="E134" i="9"/>
  <c r="J133" i="9"/>
  <c r="K133" i="9" s="1"/>
  <c r="I133" i="9"/>
  <c r="G133" i="9"/>
  <c r="E133" i="9"/>
  <c r="J132" i="9"/>
  <c r="K132" i="9" s="1"/>
  <c r="I132" i="9"/>
  <c r="G132" i="9"/>
  <c r="E132" i="9"/>
  <c r="J131" i="9"/>
  <c r="K131" i="9" s="1"/>
  <c r="I131" i="9"/>
  <c r="G131" i="9"/>
  <c r="E131" i="9"/>
  <c r="J130" i="9"/>
  <c r="K130" i="9" s="1"/>
  <c r="I130" i="9"/>
  <c r="G130" i="9"/>
  <c r="E130" i="9"/>
  <c r="J129" i="9"/>
  <c r="K129" i="9" s="1"/>
  <c r="I129" i="9"/>
  <c r="G129" i="9"/>
  <c r="E129" i="9"/>
  <c r="J128" i="9"/>
  <c r="K128" i="9" s="1"/>
  <c r="I128" i="9"/>
  <c r="G128" i="9"/>
  <c r="E128" i="9"/>
  <c r="J127" i="9"/>
  <c r="K127" i="9" s="1"/>
  <c r="I127" i="9"/>
  <c r="G127" i="9"/>
  <c r="E127" i="9"/>
  <c r="J126" i="9"/>
  <c r="K126" i="9" s="1"/>
  <c r="I126" i="9"/>
  <c r="G126" i="9"/>
  <c r="E126" i="9"/>
  <c r="J125" i="9"/>
  <c r="K125" i="9" s="1"/>
  <c r="I125" i="9"/>
  <c r="G125" i="9"/>
  <c r="E125" i="9"/>
  <c r="J124" i="9"/>
  <c r="K124" i="9" s="1"/>
  <c r="I124" i="9"/>
  <c r="G124" i="9"/>
  <c r="E124" i="9"/>
  <c r="J123" i="9"/>
  <c r="K123" i="9" s="1"/>
  <c r="I123" i="9"/>
  <c r="G123" i="9"/>
  <c r="E123" i="9"/>
  <c r="J122" i="9"/>
  <c r="K122" i="9" s="1"/>
  <c r="I122" i="9"/>
  <c r="G122" i="9"/>
  <c r="E122" i="9"/>
  <c r="J121" i="9"/>
  <c r="K121" i="9" s="1"/>
  <c r="I121" i="9"/>
  <c r="G121" i="9"/>
  <c r="E121" i="9"/>
  <c r="J120" i="9"/>
  <c r="K120" i="9" s="1"/>
  <c r="I120" i="9"/>
  <c r="G120" i="9"/>
  <c r="E120" i="9"/>
  <c r="J119" i="9"/>
  <c r="K119" i="9" s="1"/>
  <c r="I119" i="9"/>
  <c r="G119" i="9"/>
  <c r="E119" i="9"/>
  <c r="J118" i="9"/>
  <c r="K118" i="9" s="1"/>
  <c r="I118" i="9"/>
  <c r="G118" i="9"/>
  <c r="E118" i="9"/>
  <c r="J117" i="9"/>
  <c r="K117" i="9" s="1"/>
  <c r="I117" i="9"/>
  <c r="G117" i="9"/>
  <c r="E117" i="9"/>
  <c r="J116" i="9"/>
  <c r="K116" i="9" s="1"/>
  <c r="I116" i="9"/>
  <c r="G116" i="9"/>
  <c r="E116" i="9"/>
  <c r="J115" i="9"/>
  <c r="K115" i="9" s="1"/>
  <c r="I115" i="9"/>
  <c r="G115" i="9"/>
  <c r="E115" i="9"/>
  <c r="J114" i="9"/>
  <c r="K114" i="9" s="1"/>
  <c r="I114" i="9"/>
  <c r="G114" i="9"/>
  <c r="E114" i="9"/>
  <c r="J113" i="9"/>
  <c r="K113" i="9" s="1"/>
  <c r="I113" i="9"/>
  <c r="G113" i="9"/>
  <c r="E113" i="9"/>
  <c r="J112" i="9"/>
  <c r="K112" i="9" s="1"/>
  <c r="I112" i="9"/>
  <c r="G112" i="9"/>
  <c r="E112" i="9"/>
  <c r="J111" i="9"/>
  <c r="K111" i="9" s="1"/>
  <c r="I111" i="9"/>
  <c r="G111" i="9"/>
  <c r="E111" i="9"/>
  <c r="J110" i="9"/>
  <c r="K110" i="9" s="1"/>
  <c r="I110" i="9"/>
  <c r="G110" i="9"/>
  <c r="E110" i="9"/>
  <c r="J109" i="9"/>
  <c r="K109" i="9" s="1"/>
  <c r="I109" i="9"/>
  <c r="G109" i="9"/>
  <c r="E109" i="9"/>
  <c r="J108" i="9"/>
  <c r="K108" i="9" s="1"/>
  <c r="I108" i="9"/>
  <c r="G108" i="9"/>
  <c r="E108" i="9"/>
  <c r="J107" i="9"/>
  <c r="K107" i="9" s="1"/>
  <c r="I107" i="9"/>
  <c r="G107" i="9"/>
  <c r="E107" i="9"/>
  <c r="J106" i="9"/>
  <c r="K106" i="9" s="1"/>
  <c r="I106" i="9"/>
  <c r="G106" i="9"/>
  <c r="E106" i="9"/>
  <c r="J105" i="9"/>
  <c r="K105" i="9" s="1"/>
  <c r="I105" i="9"/>
  <c r="G105" i="9"/>
  <c r="E105" i="9"/>
  <c r="J104" i="9"/>
  <c r="K104" i="9" s="1"/>
  <c r="I104" i="9"/>
  <c r="G104" i="9"/>
  <c r="E104" i="9"/>
  <c r="J103" i="9"/>
  <c r="K103" i="9" s="1"/>
  <c r="I103" i="9"/>
  <c r="G103" i="9"/>
  <c r="E103" i="9"/>
  <c r="J102" i="9"/>
  <c r="K102" i="9" s="1"/>
  <c r="I102" i="9"/>
  <c r="G102" i="9"/>
  <c r="E102" i="9"/>
  <c r="J101" i="9"/>
  <c r="K101" i="9" s="1"/>
  <c r="I101" i="9"/>
  <c r="G101" i="9"/>
  <c r="E101" i="9"/>
  <c r="J100" i="9"/>
  <c r="K100" i="9" s="1"/>
  <c r="I100" i="9"/>
  <c r="G100" i="9"/>
  <c r="E100" i="9"/>
  <c r="J99" i="9"/>
  <c r="K99" i="9" s="1"/>
  <c r="I99" i="9"/>
  <c r="G99" i="9"/>
  <c r="E99" i="9"/>
  <c r="J98" i="9"/>
  <c r="K98" i="9" s="1"/>
  <c r="I98" i="9"/>
  <c r="G98" i="9"/>
  <c r="E98" i="9"/>
  <c r="J97" i="9"/>
  <c r="K97" i="9" s="1"/>
  <c r="I97" i="9"/>
  <c r="G97" i="9"/>
  <c r="E97" i="9"/>
  <c r="J96" i="9"/>
  <c r="K96" i="9" s="1"/>
  <c r="I96" i="9"/>
  <c r="G96" i="9"/>
  <c r="E96" i="9"/>
  <c r="J95" i="9"/>
  <c r="K95" i="9" s="1"/>
  <c r="I95" i="9"/>
  <c r="G95" i="9"/>
  <c r="E95" i="9"/>
  <c r="J94" i="9"/>
  <c r="K94" i="9" s="1"/>
  <c r="I94" i="9"/>
  <c r="G94" i="9"/>
  <c r="E94" i="9"/>
  <c r="J93" i="9"/>
  <c r="K93" i="9" s="1"/>
  <c r="I93" i="9"/>
  <c r="G93" i="9"/>
  <c r="E93" i="9"/>
  <c r="J92" i="9"/>
  <c r="K92" i="9" s="1"/>
  <c r="I92" i="9"/>
  <c r="G92" i="9"/>
  <c r="E92" i="9"/>
  <c r="J91" i="9"/>
  <c r="K91" i="9" s="1"/>
  <c r="I91" i="9"/>
  <c r="G91" i="9"/>
  <c r="E91" i="9"/>
  <c r="J90" i="9"/>
  <c r="K90" i="9" s="1"/>
  <c r="I90" i="9"/>
  <c r="G90" i="9"/>
  <c r="E90" i="9"/>
  <c r="J89" i="9"/>
  <c r="K89" i="9" s="1"/>
  <c r="I89" i="9"/>
  <c r="G89" i="9"/>
  <c r="E89" i="9"/>
  <c r="J88" i="9"/>
  <c r="K88" i="9" s="1"/>
  <c r="I88" i="9"/>
  <c r="G88" i="9"/>
  <c r="E88" i="9"/>
  <c r="J87" i="9"/>
  <c r="K87" i="9" s="1"/>
  <c r="I87" i="9"/>
  <c r="G87" i="9"/>
  <c r="E87" i="9"/>
  <c r="J86" i="9"/>
  <c r="K86" i="9" s="1"/>
  <c r="I86" i="9"/>
  <c r="G86" i="9"/>
  <c r="E86" i="9"/>
  <c r="J85" i="9"/>
  <c r="K85" i="9" s="1"/>
  <c r="I85" i="9"/>
  <c r="G85" i="9"/>
  <c r="E85" i="9"/>
  <c r="J84" i="9"/>
  <c r="K84" i="9" s="1"/>
  <c r="I84" i="9"/>
  <c r="G84" i="9"/>
  <c r="E84" i="9"/>
  <c r="J83" i="9"/>
  <c r="K83" i="9" s="1"/>
  <c r="I83" i="9"/>
  <c r="G83" i="9"/>
  <c r="E83" i="9"/>
  <c r="J82" i="9"/>
  <c r="K82" i="9" s="1"/>
  <c r="I82" i="9"/>
  <c r="G82" i="9"/>
  <c r="E82" i="9"/>
  <c r="J81" i="9"/>
  <c r="K81" i="9" s="1"/>
  <c r="I81" i="9"/>
  <c r="G81" i="9"/>
  <c r="E81" i="9"/>
  <c r="J80" i="9"/>
  <c r="K80" i="9" s="1"/>
  <c r="I80" i="9"/>
  <c r="G80" i="9"/>
  <c r="E80" i="9"/>
  <c r="J79" i="9"/>
  <c r="K79" i="9" s="1"/>
  <c r="I79" i="9"/>
  <c r="G79" i="9"/>
  <c r="E79" i="9"/>
  <c r="J78" i="9"/>
  <c r="K78" i="9" s="1"/>
  <c r="I78" i="9"/>
  <c r="G78" i="9"/>
  <c r="E78" i="9"/>
  <c r="J77" i="9"/>
  <c r="K77" i="9" s="1"/>
  <c r="I77" i="9"/>
  <c r="G77" i="9"/>
  <c r="E77" i="9"/>
  <c r="J76" i="9"/>
  <c r="K76" i="9" s="1"/>
  <c r="I76" i="9"/>
  <c r="G76" i="9"/>
  <c r="E76" i="9"/>
  <c r="J75" i="9"/>
  <c r="K75" i="9" s="1"/>
  <c r="I75" i="9"/>
  <c r="G75" i="9"/>
  <c r="E75" i="9"/>
  <c r="J74" i="9"/>
  <c r="K74" i="9" s="1"/>
  <c r="I74" i="9"/>
  <c r="G74" i="9"/>
  <c r="E74" i="9"/>
  <c r="J73" i="9"/>
  <c r="K73" i="9" s="1"/>
  <c r="I73" i="9"/>
  <c r="G73" i="9"/>
  <c r="E73" i="9"/>
  <c r="J72" i="9"/>
  <c r="K72" i="9" s="1"/>
  <c r="I72" i="9"/>
  <c r="G72" i="9"/>
  <c r="E72" i="9"/>
  <c r="J71" i="9"/>
  <c r="K71" i="9" s="1"/>
  <c r="I71" i="9"/>
  <c r="G71" i="9"/>
  <c r="E71" i="9"/>
  <c r="J70" i="9"/>
  <c r="K70" i="9" s="1"/>
  <c r="I70" i="9"/>
  <c r="G70" i="9"/>
  <c r="E70" i="9"/>
  <c r="J69" i="9"/>
  <c r="K69" i="9" s="1"/>
  <c r="I69" i="9"/>
  <c r="G69" i="9"/>
  <c r="E69" i="9"/>
  <c r="J68" i="9"/>
  <c r="K68" i="9" s="1"/>
  <c r="I68" i="9"/>
  <c r="G68" i="9"/>
  <c r="E68" i="9"/>
  <c r="J67" i="9"/>
  <c r="K67" i="9" s="1"/>
  <c r="I67" i="9"/>
  <c r="G67" i="9"/>
  <c r="E67" i="9"/>
  <c r="J66" i="9"/>
  <c r="K66" i="9" s="1"/>
  <c r="I66" i="9"/>
  <c r="G66" i="9"/>
  <c r="E66" i="9"/>
  <c r="J65" i="9"/>
  <c r="K65" i="9" s="1"/>
  <c r="I65" i="9"/>
  <c r="G65" i="9"/>
  <c r="E65" i="9"/>
  <c r="J64" i="9"/>
  <c r="K64" i="9" s="1"/>
  <c r="I64" i="9"/>
  <c r="G64" i="9"/>
  <c r="E64" i="9"/>
  <c r="J63" i="9"/>
  <c r="K63" i="9" s="1"/>
  <c r="I63" i="9"/>
  <c r="G63" i="9"/>
  <c r="E63" i="9"/>
  <c r="J62" i="9"/>
  <c r="K62" i="9" s="1"/>
  <c r="I62" i="9"/>
  <c r="G62" i="9"/>
  <c r="E62" i="9"/>
  <c r="J61" i="9"/>
  <c r="K61" i="9" s="1"/>
  <c r="I61" i="9"/>
  <c r="G61" i="9"/>
  <c r="E61" i="9"/>
  <c r="J60" i="9"/>
  <c r="K60" i="9" s="1"/>
  <c r="I60" i="9"/>
  <c r="G60" i="9"/>
  <c r="E60" i="9"/>
  <c r="J59" i="9"/>
  <c r="K59" i="9" s="1"/>
  <c r="I59" i="9"/>
  <c r="G59" i="9"/>
  <c r="E59" i="9"/>
  <c r="J58" i="9"/>
  <c r="K58" i="9" s="1"/>
  <c r="I58" i="9"/>
  <c r="G58" i="9"/>
  <c r="E58" i="9"/>
  <c r="J57" i="9"/>
  <c r="K57" i="9" s="1"/>
  <c r="I57" i="9"/>
  <c r="G57" i="9"/>
  <c r="E57" i="9"/>
  <c r="J56" i="9"/>
  <c r="K56" i="9" s="1"/>
  <c r="I56" i="9"/>
  <c r="G56" i="9"/>
  <c r="E56" i="9"/>
  <c r="J55" i="9"/>
  <c r="K55" i="9" s="1"/>
  <c r="I55" i="9"/>
  <c r="G55" i="9"/>
  <c r="E55" i="9"/>
  <c r="J54" i="9"/>
  <c r="K54" i="9" s="1"/>
  <c r="I54" i="9"/>
  <c r="G54" i="9"/>
  <c r="E54" i="9"/>
  <c r="J53" i="9"/>
  <c r="K53" i="9" s="1"/>
  <c r="I53" i="9"/>
  <c r="G53" i="9"/>
  <c r="E53" i="9"/>
  <c r="J52" i="9"/>
  <c r="K52" i="9" s="1"/>
  <c r="I52" i="9"/>
  <c r="G52" i="9"/>
  <c r="E52" i="9"/>
  <c r="J51" i="9"/>
  <c r="K51" i="9" s="1"/>
  <c r="I51" i="9"/>
  <c r="G51" i="9"/>
  <c r="E51" i="9"/>
  <c r="J50" i="9"/>
  <c r="K50" i="9" s="1"/>
  <c r="I50" i="9"/>
  <c r="G50" i="9"/>
  <c r="E50" i="9"/>
  <c r="J49" i="9"/>
  <c r="K49" i="9" s="1"/>
  <c r="I49" i="9"/>
  <c r="G49" i="9"/>
  <c r="E49" i="9"/>
  <c r="J48" i="9"/>
  <c r="K48" i="9" s="1"/>
  <c r="I48" i="9"/>
  <c r="G48" i="9"/>
  <c r="E48" i="9"/>
  <c r="J47" i="9"/>
  <c r="K47" i="9" s="1"/>
  <c r="I47" i="9"/>
  <c r="G47" i="9"/>
  <c r="E47" i="9"/>
  <c r="J46" i="9"/>
  <c r="K46" i="9" s="1"/>
  <c r="I46" i="9"/>
  <c r="G46" i="9"/>
  <c r="E46" i="9"/>
  <c r="J45" i="9"/>
  <c r="K45" i="9" s="1"/>
  <c r="I45" i="9"/>
  <c r="G45" i="9"/>
  <c r="E45" i="9"/>
  <c r="J44" i="9"/>
  <c r="K44" i="9" s="1"/>
  <c r="I44" i="9"/>
  <c r="G44" i="9"/>
  <c r="E44" i="9"/>
  <c r="J43" i="9"/>
  <c r="K43" i="9" s="1"/>
  <c r="I43" i="9"/>
  <c r="G43" i="9"/>
  <c r="E43" i="9"/>
  <c r="J42" i="9"/>
  <c r="K42" i="9" s="1"/>
  <c r="I42" i="9"/>
  <c r="G42" i="9"/>
  <c r="E42" i="9"/>
  <c r="J41" i="9"/>
  <c r="K41" i="9" s="1"/>
  <c r="I41" i="9"/>
  <c r="G41" i="9"/>
  <c r="E41" i="9"/>
  <c r="J40" i="9"/>
  <c r="K40" i="9" s="1"/>
  <c r="I40" i="9"/>
  <c r="G40" i="9"/>
  <c r="E40" i="9"/>
  <c r="J39" i="9"/>
  <c r="K39" i="9" s="1"/>
  <c r="I39" i="9"/>
  <c r="G39" i="9"/>
  <c r="E39" i="9"/>
  <c r="J38" i="9"/>
  <c r="K38" i="9" s="1"/>
  <c r="I38" i="9"/>
  <c r="G38" i="9"/>
  <c r="E38" i="9"/>
  <c r="J37" i="9"/>
  <c r="K37" i="9" s="1"/>
  <c r="I37" i="9"/>
  <c r="G37" i="9"/>
  <c r="E37" i="9"/>
  <c r="J36" i="9"/>
  <c r="K36" i="9" s="1"/>
  <c r="I36" i="9"/>
  <c r="G36" i="9"/>
  <c r="E36" i="9"/>
  <c r="J35" i="9"/>
  <c r="K35" i="9" s="1"/>
  <c r="I35" i="9"/>
  <c r="G35" i="9"/>
  <c r="E35" i="9"/>
  <c r="J34" i="9"/>
  <c r="K34" i="9" s="1"/>
  <c r="I34" i="9"/>
  <c r="G34" i="9"/>
  <c r="E34" i="9"/>
  <c r="J33" i="9"/>
  <c r="K33" i="9" s="1"/>
  <c r="I33" i="9"/>
  <c r="G33" i="9"/>
  <c r="E33" i="9"/>
  <c r="J32" i="9"/>
  <c r="K32" i="9" s="1"/>
  <c r="I32" i="9"/>
  <c r="G32" i="9"/>
  <c r="E32" i="9"/>
  <c r="J31" i="9"/>
  <c r="K31" i="9" s="1"/>
  <c r="I31" i="9"/>
  <c r="G31" i="9"/>
  <c r="E31" i="9"/>
  <c r="J30" i="9"/>
  <c r="K30" i="9" s="1"/>
  <c r="I30" i="9"/>
  <c r="G30" i="9"/>
  <c r="E30" i="9"/>
  <c r="J29" i="9"/>
  <c r="K29" i="9" s="1"/>
  <c r="I29" i="9"/>
  <c r="G29" i="9"/>
  <c r="E29" i="9"/>
  <c r="E159" i="9" s="1"/>
  <c r="J28" i="9"/>
  <c r="K28" i="9" s="1"/>
  <c r="I28" i="9"/>
  <c r="G28" i="9"/>
  <c r="E28" i="9"/>
  <c r="J27" i="9"/>
  <c r="K27" i="9" s="1"/>
  <c r="I27" i="9"/>
  <c r="G27" i="9"/>
  <c r="E27" i="9"/>
  <c r="J26" i="9"/>
  <c r="K26" i="9" s="1"/>
  <c r="I26" i="9"/>
  <c r="G26" i="9"/>
  <c r="E26" i="9"/>
  <c r="J25" i="9"/>
  <c r="K25" i="9" s="1"/>
  <c r="I25" i="9"/>
  <c r="G25" i="9"/>
  <c r="E25" i="9"/>
  <c r="J24" i="9"/>
  <c r="K24" i="9" s="1"/>
  <c r="I24" i="9"/>
  <c r="G24" i="9"/>
  <c r="E24" i="9"/>
  <c r="J23" i="9"/>
  <c r="K23" i="9" s="1"/>
  <c r="I23" i="9"/>
  <c r="G23" i="9"/>
  <c r="E23" i="9"/>
  <c r="J22" i="9"/>
  <c r="K22" i="9" s="1"/>
  <c r="I22" i="9"/>
  <c r="G22" i="9"/>
  <c r="E22" i="9"/>
  <c r="J21" i="9"/>
  <c r="K21" i="9" s="1"/>
  <c r="I21" i="9"/>
  <c r="G21" i="9"/>
  <c r="E21" i="9"/>
  <c r="J20" i="9"/>
  <c r="K20" i="9" s="1"/>
  <c r="I20" i="9"/>
  <c r="G20" i="9"/>
  <c r="E20" i="9"/>
  <c r="J19" i="9"/>
  <c r="K19" i="9" s="1"/>
  <c r="I19" i="9"/>
  <c r="G19" i="9"/>
  <c r="E19" i="9"/>
  <c r="J18" i="9"/>
  <c r="K18" i="9" s="1"/>
  <c r="I18" i="9"/>
  <c r="G18" i="9"/>
  <c r="E18" i="9"/>
  <c r="J17" i="9"/>
  <c r="K17" i="9" s="1"/>
  <c r="I17" i="9"/>
  <c r="G17" i="9"/>
  <c r="E17" i="9"/>
  <c r="J16" i="9"/>
  <c r="K16" i="9" s="1"/>
  <c r="I16" i="9"/>
  <c r="G16" i="9"/>
  <c r="E16" i="9"/>
  <c r="J15" i="9"/>
  <c r="K15" i="9" s="1"/>
  <c r="I15" i="9"/>
  <c r="G15" i="9"/>
  <c r="E15" i="9"/>
  <c r="J14" i="9"/>
  <c r="K14" i="9" s="1"/>
  <c r="I14" i="9"/>
  <c r="G14" i="9"/>
  <c r="E14" i="9"/>
  <c r="J13" i="9"/>
  <c r="K13" i="9" s="1"/>
  <c r="I13" i="9"/>
  <c r="G13" i="9"/>
  <c r="E13" i="9"/>
  <c r="J12" i="9"/>
  <c r="K12" i="9" s="1"/>
  <c r="I12" i="9"/>
  <c r="G12" i="9"/>
  <c r="E12" i="9"/>
  <c r="J11" i="9"/>
  <c r="K11" i="9" s="1"/>
  <c r="I11" i="9"/>
  <c r="G11" i="9"/>
  <c r="E11" i="9"/>
  <c r="J10" i="9"/>
  <c r="K10" i="9" s="1"/>
  <c r="I10" i="9"/>
  <c r="G10" i="9"/>
  <c r="E10" i="9"/>
  <c r="J9" i="9"/>
  <c r="K9" i="9" s="1"/>
  <c r="I9" i="9"/>
  <c r="G9" i="9"/>
  <c r="E9" i="9"/>
  <c r="J8" i="9"/>
  <c r="K8" i="9" s="1"/>
  <c r="I8" i="9"/>
  <c r="G8" i="9"/>
  <c r="E8" i="9"/>
  <c r="J7" i="9"/>
  <c r="K7" i="9" s="1"/>
  <c r="I7" i="9"/>
  <c r="G7" i="9"/>
  <c r="E7" i="9"/>
  <c r="J6" i="9"/>
  <c r="K6" i="9" s="1"/>
  <c r="I6" i="9"/>
  <c r="G6" i="9"/>
  <c r="E6" i="9"/>
  <c r="J5" i="9"/>
  <c r="K5" i="9" s="1"/>
  <c r="I5" i="9"/>
  <c r="G5" i="9"/>
  <c r="E5" i="9"/>
  <c r="J4" i="9"/>
  <c r="K4" i="9" s="1"/>
  <c r="I4" i="9"/>
  <c r="G4" i="9"/>
  <c r="E4" i="9"/>
  <c r="A52" i="7"/>
  <c r="I52" i="7"/>
  <c r="E52" i="7"/>
  <c r="J52" i="7"/>
  <c r="P708" i="5"/>
  <c r="N708" i="5"/>
  <c r="T708" i="5"/>
  <c r="O708" i="5"/>
  <c r="L354" i="2" a="1"/>
  <c r="K254" i="1"/>
  <c r="M254" i="1"/>
  <c r="J150" i="9" l="1"/>
  <c r="K150" i="9" s="1"/>
  <c r="G150" i="9"/>
  <c r="G159" i="9" s="1"/>
  <c r="I150" i="9"/>
  <c r="H159" i="9"/>
  <c r="I161" i="9"/>
  <c r="I159" i="9"/>
  <c r="K159" i="9"/>
  <c r="K161"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<sst xmlns="http://schemas.openxmlformats.org/spreadsheetml/2006/main" count="68053" uniqueCount="6325">
  <si>
    <t>PREFIXO</t>
  </si>
  <si>
    <t>SITUAÇÃO</t>
  </si>
  <si>
    <t>STATUS</t>
  </si>
  <si>
    <t>EQUIPE</t>
  </si>
  <si>
    <t>CLASSE OPERACIONAL</t>
  </si>
  <si>
    <t>MARCA</t>
  </si>
  <si>
    <t>MOD.</t>
  </si>
  <si>
    <t>ANO</t>
  </si>
  <si>
    <t>CHASSI/SERIE</t>
  </si>
  <si>
    <t>PLACA</t>
  </si>
  <si>
    <t>LOCADOR</t>
  </si>
  <si>
    <t>CONTRATO</t>
  </si>
  <si>
    <t>VALOR</t>
  </si>
  <si>
    <t>10000502TNB007768</t>
  </si>
  <si>
    <t>DATA MOB.</t>
  </si>
  <si>
    <t>DATA ENTRADA</t>
  </si>
  <si>
    <t>DESMOB.</t>
  </si>
  <si>
    <t>CE6-16</t>
  </si>
  <si>
    <t>ATIVO</t>
  </si>
  <si>
    <t>DESMOBILIZADO</t>
  </si>
  <si>
    <t>CANTEIRO</t>
  </si>
  <si>
    <t>CONTAINER ESCRITÓRIO MODULAR/WC</t>
  </si>
  <si>
    <t>KUNKES</t>
  </si>
  <si>
    <t>ESCRITÓRIO + WC</t>
  </si>
  <si>
    <t>SEM</t>
  </si>
  <si>
    <t>LUNKES TRANSPORTES LOCACOES E MONTAGENS EIRELI</t>
  </si>
  <si>
    <t>MENSAL</t>
  </si>
  <si>
    <t>HEISS</t>
  </si>
  <si>
    <t>DEVOLVIDO</t>
  </si>
  <si>
    <t>CONTAINER MODULAR/WC/VESTIARIO</t>
  </si>
  <si>
    <t xml:space="preserve">6 -WC/VESTIARIO </t>
  </si>
  <si>
    <t>HEISS INDUSTRIA E COMERCIO DE CONTAINERS</t>
  </si>
  <si>
    <t>PEL 9192</t>
  </si>
  <si>
    <t>PLATAFORMA ELEVATORIA</t>
  </si>
  <si>
    <t>HAULOTTE</t>
  </si>
  <si>
    <t>HA16RTJ 15 MT</t>
  </si>
  <si>
    <t>ANUAL</t>
  </si>
  <si>
    <t>PTA 3219</t>
  </si>
  <si>
    <t xml:space="preserve">TESOURA A SKY JACK </t>
  </si>
  <si>
    <t>32-19</t>
  </si>
  <si>
    <t>SJIII3219</t>
  </si>
  <si>
    <t>PTA3219</t>
  </si>
  <si>
    <t>QUINZENAL</t>
  </si>
  <si>
    <t>JBC 6H42</t>
  </si>
  <si>
    <t>MOBILIZADO</t>
  </si>
  <si>
    <t>CIVIL/DEMA</t>
  </si>
  <si>
    <t>CAM. CARROCERIA</t>
  </si>
  <si>
    <t>M.BENZ</t>
  </si>
  <si>
    <t>ACCELO 1016 CE</t>
  </si>
  <si>
    <t>9BM979078NB247648</t>
  </si>
  <si>
    <t>CONSTRUTORA SCHOROEDER</t>
  </si>
  <si>
    <t>CFM 1507</t>
  </si>
  <si>
    <t>DRENO/ELIELTON</t>
  </si>
  <si>
    <t>CAM. CONSERVA</t>
  </si>
  <si>
    <t>1718/48</t>
  </si>
  <si>
    <t>9BM693186AB737556</t>
  </si>
  <si>
    <t>AUC1B91</t>
  </si>
  <si>
    <t>NEOVIA</t>
  </si>
  <si>
    <t>SFJ 7A18</t>
  </si>
  <si>
    <t>CAM.BETONEIRA</t>
  </si>
  <si>
    <t>VOLVO</t>
  </si>
  <si>
    <t>VM 290 6X</t>
  </si>
  <si>
    <t>93KK0Y1D3RE197035</t>
  </si>
  <si>
    <t xml:space="preserve">SFJ-7A18 </t>
  </si>
  <si>
    <t>CONVICTA LOCAÇÕES DE EQUIPAMENTOS LTDA</t>
  </si>
  <si>
    <t>COM 11321</t>
  </si>
  <si>
    <t>EQUIPAMENTOS</t>
  </si>
  <si>
    <t>CAM. OFICINA</t>
  </si>
  <si>
    <t>AMR 2F83</t>
  </si>
  <si>
    <t>M.BENZ/ ATEGO 1315</t>
  </si>
  <si>
    <t>9BM9580245B416762</t>
  </si>
  <si>
    <t>EHL 0279</t>
  </si>
  <si>
    <t>ESCAVADEIRA ESTEIRA</t>
  </si>
  <si>
    <t>CATERPILLAR</t>
  </si>
  <si>
    <t>CAT00316KRYB00279</t>
  </si>
  <si>
    <t>TRAC TEC PRESTADORA DE SERVIÇOS LTDA</t>
  </si>
  <si>
    <t>HORIMETRO</t>
  </si>
  <si>
    <t>SIQ7E63</t>
  </si>
  <si>
    <t>MICROONIBUS</t>
  </si>
  <si>
    <t>MARCOPOLO</t>
  </si>
  <si>
    <t>VOLARE V8L</t>
  </si>
  <si>
    <t>93PB43A32PC071029</t>
  </si>
  <si>
    <t>E&amp;L LOCACOES E SERVICOS LTDA</t>
  </si>
  <si>
    <t>CTM 8913</t>
  </si>
  <si>
    <t>CAM. TRIPLO</t>
  </si>
  <si>
    <t>ATEGO 1719/48</t>
  </si>
  <si>
    <t>9BM958154GB031301</t>
  </si>
  <si>
    <t>BAM4B87</t>
  </si>
  <si>
    <t>MEL 1604</t>
  </si>
  <si>
    <t>MINI ESCAVADEIRA</t>
  </si>
  <si>
    <t>BOBCAT</t>
  </si>
  <si>
    <t>E55z 5.5 TON</t>
  </si>
  <si>
    <t>B4TD11604</t>
  </si>
  <si>
    <t>BOBMAQUINAS</t>
  </si>
  <si>
    <t>12.000.00</t>
  </si>
  <si>
    <t>REL 4047</t>
  </si>
  <si>
    <t>RETROESCAVADEIRA</t>
  </si>
  <si>
    <t>L9P04047</t>
  </si>
  <si>
    <t>LUG SERVIÇOS LTDA</t>
  </si>
  <si>
    <t>MEL 0973</t>
  </si>
  <si>
    <t>DRENO</t>
  </si>
  <si>
    <t>305 E CR</t>
  </si>
  <si>
    <t>CAT0305EPXFA00973</t>
  </si>
  <si>
    <t>EMB CONSTRUCOES</t>
  </si>
  <si>
    <t>BCL-040</t>
  </si>
  <si>
    <t>DRENO/ANDERSON</t>
  </si>
  <si>
    <t xml:space="preserve">BOMBA DE CONCRETO </t>
  </si>
  <si>
    <t>PUTZMEISTER</t>
  </si>
  <si>
    <t>TK 40</t>
  </si>
  <si>
    <t>JETCOM REVESTIMENTOS LTDA</t>
  </si>
  <si>
    <t>MEV 8I43</t>
  </si>
  <si>
    <t>CAM.BASCULANTE</t>
  </si>
  <si>
    <t>FORD</t>
  </si>
  <si>
    <t>CARGO 4532 E</t>
  </si>
  <si>
    <t>9BFYCAWYX8BB07417</t>
  </si>
  <si>
    <t>CLAUCIR ANTONIO RECK</t>
  </si>
  <si>
    <t>TPZ 3F91</t>
  </si>
  <si>
    <t>MERCEDES-BENZ</t>
  </si>
  <si>
    <t>ACCELLO 1117</t>
  </si>
  <si>
    <t>9BM951104TB452668</t>
  </si>
  <si>
    <t>CONSTRUÇÕES SCHOROEDER</t>
  </si>
  <si>
    <t>GCJ 4I14</t>
  </si>
  <si>
    <t>CAM. SINALIZAÇÃO</t>
  </si>
  <si>
    <t>9BM951104PB310366</t>
  </si>
  <si>
    <t>GCJ4I14</t>
  </si>
  <si>
    <t xml:space="preserve"> M.BENZ</t>
  </si>
  <si>
    <t>BAM 4B87</t>
  </si>
  <si>
    <t>HODOMETRO</t>
  </si>
  <si>
    <t>MCL 6340</t>
  </si>
  <si>
    <t>BRITAGEM</t>
  </si>
  <si>
    <t>S750+VALETADE</t>
  </si>
  <si>
    <t>A3P216340</t>
  </si>
  <si>
    <t>MCL6340</t>
  </si>
  <si>
    <t>CBM 100155</t>
  </si>
  <si>
    <t>USINA DE CONCRETO</t>
  </si>
  <si>
    <t>9BM951514SB381933</t>
  </si>
  <si>
    <t>UBV 2F93</t>
  </si>
  <si>
    <t>CBM 100154</t>
  </si>
  <si>
    <t>CAM.BETONEIRA LANÇA</t>
  </si>
  <si>
    <t>MB ATEGO</t>
  </si>
  <si>
    <t>ATEGO 2730 6X4</t>
  </si>
  <si>
    <t>9BM951514TB462081</t>
  </si>
  <si>
    <t>UBV 3C44</t>
  </si>
  <si>
    <t>OUU 7I50</t>
  </si>
  <si>
    <t>CAV.MECÂNICO</t>
  </si>
  <si>
    <t>AXO 2536 S</t>
  </si>
  <si>
    <t>9BM958443DB912696</t>
  </si>
  <si>
    <t>CCM  100152</t>
  </si>
  <si>
    <t>RECICLAGEM/ LEANDRO</t>
  </si>
  <si>
    <t>CAM.DIST.CIMENTO</t>
  </si>
  <si>
    <t>ATEGO 2730</t>
  </si>
  <si>
    <t>9BM951514SB432435</t>
  </si>
  <si>
    <t>UBP 0E58</t>
  </si>
  <si>
    <t>SIO 2A83</t>
  </si>
  <si>
    <t>VOLARE V8L ON</t>
  </si>
  <si>
    <t>93PB43A32PC070861</t>
  </si>
  <si>
    <t>SIO2A83</t>
  </si>
  <si>
    <t>AWU 7B29</t>
  </si>
  <si>
    <t>VM 270 6X2R</t>
  </si>
  <si>
    <t>93KP0R1C8CE136390</t>
  </si>
  <si>
    <t>AWU7B29</t>
  </si>
  <si>
    <t>TRANS MARGATTO</t>
  </si>
  <si>
    <t>NSD 0G69</t>
  </si>
  <si>
    <t>93KP0R1C5DE140810</t>
  </si>
  <si>
    <t>NSD0G69</t>
  </si>
  <si>
    <t>JUNIOR DE ARAUJO MOURAO 82487928115</t>
  </si>
  <si>
    <t>NTS 9G89</t>
  </si>
  <si>
    <t>VW</t>
  </si>
  <si>
    <t>9534N8244AR029270</t>
  </si>
  <si>
    <t>NTS9G89</t>
  </si>
  <si>
    <t>FABIANE MARQUES LUI</t>
  </si>
  <si>
    <t>MCL 5624</t>
  </si>
  <si>
    <t>MINI CARREGADEIRA</t>
  </si>
  <si>
    <t>S770</t>
  </si>
  <si>
    <t>A3P415624</t>
  </si>
  <si>
    <t xml:space="preserve">NOVA FROTA </t>
  </si>
  <si>
    <t>BEU4C21</t>
  </si>
  <si>
    <t>CARRETINHA</t>
  </si>
  <si>
    <t xml:space="preserve">R/DISEGNA </t>
  </si>
  <si>
    <t>REBOQUE 500A</t>
  </si>
  <si>
    <t>9A9R1AM00MCFV7001</t>
  </si>
  <si>
    <t>GABRIEL SANTOS DA SILVEIRA 09392993994</t>
  </si>
  <si>
    <t>MCL 5716</t>
  </si>
  <si>
    <t>S770+VALETADE</t>
  </si>
  <si>
    <t>A3P415716</t>
  </si>
  <si>
    <t>AVT 0H36</t>
  </si>
  <si>
    <t>IVECO</t>
  </si>
  <si>
    <t>IVECO/STRALIS</t>
  </si>
  <si>
    <t>93ZM2ASH0D8820080</t>
  </si>
  <si>
    <t>AVT0H36</t>
  </si>
  <si>
    <t>MULTIVIAS TRANSPORTES LTDA</t>
  </si>
  <si>
    <t>AWO 3J89</t>
  </si>
  <si>
    <t>SCANIA/R</t>
  </si>
  <si>
    <t>440 A6X4</t>
  </si>
  <si>
    <t>9BSR6X400D3824158</t>
  </si>
  <si>
    <t>AWO3J89</t>
  </si>
  <si>
    <t>ROMP</t>
  </si>
  <si>
    <t>IMPLEMENTO - ROMPEDOR</t>
  </si>
  <si>
    <t>BOB</t>
  </si>
  <si>
    <t>MCL 5802</t>
  </si>
  <si>
    <t>A3P415802</t>
  </si>
  <si>
    <t>CCM 4181</t>
  </si>
  <si>
    <t>SUB BASE E BASE</t>
  </si>
  <si>
    <t>AXOR 3131 6X4</t>
  </si>
  <si>
    <t>9BM95264GB052715</t>
  </si>
  <si>
    <t>BBF 6F21</t>
  </si>
  <si>
    <t>SEH 6H32</t>
  </si>
  <si>
    <t>SEMI REBOQUE PRANCHA</t>
  </si>
  <si>
    <t xml:space="preserve">MOURA E MOURA </t>
  </si>
  <si>
    <t>SR MM PR 3E</t>
  </si>
  <si>
    <t>979ACPRA3PC0G4011</t>
  </si>
  <si>
    <t>SEH6H32</t>
  </si>
  <si>
    <t xml:space="preserve">ANDREATTA LOCACOES </t>
  </si>
  <si>
    <t xml:space="preserve">SEM </t>
  </si>
  <si>
    <t>VALETADEIRA</t>
  </si>
  <si>
    <t>BOB CAT</t>
  </si>
  <si>
    <t>WS24</t>
  </si>
  <si>
    <t>MCL5716</t>
  </si>
  <si>
    <t>REL 1716</t>
  </si>
  <si>
    <t>416l</t>
  </si>
  <si>
    <t>CAT00416LL9P11716</t>
  </si>
  <si>
    <t>FOCO SOLUCOES EM INFRAESTRUTURA</t>
  </si>
  <si>
    <t>REL 0242</t>
  </si>
  <si>
    <t>JCB</t>
  </si>
  <si>
    <t>3CX</t>
  </si>
  <si>
    <t>SOR3CXTTKP3260242</t>
  </si>
  <si>
    <t>REL 0608</t>
  </si>
  <si>
    <t>CAT00416AL9P20608</t>
  </si>
  <si>
    <t>SUDOESTE</t>
  </si>
  <si>
    <t>RCL 0427</t>
  </si>
  <si>
    <t>ROLO COMBINADO</t>
  </si>
  <si>
    <t>CC34B</t>
  </si>
  <si>
    <t>CATCC34BAXC300427</t>
  </si>
  <si>
    <t>NEXEED LOCADORA</t>
  </si>
  <si>
    <t>RCL 1287</t>
  </si>
  <si>
    <t>BOMAG</t>
  </si>
  <si>
    <t>BW 212 PD 40</t>
  </si>
  <si>
    <t>FMR DESENHOS TECNICOS E LOCACOES LTDA</t>
  </si>
  <si>
    <t>SFF 4G18</t>
  </si>
  <si>
    <t>FACCHINI</t>
  </si>
  <si>
    <t>SRF CT</t>
  </si>
  <si>
    <t>94BC1603RRV001287</t>
  </si>
  <si>
    <t>RESERVA</t>
  </si>
  <si>
    <t>VAL 8525</t>
  </si>
  <si>
    <t>LT 313</t>
  </si>
  <si>
    <t>CEM 0587</t>
  </si>
  <si>
    <t>CAM.ESPARGIDOR</t>
  </si>
  <si>
    <t>ATEGO 1718/54</t>
  </si>
  <si>
    <t>9BM9580768B578293</t>
  </si>
  <si>
    <t>AQC 9D06</t>
  </si>
  <si>
    <t>TCW 4H03</t>
  </si>
  <si>
    <t>CAM.LUBRIFICADOR</t>
  </si>
  <si>
    <t>27-260</t>
  </si>
  <si>
    <t>9536B8TL2SR023265</t>
  </si>
  <si>
    <t xml:space="preserve">JEM LOCADIRA </t>
  </si>
  <si>
    <t>CEM 1504</t>
  </si>
  <si>
    <t>1718 4X2</t>
  </si>
  <si>
    <t>9BM693186AB733345</t>
  </si>
  <si>
    <t>ATE 1E21</t>
  </si>
  <si>
    <t>CBV 2201</t>
  </si>
  <si>
    <t>LOGISTICA</t>
  </si>
  <si>
    <t>31.330 CRC 6X4</t>
  </si>
  <si>
    <t>9536Y826XNR023089</t>
  </si>
  <si>
    <t>RHT 1C60</t>
  </si>
  <si>
    <t>OURO VERDE LOCAÇÕES</t>
  </si>
  <si>
    <t>CBV 2202</t>
  </si>
  <si>
    <t>9536Y8267NR018240</t>
  </si>
  <si>
    <t>RHT1C57</t>
  </si>
  <si>
    <t>CBV 2203</t>
  </si>
  <si>
    <t>9536Y8261NR023546</t>
  </si>
  <si>
    <t>RHT 0E30</t>
  </si>
  <si>
    <t>CBV 2205</t>
  </si>
  <si>
    <t>9536Y8264NR023024</t>
  </si>
  <si>
    <t>RHT 0E26</t>
  </si>
  <si>
    <t>CBV 2206</t>
  </si>
  <si>
    <t>9536Y8264NR022911</t>
  </si>
  <si>
    <t>RHT 0H54</t>
  </si>
  <si>
    <t>CBV 2207</t>
  </si>
  <si>
    <t>9536Y8264NR020222</t>
  </si>
  <si>
    <t>RHZ8G42</t>
  </si>
  <si>
    <t>CBV 2212</t>
  </si>
  <si>
    <t>9536Y8261NR020579</t>
  </si>
  <si>
    <t>RHV4I06</t>
  </si>
  <si>
    <t>CBV 2213</t>
  </si>
  <si>
    <t>9536Y8262NR021286</t>
  </si>
  <si>
    <t>RHT1C56</t>
  </si>
  <si>
    <t>CBV 2214</t>
  </si>
  <si>
    <t>9536Y8264NR023606</t>
  </si>
  <si>
    <t>SDQ 9H92</t>
  </si>
  <si>
    <t>CBV 2215</t>
  </si>
  <si>
    <t>9536Y8265NR023615</t>
  </si>
  <si>
    <t>RHV4I13</t>
  </si>
  <si>
    <t>CBV 2217</t>
  </si>
  <si>
    <t>9536Y8267NR023406</t>
  </si>
  <si>
    <t>RHV 4I07</t>
  </si>
  <si>
    <t>CBV 2218</t>
  </si>
  <si>
    <t>9536Y8268NR020823</t>
  </si>
  <si>
    <t>RHV 4I11</t>
  </si>
  <si>
    <t>CBV 2219</t>
  </si>
  <si>
    <t>9536Y8268NR022670</t>
  </si>
  <si>
    <t>RHV4I12</t>
  </si>
  <si>
    <t>CBV 2220</t>
  </si>
  <si>
    <t>9536Y8268NR023513</t>
  </si>
  <si>
    <t>RHV4I08</t>
  </si>
  <si>
    <t>CLM 13174</t>
  </si>
  <si>
    <t>9BM951501SB391740</t>
  </si>
  <si>
    <t>TBP 9D19</t>
  </si>
  <si>
    <t>CTM 11252</t>
  </si>
  <si>
    <t>PAVIMENTAÇAO/VANDERLEY</t>
  </si>
  <si>
    <t>CAM.PIPA</t>
  </si>
  <si>
    <t>ATEGO 1719</t>
  </si>
  <si>
    <t>9BM958154NB279549</t>
  </si>
  <si>
    <t>SDY 9I66</t>
  </si>
  <si>
    <t>73H</t>
  </si>
  <si>
    <t>IWT 3C31</t>
  </si>
  <si>
    <t>PAVIMENTAÇAO/RONALDO</t>
  </si>
  <si>
    <t>ACCELO</t>
  </si>
  <si>
    <t>9BM979028CS033951</t>
  </si>
  <si>
    <t>TYR 7I46</t>
  </si>
  <si>
    <t>ACELO 1117 CE</t>
  </si>
  <si>
    <t>9BM951104TB452079</t>
  </si>
  <si>
    <t>TYR7I46</t>
  </si>
  <si>
    <t>SXF 2I04</t>
  </si>
  <si>
    <t>M-BENZ</t>
  </si>
  <si>
    <t>9BM951501SB408544</t>
  </si>
  <si>
    <t>MACROMAQ EQUIPAMENTOS LTDA.</t>
  </si>
  <si>
    <t>QWR 3154</t>
  </si>
  <si>
    <t>VM 220 4X2 R</t>
  </si>
  <si>
    <t>93KKSN0A5LE165842</t>
  </si>
  <si>
    <t>EGT LOCAÇÕES</t>
  </si>
  <si>
    <t>CTM 100062</t>
  </si>
  <si>
    <t>ATEGO 2730CE</t>
  </si>
  <si>
    <t>9BM951514SB380996</t>
  </si>
  <si>
    <t>UAX 9J76</t>
  </si>
  <si>
    <t>CAL 3704</t>
  </si>
  <si>
    <t>COMPRESSOR DE AR</t>
  </si>
  <si>
    <t>ATLAS COPCP</t>
  </si>
  <si>
    <t>XAS</t>
  </si>
  <si>
    <t>TERRA CIVIL</t>
  </si>
  <si>
    <t>CTM 9064</t>
  </si>
  <si>
    <t>TERRAPLANAGEM</t>
  </si>
  <si>
    <t>9BM958264MB191496</t>
  </si>
  <si>
    <t xml:space="preserve">BEQ3G83 </t>
  </si>
  <si>
    <t>TBQ 1D40</t>
  </si>
  <si>
    <t>R/  DISEGNAREBOQUE</t>
  </si>
  <si>
    <t>REBOQUE-550KG</t>
  </si>
  <si>
    <t>9A9R1AAM00SCFV7075</t>
  </si>
  <si>
    <t>ANO-3G30</t>
  </si>
  <si>
    <t xml:space="preserve">AXOR </t>
  </si>
  <si>
    <t>9BM958443D8945047</t>
  </si>
  <si>
    <t>FREZA</t>
  </si>
  <si>
    <t>IMPLEMENTO - FRESA</t>
  </si>
  <si>
    <t>G</t>
  </si>
  <si>
    <t>AVT0H37</t>
  </si>
  <si>
    <t>VASS01</t>
  </si>
  <si>
    <t>IMPLEMENTO - VASSOURA</t>
  </si>
  <si>
    <t>DEL TRACTOR</t>
  </si>
  <si>
    <t>DEL 1 500</t>
  </si>
  <si>
    <t>DSD Locadora de Equipamentos Eireli - ME</t>
  </si>
  <si>
    <t xml:space="preserve"> </t>
  </si>
  <si>
    <t>CAL 3056</t>
  </si>
  <si>
    <t>XAS 187</t>
  </si>
  <si>
    <t>BBP 4C68</t>
  </si>
  <si>
    <t>VOLAGE W9 ON</t>
  </si>
  <si>
    <t>93PB98S31HC058673</t>
  </si>
  <si>
    <t>NENE TRANSPORTES LTDA</t>
  </si>
  <si>
    <t>FAL 0020</t>
  </si>
  <si>
    <t>FRESADORA</t>
  </si>
  <si>
    <t xml:space="preserve">WIRTGEN </t>
  </si>
  <si>
    <t>W150F</t>
  </si>
  <si>
    <t>VENEZA EQUIPAMENTOS</t>
  </si>
  <si>
    <t>MCL 1496</t>
  </si>
  <si>
    <t>SUNWARD</t>
  </si>
  <si>
    <t>SWL 3220</t>
  </si>
  <si>
    <t>M2 TRATORES COMERCIOS DE PEÇAS E MAQUINAS LTDA</t>
  </si>
  <si>
    <t>MCL 1842</t>
  </si>
  <si>
    <t>S570</t>
  </si>
  <si>
    <t>BSM311842</t>
  </si>
  <si>
    <t>CASA DO TRATOR</t>
  </si>
  <si>
    <t>RPL 0512</t>
  </si>
  <si>
    <t>ROLO PNEUS</t>
  </si>
  <si>
    <t>CW34</t>
  </si>
  <si>
    <t>CAT0E3G400512</t>
  </si>
  <si>
    <t>SO ROLOS</t>
  </si>
  <si>
    <t>2203/2026</t>
  </si>
  <si>
    <t>RPL 7768</t>
  </si>
  <si>
    <t>DYNAPAC</t>
  </si>
  <si>
    <t>CP2700</t>
  </si>
  <si>
    <t xml:space="preserve">RTL 0204 </t>
  </si>
  <si>
    <t>ROLO TANDEM</t>
  </si>
  <si>
    <t>CB07</t>
  </si>
  <si>
    <t>CAT00CB77KG4400204</t>
  </si>
  <si>
    <t>MCL 1078</t>
  </si>
  <si>
    <t>S650</t>
  </si>
  <si>
    <t>B4SZ11078</t>
  </si>
  <si>
    <t>MCL1078</t>
  </si>
  <si>
    <t>RTL 4515</t>
  </si>
  <si>
    <t>HAMM</t>
  </si>
  <si>
    <t>HD 090V 8.500KG</t>
  </si>
  <si>
    <t>WGH0H181PHAA04515</t>
  </si>
  <si>
    <t>CTM 13175</t>
  </si>
  <si>
    <t>ATEGO 2730/48</t>
  </si>
  <si>
    <t>9BM951514SB373885</t>
  </si>
  <si>
    <t>TBP 9D13</t>
  </si>
  <si>
    <t>SAR 6301</t>
  </si>
  <si>
    <t>SEMI REBOQUE TANQUE</t>
  </si>
  <si>
    <t xml:space="preserve">RANDON </t>
  </si>
  <si>
    <t>SR RANDON</t>
  </si>
  <si>
    <t>9ADV111367M236301</t>
  </si>
  <si>
    <t>INI7E49</t>
  </si>
  <si>
    <t>CTM 5230</t>
  </si>
  <si>
    <t>9BM693186AB737575</t>
  </si>
  <si>
    <t>BEF5C36</t>
  </si>
  <si>
    <t>SR</t>
  </si>
  <si>
    <t>SR/RODOMOURA PRO 3E</t>
  </si>
  <si>
    <t>9A9SCPRA3MCEU8007</t>
  </si>
  <si>
    <t>AVJ 8E37</t>
  </si>
  <si>
    <t>9BM958461CB842355</t>
  </si>
  <si>
    <t>RTL 0231</t>
  </si>
  <si>
    <t>SEQ 6A30</t>
  </si>
  <si>
    <t>TECTOR 170E21</t>
  </si>
  <si>
    <t>93ZA01RF0P8953283</t>
  </si>
  <si>
    <t>OLH 0G94</t>
  </si>
  <si>
    <t>CAM.COMPRESSOR</t>
  </si>
  <si>
    <t>ACELLO 815</t>
  </si>
  <si>
    <t>9BM979026DS015680</t>
  </si>
  <si>
    <t>TBF 0H20</t>
  </si>
  <si>
    <t>TECTOR 17-210</t>
  </si>
  <si>
    <t>93ZA61PFZS8709741</t>
  </si>
  <si>
    <t>DE AMORIM CONSTRUTORA DE OBRAS LTDA</t>
  </si>
  <si>
    <t>CPM 2090</t>
  </si>
  <si>
    <t>CAM.PLAT.MUNCK</t>
  </si>
  <si>
    <t>9BM958074CB888139</t>
  </si>
  <si>
    <t>AWO 5G43</t>
  </si>
  <si>
    <t>CPM 100151</t>
  </si>
  <si>
    <t>ATEGO 1730 6X4</t>
  </si>
  <si>
    <t>UBQ8C01</t>
  </si>
  <si>
    <t>BDU 6C58</t>
  </si>
  <si>
    <t>ACTROS 2546 LS</t>
  </si>
  <si>
    <t>9BM934251LS055010</t>
  </si>
  <si>
    <t>MUNDIAL TEXTIL IMPORTACAO E EXPORTACAO LTDA</t>
  </si>
  <si>
    <t>PAT 100012</t>
  </si>
  <si>
    <t xml:space="preserve">DACLA CD </t>
  </si>
  <si>
    <t>9E8VDCD1ESG001512</t>
  </si>
  <si>
    <t>TBT 5J86</t>
  </si>
  <si>
    <t>CAL 9866</t>
  </si>
  <si>
    <t>BRP079866</t>
  </si>
  <si>
    <t>FAL 0430</t>
  </si>
  <si>
    <t>W200F</t>
  </si>
  <si>
    <t>WGW02020CWIA00430</t>
  </si>
  <si>
    <t>JPB LOCAÇÕES</t>
  </si>
  <si>
    <t>BDN 7J23</t>
  </si>
  <si>
    <t>93PB43M32LC061946</t>
  </si>
  <si>
    <t>MCL 2131</t>
  </si>
  <si>
    <t>B4SZ12131</t>
  </si>
  <si>
    <t>ROLEPARTS COMERCIO DE PEÇAS PARA TRATOR</t>
  </si>
  <si>
    <t>14.000.00</t>
  </si>
  <si>
    <t>MCL 2652</t>
  </si>
  <si>
    <t>B4SZ12652</t>
  </si>
  <si>
    <t>17.000.00</t>
  </si>
  <si>
    <t>REL 2876</t>
  </si>
  <si>
    <t>CASE</t>
  </si>
  <si>
    <t>580N</t>
  </si>
  <si>
    <t>HBZN580NELAH22876</t>
  </si>
  <si>
    <t>REL2876</t>
  </si>
  <si>
    <t>RCD13567</t>
  </si>
  <si>
    <t>DACLA</t>
  </si>
  <si>
    <t>CA 1E</t>
  </si>
  <si>
    <t>9E8VDCD1ESG001562</t>
  </si>
  <si>
    <t>TBW8C46</t>
  </si>
  <si>
    <t>POLICORTE</t>
  </si>
  <si>
    <t>BRANCO</t>
  </si>
  <si>
    <t>GASOLINA</t>
  </si>
  <si>
    <t>UBC 6G17</t>
  </si>
  <si>
    <t>9E8VDCD1ETG002002</t>
  </si>
  <si>
    <t>PAT 100011</t>
  </si>
  <si>
    <t>9E8VDCD1ESG001507</t>
  </si>
  <si>
    <t>TBT 5J81</t>
  </si>
  <si>
    <t>RHH 9D56</t>
  </si>
  <si>
    <t>TEIXEIRA</t>
  </si>
  <si>
    <t>SR TEIXEIRA CT 3E</t>
  </si>
  <si>
    <t>9A9SRCT3EMPFU8022</t>
  </si>
  <si>
    <t>RHH9D56</t>
  </si>
  <si>
    <t>RTL 0159</t>
  </si>
  <si>
    <t>CAT00CB7LG4400159</t>
  </si>
  <si>
    <t xml:space="preserve">RTL0159 </t>
  </si>
  <si>
    <t>RCC3281</t>
  </si>
  <si>
    <t>QUALIDADE</t>
  </si>
  <si>
    <t>9A9PRCGMCE1DK7507REM</t>
  </si>
  <si>
    <t>AYY8A19</t>
  </si>
  <si>
    <t>ROM PNEUMATICO</t>
  </si>
  <si>
    <t>TERRA</t>
  </si>
  <si>
    <t>PNEUMATICO</t>
  </si>
  <si>
    <t>HTE 9928</t>
  </si>
  <si>
    <t>SR/GOTTI</t>
  </si>
  <si>
    <t>SRTACL 3E125</t>
  </si>
  <si>
    <t>9A9V1253092AD9079</t>
  </si>
  <si>
    <t xml:space="preserve">CENTRO SUL ENG LTDA </t>
  </si>
  <si>
    <t>VAL 4477</t>
  </si>
  <si>
    <t>VIBRO ACABADORA DE ESTEIRA</t>
  </si>
  <si>
    <t>VOGELE</t>
  </si>
  <si>
    <t>SUPER 1800-3</t>
  </si>
  <si>
    <t>NOVACAP</t>
  </si>
  <si>
    <t>MOBA</t>
  </si>
  <si>
    <t>ABO1H94</t>
  </si>
  <si>
    <t>GOTTI</t>
  </si>
  <si>
    <t>SILVA PRESTADORA SERVIÇO LTDA</t>
  </si>
  <si>
    <t>UBC 6G14</t>
  </si>
  <si>
    <t>9E8VDCD1ETG001978</t>
  </si>
  <si>
    <t>TRG 9H08</t>
  </si>
  <si>
    <t>VOLWAGENS</t>
  </si>
  <si>
    <t>9535E6TB5VR004292</t>
  </si>
  <si>
    <t>MILK SANTOS LOC. E TRANSP-LTDA</t>
  </si>
  <si>
    <t>UBK 8F63</t>
  </si>
  <si>
    <t>TECTOR 9-190</t>
  </si>
  <si>
    <t>93ZA686DZT8717798</t>
  </si>
  <si>
    <t>FLU 4I63</t>
  </si>
  <si>
    <t>CAM.VIGA</t>
  </si>
  <si>
    <t>ATRON 1719</t>
  </si>
  <si>
    <t>9BM693186DB921491</t>
  </si>
  <si>
    <t>ERGOS TRANSPORTES E LOCAÇÃO</t>
  </si>
  <si>
    <t>PPB 5C56</t>
  </si>
  <si>
    <t xml:space="preserve">FORD </t>
  </si>
  <si>
    <t>CARGO 1519</t>
  </si>
  <si>
    <t>9BFXEB2BXEBS67996</t>
  </si>
  <si>
    <t xml:space="preserve">MUNICIPIO MANTENOPOLIS </t>
  </si>
  <si>
    <t>AWS 6A51</t>
  </si>
  <si>
    <t>CARGO 1519 B</t>
  </si>
  <si>
    <t>9BFXEB2B2DBS34795</t>
  </si>
  <si>
    <t>AWS6A51</t>
  </si>
  <si>
    <t>DKD 2E92</t>
  </si>
  <si>
    <t>VW 13.180</t>
  </si>
  <si>
    <t>9BW7672388R808350</t>
  </si>
  <si>
    <t>CMM 4194</t>
  </si>
  <si>
    <t>AXOR 2536</t>
  </si>
  <si>
    <t>9B958444GB048591</t>
  </si>
  <si>
    <t>BBF 6H84</t>
  </si>
  <si>
    <t>TBZ9H49</t>
  </si>
  <si>
    <t>9E8VDCA1ESG004025</t>
  </si>
  <si>
    <t>BEU 4C21</t>
  </si>
  <si>
    <t>DISTRIBUIDOR DE AGREGADOS</t>
  </si>
  <si>
    <t>ROMANELLI</t>
  </si>
  <si>
    <t>EAR-800</t>
  </si>
  <si>
    <t>RESERVADO</t>
  </si>
  <si>
    <t>EAR 800</t>
  </si>
  <si>
    <t>UBL5I37</t>
  </si>
  <si>
    <t>93ZA686DZT8717736</t>
  </si>
  <si>
    <t>EEC 10932</t>
  </si>
  <si>
    <t>ESCAVADEIRA HIDRAULICA</t>
  </si>
  <si>
    <t>CAT00336PSP920544</t>
  </si>
  <si>
    <t>RHG 8G43</t>
  </si>
  <si>
    <t>9BM95815MB217702</t>
  </si>
  <si>
    <t>PONTO EXATO LOC EQUIP</t>
  </si>
  <si>
    <t>ESX 13607</t>
  </si>
  <si>
    <t>ESTABILIZADORA DE SOLOS</t>
  </si>
  <si>
    <t>XCMG</t>
  </si>
  <si>
    <t>XLZ230 3S</t>
  </si>
  <si>
    <t>XUG2303SKSJQ0087</t>
  </si>
  <si>
    <t>GWW 0H74</t>
  </si>
  <si>
    <t>CARRETA SILO</t>
  </si>
  <si>
    <t>REB RECRUSUL</t>
  </si>
  <si>
    <t>RECRUSUL</t>
  </si>
  <si>
    <t>9AJSRSA03L1A50630</t>
  </si>
  <si>
    <t xml:space="preserve"> Apollo José Gonçalves Franco</t>
  </si>
  <si>
    <t>TBZ9H30</t>
  </si>
  <si>
    <t>9E8VDCA1ESG003938</t>
  </si>
  <si>
    <t>BDU 6C53</t>
  </si>
  <si>
    <t>9BM958453CB875584</t>
  </si>
  <si>
    <t>BEF6B52</t>
  </si>
  <si>
    <t>ACTROS</t>
  </si>
  <si>
    <t>9BM934251LS054509</t>
  </si>
  <si>
    <t>BEF 6B52</t>
  </si>
  <si>
    <t>MLW2A68</t>
  </si>
  <si>
    <t>9BSR6X400E3846116</t>
  </si>
  <si>
    <t>JEREMIAS GUINCHO</t>
  </si>
  <si>
    <t>FAW 9328</t>
  </si>
  <si>
    <t>W200 F</t>
  </si>
  <si>
    <t>WGW02020KWIA00618</t>
  </si>
  <si>
    <t>BAK 8D93</t>
  </si>
  <si>
    <t>93PB40N31FS500201</t>
  </si>
  <si>
    <t xml:space="preserve">BORTOTI TRANSPORTE LTDA </t>
  </si>
  <si>
    <t xml:space="preserve"> BBP 4C67</t>
  </si>
  <si>
    <t>VOLARE V9L</t>
  </si>
  <si>
    <t>93PB98S31HC058614</t>
  </si>
  <si>
    <t>BBP 4C67</t>
  </si>
  <si>
    <t>BORTOTI</t>
  </si>
  <si>
    <t>01/072027</t>
  </si>
  <si>
    <t>DA-413</t>
  </si>
  <si>
    <t>MCL 6341</t>
  </si>
  <si>
    <t>S750</t>
  </si>
  <si>
    <t>A3P216341</t>
  </si>
  <si>
    <t>FAW 12078</t>
  </si>
  <si>
    <t>W100 HR</t>
  </si>
  <si>
    <t>WCW02110PWIA00287</t>
  </si>
  <si>
    <t>FAW 3167</t>
  </si>
  <si>
    <t>W100</t>
  </si>
  <si>
    <t>EEB 100149</t>
  </si>
  <si>
    <t>E55Z</t>
  </si>
  <si>
    <t>B4TD11655</t>
  </si>
  <si>
    <t>MNC 6222</t>
  </si>
  <si>
    <t>MOTONIVELADORA</t>
  </si>
  <si>
    <t>12K</t>
  </si>
  <si>
    <t>CAT0012KHJJAZZ270</t>
  </si>
  <si>
    <t>RHL 0150</t>
  </si>
  <si>
    <t>ROLO CORRUGADO</t>
  </si>
  <si>
    <t>HC 110G</t>
  </si>
  <si>
    <t>WHB0H294EHAA00150</t>
  </si>
  <si>
    <t>RPL 0417</t>
  </si>
  <si>
    <t>CAT0CW34P3G400418</t>
  </si>
  <si>
    <t>MNC 100119</t>
  </si>
  <si>
    <t>CAT00140VHL300328</t>
  </si>
  <si>
    <t>SML2H24</t>
  </si>
  <si>
    <t>TEIXEIRA CT 3 EIXO</t>
  </si>
  <si>
    <t>9A9SRCT3ETPFU8034</t>
  </si>
  <si>
    <t>RCL 0418</t>
  </si>
  <si>
    <t>CS11GC</t>
  </si>
  <si>
    <t>CAT0CS11H5GV00418</t>
  </si>
  <si>
    <t>RCL-0418</t>
  </si>
  <si>
    <t>RODANTE</t>
  </si>
  <si>
    <t>RCL 4165</t>
  </si>
  <si>
    <t>DYNAPAC -20.TON</t>
  </si>
  <si>
    <t>CA 610PD</t>
  </si>
  <si>
    <t>10000165PRC014165</t>
  </si>
  <si>
    <t>RCL 4166</t>
  </si>
  <si>
    <t>10000165KRC014166</t>
  </si>
  <si>
    <t>OOM 4849</t>
  </si>
  <si>
    <t>RODOTECNICA</t>
  </si>
  <si>
    <t>9A9RSTA3EEBDR8314</t>
  </si>
  <si>
    <t xml:space="preserve">CENTRO SUL ENG COMERCIO </t>
  </si>
  <si>
    <t>BET0796</t>
  </si>
  <si>
    <t>DIEVINO</t>
  </si>
  <si>
    <t>SPTA0L3E</t>
  </si>
  <si>
    <t>9A9V12030T2AD9224</t>
  </si>
  <si>
    <t>BETUMEL</t>
  </si>
  <si>
    <t>BETUMEL08/07/2026</t>
  </si>
  <si>
    <t>CLU7J05</t>
  </si>
  <si>
    <t>SOLO CIMENTO</t>
  </si>
  <si>
    <t>CARGO 2626</t>
  </si>
  <si>
    <t>9BFZTNYT35BB57679</t>
  </si>
  <si>
    <t>RHB 1D73</t>
  </si>
  <si>
    <t>SSMA</t>
  </si>
  <si>
    <t>ACCELO 815</t>
  </si>
  <si>
    <t>9BM979028LB196112</t>
  </si>
  <si>
    <t>GKL 3C41</t>
  </si>
  <si>
    <t>RANDON</t>
  </si>
  <si>
    <t>SR SL</t>
  </si>
  <si>
    <t>ITA LOG Serviços de Transportes LTDA</t>
  </si>
  <si>
    <t>MNC 100000</t>
  </si>
  <si>
    <t>140k</t>
  </si>
  <si>
    <t>CAT00140TJZW00768</t>
  </si>
  <si>
    <t>MNC 10939</t>
  </si>
  <si>
    <t>CAT0140KAJPA06047</t>
  </si>
  <si>
    <t>MNC 100120</t>
  </si>
  <si>
    <t>CAT00140AHL300413</t>
  </si>
  <si>
    <t>SRS3D72</t>
  </si>
  <si>
    <t>953563TC7SR016704</t>
  </si>
  <si>
    <t>SRS 3D72</t>
  </si>
  <si>
    <t xml:space="preserve">LUCIANO TRANSPORTE </t>
  </si>
  <si>
    <t>CPV 13148</t>
  </si>
  <si>
    <t>USINA</t>
  </si>
  <si>
    <t>PÁ CARREGADEIRA</t>
  </si>
  <si>
    <t>L70H</t>
  </si>
  <si>
    <t>VCE0L70HCS0073097</t>
  </si>
  <si>
    <t>AOB 0241</t>
  </si>
  <si>
    <t>VOLARE</t>
  </si>
  <si>
    <t>93PB40E3P7C019679</t>
  </si>
  <si>
    <t xml:space="preserve">JAIR TRASNPORTE </t>
  </si>
  <si>
    <t>RCL 0471</t>
  </si>
  <si>
    <t>FMR DESENHOS TECNICO</t>
  </si>
  <si>
    <t>RCL 1041</t>
  </si>
  <si>
    <t>CPV 10991</t>
  </si>
  <si>
    <t>USINA/DOURADOS</t>
  </si>
  <si>
    <t>L70F</t>
  </si>
  <si>
    <t>VCE0L70FKN0073057</t>
  </si>
  <si>
    <t>RAW 13552</t>
  </si>
  <si>
    <t>RECICLADORA DE ASFALTO</t>
  </si>
  <si>
    <t>WR240</t>
  </si>
  <si>
    <t>WGWO14WREWIA00020</t>
  </si>
  <si>
    <t>RAW13552</t>
  </si>
  <si>
    <t>EHL 2958</t>
  </si>
  <si>
    <t>KOMATSU</t>
  </si>
  <si>
    <t>PC 210</t>
  </si>
  <si>
    <t>KMTPC282PTBB12958</t>
  </si>
  <si>
    <t>BAA8I02</t>
  </si>
  <si>
    <t>VOLARE V8L LIGADO</t>
  </si>
  <si>
    <t>93PB43M32GC056838</t>
  </si>
  <si>
    <t>RCC 10790</t>
  </si>
  <si>
    <t>CATCC34BAXC300346</t>
  </si>
  <si>
    <t>RCL 5159</t>
  </si>
  <si>
    <t>NEW HOLLAND</t>
  </si>
  <si>
    <t>V 110 PD + CAPA</t>
  </si>
  <si>
    <t>LME 005-0039</t>
  </si>
  <si>
    <t>Cremoneze &amp; Zago LTDA</t>
  </si>
  <si>
    <t>RCL 7229</t>
  </si>
  <si>
    <t>DYNAPAC-12.TON</t>
  </si>
  <si>
    <t>CA35 PD</t>
  </si>
  <si>
    <t>10000183JNB007229</t>
  </si>
  <si>
    <t>RCL 8048</t>
  </si>
  <si>
    <t>DYNAPAC -12.TON</t>
  </si>
  <si>
    <t>CA 30 D+CAPA</t>
  </si>
  <si>
    <t>10000181HPB008048</t>
  </si>
  <si>
    <t>RCD 100190</t>
  </si>
  <si>
    <t>CA 65 D</t>
  </si>
  <si>
    <t>1000209PTC015745</t>
  </si>
  <si>
    <t>RCD 100191</t>
  </si>
  <si>
    <t>1000209PTC015744</t>
  </si>
  <si>
    <t>RCD 100075</t>
  </si>
  <si>
    <t>CA 25 D</t>
  </si>
  <si>
    <t>10000179PSB010033</t>
  </si>
  <si>
    <t>RCD 10075</t>
  </si>
  <si>
    <t>SED 4A70</t>
  </si>
  <si>
    <t>9BM958260NB287092</t>
  </si>
  <si>
    <t>AGRO ROQUE</t>
  </si>
  <si>
    <t>SEI 3J73</t>
  </si>
  <si>
    <t>9BM958260NB299158</t>
  </si>
  <si>
    <t>SEI 4A52</t>
  </si>
  <si>
    <t>9BM958260PB312645</t>
  </si>
  <si>
    <t>SEJ 6D58</t>
  </si>
  <si>
    <t>9BM958260PB312682</t>
  </si>
  <si>
    <t>SEK 7B37</t>
  </si>
  <si>
    <t>9BM958260NB301125</t>
  </si>
  <si>
    <t>SEK 9J99</t>
  </si>
  <si>
    <t>9BM958260NB299777</t>
  </si>
  <si>
    <t>HTC 8F41</t>
  </si>
  <si>
    <t>M.BENS 2423</t>
  </si>
  <si>
    <t>9BM6933868B596046</t>
  </si>
  <si>
    <t>DOIS IRMÃOS CONTRUÇÕES LTDA</t>
  </si>
  <si>
    <t>RPD 13546</t>
  </si>
  <si>
    <t>10000502JRB009456</t>
  </si>
  <si>
    <t>RHY2H06</t>
  </si>
  <si>
    <t>9A9R1AM00NCFV7064</t>
  </si>
  <si>
    <t>SFD3B44</t>
  </si>
  <si>
    <t>AUR4H62</t>
  </si>
  <si>
    <t>CAM. MUNCK</t>
  </si>
  <si>
    <t>19.320 CLC TT</t>
  </si>
  <si>
    <t>9535J8272CR203043</t>
  </si>
  <si>
    <t>RPD 9129</t>
  </si>
  <si>
    <t>10000502PPB008262</t>
  </si>
  <si>
    <t>EHL 0391</t>
  </si>
  <si>
    <t>XE160BR</t>
  </si>
  <si>
    <t>XUG01302LNPA00391</t>
  </si>
  <si>
    <t>EHL 0235</t>
  </si>
  <si>
    <t>HYUNDAI</t>
  </si>
  <si>
    <t>R200-9B</t>
  </si>
  <si>
    <t>HBRBE6F7CR0080235</t>
  </si>
  <si>
    <t>EHL 0767</t>
  </si>
  <si>
    <t>350 LC</t>
  </si>
  <si>
    <t>B10767</t>
  </si>
  <si>
    <t>EHL 1152</t>
  </si>
  <si>
    <t>CAT00320JBR631152</t>
  </si>
  <si>
    <t>EHL 5190</t>
  </si>
  <si>
    <t>EC210BLC</t>
  </si>
  <si>
    <t>TRANSTERRA TRANSPORTES E TERRAPLENAGEM LTDA</t>
  </si>
  <si>
    <t>RPB 4073</t>
  </si>
  <si>
    <t>BW 25RH</t>
  </si>
  <si>
    <t>RPB 4056</t>
  </si>
  <si>
    <t>BW 24-27RH</t>
  </si>
  <si>
    <t>GSH4992</t>
  </si>
  <si>
    <t>SR/RANDON</t>
  </si>
  <si>
    <t>AWI 0E25</t>
  </si>
  <si>
    <t>AXO2644</t>
  </si>
  <si>
    <t>QJO 6J81</t>
  </si>
  <si>
    <t>9BM934251JS043548</t>
  </si>
  <si>
    <t>MNL 3546</t>
  </si>
  <si>
    <t>140K</t>
  </si>
  <si>
    <t>CAT0140KTJPA03546</t>
  </si>
  <si>
    <t>MNL3546</t>
  </si>
  <si>
    <t>PESA</t>
  </si>
  <si>
    <t>31/04/2026</t>
  </si>
  <si>
    <t>EHL 0446</t>
  </si>
  <si>
    <t>PC210</t>
  </si>
  <si>
    <t>KMTPC282EMBB10446</t>
  </si>
  <si>
    <t>MANTOMAC</t>
  </si>
  <si>
    <t>RTH 13553</t>
  </si>
  <si>
    <t>WGH0H181JHAA05098</t>
  </si>
  <si>
    <t>OOM 7E39</t>
  </si>
  <si>
    <t>93PB68N36FC055763</t>
  </si>
  <si>
    <t>OOM7E39</t>
  </si>
  <si>
    <t>SMD 1F82</t>
  </si>
  <si>
    <t>ONIBUS</t>
  </si>
  <si>
    <t>VOLKS</t>
  </si>
  <si>
    <t xml:space="preserve">IDEALE </t>
  </si>
  <si>
    <t>953298TU9SR019653</t>
  </si>
  <si>
    <t>GWA TRANSPORTES ESCOLARES LTDA</t>
  </si>
  <si>
    <t>RCL 1004</t>
  </si>
  <si>
    <t>RCL 1784</t>
  </si>
  <si>
    <t>CAT0CS11CRK801784</t>
  </si>
  <si>
    <t>RTD 10378</t>
  </si>
  <si>
    <t>CC4200</t>
  </si>
  <si>
    <t>10000320JLB006363</t>
  </si>
  <si>
    <t>UBR 0C83</t>
  </si>
  <si>
    <t>RODO MOURA</t>
  </si>
  <si>
    <t>SR RM PR 3E</t>
  </si>
  <si>
    <t>9A9SCPRA3TCEU8062</t>
  </si>
  <si>
    <t>SPP 4347</t>
  </si>
  <si>
    <t>PASTRE</t>
  </si>
  <si>
    <t>2 EIXO</t>
  </si>
  <si>
    <t>9APC13820HP000013</t>
  </si>
  <si>
    <t>BBH 7419</t>
  </si>
  <si>
    <t>SAG 5129</t>
  </si>
  <si>
    <t>DIERINO GOTTI</t>
  </si>
  <si>
    <t>RTQ 07C</t>
  </si>
  <si>
    <t>9A9V1153092AD9083</t>
  </si>
  <si>
    <t>ARR 1287</t>
  </si>
  <si>
    <t>SAG 5050</t>
  </si>
  <si>
    <t>SR/ GOTTI</t>
  </si>
  <si>
    <t>SRTACL3 115</t>
  </si>
  <si>
    <t>9A9V1153092AD9082</t>
  </si>
  <si>
    <t>ARR 1291</t>
  </si>
  <si>
    <t>BBP 8145</t>
  </si>
  <si>
    <t>SRCT R3E</t>
  </si>
  <si>
    <t>9APC15130JP000001</t>
  </si>
  <si>
    <t>BEO5F69</t>
  </si>
  <si>
    <t>RODOKINHO</t>
  </si>
  <si>
    <t>PRO 2 EIXO</t>
  </si>
  <si>
    <t>9A9SCPAE2MCEN4023</t>
  </si>
  <si>
    <t>PAT 100091</t>
  </si>
  <si>
    <t>MANUTENÇÃO</t>
  </si>
  <si>
    <t>TANQUE FIXO</t>
  </si>
  <si>
    <t xml:space="preserve">WAYNE </t>
  </si>
  <si>
    <t>D377L</t>
  </si>
  <si>
    <t>-</t>
  </si>
  <si>
    <t>TEL 0082</t>
  </si>
  <si>
    <t>TRATOR DE ESTEIRA</t>
  </si>
  <si>
    <t>JOHN DEERE</t>
  </si>
  <si>
    <t>750J-II</t>
  </si>
  <si>
    <t>1BZ750JACKD000082</t>
  </si>
  <si>
    <t>TPL 0308</t>
  </si>
  <si>
    <t>TRATOR DE PNEUS</t>
  </si>
  <si>
    <t>ZOOMLION</t>
  </si>
  <si>
    <t>RG1804</t>
  </si>
  <si>
    <t>05D211572R3G0308H</t>
  </si>
  <si>
    <t>TPL0308</t>
  </si>
  <si>
    <t>TEL 1029</t>
  </si>
  <si>
    <t>D5</t>
  </si>
  <si>
    <t>CAT000D5AZ2N01029</t>
  </si>
  <si>
    <t>ALBERTON</t>
  </si>
  <si>
    <t>TEL 2006</t>
  </si>
  <si>
    <t>D61 EX</t>
  </si>
  <si>
    <t>ATM222006</t>
  </si>
  <si>
    <t>TEL 1006</t>
  </si>
  <si>
    <t>TEK 100113</t>
  </si>
  <si>
    <t xml:space="preserve">D61 EX - 23MO </t>
  </si>
  <si>
    <t>KMT0D125TSBB51607</t>
  </si>
  <si>
    <t>TPL 0622</t>
  </si>
  <si>
    <t>MASSEY FERGUSON</t>
  </si>
  <si>
    <t>TPL 6440</t>
  </si>
  <si>
    <t>MF4709 4RM</t>
  </si>
  <si>
    <t xml:space="preserve">VAGNER DE PAULA </t>
  </si>
  <si>
    <t>TEK 100112</t>
  </si>
  <si>
    <t>TRATOR DE ESTEIRAS</t>
  </si>
  <si>
    <t>KMT0D125CSBB51606</t>
  </si>
  <si>
    <t>QAH 4E61</t>
  </si>
  <si>
    <t>VAN</t>
  </si>
  <si>
    <t>FIAT</t>
  </si>
  <si>
    <t>DUCATO</t>
  </si>
  <si>
    <t>93W245H3RH2162384</t>
  </si>
  <si>
    <t>AYW 3I59</t>
  </si>
  <si>
    <t>TSD/TERRAPLANAGEM</t>
  </si>
  <si>
    <t>DALYY 70 C17</t>
  </si>
  <si>
    <t>93ZC70C01E8461991</t>
  </si>
  <si>
    <t>AYW3I59</t>
  </si>
  <si>
    <t>CAL 6688</t>
  </si>
  <si>
    <t>XAS 87 HH</t>
  </si>
  <si>
    <t>BRP076688</t>
  </si>
  <si>
    <t>M.BENS 2424</t>
  </si>
  <si>
    <t>9BM6933868B596047</t>
  </si>
  <si>
    <t>TPM 10983</t>
  </si>
  <si>
    <t>MF 6113</t>
  </si>
  <si>
    <t>UCF 11035</t>
  </si>
  <si>
    <t>PY03792</t>
  </si>
  <si>
    <t>GEL 1604</t>
  </si>
  <si>
    <t>GERADOR</t>
  </si>
  <si>
    <t>C15</t>
  </si>
  <si>
    <t>CAT00C15CAR201604</t>
  </si>
  <si>
    <t>GEL 6580</t>
  </si>
  <si>
    <t>CUMMINS</t>
  </si>
  <si>
    <t>C90D6  PATRI 205</t>
  </si>
  <si>
    <t>PEB0006580</t>
  </si>
  <si>
    <t>DIMAC LOCAÇÃO E COMERCIO DE EQPTOS</t>
  </si>
  <si>
    <t>UAC3767</t>
  </si>
  <si>
    <t>USINA DE ASFALTO</t>
  </si>
  <si>
    <t>CIBER</t>
  </si>
  <si>
    <t>UACF17P/17P2</t>
  </si>
  <si>
    <t>9A9SRMPM2DPDM7279</t>
  </si>
  <si>
    <t>BAT6279</t>
  </si>
  <si>
    <t>UAC 13555</t>
  </si>
  <si>
    <t>CIBER INOVA 2000C</t>
  </si>
  <si>
    <t>9A9CN20P3TPDM77057</t>
  </si>
  <si>
    <t>VAV 10247</t>
  </si>
  <si>
    <t>WG V01482JJVA04477</t>
  </si>
  <si>
    <t>CPL 0527</t>
  </si>
  <si>
    <t>JONH DEERE</t>
  </si>
  <si>
    <t>524 K</t>
  </si>
  <si>
    <t>1BZ524KXCGD000527</t>
  </si>
  <si>
    <t xml:space="preserve">CARNAÚBA </t>
  </si>
  <si>
    <t>REL 0350</t>
  </si>
  <si>
    <t>CAT00416KP9P10350</t>
  </si>
  <si>
    <t>CONTAINNER</t>
  </si>
  <si>
    <t>ESCRITORIO/WC</t>
  </si>
  <si>
    <t>GEL 4765</t>
  </si>
  <si>
    <t>116KVA</t>
  </si>
  <si>
    <t>GEL4765</t>
  </si>
  <si>
    <t>GEL 1614</t>
  </si>
  <si>
    <t>C15 BR307</t>
  </si>
  <si>
    <t>CAT00C15TAR201614</t>
  </si>
  <si>
    <t>VAV 13192</t>
  </si>
  <si>
    <t>S1400</t>
  </si>
  <si>
    <t>WVB00863LJVA00352</t>
  </si>
  <si>
    <t>SAR 5084</t>
  </si>
  <si>
    <t>MICROPAVIMENTO</t>
  </si>
  <si>
    <t>RANDON 3 EIXO</t>
  </si>
  <si>
    <t>0013125REM</t>
  </si>
  <si>
    <t>ABS 3634</t>
  </si>
  <si>
    <t>DATA NF</t>
  </si>
  <si>
    <t>N° NF</t>
  </si>
  <si>
    <t>Valor</t>
  </si>
  <si>
    <t>CNPJ</t>
  </si>
  <si>
    <t>Fornecedor</t>
  </si>
  <si>
    <t>Aplicação</t>
  </si>
  <si>
    <t>Classe Manut.</t>
  </si>
  <si>
    <t>Vencimento</t>
  </si>
  <si>
    <t>Custo (Desconto medição)</t>
  </si>
  <si>
    <t>Grupo Aplicação</t>
  </si>
  <si>
    <t>Equipe</t>
  </si>
  <si>
    <t>Obs.</t>
  </si>
  <si>
    <t>Adm</t>
  </si>
  <si>
    <t>Locadora</t>
  </si>
  <si>
    <t>Grupo Fornecedor</t>
  </si>
  <si>
    <t>Conf</t>
  </si>
  <si>
    <t>53.790.435/0001-43</t>
  </si>
  <si>
    <t>ROSALIA BARRIOS VERA</t>
  </si>
  <si>
    <t>LOCAÇÃO</t>
  </si>
  <si>
    <t>OBRA</t>
  </si>
  <si>
    <t>ADMINISTRAÇÃO</t>
  </si>
  <si>
    <t>LOCAÇÃO DE ANDAIME</t>
  </si>
  <si>
    <t>PEÇAS E SERVIÇOS</t>
  </si>
  <si>
    <t>#N/A</t>
  </si>
  <si>
    <t>21.665.282/0001-16</t>
  </si>
  <si>
    <t>MORAES - COMERCAI DE FERRAGENS LTDA</t>
  </si>
  <si>
    <t>CORRETIVA</t>
  </si>
  <si>
    <t>CARTAO</t>
  </si>
  <si>
    <t xml:space="preserve">PARAFUSOS BR  + SPRAY COLOR PRETO FOSCO </t>
  </si>
  <si>
    <t>04.293.327/0001-50</t>
  </si>
  <si>
    <t>PERDIZ EMBALAGENS</t>
  </si>
  <si>
    <t xml:space="preserve">BOBINA + SACOS </t>
  </si>
  <si>
    <t>PEÇAS E SEVICO</t>
  </si>
  <si>
    <t>17.555.406/0001-33</t>
  </si>
  <si>
    <t xml:space="preserve">MAJERICAO RESTAURANTE </t>
  </si>
  <si>
    <t>EQUIPE MANUTENÇÃO OPERAÇÃO</t>
  </si>
  <si>
    <t>USO E CONSUMO</t>
  </si>
  <si>
    <t>INDIRETO</t>
  </si>
  <si>
    <t>ALMOÇO ( JOSE)</t>
  </si>
  <si>
    <t>12.493.489/0001-60</t>
  </si>
  <si>
    <t>O.R SALVIATO E CIA LTDA</t>
  </si>
  <si>
    <t>EQUIPE (OUTROS)</t>
  </si>
  <si>
    <t xml:space="preserve">LUVA C/ ROSCA BRANCO + BUCHA + CAIXA DAGUA +ADP DE SOLDA + CHAPA  + PREGO </t>
  </si>
  <si>
    <t>12.593.489/0001-60</t>
  </si>
  <si>
    <t>O.R SALVIATO E CIA LTA</t>
  </si>
  <si>
    <t xml:space="preserve">CARTAO </t>
  </si>
  <si>
    <t>AREIA MEDIA M3 (METRO) + CIMENTO CIMECAL 50K</t>
  </si>
  <si>
    <t>01.539.477/0001-02</t>
  </si>
  <si>
    <t xml:space="preserve">MAKEL MATERIAS DE CONTRUÇOES </t>
  </si>
  <si>
    <t>ISOLADOR+CONECTOR+CAIXA DE LUZ +CABOFLEXIVEL 10,0MM</t>
  </si>
  <si>
    <t>01.352.627/0001-74</t>
  </si>
  <si>
    <t>QUERENCIA CHURRASCARIA</t>
  </si>
  <si>
    <t>EQUIPE MANUTENÇÃO CONTROLE</t>
  </si>
  <si>
    <t>CARTÃO</t>
  </si>
  <si>
    <t>ALIMENTAÇÃO DIEGO VIAGEM</t>
  </si>
  <si>
    <t>33.172.008/0001-94</t>
  </si>
  <si>
    <t>DONA DISTRIBUIDORA DE PETROLEO</t>
  </si>
  <si>
    <t>GASOLINA SFN 5C16 KM 49957</t>
  </si>
  <si>
    <t xml:space="preserve">USO CONSUMO </t>
  </si>
  <si>
    <t>05.037.623/0001-52</t>
  </si>
  <si>
    <t>GASOLINA SFN 5C16 KM 49484</t>
  </si>
  <si>
    <t>49.889.764/0001-79</t>
  </si>
  <si>
    <t>RAPHAEL DENNY SCHNEIDER LTDA</t>
  </si>
  <si>
    <t>SINALIZAÇÃO</t>
  </si>
  <si>
    <t>ADEQUAÇÃO SETAS DE SINALIZALÇÃO</t>
  </si>
  <si>
    <t>02.955.426/0001-24</t>
  </si>
  <si>
    <t>CEQ CENTRAL DE EQUIPAMENTOS SJP/PR</t>
  </si>
  <si>
    <t>BORRACHARIA</t>
  </si>
  <si>
    <t>19.994.252/0001-01</t>
  </si>
  <si>
    <t>PRINTIVILLE IMPRESSAO</t>
  </si>
  <si>
    <t>ADESIVO PRISMATICO REFLETIVO LARANJA+LIMALIMÃO E BRANCO</t>
  </si>
  <si>
    <t>08.664.194/0002-12</t>
  </si>
  <si>
    <t>SOCOLOSKI SUPERMERCADO EIRELI</t>
  </si>
  <si>
    <t>ALIMENTAÇÃO ALOJAMENTO</t>
  </si>
  <si>
    <t>08.943.536/0001-52</t>
  </si>
  <si>
    <t>FRS ENTREGAS E PEÇAS EIRRELI</t>
  </si>
  <si>
    <t>ELETRICA</t>
  </si>
  <si>
    <t>LANT. LEDS LIGHT STROBRE 50 UN PARA VEICULOS LEVES</t>
  </si>
  <si>
    <t>26.842.260/0001-06</t>
  </si>
  <si>
    <t>MARINGA COMERCIAL COMBUSTIVEL</t>
  </si>
  <si>
    <t>TER-LUG</t>
  </si>
  <si>
    <t xml:space="preserve">EXTINTOR PG VIA CUPOM FISCAL </t>
  </si>
  <si>
    <t>ABASTECIMENTO/LUBRIFICAÇÃO</t>
  </si>
  <si>
    <t>OLEO DIESEL S10</t>
  </si>
  <si>
    <t>DIESEL</t>
  </si>
  <si>
    <t>37.260.017/0001-98</t>
  </si>
  <si>
    <t>JOAO GUILHERME DE OLIVEIRA</t>
  </si>
  <si>
    <t>INSTALAÇÃO</t>
  </si>
  <si>
    <t>ADEQUAÇÃO TOLDO,INSTALAÇÃO REBOQUE</t>
  </si>
  <si>
    <t>maion</t>
  </si>
  <si>
    <t>PEÇAS DE CARBONO LONA+ESTRUTURA COBERTURA</t>
  </si>
  <si>
    <t>48.747.824/0001-56</t>
  </si>
  <si>
    <t>CLEUDINARA VARGAS ARAGAO</t>
  </si>
  <si>
    <t>ADESIVO LARANJA 15 MT+LIMALIMÃO 15 MT</t>
  </si>
  <si>
    <t>01.703.762/0001-17</t>
  </si>
  <si>
    <t>LIVRARIA CASA DO ESTUDANTE</t>
  </si>
  <si>
    <t>ARLA</t>
  </si>
  <si>
    <t>PORTA CARTÕES</t>
  </si>
  <si>
    <t>02.902.937/0001-68</t>
  </si>
  <si>
    <t>VD FERRAGENS NAUTICA</t>
  </si>
  <si>
    <t>ESTICADOR CAPA BANCO</t>
  </si>
  <si>
    <t xml:space="preserve">GASOLINA ABASTECIMENTO GERADOR </t>
  </si>
  <si>
    <t>MATERIAL MARCADOR/CAIXA/QUADRO/APAGADOR</t>
  </si>
  <si>
    <t>GASOLINA SFN 5C16 KM 50407</t>
  </si>
  <si>
    <t>58.988.252/0001-50</t>
  </si>
  <si>
    <t>PIZZARIA FILADELFIA DELIVERY</t>
  </si>
  <si>
    <t xml:space="preserve">ALIMENTAÇÃO PIZZA </t>
  </si>
  <si>
    <t>ADEMAR DA SILVA SANTOS</t>
  </si>
  <si>
    <t>HOSPEDAGEM DESPESAS DIEGO</t>
  </si>
  <si>
    <t>36.046.398/0001-44</t>
  </si>
  <si>
    <t>MARCTEC INDUSTRIA E MONTAGEM INDUSTRIAL</t>
  </si>
  <si>
    <t>APOIO</t>
  </si>
  <si>
    <t>MOVIMENTAÇÃO DE CARGACAMINHÃO MUNCK</t>
  </si>
  <si>
    <t>32.488.517/0001-68</t>
  </si>
  <si>
    <t>JEREMIAS</t>
  </si>
  <si>
    <t>FRETE</t>
  </si>
  <si>
    <t>TRANSPORTE REFERENTE A MAQUINA ESCAVADEIRA 350 BIGUAÇUXMUNDO NOVO</t>
  </si>
  <si>
    <t>TRANSPORTES</t>
  </si>
  <si>
    <t>26.835.876/0001-41</t>
  </si>
  <si>
    <t xml:space="preserve">LANCHONETE 2 IRMÃO </t>
  </si>
  <si>
    <t>12.848.707/0001-31</t>
  </si>
  <si>
    <t>TRAC TEC PRESTADORA</t>
  </si>
  <si>
    <t>TRANSPORTE DE MOB. MUNDO NOVO</t>
  </si>
  <si>
    <t>SISMA</t>
  </si>
  <si>
    <t>26.810.363/0001-86</t>
  </si>
  <si>
    <t>ANTONIO ODAIR DEL MATTA</t>
  </si>
  <si>
    <t>REPARO MANUTENÇÃO CABOS DE VIDEO</t>
  </si>
  <si>
    <t>15.389.901/0001-37</t>
  </si>
  <si>
    <t>AUTO PEÇAS PIROLI</t>
  </si>
  <si>
    <t>COROTE D AGUA APOIO EQUIPES</t>
  </si>
  <si>
    <t>24.606.576/0001-65</t>
  </si>
  <si>
    <t>HOTEL/RESTALRANTE NOVA GERAÇÃO</t>
  </si>
  <si>
    <t>08.586.370/0001-64</t>
  </si>
  <si>
    <t>AUTO ELETRICA RODOVIA</t>
  </si>
  <si>
    <t>INSTALAÇÃO DE STROBOS TBA 1A70 MONTANA RENIVE</t>
  </si>
  <si>
    <t>INSTALÇÃO DE STROBOS CHICOTES</t>
  </si>
  <si>
    <t>INSTALÇÃO DE STROBOS CHICOTES MONTANA SFJ 3B24</t>
  </si>
  <si>
    <t>20.347.866/0001-80</t>
  </si>
  <si>
    <t>EDNEI VICENTINO MATTOS</t>
  </si>
  <si>
    <t>AUTO POSTO TIO SAN</t>
  </si>
  <si>
    <t>INSTALÇÃO DE STROBOS CHICOTES MONTANA SFN 5C16 DYEISSON</t>
  </si>
  <si>
    <t>04.222.612/2001-40</t>
  </si>
  <si>
    <t>GUILHERME IMMICH DIAS MARTINS</t>
  </si>
  <si>
    <t>CORRENTES/CINTAS/CATRACAS PARA AMARRAÇÃO DE MAQUINAS E EQUIPAMENTOS</t>
  </si>
  <si>
    <t>LAVAÇÃO</t>
  </si>
  <si>
    <t>KIT DE LIMPEZA MAQUINAS EQUIPAMENTOS</t>
  </si>
  <si>
    <t>27.416.293/0001-49</t>
  </si>
  <si>
    <t xml:space="preserve">CLAUDINEI CONCALVES DA SILVA </t>
  </si>
  <si>
    <t>SISTEMA DE FREIOS E CARDÃ</t>
  </si>
  <si>
    <t>ALOJAMENTO REFEIÇÃO</t>
  </si>
  <si>
    <t>15.389.901/0004-37</t>
  </si>
  <si>
    <t>COROTE+TACOGRAFO+RETROVISOR</t>
  </si>
  <si>
    <t>PARAFUSO RETROVISOR</t>
  </si>
  <si>
    <t>REPARO EM CABO DE VIDEO</t>
  </si>
  <si>
    <t>AUTO POSTO TIO SAM LTDA</t>
  </si>
  <si>
    <t>ARLA 32</t>
  </si>
  <si>
    <t xml:space="preserve">ADITIVO </t>
  </si>
  <si>
    <t>02.902.997/0001-88</t>
  </si>
  <si>
    <t xml:space="preserve">WD FERRAGENS </t>
  </si>
  <si>
    <t>VASSOURAS PARA LIMPEZA</t>
  </si>
  <si>
    <t>33.263.902/0001-70</t>
  </si>
  <si>
    <t>GILMAR APARECISO DOS SANTOS</t>
  </si>
  <si>
    <t>LAVAÇÃO DE 09 VEICULOS LEVES VLR UNI. 80,00</t>
  </si>
  <si>
    <t>42.033.901/0001-20</t>
  </si>
  <si>
    <t>CONCEPT REGULADORA LTDA</t>
  </si>
  <si>
    <t xml:space="preserve">SERVIÇO DE TRANSPOTE DE CAMINHÃO </t>
  </si>
  <si>
    <t>28.277.650/0001-06</t>
  </si>
  <si>
    <t>GRAFICA OLIMPICA</t>
  </si>
  <si>
    <t>MELHORIA</t>
  </si>
  <si>
    <t>PIX</t>
  </si>
  <si>
    <t>PLOTAGEM ONIBUS 850,PLOTAGEM MONTANA 450,00</t>
  </si>
  <si>
    <t>02.906.744/0001-03</t>
  </si>
  <si>
    <t>SUPERMERCADO SOL</t>
  </si>
  <si>
    <t>14.869.095/0001-99</t>
  </si>
  <si>
    <t>ELISEU SALGADINHO</t>
  </si>
  <si>
    <t>REFEIÇÃO VIAGEM</t>
  </si>
  <si>
    <t>26.835.348/0001-92</t>
  </si>
  <si>
    <t>VIGOMAR ALVES DE FREITAS</t>
  </si>
  <si>
    <t>CADEADO ALOJAMENTO</t>
  </si>
  <si>
    <t xml:space="preserve">COROTE+PASTA DESENGRAXANTE </t>
  </si>
  <si>
    <t>00.210.633/0002-05</t>
  </si>
  <si>
    <t>UNIPETRO NOVA ANDRADINA DISTRIBUIDOIRA</t>
  </si>
  <si>
    <t>CLM 13175</t>
  </si>
  <si>
    <t>GRAXA+15W40+HD68</t>
  </si>
  <si>
    <t>03.748.450/0001-23</t>
  </si>
  <si>
    <t>IMPORCATE DORADOS COM. PC TRATORES</t>
  </si>
  <si>
    <t>CEQ</t>
  </si>
  <si>
    <t>TRAVA DO ESCARIFICADOR</t>
  </si>
  <si>
    <t>241-8368 - AUXILIAR DE PARTIDA</t>
  </si>
  <si>
    <t>TAK 1J63 GASOLINA</t>
  </si>
  <si>
    <t>ELETRICA ESTROBOS TAK 1J23</t>
  </si>
  <si>
    <t>GIROFLEX MAQUINAS/VEICULOS</t>
  </si>
  <si>
    <t>15.461.057/0001-65</t>
  </si>
  <si>
    <t>KUNKES TRANPORTES LOCACOES E MONTAGENS</t>
  </si>
  <si>
    <t>LOCAÇÃO DE CONTAINNERS +BANHEIRO +MOB.</t>
  </si>
  <si>
    <t>05.379.043/5001-43</t>
  </si>
  <si>
    <t>ROSALINA BARRIOS VERA</t>
  </si>
  <si>
    <t xml:space="preserve">OLEO 10W30 MOTOR GASOLINA </t>
  </si>
  <si>
    <t>CONFECÇÃO DE ADESIVOS MAQUINAS EQUIPAMENTOS</t>
  </si>
  <si>
    <t>26.842.260/0001-66</t>
  </si>
  <si>
    <t>GASOLINA MINASUL GERADORES</t>
  </si>
  <si>
    <t>DONA DISTRIBUIDORA DE PETROLEO LTDA</t>
  </si>
  <si>
    <t>GASOLINA SFN 5C16</t>
  </si>
  <si>
    <t>53.448.529/0001-39</t>
  </si>
  <si>
    <t>CASTILHO E MOTA</t>
  </si>
  <si>
    <t xml:space="preserve">REFEIÇÃO </t>
  </si>
  <si>
    <t>17.946.423/0001-00</t>
  </si>
  <si>
    <t>ROMAN COMERCIO DE FERRAGENS</t>
  </si>
  <si>
    <t>ESTOPA+ALICATE+CHAVE+MARRETA+CAIXA</t>
  </si>
  <si>
    <t>CAVADEIRA FOICE</t>
  </si>
  <si>
    <t>?</t>
  </si>
  <si>
    <t>WOLD LOGISTICA</t>
  </si>
  <si>
    <t>00.103.857/0001-37</t>
  </si>
  <si>
    <t>JONAS POCIANO DA SILVA</t>
  </si>
  <si>
    <t>CONFECÇÃO DE RABICHO</t>
  </si>
  <si>
    <t>PROTEÇÃO DE GUARDA CORPO+ESCADA</t>
  </si>
  <si>
    <t>FAZER 06 SUPORTE COMPLETOS PARA LAVATÓRIO</t>
  </si>
  <si>
    <t>ESTOQUE</t>
  </si>
  <si>
    <t>AP</t>
  </si>
  <si>
    <t>FAROL AUX.LEDS+CAMERAS+ESTROBOS</t>
  </si>
  <si>
    <t>01.246.859/0001-48</t>
  </si>
  <si>
    <t>SECCO LTDA</t>
  </si>
  <si>
    <t>TUBOS PVC CONEXOES PARA BANHEIRO</t>
  </si>
  <si>
    <t>MORAES COMERCIO DE FERRAGENS</t>
  </si>
  <si>
    <t>PERSIANA+ADAPTADOR+UNIÃO</t>
  </si>
  <si>
    <t>28.662.593/0001-70</t>
  </si>
  <si>
    <t>METAL COTA</t>
  </si>
  <si>
    <t>COBRE FACIL/CAÇAMBAS 06 PÇ</t>
  </si>
  <si>
    <t xml:space="preserve">SERVIÇO EM MOLEJO TROCA DA MOLA </t>
  </si>
  <si>
    <t xml:space="preserve">PAR DE SETA PARA MAQUINAS </t>
  </si>
  <si>
    <t>10.249.046/0001-00</t>
  </si>
  <si>
    <t>CONSTRUÇOES SCHOOEDER LTDA</t>
  </si>
  <si>
    <t>FRETE TRANSPORTE DE MAQUINA DE BIGUAÇU&gt;QUATRO BARRAS</t>
  </si>
  <si>
    <t>85.072.098/0001-45</t>
  </si>
  <si>
    <t>CASA DAS BORRACHAS</t>
  </si>
  <si>
    <t>AVISTA</t>
  </si>
  <si>
    <t>MANTAS ANTIADERENTES PARA CAÇAMBAS</t>
  </si>
  <si>
    <t>COROTES PARA SEGURANÇA HIGIENIZAÇÃO</t>
  </si>
  <si>
    <t>02.902.937/0001-88</t>
  </si>
  <si>
    <t>CONEXÕES GALV+REGISTRO</t>
  </si>
  <si>
    <t>BATERIAS DE 180A 02</t>
  </si>
  <si>
    <t>ELETRODUTO+GAS MAÇARICO</t>
  </si>
  <si>
    <t>40.001.159/0001-45</t>
  </si>
  <si>
    <t>GABRIEL SANTOS DA SILVEIRA</t>
  </si>
  <si>
    <t>CARRETAS PARA TRANSPORTE DE BANHEIROS QUIMICOS</t>
  </si>
  <si>
    <t>TRANSPORTE ROLO CEQ MUNDO NOVO</t>
  </si>
  <si>
    <t>MATERIAL CANTEIRO BUCHA+JOELHO+TELA+CAIXA+TUBO+FUNIL+</t>
  </si>
  <si>
    <t xml:space="preserve">COPIA DE CHAVES CONTAINNER </t>
  </si>
  <si>
    <t>MAKEL MATERIAIS DE CONSTRUCOES</t>
  </si>
  <si>
    <t>SUPORTE PARA CAPAÇETES CONTAINNERS</t>
  </si>
  <si>
    <t>PASTA+COLA+CANETA</t>
  </si>
  <si>
    <t>42.163.435/0001-05</t>
  </si>
  <si>
    <t>BORACHARIA E AUTO ELETRICA RISOTO</t>
  </si>
  <si>
    <t>GIROFLEX</t>
  </si>
  <si>
    <t>ROLDANA+DISJUNTOR+PANO+TOMADA</t>
  </si>
  <si>
    <t>CAIXA+MODULO+INTERRUPTOR+QUADRO COM.</t>
  </si>
  <si>
    <t>35.093.824/0001-38</t>
  </si>
  <si>
    <t>TRNS PEREIRA LTDA</t>
  </si>
  <si>
    <t>TRANSPORTE MANTA CAÇAMBA CASCAVEL&gt;GUAIRA</t>
  </si>
  <si>
    <t>ILUMINAÇÃO DE SEGURANÇA</t>
  </si>
  <si>
    <t>47.390.307/0013-43</t>
  </si>
  <si>
    <t>SHARK TRATORES E PEÇAS LTDA</t>
  </si>
  <si>
    <t>TRAVA PORCA GRADE/ARRUELA ADITIVO RADIADOR</t>
  </si>
  <si>
    <t>CAIXA+MATERIAL ELETRICOS CANTEIROS</t>
  </si>
  <si>
    <t>GASOLINA ATK 1J63</t>
  </si>
  <si>
    <t>15.914.963/0001-78</t>
  </si>
  <si>
    <t>CARLOS NELSON DESBESSEL-ME</t>
  </si>
  <si>
    <t>M.O TROCA DO HIDROVACO</t>
  </si>
  <si>
    <t>07.154.053/0001-06</t>
  </si>
  <si>
    <t>ADILSON ALBUQUERQUE LIRA ME</t>
  </si>
  <si>
    <t>TAM 2A92 PARA BRISA+PALHETAS+PELICOLA</t>
  </si>
  <si>
    <t>02.034.786/6001-80</t>
  </si>
  <si>
    <t>REFEIÇÃO</t>
  </si>
  <si>
    <t>54.499.734/0001-96</t>
  </si>
  <si>
    <t>ALDO JORGE DE MORAES</t>
  </si>
  <si>
    <t>PG</t>
  </si>
  <si>
    <t>TRANSPORTES DE CAMINHÕES CEQ MUNDO NOVO</t>
  </si>
  <si>
    <t>10 DIAS</t>
  </si>
  <si>
    <t>CIMECAL</t>
  </si>
  <si>
    <t>GANCHO+KIT CINTA CADEDO</t>
  </si>
  <si>
    <t>05.254.732/0001-21</t>
  </si>
  <si>
    <t>CLAUDIO JABER ( POSTO LTDA)</t>
  </si>
  <si>
    <t>GASOLONA COMUM DIEGO</t>
  </si>
  <si>
    <t>35.068.724/0001-51</t>
  </si>
  <si>
    <t>ALEXANDRE DAMACENO GOMES</t>
  </si>
  <si>
    <t>M.O DE APLICAÇÃO DE BORRACHÃO</t>
  </si>
  <si>
    <t>48.324.137/0001-28</t>
  </si>
  <si>
    <t>INDIANARA SUELEN DA SILVA</t>
  </si>
  <si>
    <t>MATERIAL PARA APLICAÇÃO EM FORRAÇÃO BORRACHÃO AÇAMBA</t>
  </si>
  <si>
    <t>CAMERAS DE RÉ</t>
  </si>
  <si>
    <t>CAVADEIRA/CABO/PARAFUSOS</t>
  </si>
  <si>
    <t>CONFECÇÃO DE CHAVE IGNIÇÃO</t>
  </si>
  <si>
    <t>29.694.911/0003-00</t>
  </si>
  <si>
    <t>MIXTON CONCRETO E ARGAMASSA LTDA</t>
  </si>
  <si>
    <t>CONTRA PISO UNIDADE LABORATÓRIO CONCRETO FCK 30.0</t>
  </si>
  <si>
    <t>LUVA REDUÇÃO 1/4 ADAPTADOR CHAVE FIXA</t>
  </si>
  <si>
    <t>FILTRO FBD76 COMB.+KC118</t>
  </si>
  <si>
    <t>02.902.937/0001-80</t>
  </si>
  <si>
    <t>MD FERRAGENS NAUTICAS</t>
  </si>
  <si>
    <t xml:space="preserve">CHAVES MECANICAS USO </t>
  </si>
  <si>
    <t xml:space="preserve">BICO DE ABASTECIMENTO </t>
  </si>
  <si>
    <t>MANGUEIRA+MANGOTE+ANTI CORROSIVO</t>
  </si>
  <si>
    <t>03.566.285/0001-10</t>
  </si>
  <si>
    <t>AUTO POSTO JARDIM GUARANY LTDA</t>
  </si>
  <si>
    <t>GASOLINA COMUM DIEGO</t>
  </si>
  <si>
    <t>03.039.815/0001-72</t>
  </si>
  <si>
    <t>LUCIENE ANDRADE QUELHO DOS SANTOS</t>
  </si>
  <si>
    <t>GASOLINA TAK 1J63</t>
  </si>
  <si>
    <t>54.432.459/0001-93</t>
  </si>
  <si>
    <t>BORRACHÃO DOURADOS</t>
  </si>
  <si>
    <t>38.233.436/0001-01</t>
  </si>
  <si>
    <t>LUCIANA ASCURRA CORREIA</t>
  </si>
  <si>
    <t>EXTINTORES DE SEGURANÇA</t>
  </si>
  <si>
    <t>LOCAÇÃO DE ALISADORA DE CONCRETO SETOR QUALIDADE</t>
  </si>
  <si>
    <t>00.026.842/0001-06</t>
  </si>
  <si>
    <t>41.401.460/0001-09</t>
  </si>
  <si>
    <t xml:space="preserve">ELMAR MIGUEL SCHU </t>
  </si>
  <si>
    <t>CAMERA DE RÉ+STROBOS</t>
  </si>
  <si>
    <t>CABO+RELE+CABO</t>
  </si>
  <si>
    <t>TROCA DE FAROL PRINCIPAL E LAMPADAS</t>
  </si>
  <si>
    <t>CAMERA DE RÉ+STROBOS+SIRENE</t>
  </si>
  <si>
    <t>MANCAL DA GRADE ARADORA 01 PÇ</t>
  </si>
  <si>
    <t>REGADOR+CHAVE AJUSTAVEL</t>
  </si>
  <si>
    <t>TRAVA DE PORCA</t>
  </si>
  <si>
    <t>TERMINAL PARA TUBO+BICO</t>
  </si>
  <si>
    <t>MANGUIRA PARA CABINE</t>
  </si>
  <si>
    <t>33.692.255/0003-83</t>
  </si>
  <si>
    <t>MAT FER EQUIPAMENTOS E FERRAMENTAS</t>
  </si>
  <si>
    <t>CINTA PARA ARRASTO DE MAQUINAS E EQUIPAMENTOS</t>
  </si>
  <si>
    <t>MARINGA COMERCIAL COMBUSTIVEIS LTDA</t>
  </si>
  <si>
    <t xml:space="preserve">BOMBONA 1000LTS (MANUTENÇAO) </t>
  </si>
  <si>
    <t>CAVADEIRAS LIMPEZA DAS ESTEIRAS</t>
  </si>
  <si>
    <t>TRAVA+CALIBRADOR+BICO+TRAVA+PINO</t>
  </si>
  <si>
    <t>FITA FILME+FITA ADESIVA</t>
  </si>
  <si>
    <t>PE</t>
  </si>
  <si>
    <t>CABO DE AÇO ARRASTO MAQUINAS/EQUIPAMENTOS ABRAÇADEIRA</t>
  </si>
  <si>
    <t>11.043.374/0001-00</t>
  </si>
  <si>
    <t>EXPRESSO PRINCESA DOS CAMPOS S.A</t>
  </si>
  <si>
    <t xml:space="preserve">DOCUMENTO AUXILIAR DE BILHETE PASSAGEM ELETRONICA </t>
  </si>
  <si>
    <t>37.548.450/0001-23</t>
  </si>
  <si>
    <t>DESGASTE</t>
  </si>
  <si>
    <t xml:space="preserve">PONTAS/UNHAS DE DESGASTE </t>
  </si>
  <si>
    <t>LAMINAS DE DESGASTE</t>
  </si>
  <si>
    <t>ETHANOL HIDRATADO COMUM B3 SFN5C16</t>
  </si>
  <si>
    <t>ACORDO</t>
  </si>
  <si>
    <t>NEOVIA CONSERVAÇAO(0001-24)MATRIZ</t>
  </si>
  <si>
    <t>MAU USO</t>
  </si>
  <si>
    <t xml:space="preserve">INCIDENTE PATOLA MUNCK/PRIMA </t>
  </si>
  <si>
    <t>60.183.099/0001-36</t>
  </si>
  <si>
    <t>MAIKO JUNIOR ABILIO LIMA</t>
  </si>
  <si>
    <t>M.O ELETRICA CONTAINNERS/QUALIDADE</t>
  </si>
  <si>
    <t>04.982.983/0001-60</t>
  </si>
  <si>
    <t>MARINHO CIA LTDA</t>
  </si>
  <si>
    <t>ETANOL HIDRATADO ADITIVADO SFN 5C16</t>
  </si>
  <si>
    <t>10.983.785/0002-02</t>
  </si>
  <si>
    <t>YPE</t>
  </si>
  <si>
    <t>GASOLINA COMUM ADITIVADA TAKl1263</t>
  </si>
  <si>
    <t>15.340.810/0001-64</t>
  </si>
  <si>
    <t>FERNANDES DA SILVAPEÇAS E ACESSORIOS LTDA</t>
  </si>
  <si>
    <t>BANCO AUTOMOTIVO (ULTILIZAÇAO CAMINAO CARROCERIA/ CAMINHAO SINALIZAÇAO)</t>
  </si>
  <si>
    <t>COPO + FILTRO MELITA ( MATERIAL ESCRITORIO) CONTAINER E CANTEIRO</t>
  </si>
  <si>
    <t>GASOLINA COMUM ADITIVADA  B3 SFN5C16</t>
  </si>
  <si>
    <t>47.276.163/0001-65</t>
  </si>
  <si>
    <t>PREO FRANCO LOCAÇÕES DE EQUIPAMENTOS</t>
  </si>
  <si>
    <t>TRANSPORTE FRANCISCO BELTRÃO&gt;MUNDO NOVO</t>
  </si>
  <si>
    <t>PONTAS/UNHAS DE DESGASTE /DESCONTO EM MEDIÇÃO</t>
  </si>
  <si>
    <t>TRANSPORTE DIAMANTINA &gt; MUNDO NOVO</t>
  </si>
  <si>
    <t>TRANSPORTE SÃO JOSÉ DOS PINHAIS&gt;MUNDO NOVO</t>
  </si>
  <si>
    <t>ALMEIDA E SECCO LTDA ME</t>
  </si>
  <si>
    <t>TINTA SRAY PRETO FOSCO TEKBOND</t>
  </si>
  <si>
    <t>PORCA SEXT + PARAFUSO SEXT + ARRUELA LISA POLIDA+PORCA SEXT POLIDA MSFN^S5</t>
  </si>
  <si>
    <t>43.931.439/0001-40</t>
  </si>
  <si>
    <t>LKS LOCADORA E MANUTENCAO DE PLATAFORMAS DE ELEVACAO LTDA</t>
  </si>
  <si>
    <t>LOCAÇÃO DE PTA COBERTURA TELHADO</t>
  </si>
  <si>
    <t>INSTALAÇÃO DE BORRACHÃO</t>
  </si>
  <si>
    <t>INSTALAÇÃO DE BORRACHÃO+GRADE LANTERNA+PEITO+COBRE FACIL</t>
  </si>
  <si>
    <t xml:space="preserve">PARAFUSO + ARRUELA + THINNER + ENGATE RAPIDO + PINO </t>
  </si>
  <si>
    <t>76.533.074/0010-46</t>
  </si>
  <si>
    <t>TEGAPE IMPORTAÇÃO E COMERCIO</t>
  </si>
  <si>
    <t>COBERTURA SOMBRITE-CAÇAMBAS</t>
  </si>
  <si>
    <t>42.226.122/0001-40</t>
  </si>
  <si>
    <t>GUILHERME IMMICH DIAS MARTINS - FERRAMENTAS E FERRAGENS</t>
  </si>
  <si>
    <t>KIT LIMPEZA</t>
  </si>
  <si>
    <t>MATERIAL PARA REFORMA DE CAÇAMBA</t>
  </si>
  <si>
    <t>24.649.634/0001-38</t>
  </si>
  <si>
    <t>LINX</t>
  </si>
  <si>
    <t>22.191.309/0001-49</t>
  </si>
  <si>
    <t>GOMES E FREITAS LTDA-ME</t>
  </si>
  <si>
    <t>COCA COLA + SUCO NATURAL + ALMOÇO BUFFET  SFN 5C16</t>
  </si>
  <si>
    <t>07.771.145/0001-10</t>
  </si>
  <si>
    <t>POSTO DE COMBUSTIVEIS MEDIANEIRA LDTA</t>
  </si>
  <si>
    <t>LIXEIRA +DISPENSES PARA COPOS (MATERIAL ESCRITORIO) CONTAINER E CANTEIRO</t>
  </si>
  <si>
    <t>51.127.446/0001-12</t>
  </si>
  <si>
    <t>GUAIRA REDE MACEDO LTDA</t>
  </si>
  <si>
    <t>ETANOL HIDRATADO ADITIVADO SFN5C16</t>
  </si>
  <si>
    <t>331.720.008/0001-94</t>
  </si>
  <si>
    <t>PETROBRASS SERVICENTRO</t>
  </si>
  <si>
    <t>ETANOL ABASTECIMENTO CHEGADA EM MUNDO NOVO (JOAO NETO SFN5C16</t>
  </si>
  <si>
    <t xml:space="preserve">VALTRA </t>
  </si>
  <si>
    <t>MANCAL* PORCA :TRANCA POR FORA*ARRUELA (TRAVA CONCAVA</t>
  </si>
  <si>
    <t xml:space="preserve">(SKARK) TRATORES E PEÇAS LTDA </t>
  </si>
  <si>
    <t xml:space="preserve">ELEMENTO DO FILTRO DE COMBUSTIVEL </t>
  </si>
  <si>
    <t>76.075.118/0001-40</t>
  </si>
  <si>
    <t>CASCAVEL MAQUINAS AGRICOLAS LTDA</t>
  </si>
  <si>
    <t>TANQUE DE COMBUSTIVEL/CABEÇOTE DO FILTROS</t>
  </si>
  <si>
    <t>15.575.789/0002-67</t>
  </si>
  <si>
    <t>FENELON COMERCIO DE MATERIAIS ELETRICOS LTDA</t>
  </si>
  <si>
    <t>CABOS+ISOLADORES+PVC+CABO FLEX+TOMADA</t>
  </si>
  <si>
    <t>OCULOS DE SEGURANÇA INCOLOR/VERD FUME/JAGUARMALTES</t>
  </si>
  <si>
    <t>39.769.170/0001-88</t>
  </si>
  <si>
    <t>MARCÃO AUTO PEÇAS</t>
  </si>
  <si>
    <t xml:space="preserve">COROTE UNIVERSAL + SLICONE INCOLLOR + PALHETA UNUVERSAL </t>
  </si>
  <si>
    <t>AREIA+TIJOLO+TABUA+CHAVES+REGUA+TRENA+BROXA+MARRETA</t>
  </si>
  <si>
    <t>51.577.572/0001-79</t>
  </si>
  <si>
    <t>LAITARTE &amp; SOUZA LTDA</t>
  </si>
  <si>
    <t>BRITA 2</t>
  </si>
  <si>
    <t>INSTALAÇÃO DE BORRACHÃO+COBRE FACIL</t>
  </si>
  <si>
    <t>00.003.260/9471-75</t>
  </si>
  <si>
    <t>JUAN SALOMÃO BALLERINI</t>
  </si>
  <si>
    <t>ELABORAÇÃO DA PLANTA BAIXA PROJETO CANTEIRO</t>
  </si>
  <si>
    <t>RESPONSABILIDADE TECNICA OBRAS CANTEIRO</t>
  </si>
  <si>
    <t>LAMINA P/ ESTILETE +FITA CORRETIVA +CABO HDMI + PLACA DE SINALIZAÇAO ( MATERIAL ESCRITORIO )</t>
  </si>
  <si>
    <t>17.087.345/0001-27</t>
  </si>
  <si>
    <t xml:space="preserve">TAPEÇARIA SHIMIDT &amp; CIA LTDA </t>
  </si>
  <si>
    <t>CAPAS PARA BANCO (DYEISSON)</t>
  </si>
  <si>
    <t>CAPAS PARA BANCO MNC10939</t>
  </si>
  <si>
    <t>21.665.292/0001-16</t>
  </si>
  <si>
    <t>MORAES COMERCIO DE FERRAGENS EIRELI</t>
  </si>
  <si>
    <t>TALHA+CORRENTE+GANCHO E PINO QUENRA DEDO</t>
  </si>
  <si>
    <t>PEÇAS E SERVICOS</t>
  </si>
  <si>
    <t>REFORÇOS DE PLACAS SINALIZAÇÃO</t>
  </si>
  <si>
    <t>SR TORNO PISTÃO HIDRAULICO</t>
  </si>
  <si>
    <t>SR TROCAR TANQUE+ALINHAMENTO+TROCA TANQUE</t>
  </si>
  <si>
    <t>SR PINO ESTEIRA</t>
  </si>
  <si>
    <t>CONFECÇÃO DE GRADE ALMOX+SSMA</t>
  </si>
  <si>
    <t>SR PLATAFORMA PARA BANHEIRO</t>
  </si>
  <si>
    <t>SR LINK PINO</t>
  </si>
  <si>
    <t>SR RETIRADA PORCA GRADE NIVELADORA</t>
  </si>
  <si>
    <t>GRADE DE PROTEÇÃO ALMOX/SSMA</t>
  </si>
  <si>
    <t>SOLDA LINK</t>
  </si>
  <si>
    <t>60.174.996/0001-83</t>
  </si>
  <si>
    <t>LOWGAM BRUNO RICARDO MELLO</t>
  </si>
  <si>
    <t>REFORMA CANTEIRO PERIODO-</t>
  </si>
  <si>
    <t>FRETE CASCAVEL&gt;GUAIRA TANQUE COMBUSTIVEL</t>
  </si>
  <si>
    <t>39.645.090/0001-03</t>
  </si>
  <si>
    <t>LOCAÇÃO DE MAQUINAS E EQUIPAMENTOS RENONA</t>
  </si>
  <si>
    <t>FRETE TRANSPORTE CEQ &gt; MUNDO NOVO - MS</t>
  </si>
  <si>
    <t>11.809.005/0001-86</t>
  </si>
  <si>
    <t>EMB</t>
  </si>
  <si>
    <t>FRETE TRANSPORTE MINI ESCAVADEIRA SÃO JOSÉ-SC MUNDO NOVO</t>
  </si>
  <si>
    <t>05.034.075/4001-69</t>
  </si>
  <si>
    <t>LUIS HENRIQUE TONETTI WACHSMAN</t>
  </si>
  <si>
    <t>LAVAÇÃO SIMPLES</t>
  </si>
  <si>
    <t>LAVAÇÃO SIMPLES+LIMPEZA DOS BANCOS</t>
  </si>
  <si>
    <t>11.273.072/0001-29</t>
  </si>
  <si>
    <t>MODULO CONTAINER WC 06 BANHEIROS + MOB.DESMB.</t>
  </si>
  <si>
    <t>59.769.170/0001-88</t>
  </si>
  <si>
    <t>JM AUTO PEÇAS E ACESSORIOS LTDA</t>
  </si>
  <si>
    <t>BATERIA HELIAR H150HTD 1 50AH 15MNT</t>
  </si>
  <si>
    <t>3 SERVIÇOS CAPA PARA BANCOS (JOSE ANTONIO)</t>
  </si>
  <si>
    <t>SR TROCA DE REGISTRO+TUBO</t>
  </si>
  <si>
    <t>INSTALAÇÃO COBRE FACIL</t>
  </si>
  <si>
    <t>60.515.603/0001-58</t>
  </si>
  <si>
    <t xml:space="preserve">AGUINALDO ELIAS LOPES FRANCISCO </t>
  </si>
  <si>
    <t>MOVIMENTAÇÃO BARREIRAS+MOB.DESMB.</t>
  </si>
  <si>
    <t>01.631.022/0001-12</t>
  </si>
  <si>
    <t>VIANMAQ</t>
  </si>
  <si>
    <t>KIT REPARO DO CILINDRO HIDRAULICO</t>
  </si>
  <si>
    <t>47.435.033/0001-28</t>
  </si>
  <si>
    <t>MINAS CARGAS TRANSPORTE</t>
  </si>
  <si>
    <t>FRETE TRANSPORTE CAMPO GRANDE&gt;MUNDO NOVO</t>
  </si>
  <si>
    <t>15.194.963/0001-78</t>
  </si>
  <si>
    <t>CARLOS NELSON DESBESSEL - LTDA</t>
  </si>
  <si>
    <t xml:space="preserve">SERVIÇO DE APARELHO SCANNER FALHA ARLA </t>
  </si>
  <si>
    <t>APLICAÇÃO DE SISTEMA COBRE FACIL</t>
  </si>
  <si>
    <t>W D FERRAGENS NAUTICA EIRELI</t>
  </si>
  <si>
    <t xml:space="preserve">CORRENTES + MANILHAS E CABOS </t>
  </si>
  <si>
    <t>CINTO DE SEGURANÇA COMUM TRANSVERSAL</t>
  </si>
  <si>
    <t>2025/18</t>
  </si>
  <si>
    <t>27.500.233/0001-00</t>
  </si>
  <si>
    <t>ERGOS</t>
  </si>
  <si>
    <t>DESPESA DE VIAGENS QUATRO BARRAS &gt; MUNDO NOVO</t>
  </si>
  <si>
    <t>BORRACHÃO ASSOLHA CAÇAMBA</t>
  </si>
  <si>
    <t>TRAVA JOANINHA BICA + PARAFUSO SEXTA AC + DESENGRIPANTE MP1 ANTICORROSIVO</t>
  </si>
  <si>
    <t>ins</t>
  </si>
  <si>
    <t>02.902.937/0001-86</t>
  </si>
  <si>
    <t>W Q FERRAGENS NAUTICA EIRELI</t>
  </si>
  <si>
    <t>TINTA SPRAY  BRANCO BRILHANTE/FOSCO 350/400</t>
  </si>
  <si>
    <t xml:space="preserve">ROLAMENTO CORREIA TRASNPORTADORA </t>
  </si>
  <si>
    <t>26.199.852/0001-43</t>
  </si>
  <si>
    <t xml:space="preserve">HASTEMA PEÇAS E SERVIÇOS LTDA - ME </t>
  </si>
  <si>
    <t>CONFECÇAO DE HASTE CILINDRICA L6</t>
  </si>
  <si>
    <t>PERF BAZE DOIS FUROS + LAPISEIRA +FITA DUPLA FACE + CANETAS + PAS DE OFICIO</t>
  </si>
  <si>
    <t>COBERTURA ESCRITÓRIO (LOCAÇAO DE CAMINHAO MUNCK)</t>
  </si>
  <si>
    <t xml:space="preserve">CONCRETO FCK25 BAIA DE LIMPEZA </t>
  </si>
  <si>
    <t xml:space="preserve">CONCRETO FCK25 BAIA DE TANQUE DE EMULSÃO </t>
  </si>
  <si>
    <t xml:space="preserve">ARLA 32: ABASTECIMENTOS CAMINHOES </t>
  </si>
  <si>
    <t>M.O DESMONTAGEM+MONTAGEM CILINDRO HD</t>
  </si>
  <si>
    <t>INSTALAÇAO STROBO E PARTE ELETRICA (ADEQUAÇAO DE SEGURANÇA)</t>
  </si>
  <si>
    <t xml:space="preserve">SERVIÇO PARTE ELETRICA </t>
  </si>
  <si>
    <t>INSTALAÇAO GIROFLEX + CAMERA DE RE E STROBO</t>
  </si>
  <si>
    <t>INSTALAÇAO DE GIROFLEX</t>
  </si>
  <si>
    <t>INSTALAÇAO GIROFLEX + PARTE ELETRICA</t>
  </si>
  <si>
    <t xml:space="preserve">MAO DE OBRA E INSTALAÇAO </t>
  </si>
  <si>
    <t>INSTALAÇAO DE GIROFLEX (ADEQUAÇAODE SEGURANÇA)</t>
  </si>
  <si>
    <t xml:space="preserve">INSTALAÇAO DE GIROFLEX (ADEQUAÇAO SEGURANÇA) ROLO CORRUGADO </t>
  </si>
  <si>
    <t>SERVIÇO DE INSTALAÇAO (MOTONIVELADORA) (ADEQUAÇAO DE SEGURANÇA E GIROFLE)</t>
  </si>
  <si>
    <t xml:space="preserve">INSTALAÇAO DE GIROFLEX (ADEQUAÇAO DE SEGURANÇA) </t>
  </si>
  <si>
    <t xml:space="preserve">INSTALAÇAO DE STROBO E PARTE ELETRICA </t>
  </si>
  <si>
    <t>INSTALAÇAO DE STROBO E PARTE ELETRICA + CAMERA DE RE</t>
  </si>
  <si>
    <t xml:space="preserve">INSTALAÇAO CAMERA DE RE + ADEQUAÇAO DE SEGURANÇA </t>
  </si>
  <si>
    <t>CARRETINHA PARA TRANSPORTE DE BANHEIROS QUIMICOS  ( SEGURANÇA MEIO AMBIENTE ) (TBT 5J81)</t>
  </si>
  <si>
    <t>31.381.207/0001-87</t>
  </si>
  <si>
    <t>AGRISOLO CONSULTORIA AGROPECUARIA LTDA</t>
  </si>
  <si>
    <t>REF: 2 DIARIAS ( LOCAÇAO TRATOR PNEU PARA SUBSTITUIÇAO DE TPM1093 )</t>
  </si>
  <si>
    <t xml:space="preserve">ABRAÇADEIRA NYLON 38CM X 4.8 </t>
  </si>
  <si>
    <t>03.758.450/0001-58</t>
  </si>
  <si>
    <t>PERCA DA TAMPA I TANQUE DE COMBUSTIVE COMBUSTIVEL</t>
  </si>
  <si>
    <t xml:space="preserve">PASTA SUSPENSA MARMO PALASTIFICADA  / GRAMPEADOR METAL 155 COM 25FOLHAS </t>
  </si>
  <si>
    <t>60.696.908/0001-03</t>
  </si>
  <si>
    <t>ELIZA PRAISER JAREK</t>
  </si>
  <si>
    <t>TRASPORTE DE 2 REBOQUE MAIS MATERIAIS DA CEQ, PARA BASE DE MUNDO NOVO/MS CONFORME SOL. SRS LUCAS E DYEISSO OBS( PAT 100012)</t>
  </si>
  <si>
    <t>15.548.501/0001-84</t>
  </si>
  <si>
    <t>CONCEITO ITALIA ACABAMENTOS LTDA</t>
  </si>
  <si>
    <t xml:space="preserve">FORRO GESSO ACANTONADO </t>
  </si>
  <si>
    <t>00.375.845/0001-23</t>
  </si>
  <si>
    <t xml:space="preserve">TERMINAL DIREÇAO MOTONIVELADORA CAT </t>
  </si>
  <si>
    <t>16.034.936/0001-73</t>
  </si>
  <si>
    <t>NILSON BOAVENTURA DE OLIVEIRA</t>
  </si>
  <si>
    <t xml:space="preserve">ARQUIVO COM 4 GAVETAS COMCHAVE  - TECAITALIA </t>
  </si>
  <si>
    <t>38.119.259/0001-29</t>
  </si>
  <si>
    <t>MOREIRA AUTO CENTER LTDA</t>
  </si>
  <si>
    <t>ALINHAMENTO E BALANCIAMENTO  ( ATEGO 1719/48 M.BENZ)</t>
  </si>
  <si>
    <t>MARCTEC INDUSTRIA E MONSTAGENS INDUSTRIAL</t>
  </si>
  <si>
    <t>03 DIARIAS MOVIMENTAÇÃO DE CARGAS BARREIRAS BR 163 MUNCK</t>
  </si>
  <si>
    <t>54.039.242/0001-18</t>
  </si>
  <si>
    <t>MS PEÇAS HIDRAULICAS</t>
  </si>
  <si>
    <t>TROCA DE SENSORES FIM DE CURSO CAÇAMBA</t>
  </si>
  <si>
    <t>PROJETO MEMORIA 3D+IMAGENS+PONTOS</t>
  </si>
  <si>
    <t>TAMPA DA ARLA XT - 008 ( CAM.PLAT.MUNCK M.BENZ )</t>
  </si>
  <si>
    <t>ETHANOL ( SFN - 5C16 ) MONTANA (DEYSON)</t>
  </si>
  <si>
    <t>ALCOOL COMUN  SFN - 5C16 ) MONTANA (DEYSON)</t>
  </si>
  <si>
    <t>REF. AOS TRASNPORTE DE EQUIPAMENTOS DE SERVICO PARA UNIDADE ORIGEM ( SAO JOSE DOS PIANHAIS</t>
  </si>
  <si>
    <t>V ]</t>
  </si>
  <si>
    <t xml:space="preserve">PLATAFORMA DE ELEVAÇAO </t>
  </si>
  <si>
    <t>27.046.807/0001-11</t>
  </si>
  <si>
    <t>NAVLED COMERCIO DE MATERIAS ELETRONICOS EIRELI</t>
  </si>
  <si>
    <t xml:space="preserve">BUCHA GESSO + DISJ LAMP LED LIZ 2X4 +PARAFUSO +PLAFONIL +TRAMON MOD TOMADA  + SOQUETE </t>
  </si>
  <si>
    <t>ADITIVO SELO ESTOQUE CANTEIRO</t>
  </si>
  <si>
    <t>BOMBA D AGUA +CORREIA GIR +ADITIVO RADIADOR</t>
  </si>
  <si>
    <t>17.346.423/0001-00</t>
  </si>
  <si>
    <t>ROMAN - COMERCIO E FERRAGENS</t>
  </si>
  <si>
    <t>DUSCO DE CORTE METAL 12X5 + ELETRO 6013 + PARAFUSO</t>
  </si>
  <si>
    <t>SR TROCA BOMBA D AGUA</t>
  </si>
  <si>
    <t>KIT AMARRAÇAO DE GANCHO (CAM.PLAT.MUNCK)</t>
  </si>
  <si>
    <t>INSTALAÇAO DE BANHEIRO CORTE E SOLFDA NO CHASSI</t>
  </si>
  <si>
    <t xml:space="preserve">PARAFUS + PORCA +ARRUELA E MOSQUETAO </t>
  </si>
  <si>
    <t>18.653.902/0001-92</t>
  </si>
  <si>
    <t>SUZIANE SZEZANIAK</t>
  </si>
  <si>
    <t>LOCAÇAO DE BENS E EQUIPAMENTOS  EM GERAL (PIX)</t>
  </si>
  <si>
    <t>03/092025</t>
  </si>
  <si>
    <t>CARIMBO AUTO +REF ADESIVO EM VINIL 25x25</t>
  </si>
  <si>
    <t>741 (EGJ - 4A63)  MOTORISTA JOSUE</t>
  </si>
  <si>
    <t>SIBRATEC CONTATOR  + DISJ DIN 2X10A</t>
  </si>
  <si>
    <t>41.401.460/0001-06</t>
  </si>
  <si>
    <t xml:space="preserve">LUBRIFICAÇAO + LIMPEZA+LUSTRe+ camera de re e strobo </t>
  </si>
  <si>
    <t>PECAS  E SERVIÇOS</t>
  </si>
  <si>
    <t>LUBRIFICAÇAO + LIMPEZA</t>
  </si>
  <si>
    <t xml:space="preserve">REVISAO CARGA E RECARGA </t>
  </si>
  <si>
    <t xml:space="preserve">LUBRIFICAÇAO E LIMPEZA </t>
  </si>
  <si>
    <t>TER-ANDREATTA</t>
  </si>
  <si>
    <t>TROCA DE UMA BATERIA 100H</t>
  </si>
  <si>
    <t xml:space="preserve">BATERIA 95AMPERES MAX MA95SD ( TRATOR DE PNEUS) </t>
  </si>
  <si>
    <t xml:space="preserve">IMPORCATE DOURADOS COM PC P TRATORES </t>
  </si>
  <si>
    <t>PARAFUSO LAMINA 3/4 MOTONIVELADORA</t>
  </si>
  <si>
    <t>33.692.255/0001-11</t>
  </si>
  <si>
    <t>MATFER EQUIPAMENTOS E FERRAGENS LTDA</t>
  </si>
  <si>
    <t>CARRETEL RETRATIL ABAERTO P/ GRAXA 15M</t>
  </si>
  <si>
    <t>37.540.747/0001-42</t>
  </si>
  <si>
    <t>AUTO PEÇAS 1313 LTDA</t>
  </si>
  <si>
    <t xml:space="preserve">PARALAMA DIANTEIRO MB ATEGO C/ ESCADA + PROTETOR DE ESTRIBO  ( TROCA DE SUPORTE / QUEBRA INDEVIDA) </t>
  </si>
  <si>
    <t>50.340.074/0001-69</t>
  </si>
  <si>
    <t xml:space="preserve">SERVIÇO DE LAVAGEM VEICULAR </t>
  </si>
  <si>
    <t>LIMPEZA</t>
  </si>
  <si>
    <t>05.514.509/0001-76</t>
  </si>
  <si>
    <t>SILVESTRO GUINDASTES E TRANSPORTTES</t>
  </si>
  <si>
    <t>TERCEIRIZADO</t>
  </si>
  <si>
    <t xml:space="preserve">GUINCHO MUNICIPAL, GUINDASTE E IÇAMENTO </t>
  </si>
  <si>
    <t>MAO DE OBRA TROCA DE OBRA DE PATROL ( MNC - 10939) MOTONIVELADORA</t>
  </si>
  <si>
    <t>ABASTECIMENTO FRETEIRO / DESCONTAR ( EGJ 4A63 ) ( MOTORISTA JOSUE)</t>
  </si>
  <si>
    <t>26.644.666/0001-64</t>
  </si>
  <si>
    <t>VENEZA EQUIPAMENTO SUL COMERCIO LTDA</t>
  </si>
  <si>
    <t>SUPT BIT HTT22P22</t>
  </si>
  <si>
    <t xml:space="preserve">MAIKO JUNIOR ABILIO LIMA </t>
  </si>
  <si>
    <t xml:space="preserve">MAO DE OBRA INSTALAÇAO DE SISTEMA DE SEGURANÇA E CONFIGURAÇAO E ASSISTENCIA MATERIAL </t>
  </si>
  <si>
    <t>ESFREGAO LAVA ONIBUS / BAU / CCB</t>
  </si>
  <si>
    <t xml:space="preserve">SUPORTE GARRAFAO AGUA MIN. ( ALOJAMENTO) </t>
  </si>
  <si>
    <t>37.995.159/0001-01</t>
  </si>
  <si>
    <t xml:space="preserve">LB ENGENHARIA E ARTEFATOS DE CIMENTOS </t>
  </si>
  <si>
    <t>SERVIÇOS DE TRANPORTE COLETIVO (LOCAÇAO DE CAMINHAO MUNCK)</t>
  </si>
  <si>
    <t>LOCAÇAO</t>
  </si>
  <si>
    <t>47.960.950/0604-50</t>
  </si>
  <si>
    <t>MAGAZINE LUIZA SA</t>
  </si>
  <si>
    <t xml:space="preserve">SANSUNG GALAXY AO6 ( CELULAR DYEISSON COMPRADO CARTAO JOAO NETO) </t>
  </si>
  <si>
    <t>35.068.603/0001-58</t>
  </si>
  <si>
    <t>35.068.724 ALEXRANDRE DAMACENO GOMES</t>
  </si>
  <si>
    <t xml:space="preserve">MAO DE OBRA CHAPA LATERAL DO CAÇAMBA E SOLDA ( CAM.BASCULANTE) M.BENZ </t>
  </si>
  <si>
    <t>01.734.467/0001-18</t>
  </si>
  <si>
    <t xml:space="preserve">FOCO SOLUÇOES EM DEMANDA </t>
  </si>
  <si>
    <t xml:space="preserve">LOCAÇAO RETROESCAVADEIRA SEM MAO DE OBRA </t>
  </si>
  <si>
    <t>INSTALAÇAO DE CAMERA DE RÉ E STROBO</t>
  </si>
  <si>
    <t xml:space="preserve">TROCA DE ALTERNADOR BOSH E INSTALAÇAO </t>
  </si>
  <si>
    <t xml:space="preserve">INSTALAÇAO DE SIRENE DE RÉ ( MICROONIBUS ) </t>
  </si>
  <si>
    <t xml:space="preserve">INSTALAÇAO DE STROBO + CAMERA DE RÉ + GIROFLEX E SIRENE </t>
  </si>
  <si>
    <t>54.039.242/0001-58</t>
  </si>
  <si>
    <t xml:space="preserve">MS PEÇAS HIDRAULICAS LTDA </t>
  </si>
  <si>
    <t xml:space="preserve">SUPORTE DO FILTRO DE AR </t>
  </si>
  <si>
    <t>LAVAÇAO SIMPLES ( CAM.BASCULANTE )</t>
  </si>
  <si>
    <t xml:space="preserve">LAVAÇÃO SIMPLES (PATROLA) </t>
  </si>
  <si>
    <t>LAVAÇÃO SIMPLES (CAMINHAO TANQUE) (TPB 9D13)</t>
  </si>
  <si>
    <t>LAVAÇÃO SIMPLES ( CAMINHAO TANQUE) (BAM 4B87)</t>
  </si>
  <si>
    <t>LAVAÇÃO SIMPLES (ONIBUS)  ( 23/08/2025)</t>
  </si>
  <si>
    <t>LAVAÇÃO SIMPLES (ONIBUS)  ( 13/08/2025)</t>
  </si>
  <si>
    <t xml:space="preserve">LAVAÇÃO SIMPLES ( TAM 2A92) MONTANA </t>
  </si>
  <si>
    <t xml:space="preserve">LAVAÇÃO SIMPLES ( TAI 5E10) ONIX </t>
  </si>
  <si>
    <t xml:space="preserve">LAVAÇAO SIMPLES (SFO 1G40) MONTANA </t>
  </si>
  <si>
    <t>LAVAÇAO SIMPLES ( TAI 5E08) ONIX</t>
  </si>
  <si>
    <t xml:space="preserve">LAVAÇAO SIMPLES ( TBO 7H80) POLO TRACK </t>
  </si>
  <si>
    <t xml:space="preserve">LAVAÇAO SIMPLES ( SFO 1GH40) MONTANA </t>
  </si>
  <si>
    <t>LAVAÇAO SIMPLES ( TBO 7H80) TCROS</t>
  </si>
  <si>
    <t xml:space="preserve">LAVAÇAO SMPLES (SFO 1G40) MONTANA </t>
  </si>
  <si>
    <t xml:space="preserve">LAVAÇAO SIMPRE ( SFJ 3B245) MONTANA </t>
  </si>
  <si>
    <t>LAVAÇAO SIMPES (TAK 1J63) STRADA</t>
  </si>
  <si>
    <t xml:space="preserve">LAVAÇAO SIMPLES ( SFO 7H36) TCROS </t>
  </si>
  <si>
    <t>LAVAÇAO SIMPLLES ( SFH 1F83) ONIX</t>
  </si>
  <si>
    <t>LAVAÇAO SIMPLES ( SFO 1G40) MONTANA</t>
  </si>
  <si>
    <t xml:space="preserve">LAVAÇAO SIMPLES (TBK 1A70) MONTANA </t>
  </si>
  <si>
    <t xml:space="preserve">LAVAÇAO SIMPLES ( TAJ 5E10 ) ONIX BRANCO </t>
  </si>
  <si>
    <t>LAVAÇAO SIMPLES (TBO 7H80) POLO TRACK</t>
  </si>
  <si>
    <t>CALIBRAGEM  (PRANCHA CAV.MECÂNICO)</t>
  </si>
  <si>
    <t xml:space="preserve">PNEU 205/50/17ATLAS </t>
  </si>
  <si>
    <t>ATENDIMENTO  NO PATIO  (SEMI REBOQUE TANQUE)</t>
  </si>
  <si>
    <t>MONTAGEM/DESMONTAGEM PNEU ( ONIX )</t>
  </si>
  <si>
    <t>SOCORRO DEPOIS DO PEDAGIO (BORRACHARIA )</t>
  </si>
  <si>
    <t xml:space="preserve">SOCORRO E CALIBRAGEM  </t>
  </si>
  <si>
    <t xml:space="preserve">SOCORO AV. JK N1275 ( ROBERTO ) </t>
  </si>
  <si>
    <t xml:space="preserve">SUPER. EXPRESSO SOL MERCADO </t>
  </si>
  <si>
    <t>SALGADOS + CAFE + PAO QUE QUEIJO  ( REFEIÇAO )</t>
  </si>
  <si>
    <t xml:space="preserve">ABASTECIMENTO DO GERADOR DE ENERGIA ( ALEXANDRE ) </t>
  </si>
  <si>
    <t xml:space="preserve">CAFE DA MANHA ( SALGADOS + PAO DE QUEIJO ) </t>
  </si>
  <si>
    <t>BRITA 2 BASE/TANQUE/PATIO</t>
  </si>
  <si>
    <t>ARLA 32 '</t>
  </si>
  <si>
    <t>MATERIAL / DESGASTE CALÇO CIRCULO LAMINA + PLACA CIRCULO LAMINA +TIRA BR LAM. ( MOTONIVELADORA)</t>
  </si>
  <si>
    <t>BASE DE APOIO</t>
  </si>
  <si>
    <t xml:space="preserve">EQUIPE TERCEIRIZADA META </t>
  </si>
  <si>
    <t xml:space="preserve">CHAPA DE FIXAÇAO PROTEÇÃO MANTO CAÇAMBA </t>
  </si>
  <si>
    <t xml:space="preserve">MOBILIZAÇAO DE EQUIPAMENTOS FRETE PEÇA PR MUNDO NOVO </t>
  </si>
  <si>
    <t xml:space="preserve">PIX </t>
  </si>
  <si>
    <t xml:space="preserve">DESPESA RELACIONADA A TRASNLADO DE CAMINHOES  E VIAJEM PARA CIDADE DE MUNDO NOVO - MS </t>
  </si>
  <si>
    <t>03.043.499/0001-02</t>
  </si>
  <si>
    <t>J. HERBERTS E CIA LTDA</t>
  </si>
  <si>
    <t>MANGUEIRA 3/4 + TERM. FG SEDE PLANA 2T90  (TRATOR DE ESTEIRA)</t>
  </si>
  <si>
    <t>26.831.727/0001-04</t>
  </si>
  <si>
    <t>DIESELCOM TRANSPORTADORA E REVEND. DE DIESEL COMBUSTIVEL</t>
  </si>
  <si>
    <t>PARAFUSO PARA FIXAÇAO PINO CONCHA</t>
  </si>
  <si>
    <t>10.686.010/0001-86</t>
  </si>
  <si>
    <t xml:space="preserve">ZIKE AUTO CENTER - FUNELARIA, PINTURA E MECANICA </t>
  </si>
  <si>
    <t>FUNILARIA E PINTURA OBRA DO SERVIÇO PRESTADO NO VEICULO POLO TRACK (TBO 7H80)</t>
  </si>
  <si>
    <t xml:space="preserve">CORREIA L 926MM + ELEMENTO DO FILTRO </t>
  </si>
  <si>
    <t>41.402.449/0001-63</t>
  </si>
  <si>
    <t xml:space="preserve">UVA ENERGIA E TECNOLOGIA </t>
  </si>
  <si>
    <t xml:space="preserve">ELEBORAÇAO DE PROJETO DE SUBESTÇAO AREA </t>
  </si>
  <si>
    <t>TUBO PVC + COLA P CANO +LIXA DGUA +TE SOLD/ROSCA + AREIA FINA + COLUNA AÇO 8MM + TABUA 25CM EM GERAIS</t>
  </si>
  <si>
    <t xml:space="preserve">3 BRITA GRADUADA BGS TON </t>
  </si>
  <si>
    <t>06.880.146/0001-55</t>
  </si>
  <si>
    <t>MPX SOLUÇOES CONSTRUTIVAS LTDA</t>
  </si>
  <si>
    <t>FIO + REFLETOR +FOTOCELULAR + CONECTOR + ALÇA P CABO + ISOLADOR PIMENTAO + ARAME INFAPADO + PALANQUE CURVO 3MT</t>
  </si>
  <si>
    <t>INSTALAÇAO DE CERCA, ESTIRANTE, GALPAO + INSTALAÇAO DE REDE PARA ESCRITORIO + HORAS DE MUNCK TROCA DE POSTE</t>
  </si>
  <si>
    <t xml:space="preserve">20 BRITA 1VSI TON </t>
  </si>
  <si>
    <t>50.473.965/0001-70</t>
  </si>
  <si>
    <t>CEPETRO COMERCIO DE EQUIPAMENTOS LTDA</t>
  </si>
  <si>
    <t>CAIXA SEPARADORA DE AGUA E OLEO + 3000 L/H AMARELA</t>
  </si>
  <si>
    <t>06.233.947/0001-29</t>
  </si>
  <si>
    <t>LUG COMERCIO DE PEÇAS</t>
  </si>
  <si>
    <t>REFERENTE A FRETE CARREGADEIRA+RETRO+VALETADEIRA</t>
  </si>
  <si>
    <t>01.546.729/3001-50</t>
  </si>
  <si>
    <t>ECO TEX AUTO POSTO</t>
  </si>
  <si>
    <t>3 ETANOL SFN 5C16</t>
  </si>
  <si>
    <t>RUEL  E PARAFUSOA DE PRESSAO 20MM POLEGDAS</t>
  </si>
  <si>
    <t>3 BRITA GRADUADA BMH TON</t>
  </si>
  <si>
    <t>03.506.307/0001-57</t>
  </si>
  <si>
    <t xml:space="preserve">TICKET LOG </t>
  </si>
  <si>
    <t>REFERENTE A USO CARTÕES ABASTECIMENTO TICKTLOG</t>
  </si>
  <si>
    <t>52.263.455/0001-01</t>
  </si>
  <si>
    <t>ECOPOLO SOLUÇOES LTDA</t>
  </si>
  <si>
    <t xml:space="preserve">LOCAÇAO DE CAÇAMBA LIMPEZA CANTEIRO </t>
  </si>
  <si>
    <t xml:space="preserve">ABRAÇADEIRA NYLON 37CM 7.0MM (MAIKO) </t>
  </si>
  <si>
    <t>00.003.027/0169-77</t>
  </si>
  <si>
    <t>JOSIAS BARBARA MOBILIDADE URBANA</t>
  </si>
  <si>
    <t>MOBILIDADE URBANA ( JOSIAS BARBARA )</t>
  </si>
  <si>
    <t xml:space="preserve">LIMPEZA LUSTRAÇAO REVISAO  CARGA E RACARGA E CONSERVAÇAO DE MAQUINAS </t>
  </si>
  <si>
    <t>CONSERTO PNEU DA SAVEIRO  (SET 1121)</t>
  </si>
  <si>
    <t>LOCAÇAO DE BENS E PRESTAÇAO DE SERVIÇO</t>
  </si>
  <si>
    <t>CONCRETO FCK 30.0 MPA ABT 12+2 CM BRITA 1( USINA ASFALTO )</t>
  </si>
  <si>
    <t>LOCAÇÃO DE MAQUINAS E EQUIPAMENTOS E OBRAS LTDA</t>
  </si>
  <si>
    <t xml:space="preserve">TRANSPORTE </t>
  </si>
  <si>
    <t>JOANAS POCIANO DA SILVA ME</t>
  </si>
  <si>
    <t>FUNILARIA E PINTURA</t>
  </si>
  <si>
    <t>GRADE +PARA CHOQUE+JANELAS DOS BARRACOES+PINTURAS</t>
  </si>
  <si>
    <t>21.871.566/0001-69</t>
  </si>
  <si>
    <t>RESTAURAÇAO + RECONDICIONAMENTO + PINTURA LABORATÓRIO</t>
  </si>
  <si>
    <t>CATRAO</t>
  </si>
  <si>
    <t>BATERIA HELIAR 1 50AH 5M (JOSE ANTONIO )</t>
  </si>
  <si>
    <t>COREIA 6PK 154 1MM ( JOSE ANTONIO )</t>
  </si>
  <si>
    <t>TUBO ZINCADO +  CONDULETE + BUCHAS EM GERAL</t>
  </si>
  <si>
    <t>PARA LAMA DIANTEIRO LADO ESQUERDO QUEBRA EM MOBILIZAÇÃO</t>
  </si>
  <si>
    <t>CONJUNTO DE CHAVES E FERRAMENTAS PARA MECANICO</t>
  </si>
  <si>
    <t xml:space="preserve">BRONZINA AXIAL 120H/140H + PINO EIXO + BHUCHA DO EIXO  + TERMINAL LD ROSCA </t>
  </si>
  <si>
    <t xml:space="preserve">LAMINA  15F + PARAFUSO LAMINA  + PORCA PARAFUSO </t>
  </si>
  <si>
    <t xml:space="preserve">TROCA DE PINO BALANÇA EIXO DIANTEIRA + CORTE DE SOLDA </t>
  </si>
  <si>
    <t>CONCRETO FCK30MPA ABAT  12+2 BRITA 1 + BOMBA  ( PLACA  BOMBA    )</t>
  </si>
  <si>
    <t>185 LITORS (DESCONTAR TERCEIRO CARBONE) (IQM-2I17)</t>
  </si>
  <si>
    <t xml:space="preserve">PONTA ESCARIFICADOR MOTON CURTO </t>
  </si>
  <si>
    <t>29.644.666/0001-64</t>
  </si>
  <si>
    <t>VENEZA EQPTOS. SUL COM - LTDA</t>
  </si>
  <si>
    <t>PAVIMENTAÇAO</t>
  </si>
  <si>
    <t>PORTA FERRAMENTA HT22 + LUS D20</t>
  </si>
  <si>
    <t xml:space="preserve">PRESTAÇAO DE SERVIÇO DE INSTALAÇAO DE COBRE FACIL </t>
  </si>
  <si>
    <t>19.642.306/0001-70</t>
  </si>
  <si>
    <t>PEDAGIO CCR/MSVIA</t>
  </si>
  <si>
    <t>PEDAGIO</t>
  </si>
  <si>
    <t>PEDAGIO ARRECADADOR ( SHP 3G79)</t>
  </si>
  <si>
    <t>ARRECADADOR MSVIA</t>
  </si>
  <si>
    <t>58.419.062/0001-12</t>
  </si>
  <si>
    <t xml:space="preserve">J AMARAL TRANSPORTES   </t>
  </si>
  <si>
    <t xml:space="preserve">TRASPORTE DO ROLO COMBINADO EQUIPE ELIELTON </t>
  </si>
  <si>
    <t>49.317.570/0001-58</t>
  </si>
  <si>
    <t>BR TRANSPORTES E LOCAÇAES LTDA</t>
  </si>
  <si>
    <t>DIARIAS DE MUNCK REFERENTE AO DIA (19/08/2025) A (03/09/2025)</t>
  </si>
  <si>
    <t xml:space="preserve">RETIRADA DE ADSIVO ( ONIBUS ) </t>
  </si>
  <si>
    <t>DRENO/ROBERTO</t>
  </si>
  <si>
    <t xml:space="preserve">REPARO INSTALAÇAO DE ACRILICO NA CABINE </t>
  </si>
  <si>
    <t>REF ADESIVO COM IMPRESSAO DIGITAL + REF PLOTAGEM COM ADESIVO BRANCO FUNDO (OOM 7E39)</t>
  </si>
  <si>
    <t xml:space="preserve">BAINHA CANIVETE + CARRINHO P CAM + KIT AMARRAÇAO GANCHO +TINTA SPRAY +ESPATULA +CABO ENXADA </t>
  </si>
  <si>
    <t>41.679.148/0001-81</t>
  </si>
  <si>
    <t>ALI MOHAMAD ISMAIL</t>
  </si>
  <si>
    <t>SOPRADOR COSTAL TOYOAMA YB63 GASOLINA 2T</t>
  </si>
  <si>
    <t>COMPACTADOR DE PERCURSAO TOYAMA GASOLINA MOTOR XP</t>
  </si>
  <si>
    <t>COMPACTADOR DE PERCURSAO TOYAMA GASOLINA MOTOR XP ( serie inical 40137016/754524 )</t>
  </si>
  <si>
    <t xml:space="preserve">COMPACTADOR DE SOLO BFD </t>
  </si>
  <si>
    <t>PLCA VIBRATORIA COMPACTADORA ( TPC100WWT)</t>
  </si>
  <si>
    <t xml:space="preserve">DIESEL 478,73 LTS (PLACA EGJ 4A63 MOTO JOSUE)  </t>
  </si>
  <si>
    <t>MONTAGEM E DESMONTAGEM _ SERVIÇO DE MAO DE OBRA ( QUEBRA PARALAMA LD )</t>
  </si>
  <si>
    <t>PREVENTIVA</t>
  </si>
  <si>
    <t xml:space="preserve">FILTRO ARLA ATEGO+ FILTRO SEPARADOR DE AGUA +OLEO DIREÇAO HIDRAULICA </t>
  </si>
  <si>
    <t xml:space="preserve">SERVIÇO DE TROCA DE OLOEO E FILTRO </t>
  </si>
  <si>
    <t xml:space="preserve">GUILHERME IMMICH DIAS MARTINS - FERRAMENTAS E FERRANGES </t>
  </si>
  <si>
    <t>CORRENTE 8.8 DE 4M CADA COM GANCHO</t>
  </si>
  <si>
    <t>DIESEL 185,32 LTS ( PLACA IQM 2I17 MOTO CARBONE)</t>
  </si>
  <si>
    <t>EXTINTOR ABC 1KG  (CARTAO DYEISSON )</t>
  </si>
  <si>
    <t>DIESEL 250 LTS ( PLACA AWO 3J89 MOTO CRISTIAN )</t>
  </si>
  <si>
    <t>DIESEL 173 LTS ( PLACA NTS 9G89 MOTO MARCELO )</t>
  </si>
  <si>
    <t>DIESEL 367,60 LTS (  PLACA  AWU 7B29 MOTO ALEXANDRE )</t>
  </si>
  <si>
    <t>DIESEL 489,07 LTS +25,54 LTS ( PLACA NSD 0G69)</t>
  </si>
  <si>
    <t xml:space="preserve">PARABRISA CAM ATEGO 1938/1944 CHATA + ML 06667 FH/14 SCANIA SERIE 45/ + PELICULA </t>
  </si>
  <si>
    <t xml:space="preserve">PRESTAÇAO DE SERVICO REF A 07 DIAS </t>
  </si>
  <si>
    <t xml:space="preserve">DIESEL BS10   274,22 LTS ( MOTORISTA CARBONI)  </t>
  </si>
  <si>
    <t>DIESEL 147,28 LTS + GASOLINA 45,65 ( PLACA SEE - 3A76 MOTO EDSICARLOS  )</t>
  </si>
  <si>
    <t>CONCRETO  FCK ESCRITÓRIO</t>
  </si>
  <si>
    <t>DIESEL LTS 600  (PLACA EGI 4A63 MOTO JOSUE)</t>
  </si>
  <si>
    <t>DIESEL LTS 274,21 ( AWO - 3J89  MOTO CRISTIAN )</t>
  </si>
  <si>
    <t>45.024.883/0001-08</t>
  </si>
  <si>
    <t>DONELLI COMERCIO DE EMBALAGENS LTDA</t>
  </si>
  <si>
    <t>SOCALA RC VERDE + BALDE PAR ALIMPEZA DE BICO + LIMA MESA + AROMATIZANTE + LIMPA PNEU 5L LIMP + SUPERA TORK MOL 5LTS (CARTAO JOSE )</t>
  </si>
  <si>
    <t>85.036.338/0001-60</t>
  </si>
  <si>
    <t>DI DOMENICO E RIVA LTDA</t>
  </si>
  <si>
    <t>SELF SERVICE + AGUA DE 1 LTS</t>
  </si>
  <si>
    <t>45.952.533/0001-01</t>
  </si>
  <si>
    <t xml:space="preserve">NOVO POSTO TUCUMAN LTDA </t>
  </si>
  <si>
    <t xml:space="preserve">GASOLINA COMUM 28,936 LTS ( PLACA TAX8141) </t>
  </si>
  <si>
    <t>MERCADO EXPRESSO</t>
  </si>
  <si>
    <t>AGUA MINERAL + LT PARMALAT INTEGRAL +BISCOITO EXPRESSO + TORTA + BANANA PRATA  ( ANTONIO FERREIRA NETO )</t>
  </si>
  <si>
    <t>72.224.629/0001-26</t>
  </si>
  <si>
    <t>COM . DE COMB ESTRELA DOURADA</t>
  </si>
  <si>
    <t xml:space="preserve">GASOLINA COMUM 34.577 LTS ( PLACA TAX8141) </t>
  </si>
  <si>
    <t>06.233.947/0001-55</t>
  </si>
  <si>
    <t>FRETE MOTONIVELADORA+TRATOR PNEU</t>
  </si>
  <si>
    <t>SERVIÇO ELETRICOS</t>
  </si>
  <si>
    <t xml:space="preserve">CINTAS DE IÇAMENTO LARANJA E BRANCA (05M E 06M) </t>
  </si>
  <si>
    <t xml:space="preserve">REF PLACA DE CHAPA COM ADESIV REFLETIVO MEDINDO </t>
  </si>
  <si>
    <t xml:space="preserve">LUBRIFICAÇAO LIMPEZA LUSTRAÇAO REVISAO CARGA E DESCARGA </t>
  </si>
  <si>
    <t xml:space="preserve">INSTALAÇAO E MAO DE OBRA DE LANTERNA TRASEIRA ACTROS </t>
  </si>
  <si>
    <t xml:space="preserve">INSTALAÇAO DE STROBO, CAMERA DE RE, SIRENE DE RÉ, GIROFLEX, LUMINARIA, CHAVE DE ALERTA E REDE PISCA </t>
  </si>
  <si>
    <t xml:space="preserve">INSTALAÇAO DE LAMPADAS </t>
  </si>
  <si>
    <t>INSTALACAO DE STROBP</t>
  </si>
  <si>
    <t xml:space="preserve">RETIRADA DE STROBO E CAMERA DE RE </t>
  </si>
  <si>
    <t>REF. ADESIVOS PRISMA TICOS REFLETIVO COM APLICAÇAO ( ROLO COMBINADO )</t>
  </si>
  <si>
    <t>REF. ADESIVOS PRISMA TICOS REFLETIVO COM APLICAÇAO ( RRETRO ESCAVADEIRA )</t>
  </si>
  <si>
    <t>REF. ADESIVOS PRISMA TICOS REFLETIVO COM APLICAÇAO  ( BOB CAT )</t>
  </si>
  <si>
    <t>REF. ADESIVOS PRISMA TICOS REFLETIVO COM APLICAÇAO  ( SINALIZAÇAO )</t>
  </si>
  <si>
    <t>REF. ADESIVOS PRISMA TICOS REFLETIVO COM APLICAÇAO ( MICRO)</t>
  </si>
  <si>
    <t xml:space="preserve">REF. ADESIVOS PRISMA TICOS REFLETIVO COM APLICAÇAO (CAM PINCHE) </t>
  </si>
  <si>
    <t>REF. ADESIVOS PRISMA TICOS REFLETIVO COM APLICAÇAO (CAM BASCULANTE )</t>
  </si>
  <si>
    <t xml:space="preserve">INSTALAÇAO DE STROBO, CAMERADE RE E SIRENE DE RE </t>
  </si>
  <si>
    <t>INSTALAÇAO CAMERA DE RÉ, STROBO E RELE</t>
  </si>
  <si>
    <t xml:space="preserve">CHAVE DE LUZ , ESTALAÇAO DE GIROFLEX </t>
  </si>
  <si>
    <t>INSTALAÇAO DE STROBO, REVISAO DO CHICOTE LANTERNAS E CHAVE TICTOC</t>
  </si>
  <si>
    <t>INSTALAÇAO DE STROBO, CAMERA DE RE, LAMPADA RELE</t>
  </si>
  <si>
    <t>INSTALAÇAO DE SIRENE RÉ LAMPADAS</t>
  </si>
  <si>
    <t>PARAFUSO LAMINA 5/8 x3 3/12 +PORCA 5/8 UNC + SMU DETE 2.7KG</t>
  </si>
  <si>
    <t xml:space="preserve">PARALAMA CARRETA RANDON 07 CENTRAL </t>
  </si>
  <si>
    <t>09.627.146/0001-36</t>
  </si>
  <si>
    <t xml:space="preserve">GASOLINA COMUM 28,065 LTS ( PLACA TAX8141) </t>
  </si>
  <si>
    <t>ROLO COMPACTADOR</t>
  </si>
  <si>
    <t>33.263.902/0001-01</t>
  </si>
  <si>
    <t>( SEJ 3B25 MONTANA ) (REL 1716 RETRO ESCAVADEIRA) (ROLO ALEXANDRE)</t>
  </si>
  <si>
    <t>59.243.145/0001-66</t>
  </si>
  <si>
    <t xml:space="preserve">LAITARTE E BALLERINI </t>
  </si>
  <si>
    <t xml:space="preserve">CRONOGRAMAS + ALTERAÇOES +ACOMPANHAMENTO + CORPO DE BOMBEIRO +PARTE ORÇAMENTARIA +FISCALIZAÇAO DA PARTE DE SEGURANÇA </t>
  </si>
  <si>
    <t xml:space="preserve">LOCAÇAO SEM MAO DE OBRA: REFERENTE 15/07/2025  30/07/2024 </t>
  </si>
  <si>
    <t>CONCRETO FCK 30.0 MPA ABAT BRITA 01 PREDIO ADM</t>
  </si>
  <si>
    <t xml:space="preserve">CONCRETO FCK30,0 MPA ABAT 12+2M DIM MAX BRITA 01 . TP </t>
  </si>
  <si>
    <t>27.113.310/0001-79</t>
  </si>
  <si>
    <t xml:space="preserve">NILTON CEZAR JARA CRIPRIANO </t>
  </si>
  <si>
    <t>1 HORA DE LOCAÇAO DE MUNK SILO MIRANDA</t>
  </si>
  <si>
    <t>02.952.852/0001-04</t>
  </si>
  <si>
    <t>NELSON SHIMADA</t>
  </si>
  <si>
    <t>MANGUEIRA R2 3/47 HRIDRAULICO HYLK + MOLA PROTETORA PVC + MANGUEIRA HYDRAULICA + ADAPT COT 90FG + ACOPLADOR HIDRAULICO (CARTAO JOSE ANTONIO )</t>
  </si>
  <si>
    <t>60.515.603/0001-65</t>
  </si>
  <si>
    <t xml:space="preserve">LOCAÇAO DE  MAQUINAS </t>
  </si>
  <si>
    <t>MOBILIZAÇAODO CAMINHOES (SAVEIRO SEZ)</t>
  </si>
  <si>
    <t>44.465.208/0001-51</t>
  </si>
  <si>
    <t>TORNOTEC SHIMADA</t>
  </si>
  <si>
    <t>MELHORIA DE EQUIPAMNETO CONFECÇAO DE SUPORTE ( jOSE ANTONIO ]</t>
  </si>
  <si>
    <t>SUPER MERCADO EXPRESSO</t>
  </si>
  <si>
    <t xml:space="preserve">AGUA MINERAL CRYSTAL 1,5L +MAMAO HAVAI UN + EMPADA DE FRANGO + BOLACHA+ BISCOITO CASEIRO </t>
  </si>
  <si>
    <t>49.719.631/0001-54</t>
  </si>
  <si>
    <t>TERCEIRO TURNO CONSULTORIA LTDA</t>
  </si>
  <si>
    <t>SUPORTE TECNICO EM INSTALAÇAO E CONFIGURAÇAO</t>
  </si>
  <si>
    <t>LIXA DÁGUA GR80 + MASSA CORRIDA 25K PVA BARRICA LONDRE</t>
  </si>
  <si>
    <t>24.666.844/0001-34</t>
  </si>
  <si>
    <t>A PETROFIL COMERCIAL AGROPECUARIA LTDA</t>
  </si>
  <si>
    <t>GANCHO OLHAL FORJA + BATERIA LITIO +MANILHA P/ CABO DE AÇO</t>
  </si>
  <si>
    <t xml:space="preserve">CABO FLEX + MASTER BRANCO ELETROUDO + SOQUETE PORCELANA + PONTEIRA PHE +PERFUTANRE 2090 + BUCHA DE PLASTICO </t>
  </si>
  <si>
    <t xml:space="preserve">LOCAÇAO DA CAÇAMBA </t>
  </si>
  <si>
    <t xml:space="preserve">ETANOL HIDRATADO 37,58 ( PLACA SHP 3G79) </t>
  </si>
  <si>
    <t>ABRAÇADEIRA MG 20MM + PERFIL LQ CHAT  + MANGUEIRA HIDRAULICA + ARRUELA + PF SX 8.8 MA  ( CARTAO JOSE ANTONIO )</t>
  </si>
  <si>
    <t>04.231.665/0001-67</t>
  </si>
  <si>
    <t>AUTO POSTO JC</t>
  </si>
  <si>
    <t xml:space="preserve">CARTAO  </t>
  </si>
  <si>
    <t xml:space="preserve">ETANOL HIDRATADO  35.800LTS ( PLACA SHP 3G79) </t>
  </si>
  <si>
    <t>SAPATA DE COMPACTACAO TOYAMA TTR80Z-XP/ZM-XP</t>
  </si>
  <si>
    <t xml:space="preserve">CIMENTO CSN 50KG  + CALL HIDRATODO  </t>
  </si>
  <si>
    <t xml:space="preserve">CONCRETO FCK30,0 MPA ABAT 12+2M DIM MAX BRITA 01 . TP CONVENCIONAL </t>
  </si>
  <si>
    <t xml:space="preserve">RECUPERAÇAO E ALINHAMENTO DE PARA CHOQUE ( SFN - SC16 ) DYEISSON </t>
  </si>
  <si>
    <t xml:space="preserve">CABO ACELERADOR MANUAL 580M </t>
  </si>
  <si>
    <t>10.275.419/0001-00</t>
  </si>
  <si>
    <t>GUINCHOS LONDRINA</t>
  </si>
  <si>
    <t>DISTRIBUIDOR DE AGREGADO ( IMOBILIZADO G4 - SG 468)</t>
  </si>
  <si>
    <t>23.602.837/0001-06</t>
  </si>
  <si>
    <t>CRISTIANO AUTO ELÉTRICA</t>
  </si>
  <si>
    <t xml:space="preserve">ESCAVADEIRA BOBCAT / CACAMBA 80CM / CAÇAMBA </t>
  </si>
  <si>
    <t xml:space="preserve">MINI CARREGADEIRA </t>
  </si>
  <si>
    <t>BORRACHA ESCADA 120G</t>
  </si>
  <si>
    <t>TRANSPORTE</t>
  </si>
  <si>
    <t xml:space="preserve">OUTROS SERVIÇOS DE TRASNPORTE DE NATUREZA MUNICIAPAL ( MOBIIZAÇAO DE CAMINHOES ) </t>
  </si>
  <si>
    <t>GASOLINA COMUM 20,00 LTS ( PLACA SEE 3A76) MINASUL</t>
  </si>
  <si>
    <t>301/2025</t>
  </si>
  <si>
    <t>30.855.153/0001-81</t>
  </si>
  <si>
    <t>ADILSON ALBERTON EIRELI</t>
  </si>
  <si>
    <t xml:space="preserve">MOBILIZACAO DE TRATOR AGRICOLA COM GRADE, ROTA CASCAVEL </t>
  </si>
  <si>
    <t>MOBILIZAÇAO DE GREDE ARRADORA, ROTA SALTO  DO LONTRA SP</t>
  </si>
  <si>
    <t>REPOSIÇAO DE FPS PARA TRATOR DE ESTEIRA CAT DS</t>
  </si>
  <si>
    <t>19.960.521/0001-19</t>
  </si>
  <si>
    <t xml:space="preserve">BARBOSA SALOMONI LTDA </t>
  </si>
  <si>
    <t>ESTOPA LIMP. COSTURA + ALICATE PRESSAO BB TIOPISON + FILTRO LINHA 60ATOMO+MARRETA OIT CB  MAD 2,0 ( CARTAO JOSE ANTONIO )</t>
  </si>
  <si>
    <t>SACO LIXO + VASSOURA N PRMIUM ( JOSE ANTONIO CARTAO )</t>
  </si>
  <si>
    <t>33.075.888/0001-80</t>
  </si>
  <si>
    <t>MACOPEL MAT. CONST. E PROJ. ENG. LTDA</t>
  </si>
  <si>
    <t>PORCA SEXTAVADA +  BARRA ROSCADA + DOBRADIÇA SEILAVANA/ SHILD PINO</t>
  </si>
  <si>
    <t xml:space="preserve">? </t>
  </si>
  <si>
    <t xml:space="preserve">1000 LTS ( TBP 9D19 MOTORISTA CARLOS ) </t>
  </si>
  <si>
    <t xml:space="preserve">1000 LTS (TBP 9D19 MOTORISTA CARLOS ) </t>
  </si>
  <si>
    <t>1000 LTS ( TBP 9D13 MOTORISTA CARLOS )</t>
  </si>
  <si>
    <t xml:space="preserve">ETANOL HIDRATADO 33,50 LTS ( PLACA TAX8141) </t>
  </si>
  <si>
    <t>00.196.423/0600-01</t>
  </si>
  <si>
    <t>PAINEL SOB.QUAD. 24W 4100K/6500K PRETO (CARTAO DYESSON )</t>
  </si>
  <si>
    <t>03.357.977/0001-59</t>
  </si>
  <si>
    <t>AUTO POSTO ENTRE RIOS LTDA</t>
  </si>
  <si>
    <t>TOP TURBO 15W40 20L (CARTAO JOSE ANTONIO )</t>
  </si>
  <si>
    <t>LUBRAX HYDRA 68 B-20 ( CARTAO JOSE ANTONIO )</t>
  </si>
  <si>
    <t>PONTA MONTADA 10 X 10 + CABO DE AÇO 9MM + PERFIL LQ CHAT 1/8 + PF SX 8.8 MA RI +ARRUELA +PORA SX +MANGUEIRA CRISTAL  (CARTAO JOSE )</t>
  </si>
  <si>
    <t xml:space="preserve">MASSA CORRIDA 25KG PVA </t>
  </si>
  <si>
    <t>LONA PRETA 6X 100</t>
  </si>
  <si>
    <t>MM3073 MANGUEIRA TUBO BBA DAGUA C/MOLA +ABRAÇADEIRA + AGUA DISMINERALIZADA + SILICONE NEUTRO +ANTI CORROS</t>
  </si>
  <si>
    <t>FLEXIVEL FREIO AR 11000mm + MACHOXMACHO</t>
  </si>
  <si>
    <t>19.736.900/0001-20</t>
  </si>
  <si>
    <t>CASA COR TINTAS LTDA</t>
  </si>
  <si>
    <t>PINTURA</t>
  </si>
  <si>
    <t xml:space="preserve">PREMIUN FOSCO BRANCO NEVE 18L + LIXA VERMELHA HP 240+ LIXA D AGUA 220 3m +FITA CREPE ALTA PERFORMACE 24x40 VERDE + FUNDO PREPARADOR </t>
  </si>
  <si>
    <t>FRETEIROS</t>
  </si>
  <si>
    <t xml:space="preserve">CONCRETO FCK 30.0 MPA ABAT 12+2CM  Dim max Brita 1 </t>
  </si>
  <si>
    <t>EGI 4A68 DIESEL S500 820LT</t>
  </si>
  <si>
    <t>ABASTECIMENTO EDF7E48 241,809 LT</t>
  </si>
  <si>
    <t>FRETE USINA CONCRETO</t>
  </si>
  <si>
    <t xml:space="preserve">MAO DE OBRA LATERAL CAÇAMBA E SOLDA </t>
  </si>
  <si>
    <t>45.290.747/0001-60</t>
  </si>
  <si>
    <t xml:space="preserve">VALDECI DE SOUZA VERLY </t>
  </si>
  <si>
    <t>TROCA DE OLEO ( JOSE ANTONIO )</t>
  </si>
  <si>
    <t xml:space="preserve">OLOEO MOBIL E FILTRO DE AR + FILTRO DE COMBUSTIVEL + FILTRO LUBRIFICANTE + FILTRO SEPARADOR </t>
  </si>
  <si>
    <t xml:space="preserve">BOLACHA  CASEIRA + BANANA+ EMPADA FRENGO + LEITE </t>
  </si>
  <si>
    <t>03.231.235/0001-82</t>
  </si>
  <si>
    <t>RIPI E RIPI LTDA</t>
  </si>
  <si>
    <t>SUCATA TANQUE DE AGUA</t>
  </si>
  <si>
    <t>DIVISORIA+FORRO+MANTA LABORATÓRIO</t>
  </si>
  <si>
    <t xml:space="preserve">MARRETA COM CABO </t>
  </si>
  <si>
    <t>55.167.882/0001-76</t>
  </si>
  <si>
    <t xml:space="preserve">LAYSA BATISTA MORAES </t>
  </si>
  <si>
    <t xml:space="preserve">CARTAO J </t>
  </si>
  <si>
    <t xml:space="preserve">PRESTAÇAO DE SERVIÇO MECANICO ( JOSE ANTONIO) </t>
  </si>
  <si>
    <t>51.155.550/0001-10</t>
  </si>
  <si>
    <t>RCM PEÇAS E SERVIÇOS LTDA</t>
  </si>
  <si>
    <t xml:space="preserve">ASSISTENCIA TECNICA REF: DESMONTAGEM DA USINA MANDIRITUBA - PR </t>
  </si>
  <si>
    <t>190LTS (IQM 2I17  MOTORISTA  )</t>
  </si>
  <si>
    <t xml:space="preserve">121 LTS (IOT 1A80 MOTORISTA  RAFAEL  ) </t>
  </si>
  <si>
    <t xml:space="preserve">MANUTENÇAO VASSOURA ( CABO AÇO + SOCADOR POLIA COM 3 GARRAS SAT 6 ) </t>
  </si>
  <si>
    <t>37.555.323/0001-51</t>
  </si>
  <si>
    <t xml:space="preserve">RESTAURANTE ENTRE RIOS </t>
  </si>
  <si>
    <t xml:space="preserve">ALMOÇO ( JOSE ANTONIO ) </t>
  </si>
  <si>
    <t>07.479.291/0001-91</t>
  </si>
  <si>
    <t>CARVALHO &amp; BRITO LTDA</t>
  </si>
  <si>
    <t xml:space="preserve">ALTERNADOR SEG 28V 35/80A  + FOOBLO0756 </t>
  </si>
  <si>
    <t xml:space="preserve">CHAVE TICTAC UNV (C/BOTAO E PARAFUSO ) + PORTA FUSIVEL +CABO PP  + FIXADOR DE ADESIVO </t>
  </si>
  <si>
    <t>SERVIÇO DE ALTERNADOR ORDEM DE SERVIÇO N1373</t>
  </si>
  <si>
    <t xml:space="preserve">SERVIÇO DE CHICOTE E INSTALAÇAO </t>
  </si>
  <si>
    <t>GASOLINA COMUM   47,87lts</t>
  </si>
  <si>
    <t xml:space="preserve">121LTS (EKZ 4862 MOTORISTA ) </t>
  </si>
  <si>
    <t xml:space="preserve">LOCAÇAO DE CAÇAMBA </t>
  </si>
  <si>
    <t>TRAF. QUAD 1045 15.88 + CLIPS P/ CABO DE ACO 3/8 + CORDA DE 500MM TR + PF SX6 UNC RI 3/4 POL</t>
  </si>
  <si>
    <t>PORCA SX PARLOK UNC 3/8 16 F CH 9/16 ZB + BARRA ROSCADA 3/8 + ARRUELA LISA FUNILEIRO + PERFIL LQ CHAT</t>
  </si>
  <si>
    <t xml:space="preserve">LOCAÃO MENSAL DE CARRETINHA PARA BANHEIRO QUIMICO </t>
  </si>
  <si>
    <t>08.923.352/0001-20</t>
  </si>
  <si>
    <t>APT</t>
  </si>
  <si>
    <t>PECAS</t>
  </si>
  <si>
    <t xml:space="preserve">PARAFUSO LUMINA + PARAFUSO LAMINA + PORCA 3/4 </t>
  </si>
  <si>
    <t>PARAFUSOS+LAMINAS+PORCAS+CANTOS</t>
  </si>
  <si>
    <t>JUNTA+SILICONE+FILTOR+FILTOR+COMBUS+OLEO MOTOR</t>
  </si>
  <si>
    <t>M.O TROCAR JUNTA DO CARTES E OLEO</t>
  </si>
  <si>
    <t>ENGRAXADEIRA PONEUMATICA</t>
  </si>
  <si>
    <t>FILTRO+TRAVA+FILTROS COMB.</t>
  </si>
  <si>
    <t>39.920.693/0001-76</t>
  </si>
  <si>
    <t>PRIORI MAQUINAS E IMPLEMENTOS</t>
  </si>
  <si>
    <t>LOMPADORES DISCOS+PARAFUSOS</t>
  </si>
  <si>
    <t>00.684.037/0001-86</t>
  </si>
  <si>
    <t>HP IND DE PRE MOLDADOS DE CIMENTO</t>
  </si>
  <si>
    <t>MOVIMENTAÇÃO DE CARGA</t>
  </si>
  <si>
    <t xml:space="preserve">SUZIANE CZEZANIAK </t>
  </si>
  <si>
    <t>IMPRESSORA LOCAÇÃO</t>
  </si>
  <si>
    <t>50.328.187/0001-25</t>
  </si>
  <si>
    <t>VICTOR DA SILVA SAMPAIO</t>
  </si>
  <si>
    <t>MELHORIA ILUMINAÇÃO CANTEIRO</t>
  </si>
  <si>
    <t>CONSUMO DE ETANOL VEICULOS</t>
  </si>
  <si>
    <t>SETAS DE ILUIMINAÇÃO MSEGURANÇA</t>
  </si>
  <si>
    <t>ARRUELAS DE ENCOSTO PINO ARTICULAÇÃO</t>
  </si>
  <si>
    <t>TRANSPORTE TANQUE MUNDO NOVO JUQUIA</t>
  </si>
  <si>
    <t>LAMINA+PARAFUSOS+PORCAS</t>
  </si>
  <si>
    <t xml:space="preserve">ABRAÇADEIRA + ELETROUDO + FIO FLEXIVEL + DISTRIBUIDOR +HASTE +QUADRO DE DESLG </t>
  </si>
  <si>
    <t xml:space="preserve">MOBILIDADE URBANA ( UBER JOSIAS BARBARA MUNDO NOVO A GUAIRA - PR) </t>
  </si>
  <si>
    <t xml:space="preserve">PREGOS </t>
  </si>
  <si>
    <t>LOCAÇÃO DE CONTAINNERS BANHEIRO</t>
  </si>
  <si>
    <t>60.515.603/0002-39</t>
  </si>
  <si>
    <t>PARAFUSOS+ARRUELAS</t>
  </si>
  <si>
    <t>52.172.243/0001-00</t>
  </si>
  <si>
    <t>START MATERIAL E INSTALAÇÃO</t>
  </si>
  <si>
    <t>MANGUEIRAS+HASTES+LUVA</t>
  </si>
  <si>
    <t>29.705.800/0001-90</t>
  </si>
  <si>
    <t>D&amp;M ENGENHARIA E AUTOMAÇÃO</t>
  </si>
  <si>
    <t>INSTALAÇÃO E MANUTENÇÃO ELETRICA</t>
  </si>
  <si>
    <t>SILVESTRO LOCAÇÕES</t>
  </si>
  <si>
    <t>MOVIMENTAÇÕES E BARREIRAS E MONTAGEM DE USINA</t>
  </si>
  <si>
    <t xml:space="preserve">TROCA CHAPA LATERAL CAÇAMBA </t>
  </si>
  <si>
    <t>IOT 1A80 EDERSON 203,17 LT</t>
  </si>
  <si>
    <t xml:space="preserve">20LTS ( APZ 160  MOTORISTA SIDNEI ) </t>
  </si>
  <si>
    <t xml:space="preserve">313 LTS ( ANT 1831  MOTORISTA VAMDERLEI ) </t>
  </si>
  <si>
    <t xml:space="preserve">158,32LTS ( AMD 4E46  MOTORISTA OSCAR ) </t>
  </si>
  <si>
    <t xml:space="preserve">155,48LTS ( NRZ 1E22  MOTORISTA EV.[[ADO) </t>
  </si>
  <si>
    <t xml:space="preserve">348,LTS ( NRZ 1E22  MOTORISTA EVADO) </t>
  </si>
  <si>
    <t>06.056.572/0001-79</t>
  </si>
  <si>
    <t xml:space="preserve">INSTALADORA UMUARAMA </t>
  </si>
  <si>
    <t xml:space="preserve">CURVA ZINCADA +TAMPAO+FONTE CHAVEADA +DISPOSITIVO PROTETOR+ LUVA+CABO ACOBREADO+DJUNTOR+ABRAÇADEIRA+CONDUITE+ELETROUDO+MODULO+PLACA 1 POSTO + FIO FLEXIVEL </t>
  </si>
  <si>
    <t xml:space="preserve">CABO PP 4X2.5MM IKV + FIO FLEXIVEL F 10.0MM + CABO PP 4X6.0MM </t>
  </si>
  <si>
    <t>ABASTECIMENTO MINASUL</t>
  </si>
  <si>
    <t xml:space="preserve">CONHECIMENTO DE TRASNPORTE  (pavimentaçao) </t>
  </si>
  <si>
    <t xml:space="preserve">VASSORA RECOLHEDORA  ( CONHECIMENTO DE TRASPORTES) </t>
  </si>
  <si>
    <t>31.617.816/0001-58</t>
  </si>
  <si>
    <t>AUTO ELETRICA VIP  (VALDENIR BORGES)</t>
  </si>
  <si>
    <t xml:space="preserve">LIGAÇAO DE BARRA DE LEDS  + TROCA DE FUSIVEL EVISAO DAILUMINAÇAO + </t>
  </si>
  <si>
    <t>DIESEL 142,469 QTD ( REF NCS  693098)</t>
  </si>
  <si>
    <t xml:space="preserve">BLOCO DE 14 + BOCA DE SAIDA DE DRENO </t>
  </si>
  <si>
    <t>PRESTAÇAO DE SERVIÇO TRANS UF DIV INSR LTDA</t>
  </si>
  <si>
    <t>TROCAR CHAPA LATERAL CAÇAMBA</t>
  </si>
  <si>
    <t>LUCIANNA ASCURRA CORREIA</t>
  </si>
  <si>
    <t xml:space="preserve">EXTINTOR DE INCENDIO ABC </t>
  </si>
  <si>
    <t>SUPORTES DOS BITS</t>
  </si>
  <si>
    <t>MANGUEIRAS+ACOPLAMENTO+REGISTRO+ESPIGÃO</t>
  </si>
  <si>
    <t xml:space="preserve">CONSERTO DE PNEUS </t>
  </si>
  <si>
    <t>03.608.668/0004-57</t>
  </si>
  <si>
    <t>AUTO PECAS E DISTRIBUIDORA MODELO LTDA</t>
  </si>
  <si>
    <t>CALOTAS DIANTEIRAS</t>
  </si>
  <si>
    <t>CONFECÇÃO GANCHO BACIA DE CONTENÇÃO</t>
  </si>
  <si>
    <t>LOCAÇÃO DE PLATAFORMA ELEVÁTORIA</t>
  </si>
  <si>
    <t>08.939.579/0001-54</t>
  </si>
  <si>
    <t xml:space="preserve">MEGA TRICKS RIO BRILHANTE </t>
  </si>
  <si>
    <t>CARTAO J</t>
  </si>
  <si>
    <t xml:space="preserve">MOTOR VENTILADOR CX EVAPORADORA </t>
  </si>
  <si>
    <t>MANCAL CPL OLEO  + TRTAVA EIXO 1.5/ 8</t>
  </si>
  <si>
    <t>MATERIAS ELETRICOS TOMADA DUPLA + CONECTOR EMENDA + REFLETOR LED +CONECTOR PERFURANTE + OUTROS</t>
  </si>
  <si>
    <t>24.005.383/0001-59</t>
  </si>
  <si>
    <t xml:space="preserve">JOAO JOELCI BATISTA </t>
  </si>
  <si>
    <t xml:space="preserve">TROCA DE HSATE E TROCA DE REPARO ( PARTE ELETRICA ) </t>
  </si>
  <si>
    <t>LOWGAM BRUNO RICARDO</t>
  </si>
  <si>
    <t xml:space="preserve">EMPRITEIRO META CANTEIRO </t>
  </si>
  <si>
    <t>10.341.666/0001-67</t>
  </si>
  <si>
    <t>KAWAII ESTETICA AUTOMOTIVA LTDA</t>
  </si>
  <si>
    <t xml:space="preserve">LAVAGEM DE VEICULO VOLARE </t>
  </si>
  <si>
    <t>DIESEL 1.024,34  QTD (REF NFC - 694362,692477,693874,693892 )</t>
  </si>
  <si>
    <t xml:space="preserve">DIESEL 5.000 QTD (REF NFC 494089, 694092- 694094) </t>
  </si>
  <si>
    <t xml:space="preserve">VALVULA P CONTROLE  DE GRAXA + CONEXAO GIRATORIA Z 1/4 </t>
  </si>
  <si>
    <t xml:space="preserve">DESMONTAGEM E MONTAGEM + REGULAGEM DE BUZINA  </t>
  </si>
  <si>
    <t xml:space="preserve">INSTALAÇOES DE CIBIÉS + LIGAÇAO DE LANTERNAS FAROIS E PISCAS </t>
  </si>
  <si>
    <t xml:space="preserve">MANUTENÇAO DE BATERIAS E TESTE DE ALTERNADOR  E TESTE CHAVE GERAL </t>
  </si>
  <si>
    <t>CONSERTO CHAVE GERAL +DESMONTAGEM +E MONTAGEM + SERVIÇO REVISAO DE STROBO</t>
  </si>
  <si>
    <t xml:space="preserve">1 REVISAO + 1 CIBIÉ + CAR E RECARGA </t>
  </si>
  <si>
    <t xml:space="preserve">SERVIÇOS DE REVISAO DE FAROIS + STROBO + SERVIÇO DE ESTALAÇOES </t>
  </si>
  <si>
    <t xml:space="preserve">SERVIÇO DE INSTALAÇAO DE CIBIÉ &lt; RPD 9129 &gt; </t>
  </si>
  <si>
    <t xml:space="preserve">SERVIÇO DE TRANSMIÇAO + DE CARGA, AUXILIAO </t>
  </si>
  <si>
    <t>50.340.754/0001-69</t>
  </si>
  <si>
    <t>LUIS HENRRIQUE TONETTI</t>
  </si>
  <si>
    <t xml:space="preserve">LIMPEZA DE VEICULOS LEVES </t>
  </si>
  <si>
    <t>31.617.816/0001-92</t>
  </si>
  <si>
    <t>VALDENIR BORGES</t>
  </si>
  <si>
    <t>ILUMINAÇÃO</t>
  </si>
  <si>
    <t>SISTEMA LUZ ILUMINAÇÃO</t>
  </si>
  <si>
    <t xml:space="preserve">RIVISAO DA MEIA LUZ ALTA E BAIXA + CAMERA DE RÉ + 1 TORCA DE TEERMINAL </t>
  </si>
  <si>
    <t xml:space="preserve">1 SERVIÇO TESTE DE SELEBOIDE + 1 RECONFECCIONAMENTO DE CHICOTE SELENOIDE + 1 SERVICO NO CANTEIRO </t>
  </si>
  <si>
    <t>37.548.445/0001-23</t>
  </si>
  <si>
    <t>IMPORCATE DOURADOS COM PC TRATORES</t>
  </si>
  <si>
    <t>FILTRO COMBUS ADV + FILTRO SEP ULTRA + COPO  FILTRO SEP</t>
  </si>
  <si>
    <t xml:space="preserve">CARRETA 1935, SERVIÇO DE INSTALAÇAO DAS LANTERNAS TRASEIRAS , SERVIÇO  INSTALAÇAO DO INTERCLINA </t>
  </si>
  <si>
    <t xml:space="preserve">CALCO CIRCULO +HALLOS TIRAS BR + GASKETES +CALCO CIRCULO LAMINA </t>
  </si>
  <si>
    <t>01.194.012/0001-67</t>
  </si>
  <si>
    <t xml:space="preserve">TERRA CIVIL </t>
  </si>
  <si>
    <t xml:space="preserve">DISCO TACTICUT 550H 350MM SEG 14 + TALHADEIRA SE C/COLAR </t>
  </si>
  <si>
    <t xml:space="preserve">DIESEL B S-500 (HTP 5C12 / EKZ 4862 ) 413LTS </t>
  </si>
  <si>
    <t>45.317.570/0001-07</t>
  </si>
  <si>
    <t xml:space="preserve">BR TRANSPORTES LOCAÇES </t>
  </si>
  <si>
    <t xml:space="preserve">GUINCHO INTRAMUNICIPAL + GUINDASTE E IÇAMENTO </t>
  </si>
  <si>
    <t>HP. IND. E CM. DE PRE-MOLDADOS DE CIMENTO LTDA</t>
  </si>
  <si>
    <t xml:space="preserve">SERVIÇO HORA MUNK </t>
  </si>
  <si>
    <t>MANUNTENCÃO E MAO DE OBRA  (ALEXANDRE DAMACENO ) MECANICO</t>
  </si>
  <si>
    <t>00.058.996/1179-00</t>
  </si>
  <si>
    <t xml:space="preserve">CLAUCIR ANTONIO RECK </t>
  </si>
  <si>
    <t xml:space="preserve">SERVIÇO DE LOCAÇAO DE CAMINHAO </t>
  </si>
  <si>
    <t>CAL HIDRATADO + CIMENTO +AREIA +ESPUMA POLIURETANO+MANGUEIRAS+LIXA DAGUA+VALVULA+TORNEIRA+ 40  PRODUTOS PARA OBRA DE CANTEIRO</t>
  </si>
  <si>
    <t>DESMONTAR E ALINHAR PAINEL FRONTAL, DESMONTAR E TROCAR VENTOINHA NOVA DO RADIADOR (PLACA SET 1121)</t>
  </si>
  <si>
    <t>REF ADESIVOS PREFIXOS COM PELICULA TRASNPARENTE (MANUTENÇAO)</t>
  </si>
  <si>
    <t>ADESIVOS PRIMATICOS REFLETIVO COM APLICAÇAO  ( CAMINHAO LUBRIFICANTE )</t>
  </si>
  <si>
    <t>ADESIVOS PRIMATICOS REFLETIVO COM APLICAÇAO ( CAMINHAO PRANCHA)</t>
  </si>
  <si>
    <t>ADESIVOS PRIMATICOS REFLETIVO COM APLICAÇAO ( RTL O159)</t>
  </si>
  <si>
    <t>ADESIVOS PRIMATICOS REFLETIVO COM APLICAÇAO ( ROLO DE PNEUS)</t>
  </si>
  <si>
    <t>ADESIVOS PRIMATICOS REFLETIVO COM APLICAÇAO (SUPER 1400)</t>
  </si>
  <si>
    <t>PEDIDO BLOCO CHEQUE/LIST (30 BLOCOS)</t>
  </si>
  <si>
    <t>ADESIVOS PRIMATICOS REFLETIVO COM APLICAÇAO (BOB CAT MENOR )</t>
  </si>
  <si>
    <t>ADESIVOS PRIMATICOS REFLETIVO COM APLICAÇAO (BOB CAT MAIOR )</t>
  </si>
  <si>
    <t xml:space="preserve">PARAFUSO SEGMENTO + PORCA SEGMENTO + SEGMENTO D5 1EX </t>
  </si>
  <si>
    <t xml:space="preserve">ACO MT 2/2 CROMADO +GAXETA 1058 2500 2500 375 + RASPADOR 1087 D2500 + ANEL GUIA DE NYLON </t>
  </si>
  <si>
    <t xml:space="preserve">PRESTAÇAO DE SERVIÇO REF: FREIO DA CARETA PRANCHA </t>
  </si>
  <si>
    <t xml:space="preserve">CC PROJETO 41/ 66 USUARIO INCLUSAO LUCAS FREITAS : CUSTO DE 20 UND REMOCIO 20 UND ECOMAX 10 UND MAMINA 10F 100 PARAFUSOS 100 PORCAS  600UND BITS 204 UND CERDAS 010 UND CORREIA W100 02 UND DE ANEL 02 UND ROLAMENTO 02 UND ANEL FIXADOR </t>
  </si>
  <si>
    <t>LUBRIFICAÇAO + LIMPEZA + LUSTRAÇAO + REVISAO CARGA E RECARGA</t>
  </si>
  <si>
    <t xml:space="preserve">ACOPLADOR EBGATE RF3 + BUCHA DE REDUÇAO FG 3X2 + NIPLE GALVANIZADO 2 REMADI CG280H </t>
  </si>
  <si>
    <t>14.005.563/0001-87</t>
  </si>
  <si>
    <t>DISPAV</t>
  </si>
  <si>
    <t xml:space="preserve">MAÇANETA + BICO </t>
  </si>
  <si>
    <t>308/2025</t>
  </si>
  <si>
    <t>ADILSO ALBERTON LTDA</t>
  </si>
  <si>
    <t>LOCAÇAO GRADE ARADORA BALDAN CRI 18x28 PERIODO 10/07/2025 A 31/08/2025</t>
  </si>
  <si>
    <t xml:space="preserve">REFEIÇAO BUFFET + SUCO DE LARANJA </t>
  </si>
  <si>
    <t>00.217.109/0012-38</t>
  </si>
  <si>
    <t>COMAGRAM PRODUTOS AGRO INDUSTRIAIS LTDA</t>
  </si>
  <si>
    <t>MAKITA MARTELO  ROMPEDOR + MAKITA MARTELO DEMOLIDOR HM 1317</t>
  </si>
  <si>
    <t>TER-DE AMORIM</t>
  </si>
  <si>
    <t>REG. GAV. S CANOPLA 3/4 DOCOL</t>
  </si>
  <si>
    <t xml:space="preserve">QUADRO DISTRIBUIÇAO + CABO MULTIPLEX + ELETROUDO +ABRAÇADEIRA +CONDULETE + ADAPITADOR + CABÇOTE DE ALUMINIO + ISOLADOR PIMENTAO </t>
  </si>
  <si>
    <t xml:space="preserve">JUNTA DE VEDAÇAO ( JOSE ANTONIO ) </t>
  </si>
  <si>
    <t xml:space="preserve">ADESIVO WURT PU CALHA + TORN JAPI ESF MET ( TSE - 119B ) </t>
  </si>
  <si>
    <t>02.675.877/0003-70</t>
  </si>
  <si>
    <t xml:space="preserve">OXISOLDA COMERCIO DE GASES </t>
  </si>
  <si>
    <t xml:space="preserve">DIESEL ( ANT 1831 / ATP  7G86 / IQC 6102 )  232lts 294lts </t>
  </si>
  <si>
    <t xml:space="preserve">DIESEL ( IQC 6102 ) </t>
  </si>
  <si>
    <t>LOCAÇAO DE CAÇAMBA LIMPEZA</t>
  </si>
  <si>
    <t xml:space="preserve">MAO DE OBRA FAZER BOCA DE LOBO CAMINHAO PIPA ( TANQUE) </t>
  </si>
  <si>
    <t xml:space="preserve">TROCA DE LONA </t>
  </si>
  <si>
    <t>31.195.529/0001-05</t>
  </si>
  <si>
    <t xml:space="preserve">AGRO MELO </t>
  </si>
  <si>
    <t>RECICLAGEM</t>
  </si>
  <si>
    <t xml:space="preserve">ENGATE RAPIDO 3POL C 1430 ( RECICLADORA NOVA ) </t>
  </si>
  <si>
    <t xml:space="preserve">FILTRO LUB + FILTRO COMBUSTIVEL + FILTRO AR SECUNDARIO + DE AR PRIMARIO </t>
  </si>
  <si>
    <t xml:space="preserve">CAIXA DAGUA 10MIL LITROS </t>
  </si>
  <si>
    <t xml:space="preserve">BLOCO DE 14 </t>
  </si>
  <si>
    <t xml:space="preserve">FILTRO COMBUSTIVEL + COPO DE FILTRO + FILTRO SEP ULTRA EF S/SENSOR </t>
  </si>
  <si>
    <t xml:space="preserve">DIESEL B S- 500  450LTS  PLACAS&lt; IQM 2117 IOT 1A80&gt;  </t>
  </si>
  <si>
    <t xml:space="preserve">TORNEIRA +ADP SOLDA +BUCHA +JOELHO MANG + TUBO +ADESIVO PLASTIC + BUCHA RED +  TE SOLDA+ABRAÇADEIRA </t>
  </si>
  <si>
    <t xml:space="preserve">FRESSADORA DE ASFALTO 18-/ vassoura DE ASFALTO </t>
  </si>
  <si>
    <t xml:space="preserve">BRAÇO LIMPADOR / PALHETA / BORRACHARIA  / MANGUEIRA </t>
  </si>
  <si>
    <t>82.976.325/0001-79</t>
  </si>
  <si>
    <t>BOB MAQUINAS</t>
  </si>
  <si>
    <t xml:space="preserve">PORTA BITIS PARA FRESSADORA </t>
  </si>
  <si>
    <t>MANGUEIRA</t>
  </si>
  <si>
    <t xml:space="preserve">PEÇAS </t>
  </si>
  <si>
    <t xml:space="preserve">CORRENTE 8.8 DE 4M CADA GANCHO + ESTICADOR TENSINADOR PARA CORRENTE 3-8 A 1-2  + CINTA CATRACA TRAVA RODA 3T +CINTA CATRACA </t>
  </si>
  <si>
    <t>TRANSLADO DE VEICULOS '</t>
  </si>
  <si>
    <t xml:space="preserve">SERVIÇOS DE ENGENHARIA </t>
  </si>
  <si>
    <t xml:space="preserve">ENGRAXADEIRA PNEUMATIA +RESERVATORIO </t>
  </si>
  <si>
    <t>47.748.857/0001-10</t>
  </si>
  <si>
    <t xml:space="preserve">NAILTON SALES APARECEIDO </t>
  </si>
  <si>
    <t xml:space="preserve">SERVIÇO DE 240M DE ENCANAMENTO </t>
  </si>
  <si>
    <t>CORRENTE 8.8 4M + ESTICADOR +CINTA CATRACA 5T COM 9M</t>
  </si>
  <si>
    <t xml:space="preserve">ENGRAXADEIRA PNEUMATICA 281 + RESERVATORIO </t>
  </si>
  <si>
    <t xml:space="preserve">DIESEL  B S- 500 578 LTS  PLACAS &lt; EGI 4A63 + sSEQ 6A30 + NRZ 1F21 &gt; </t>
  </si>
  <si>
    <t xml:space="preserve">DIESEL B S-500 PLACAS &lt; NRZ1F21 + AYA 4J00 + IOT180 &gt; 809,533LTS </t>
  </si>
  <si>
    <t>53.790.435/0001-42</t>
  </si>
  <si>
    <t xml:space="preserve">LOCAÇAO DE MOTO SERRA </t>
  </si>
  <si>
    <t xml:space="preserve">ETANOL LTS 32.325, ( TAX 8I41) CARTAO TONINHO </t>
  </si>
  <si>
    <t>MANGUEIRA+MOLA+ABRAÇADEIRA+FGR</t>
  </si>
  <si>
    <t>11.107.033/0001-51</t>
  </si>
  <si>
    <t>DIMAC</t>
  </si>
  <si>
    <t>CABO 20 METROS 4X35MM +  EQUIPEMENTO 14 + GERADOR 110KVA</t>
  </si>
  <si>
    <t xml:space="preserve">DIESEL B S-500  PLACAS &lt; AMD 4E46  + EKZX 4862 &gt;  449,54 LTS </t>
  </si>
  <si>
    <t>PREVENTIVA 1000 H</t>
  </si>
  <si>
    <t>FIO DE INFORMAICA  + TUBO ZINCADO + CONDULETE +CHUCHA DE GESSO + TERMINAL +  TUBO LONG  10MM</t>
  </si>
  <si>
    <t xml:space="preserve">CONFECÇAO DE SUPORTE DE MANGUEIRA </t>
  </si>
  <si>
    <t>RODIZIO DE PNEUS</t>
  </si>
  <si>
    <t xml:space="preserve">RODIZIO DE PNEUS / CONSERTO </t>
  </si>
  <si>
    <t xml:space="preserve">LAVAÇAO COMPLETA </t>
  </si>
  <si>
    <t>LAVAÇAO COMPLETA  AGUA QUENTE</t>
  </si>
  <si>
    <t>LAVAÇAO COMPLETA  SFN 6B92</t>
  </si>
  <si>
    <t>LAVAÇAO COMPLETA TAI 5E10</t>
  </si>
  <si>
    <t>LAVAÇAO COMPLETA SFJ 2H21</t>
  </si>
  <si>
    <t>LAVAÇAO COMPLETA  SFO 1G40</t>
  </si>
  <si>
    <t>LAVAÇAO COMPLETA  TBK 1A70</t>
  </si>
  <si>
    <t>LAVAÇAO COMPLETA  SFJ 3B24</t>
  </si>
  <si>
    <t>LAVAÇAO COMPLETA  TAX 8I41</t>
  </si>
  <si>
    <t xml:space="preserve">LAVAÇAO COMPLETA  + DIESEL </t>
  </si>
  <si>
    <t>22.139.259/0001-50</t>
  </si>
  <si>
    <t xml:space="preserve">JOSE ACARLOS CANDIDO DA SILVA </t>
  </si>
  <si>
    <t xml:space="preserve">LUBRIFICAÇAO + LIMPEZA + ILUSTRAÇAO + REVISAO + CARGA E DESCARGA ( JOSE ANTONIO ) </t>
  </si>
  <si>
    <t xml:space="preserve">JOGO DE DISCO DE CORTE + COMBO DE PAF + CHAVE DE IMPACTOR +JOGO DE SOQYUETE VONDER </t>
  </si>
  <si>
    <t xml:space="preserve">ABRAÇADEIRA ROSCA +EMENDA INTERNA+MANGUEIRA + AREIA FINA + CIMENTO + TELHA +PARAFUSO+ABRAÇADEIRAS +LUVA + PILHA +TE INTERNO + MANGUEIRA + ARRUELA </t>
  </si>
  <si>
    <t>DIESEL B S-500  PLACAS &lt; NRZ 1F21 + AYA 4J00 + IQM2117 +  IOT  1A80 &gt; 601 &gt;  500lts</t>
  </si>
  <si>
    <t>53.035.871/0001-07</t>
  </si>
  <si>
    <t xml:space="preserve">ENEIAS CAMARGO </t>
  </si>
  <si>
    <t xml:space="preserve">CONFECÇAO DE GUARDA COPO E PORTA PLACAS  DO IVECO EQUIPE PAVIMENTAÇAO </t>
  </si>
  <si>
    <t>COMBOIO</t>
  </si>
  <si>
    <t xml:space="preserve">ETANOL  40,120LTS  + GASOLINA COMOM 34,180LTS + OLEO DIESEL 415,660 LTS </t>
  </si>
  <si>
    <t xml:space="preserve">PISTOLA LAVADORA </t>
  </si>
  <si>
    <t xml:space="preserve">VALVULA + PARAFUSO + PORCA </t>
  </si>
  <si>
    <t xml:space="preserve">TABUA DE PINOS 3MT 2,5x20 + MALHA 2X3 </t>
  </si>
  <si>
    <t>L2B EMPREENDIMENTO IMOBILIARIOS</t>
  </si>
  <si>
    <t xml:space="preserve">CRONOGRAMAS + ALTERAÇOES DE PROJETO + COMPANHAMENTO JUNTO AO SET. BOMBEIROS + PREFEITURA  + ORÇAMENTOS +  PARTE AMBIENTAL </t>
  </si>
  <si>
    <t xml:space="preserve">MATERIAS CANTONEIRAS CHPAPAS + TUBOS E CANOS +6 POLEGADAS + 10 METROS PARA USINA </t>
  </si>
  <si>
    <t>FAZER CAIXA DE PROTEÇAO DO FILTRO</t>
  </si>
  <si>
    <t>LABORATORIO</t>
  </si>
  <si>
    <t xml:space="preserve">FERRAMENTAS PARA LABORATORIO </t>
  </si>
  <si>
    <t>REGISTRO CAMINHA PIPA</t>
  </si>
  <si>
    <t xml:space="preserve">FAZER CONCHA PARA RETRO ESCAVADEIRA COMPLETA </t>
  </si>
  <si>
    <t xml:space="preserve">FAZER PLATAFORMA, CALHA E CAIXA DE DESCARGA MATERIAL </t>
  </si>
  <si>
    <t xml:space="preserve">REFORMA DE TRE, MECHER NA COBERTURA DO BARRACAO </t>
  </si>
  <si>
    <t xml:space="preserve">FAZER 2 CALHAS CORETES E SOLDA </t>
  </si>
  <si>
    <t>SERVIÇO DE TORNOS E SOLDA DE DOIS COMPACTADORES</t>
  </si>
  <si>
    <t>PTATELEILRA DE AÇO  COM TABUAS DE PINOS</t>
  </si>
  <si>
    <t>FAZER 02 MANGUEIRAS PATROLA DO MULK P AVIOZO</t>
  </si>
  <si>
    <t>82.344.847/0001-58</t>
  </si>
  <si>
    <t>ROLEPARTS</t>
  </si>
  <si>
    <t xml:space="preserve">ENGATES + BORRACHA + MANGUEIRA  + ENGRENAGEM + FILTRO COMB. E ROLAMENTO </t>
  </si>
  <si>
    <t>LOCAÇAO CAMINHAO MUNK</t>
  </si>
  <si>
    <t>CRUZETA CARDAN12/D50 + GARFO DA CAT</t>
  </si>
  <si>
    <t xml:space="preserve">ETANOL+ PREMIU M  41,20lts  placa ( sez 1C85 ) </t>
  </si>
  <si>
    <t>PNEUS</t>
  </si>
  <si>
    <t xml:space="preserve">NIVELADORA, PRSTAÇAO DE SOCORRO </t>
  </si>
  <si>
    <t>LUBRAX ESSENCIAL 2T  2LTS + GASOLINA COMUN 40LTS  (SOPRADOR )</t>
  </si>
  <si>
    <t xml:space="preserve">LIXA  DAGUA + THINER + APLICADOR + REVGOLD +EPOXI +PREMIUN FOSCO BRANCO +ESMALTE +STANDARD BRANCA + LONA 4M + ROLO RESIMAX +KIT EPOXI </t>
  </si>
  <si>
    <t>INDIREITAR E REGULAR BARRA DE SEGURANÇAS  DO CAMINHAO PIPA</t>
  </si>
  <si>
    <t>REFAZEE CONCHA DA RETRO ESCAVADEIADA</t>
  </si>
  <si>
    <t xml:space="preserve">FAZER CONCHA PARA RETRO ESCAVADEIRA </t>
  </si>
  <si>
    <t>PRESTAÇAO DE SERVIÇO FRETES</t>
  </si>
  <si>
    <t>CRUZETA - CW300</t>
  </si>
  <si>
    <t>MODELO</t>
  </si>
  <si>
    <t xml:space="preserve">COBERT FORRO PORTA DIR MB AXOR </t>
  </si>
  <si>
    <t xml:space="preserve">TRAVA + GRAXA DE LITIO MP-220KG </t>
  </si>
  <si>
    <t>MOBILIDADE URBANA ( UBER JOSIAS BARBARA MUNDO NOVO A GUAIRA - PR)  3 VIAGNES E UMA CORRIDA</t>
  </si>
  <si>
    <t xml:space="preserve">KIT LIMPEZA 4 PEÇAS </t>
  </si>
  <si>
    <t>LOCAÇÃO DE CONTAINNERS BANHEIROS</t>
  </si>
  <si>
    <t xml:space="preserve">A.P.T. LOGISTICA, ARMAZENAGEM E TRANSPORTES LTDA </t>
  </si>
  <si>
    <t>FRETE PEÇA PUXADOR MÃO MEC. MODELO CG</t>
  </si>
  <si>
    <t xml:space="preserve">NIVELADORA PRSTAÇAO DE SOCORRO </t>
  </si>
  <si>
    <t xml:space="preserve">DIESEL B S-500 PLACAS &lt;ANT 1831 + KGN 2266+ KFF 8D90 + HTP 5C12+ IOT 1A80&gt; 1.078,87LTS </t>
  </si>
  <si>
    <t>PREVENTIVA 500H.</t>
  </si>
  <si>
    <t>PREVENTIVA 1000H.</t>
  </si>
  <si>
    <t>SERVIÇO DE GUINDASTE USINA</t>
  </si>
  <si>
    <t xml:space="preserve">CONFCÇAO DE TAPETE PARA CAMINHOES </t>
  </si>
  <si>
    <t>35.547.599/0001-62</t>
  </si>
  <si>
    <t>JCAR LOCAÇÃO DE VEICULOS E MANUTENÇÃO DE PEÇAS</t>
  </si>
  <si>
    <t xml:space="preserve">ENGATE MACHO + ANGATE FEMEA + ENG. FEM. CURVO + ENGA MAC CURVO </t>
  </si>
  <si>
    <t>FILTRO SEPARADOR &lt; ROBERTO &gt;</t>
  </si>
  <si>
    <t xml:space="preserve">FILTRO COMBUSTIVEL + FILTRO LUBRIFICAÇAO </t>
  </si>
  <si>
    <t xml:space="preserve">LUBRIFICAÇAO FILTRO </t>
  </si>
  <si>
    <t>J HERBERTS E CIA LTDA</t>
  </si>
  <si>
    <t xml:space="preserve">ABRAÇADEIORAS+MANGUEIRAS+MANGUEIRAS+TERMINAL </t>
  </si>
  <si>
    <t>oleo trasmissao + silicone alta temperatura + junta diferenciaL</t>
  </si>
  <si>
    <t>CLAUCIR ANTONIO HECK</t>
  </si>
  <si>
    <t>oleo trasmissao + FILTRO DE COMBUSTIVEL temperatura + FILTRO SEPARADOR</t>
  </si>
  <si>
    <t xml:space="preserve">TROCA DIFERENCIAL </t>
  </si>
  <si>
    <t xml:space="preserve">TROCA DE OLEO E FILTRO </t>
  </si>
  <si>
    <t>18/00/2025</t>
  </si>
  <si>
    <t>PLOTAO HLANTERNA DIREC LATEDAL LD LAMPA 1110</t>
  </si>
  <si>
    <t xml:space="preserve">DIESEL B S-500 PLACAS &lt;CLH 6J38 + IQM 2117&gt; 668,33LTS </t>
  </si>
  <si>
    <t xml:space="preserve">EXTINTOR + VEICULAR ABC 2 KGS + SUPORTE INDUSTRIAL + SUPORTE VENTICULAR </t>
  </si>
  <si>
    <t>BONBA DE ENGRENAGEM+ADAPTADOR+VALVULA+ABRAÇADEIRA</t>
  </si>
  <si>
    <t>INSTALAÇAO DE SIRENE E LIGAÇAO DE CHICO TE</t>
  </si>
  <si>
    <t>PORCA SX PARK +  ARRUELA LISA 3/16</t>
  </si>
  <si>
    <t xml:space="preserve">SERVIÇI EM MANUNTAO EM AR CONDICIONADO DA RETRO !! </t>
  </si>
  <si>
    <t>43.360.661/0001-30</t>
  </si>
  <si>
    <t xml:space="preserve">ICE CAR </t>
  </si>
  <si>
    <t xml:space="preserve">SERVIÇO DE MANUTENÇAO EM AR CONDICIONADO </t>
  </si>
  <si>
    <t>SERVIÇO DE MANUNTENÃO DA RETRO ´CAT</t>
  </si>
  <si>
    <t xml:space="preserve">SERVIÇO DE MANUTENÇAO AO CONDNONADO </t>
  </si>
  <si>
    <t xml:space="preserve">SERVIÇO DE COMPRESSOR AR COND. SANDEN </t>
  </si>
  <si>
    <t>SERVIÇO DE MANUTENÇAO ROLO DE PNEUS AR CONDICIONADO</t>
  </si>
  <si>
    <t xml:space="preserve">SERVIÇO MANUTENÇAO E ELETRICA + MAO DE OBRA </t>
  </si>
  <si>
    <t xml:space="preserve">LOCAÇAO CAÇAMBA LIXO </t>
  </si>
  <si>
    <t>130 LTS DIESEL S - 10 AUX 2G56 + IOT 1A80 + SEQ 6A30</t>
  </si>
  <si>
    <t>DESONTAR+MONTAR+PISCAS+LANTERNAS+PARALAMAS</t>
  </si>
  <si>
    <t>99/10/2025</t>
  </si>
  <si>
    <t xml:space="preserve">PRESTAÇAO DE SERVICO DE REFORMA NEOVIA EXECUÇAO DE OBRA </t>
  </si>
  <si>
    <t>57.376.593/0001-02</t>
  </si>
  <si>
    <t xml:space="preserve">L. K. M. COSTA LTDA </t>
  </si>
  <si>
    <t xml:space="preserve">RECOLHEMENTO GAS E REPOSIÇAO + SAB VENTILADOR + S. RENOVEDOR </t>
  </si>
  <si>
    <t>CONSERTO MONTATA SFZ 3B24</t>
  </si>
  <si>
    <t xml:space="preserve">AYZ 3159 ( 1 PNEU + CONSERTO ) </t>
  </si>
  <si>
    <t>CAMARA + SOCORRO NA RODOVIA</t>
  </si>
  <si>
    <t xml:space="preserve">INSTELAÇOES DE GIROFLEX , REVISOES DOS FAROIS E STROBO + LIGAÇAO DA CHAVE </t>
  </si>
  <si>
    <t>MAMGUEIRA+BRAÇADEIRA</t>
  </si>
  <si>
    <t>PRESTAÇAO DE SERVIÇO PARTE MECANICA</t>
  </si>
  <si>
    <t>INSTALAÇOES CIBIEIS + TROCADE BATERIAS BOCHS</t>
  </si>
  <si>
    <t>TER-SOROLOS</t>
  </si>
  <si>
    <t xml:space="preserve">LIGAÇAO DE CAMERA E TROCA DE CAMERA + REVISAO SINALEIRO + TROCA DE INTERRUPTOR DE FREIO </t>
  </si>
  <si>
    <t xml:space="preserve">ALTERNADOR TESTE DE PLACAS DE DIODO +REGULADOR DE VOLANES, MONTAGEM E DESMONTAGEM DO ALTERNADO </t>
  </si>
  <si>
    <t>28/10/0205</t>
  </si>
  <si>
    <t xml:space="preserve">TROCA DE CORES DE LUZ DO STROBO </t>
  </si>
  <si>
    <t xml:space="preserve">INSTALAÇAO DE SETA TRAEIRA COM CABO PP, LIGAÇAO DE RELE </t>
  </si>
  <si>
    <t>SERVIÇO LIMPADOR DE PARABRISA TROCA DE PALHETAS + BUZINA</t>
  </si>
  <si>
    <t xml:space="preserve">EQUIPAMENTOS </t>
  </si>
  <si>
    <t xml:space="preserve">INSTALAÇAO DS STROBO + CAMERA DE É </t>
  </si>
  <si>
    <t>EQUIPAMNETOS</t>
  </si>
  <si>
    <t>CAMINHAO PIPA INTALAÇAO TRAZEAIRA</t>
  </si>
  <si>
    <t xml:space="preserve">INSTALAÇAO DE TOMADA DO CARREGADOR COM CARREGADOR </t>
  </si>
  <si>
    <t xml:space="preserve">INSTALAÇOES DE6 CIBIÉIS, INSTALAÇOES DE CABOS PR, INSTALAÇOES DE FUSISEIS E TERMINAIS </t>
  </si>
  <si>
    <t xml:space="preserve">CAMINHAO ESPAGIDOR TROCA DE BATERIAS </t>
  </si>
  <si>
    <t xml:space="preserve">EQUIPAMENTO </t>
  </si>
  <si>
    <t xml:space="preserve">TROCA DAS BATERIAS , TESTE DO ALTERNADOR E DO CHICOTE </t>
  </si>
  <si>
    <t xml:space="preserve">SERVIÇO DE TESTE DE BATERIA </t>
  </si>
  <si>
    <t xml:space="preserve">SERVIÇO DE TROCA DE BATERIA COM BATERIA </t>
  </si>
  <si>
    <t xml:space="preserve">SERVIÇO DO MOTOR </t>
  </si>
  <si>
    <t xml:space="preserve">INSTALAÇOES DE CAMERA DE  RÉ </t>
  </si>
  <si>
    <t xml:space="preserve">SERVIÇOS DE CHICOTE COM LANTERNAS TRASEIRAS + REVISAO DE CHICO E STROBO+BUZINA E LIMPADOR </t>
  </si>
  <si>
    <t xml:space="preserve">INSTALAÇOE DE INTERCLIMA + GIROFLEX + TOCA DE LAMPADA+ REVISAO FAROL DIANTEIRO </t>
  </si>
  <si>
    <t xml:space="preserve">ADESIVO PRISMATICO REFLETIVOS COM APLICAÇAO  (TAX- 8141 ) </t>
  </si>
  <si>
    <t xml:space="preserve">ADESIVO PRISMATICO REFLETIVOS COM APLICAÇAO  (tak  1673 ) </t>
  </si>
  <si>
    <t xml:space="preserve">ADESIVO PRISMATICO REFLETIVOS COM APLICAÇAO  ( ONIX SFJ 2H21) ) </t>
  </si>
  <si>
    <t>SERVIÇOES DE INSTALAÇOES ELETRICOS ]</t>
  </si>
  <si>
    <t xml:space="preserve">SFO 1G40 ( MONTANA RENILDO ) </t>
  </si>
  <si>
    <t xml:space="preserve"> 5 LITROS DIESEL + LAVAÇAO ( AGUA QUENTE ) </t>
  </si>
  <si>
    <t xml:space="preserve">ROLO CORRIGADO ( 5 LTS DE DIESEL  + LAVAÇAO ) </t>
  </si>
  <si>
    <t>CAVALO MECANINO -</t>
  </si>
  <si>
    <t>RADIADOR</t>
  </si>
  <si>
    <t>USENSOR ULTRASONICO-COBRANÇA OBRA PINHALZINHO AP GERENCIAL PATRICA/LEANDRO</t>
  </si>
  <si>
    <t xml:space="preserve">RETRO SCAVADEIRA </t>
  </si>
  <si>
    <t>15 LTd DIESEL ( OPATRADA)</t>
  </si>
  <si>
    <t xml:space="preserve">PATROL </t>
  </si>
  <si>
    <t xml:space="preserve">MOTO NIVELADORA </t>
  </si>
  <si>
    <t xml:space="preserve">TRATOR ESTEIRA </t>
  </si>
  <si>
    <t xml:space="preserve">NEREU DE OLIVEIRA  MICRO OBINUS </t>
  </si>
  <si>
    <t xml:space="preserve">NEREU DE OLIVEIRA  ( TBO 0780) </t>
  </si>
  <si>
    <t xml:space="preserve">CAMINHAO PLATAFRORMA </t>
  </si>
  <si>
    <t>MONTANA  S(FJ 3B24)</t>
  </si>
  <si>
    <t xml:space="preserve">LAVAÇAO </t>
  </si>
  <si>
    <t xml:space="preserve">MONTANA SFO 1G40 RENILDO </t>
  </si>
  <si>
    <t xml:space="preserve">CAMINHAO BASCULANTE </t>
  </si>
  <si>
    <t xml:space="preserve">CAMINHAO TANQUE </t>
  </si>
  <si>
    <t xml:space="preserve">CARREGADEIRA </t>
  </si>
  <si>
    <t xml:space="preserve">CAMINHAO EXPAGIDOR </t>
  </si>
  <si>
    <t xml:space="preserve">ETANO + PREMIU M  42Ltrs placa ( sez 1C85 ) </t>
  </si>
  <si>
    <t>(</t>
  </si>
  <si>
    <t xml:space="preserve">ETANO + PREMIU M  42,611lts  placa ( sez 1C85 ) </t>
  </si>
  <si>
    <t xml:space="preserve">OLEO DIESEL 155,660 LTS </t>
  </si>
  <si>
    <t xml:space="preserve">LAMINA 18*2634 X 150 X 3/4 </t>
  </si>
  <si>
    <t xml:space="preserve">LAVAÇAO RETROESCAVADEIRA + 5LTS DE DIESEL 28 R$ </t>
  </si>
  <si>
    <t xml:space="preserve">SAVEIRO ADELIRIO PLACA ( TBM 6J12) </t>
  </si>
  <si>
    <t xml:space="preserve">LAVAÇAO MICRO ONIBUS </t>
  </si>
  <si>
    <t>LAVAÇAO PLACA ( SFJ 2H21)</t>
  </si>
  <si>
    <t xml:space="preserve">DIESEL S-500 AKZ - 4862 DESCONTAR FRETEIRO </t>
  </si>
  <si>
    <t xml:space="preserve">PROJETO DE PSCIP + SEGURANÇA CONTRA INCENDIO +ATESTADE DE CONFORMIDADE + INSTALAÇOES ELETRICAS </t>
  </si>
  <si>
    <t xml:space="preserve"> SEGURANÇA CONTRA INCENDIO +ATESTADE DE CONFORMIDADE + INSTALAÇOES ELETRICAS </t>
  </si>
  <si>
    <t>26.755.825/0001-00</t>
  </si>
  <si>
    <t>E &amp; L LOCAÇÕES E SERVIÇOS LTDA</t>
  </si>
  <si>
    <t xml:space="preserve">REFETENTE A LOCAÇAO DE VEICULOS NO PERIODO 01/09 A 30/09 </t>
  </si>
  <si>
    <t>REF LOCAÇAO CAMINHAO SINALZAÇAO  PERIODO 01/09 A 30/09</t>
  </si>
  <si>
    <t xml:space="preserve">LOCAÇAO  MENSAL PARCIAL CAMINHAO CARROCERIA SINALIZAÇAO </t>
  </si>
  <si>
    <t>26.370.409/0001-93</t>
  </si>
  <si>
    <t>DSD LOCADORA</t>
  </si>
  <si>
    <t xml:space="preserve">MEDIÇAO DE VASSOCA RECOLHEDORA ( LOCAÇAO) </t>
  </si>
  <si>
    <t>24/210/2023</t>
  </si>
  <si>
    <t>DIESE3L S - 10  185,59  LTS</t>
  </si>
  <si>
    <t>10.709.403/0001-68</t>
  </si>
  <si>
    <t>ITA LOG SERVIÇOS DE TRANSPORTE LTDA</t>
  </si>
  <si>
    <t xml:space="preserve">LOCAÇAO CARRETA TANQUE PARA ARMAZEMANETO DE CIMENTO </t>
  </si>
  <si>
    <t>REVISAP SISTEMA DE AR CONDICIONADO</t>
  </si>
  <si>
    <t xml:space="preserve">CONTAINER PARA ESCRITORIO 6MT + BANHEIRO </t>
  </si>
  <si>
    <t xml:space="preserve">CONCRETO UTILIZADO PARA CONTRUÇAO DO LAVADOR DE PEDRA </t>
  </si>
  <si>
    <t>MONTANA RENILDO PLACA ( SFO 1G40)</t>
  </si>
  <si>
    <t xml:space="preserve">PNEUS DE BOB ESTOQUE </t>
  </si>
  <si>
    <t xml:space="preserve">PISOS PARA BANHEIRO REFEORMA CANTEIRO </t>
  </si>
  <si>
    <t xml:space="preserve">MARTELETE ROMPEDR </t>
  </si>
  <si>
    <t>32.176.928/0001-18</t>
  </si>
  <si>
    <t>WEST CALHAS MS LTDA</t>
  </si>
  <si>
    <t xml:space="preserve">SERVIÇO DE INSTALAÇOA DE CALHAS E RUFOS  ( LABORATORIO ) </t>
  </si>
  <si>
    <t>333/2025</t>
  </si>
  <si>
    <t xml:space="preserve">LOCAÇAO DE GRADE ARADORA BALDAN CRI18X28 PERIODO 30 DIAS </t>
  </si>
  <si>
    <t>27.914.988/0001-50</t>
  </si>
  <si>
    <t xml:space="preserve">MUNDIAL TEXTIL IMPORTAÇOES E EXPORTAÇOES </t>
  </si>
  <si>
    <t xml:space="preserve">ALUGUEL REFERENTE A CAMINHAO MERCEDES BENZ COM CARRETA </t>
  </si>
  <si>
    <t>495/1</t>
  </si>
  <si>
    <t>DE AMORIM</t>
  </si>
  <si>
    <t>equipamento</t>
  </si>
  <si>
    <t>LOCAÇAO CAM. ESPAGIDOR - IMOBILAÇAO CAMINHAO CIMENTO PERIODO 01/09/2025 A 30/09/2025</t>
  </si>
  <si>
    <t xml:space="preserve">ALUGUEL REFERENTE A RETROESCAVADEIRA  MODELO 580N 2020/20 </t>
  </si>
  <si>
    <t xml:space="preserve">FILTRO PRIMARIO + FILTRO DE COMBUSTIVEL + FILTRO LUBRIFICAÇAO + FILTRO SEP ROSCA </t>
  </si>
  <si>
    <t>TROCA DE FILTO DE AR BOB CATS</t>
  </si>
  <si>
    <t>TROCA FILTRO DE AR BOB CAT</t>
  </si>
  <si>
    <t>TROCA FILTO DE AR BOV VAF</t>
  </si>
  <si>
    <t xml:space="preserve">ABASTECIMENTO DE VEICULOS LEVES </t>
  </si>
  <si>
    <t>SERVIÇS ELETRICOS E ADEQUEÇAO DE eQUIPAMENTO  (SINALIZAÇAO/SCAVADEIRA/ ROLO PNEUS / MOBIZADOLA</t>
  </si>
  <si>
    <t>30/10//2025</t>
  </si>
  <si>
    <t xml:space="preserve">LAVAÇAO PLATADORMA ( MAO - 7789 ) </t>
  </si>
  <si>
    <t xml:space="preserve">LAVAÇAO CAMINHAO APOIO </t>
  </si>
  <si>
    <t>CAMINHAO COMBOIO LAVAÇAO</t>
  </si>
  <si>
    <t xml:space="preserve">MONTANA TONINHO PLACA (TAX 8141 ) </t>
  </si>
  <si>
    <t xml:space="preserve">ENGENHARIA, SERVIÇOS MEDIÇAO, GEOLOGIA E URBANISMO </t>
  </si>
  <si>
    <t xml:space="preserve">CONSERTO DE ENCANAMENTO ( MAO DE OBRA ) </t>
  </si>
  <si>
    <t xml:space="preserve">BOMBA GRAXA MOD 280 YAMAGUCHI S/ ASS </t>
  </si>
  <si>
    <t>49.785.647/0001-65</t>
  </si>
  <si>
    <t xml:space="preserve">WENDEL CRISTHIAN BRASIL </t>
  </si>
  <si>
    <t xml:space="preserve">INSTALAÇOES 222M DAS DIVISORIAS P BARRACAO CANTEIRO </t>
  </si>
  <si>
    <t xml:space="preserve">FILTRO LUBRIFICANATE + FILTRO DE AR + FILTRO DE COMBUSTIVEL + SEP ROSCA </t>
  </si>
  <si>
    <t xml:space="preserve">MAO DE OBRA LOCAÇAO CAMINHAO MUNK </t>
  </si>
  <si>
    <t xml:space="preserve"> INDIRETO</t>
  </si>
  <si>
    <t xml:space="preserve">270 LTS DE DIESEL S10 + 1.318,120 LTS DE DIESEL S500 ( PLACAS EGI 4A63 / AMF 4E46 / HTP 7114 / AYA 4J11 / KGN 2266 / ATP 7G86 ) </t>
  </si>
  <si>
    <t>62.578.906/0001-45</t>
  </si>
  <si>
    <t xml:space="preserve">OSMAR DE JESUS </t>
  </si>
  <si>
    <t xml:space="preserve">TRASNPOTE RODOVIARIO DE CARGA CAMINHAO SCANIA EQUIPE PAVIMENTAÇAO  ( VANDELERLEY ) </t>
  </si>
  <si>
    <t xml:space="preserve">CARGO CAÇAMBA </t>
  </si>
  <si>
    <t xml:space="preserve">LAVAÇAO + 5LTS DE DIESEL </t>
  </si>
  <si>
    <t xml:space="preserve">LAVAÇAO  CAMINHAO BASCULANTE </t>
  </si>
  <si>
    <t>ONIX PLACA ( TAI - 5E08 )</t>
  </si>
  <si>
    <t>CAMINHAO BASCULANTE</t>
  </si>
  <si>
    <t>M.O LANTERNA+LED+LANTERNA LAERAL</t>
  </si>
  <si>
    <t xml:space="preserve">MONTAGEM E DESCOMTAGEM + MOTOR </t>
  </si>
  <si>
    <t xml:space="preserve">INSTALAÇOES DE DOIS CINTOS DE SEGURANÇA + GIROFLEX + SUPORTE DE LIGAÇAO </t>
  </si>
  <si>
    <t>TROCA DE SIRENE DE RÉ COM SIRENE + INSTALAAO DO SUPORTE DO EXPTINTORR</t>
  </si>
  <si>
    <t xml:space="preserve">INSTALAÇOES DE GIROFLEX +  INSTALAÇOES DE CIBIÉS DIANTEIRO  E TRASEIRO                                                                                                                 </t>
  </si>
  <si>
    <t xml:space="preserve">TROCA DE STROBO + SIRENE + GIROFLEX </t>
  </si>
  <si>
    <t>TROCA DA BARRA LED+TROCA CHAVE+CIBIE+GIROFLEX</t>
  </si>
  <si>
    <t xml:space="preserve">GIROFLEX + TOCA DE STROBO </t>
  </si>
  <si>
    <t>LANTERNA+PISCA+LENTESM.O</t>
  </si>
  <si>
    <t xml:space="preserve">DESMONTAGEM E MONTAGEM COLUNA DE DIREÇAO CAM. BASCULANTE CAMRMA E RE E GIROFLEX </t>
  </si>
  <si>
    <t xml:space="preserve">SERVIÇO DE INSTALAÇAO DOS ALTO FALANTE + LIGAÇAO DO PLUG COM PLUG DO APARELHO </t>
  </si>
  <si>
    <t xml:space="preserve">COPIA DA CHAVE + DESMONTAGEM DO CILINDRO + REPARO DO PEDAL DO ACELERADOR </t>
  </si>
  <si>
    <t xml:space="preserve">LIGAÇAO DO CARREGADOR DE CELULAR </t>
  </si>
  <si>
    <t>INSTALAÇAO DAS LANTERNAS CANOINHA COM LANTERNAS, SERVIÇO DE TROCA DE LAMPADA  CARRETINHA CARREGAR W.C</t>
  </si>
  <si>
    <t xml:space="preserve">SERVIÇO DE TRASNFERENCIA DE CARGA TESTE DO ALTERNADOR E CHAVE GERAL </t>
  </si>
  <si>
    <t xml:space="preserve">SERVIÇO DE TESTAR E TROCAR O SELENOIDE  </t>
  </si>
  <si>
    <t xml:space="preserve">INSTALAÇAO TOMADA DE FORÇA PARA RAMPA DA PRANCHA + INSTALAÇOES DOS TERMINAIS </t>
  </si>
  <si>
    <t xml:space="preserve">REVISAO DOS DINALEIROS + TROCA DA LAMPANA  + EMENDA DE CHICOTE NA SETA </t>
  </si>
  <si>
    <t xml:space="preserve">SERVIÇO DE TROCA DE BATERIA  </t>
  </si>
  <si>
    <t>REVISAO DO STROBO  + TROCA DE CHICOTES + TROCA DE SIRENE</t>
  </si>
  <si>
    <t>SERVIÇO TROCA DE CIBIIE +ROCA DE MEIA LUZ TRASEIRA  CAMINHAO COMBOIO</t>
  </si>
  <si>
    <t>TROCA DE LAMPADA + REVISAO DOS FAROIS + GIROFLEX E INSTROBO</t>
  </si>
  <si>
    <t xml:space="preserve">TROCA RELOGIO HORIMETRO  + LIGAÇAO DE LUZ TRASEIRA  CAM. ESPAGIFOR </t>
  </si>
  <si>
    <t>03/112025</t>
  </si>
  <si>
    <t xml:space="preserve">RECOFICIONAMENTO DE CHICOTE E SERVIÇO DE TROCA DE ABRAÇADEIRA </t>
  </si>
  <si>
    <t>ACOMPANHAR PRODUÇÃO DOMINGO</t>
  </si>
  <si>
    <t xml:space="preserve">PORCA SEGMENTO M18 + parafuso segmento d6 </t>
  </si>
  <si>
    <t xml:space="preserve">INSTALAÇAO DE SIRENE COM RÉ + RIVISAO DE SINALEIRO + TROCA DE LUZ </t>
  </si>
  <si>
    <t xml:space="preserve">MOTANA PLACA ( UAS 3E83 ) </t>
  </si>
  <si>
    <t xml:space="preserve">ONIX PLACA ( TAI - 5E10) </t>
  </si>
  <si>
    <t xml:space="preserve">1 CAMARA + MONTAGEM E DESMONTAGEM </t>
  </si>
  <si>
    <t>IMPLEMENTO  FREZA  LOCAÇAO DE EQUIPAMENTOS</t>
  </si>
  <si>
    <t xml:space="preserve">IMPLEMENTO PLACA VIBRATORA </t>
  </si>
  <si>
    <t>PINOS E TRAVAS  PONTA STD P350 RETRO KOMATSU</t>
  </si>
  <si>
    <t xml:space="preserve">CONCRETO PARA CONTRUÇAO BASE BALANÇA CANTEIRO </t>
  </si>
  <si>
    <t>76.527.951/0005-09</t>
  </si>
  <si>
    <t>PARANA EQUIPAMENTOS S A</t>
  </si>
  <si>
    <t xml:space="preserve">TROCA DE FILTRO E OLEO </t>
  </si>
  <si>
    <t xml:space="preserve">PARAFUSO ALIEN  E  FECHADORA PORTA ACESSO </t>
  </si>
  <si>
    <t xml:space="preserve">LOCAÇAO CAÇAMBA </t>
  </si>
  <si>
    <t xml:space="preserve"> 2 BASE COM ILUMINAÇAO COMPLETAS </t>
  </si>
  <si>
    <t>FRETEIROS+KFF8D90-1.580,05+KGN2266-1.362,00-ARX3I27-1.242,01-IQC6102-1.352,04-ANT1831-1.900,22-IQM2I17</t>
  </si>
  <si>
    <t xml:space="preserve">SAVEIRO ROBUST ( SET 1I21) </t>
  </si>
  <si>
    <t xml:space="preserve">FAZER CARRINHO COMPLETO DE LAVAR RODOS E RASTELOS </t>
  </si>
  <si>
    <t>SERVIÇO DE CONEXAO ( VIBRO ACABADORA )</t>
  </si>
  <si>
    <t>SERVIÇO MOTO ELETICO</t>
  </si>
  <si>
    <t xml:space="preserve">CAMINHAO SINALIZAÇAO EQ </t>
  </si>
  <si>
    <t>ADEQUAÇAO DA RAMPA  DO PRANCHAC( CAMINHAO MERCEDES )</t>
  </si>
  <si>
    <t>46.454.053/0001-83</t>
  </si>
  <si>
    <t>FRANCO JUNIOR LOCACOES DE EQUIPAMENTOS</t>
  </si>
  <si>
    <t xml:space="preserve">LOCAÇAO DE ESCAVADEIRA 316 ( PERIODO 15/08/2025 A 30/09/2025 ) </t>
  </si>
  <si>
    <t xml:space="preserve">LOCAÇAO CAM. SOPRADOR( PERIODO 15/08/2025 A 30/09/2025 ) </t>
  </si>
  <si>
    <t xml:space="preserve">LOCAÇAO MICRO ONIBUS ( PERIODO 15/08/2025 A 30/09/2025 ) </t>
  </si>
  <si>
    <t xml:space="preserve">REFAZER BASE CONECTORA DA CONCHA DA RETROESCAVADEIRA CATERPILA </t>
  </si>
  <si>
    <t xml:space="preserve">SERVIÇO DE CALHA CASSAMBA DO CAMINHAO ( CLAUCIR ANTONIO RECK) </t>
  </si>
  <si>
    <t xml:space="preserve">MANGUEIRA DE CONEXAO DE AR </t>
  </si>
  <si>
    <t>76.527.951/0001-85</t>
  </si>
  <si>
    <t>PARANA EQUIPAMENTOS - CTBA PR</t>
  </si>
  <si>
    <t xml:space="preserve">GERADOR USINA ( LOCAÇAO ) </t>
  </si>
  <si>
    <t xml:space="preserve">COMPRA DE PISOS  PARA ESCRITOIO ( ESCRITORIO ) CANTEIRO </t>
  </si>
  <si>
    <t>26.385.079/0001-00</t>
  </si>
  <si>
    <t xml:space="preserve">GV PNEUS ( VIPAL REDE AUTORIZADA ) </t>
  </si>
  <si>
    <t>RECAPE</t>
  </si>
  <si>
    <t>REFORMA RECAP 12x16 DVMT 250 + CONSETO 05/04/04 (BOBCAT)</t>
  </si>
  <si>
    <t>CABO FLEX 166 + CABO FLEX HERBT. PRETO ( PARA USINA, LAVADOR DE PEDRAS )</t>
  </si>
  <si>
    <t xml:space="preserve">GUINCHO INTRAMUNICIAL (METRAGEM DO LAVADOR DE PEDRAS ) </t>
  </si>
  <si>
    <t xml:space="preserve">DIESEL S-510 783,74 LTS  PLACAS ( EKZ 4862 / NRZ 1E22 / HTP 5C12 / IOT 1A80 )  </t>
  </si>
  <si>
    <t xml:space="preserve">GANCHO GIRATORIO AUTOM </t>
  </si>
  <si>
    <t>GALÃO 20 LITROS TRANSPORTE DE COMBUSTIVEL 01 UN</t>
  </si>
  <si>
    <t>LOCAÇAO MINI ESCAVADEIRA 305 ( PERIODO 07/08 A 07/09 ) 2025</t>
  </si>
  <si>
    <t xml:space="preserve">IMORESSORA ( MANUNTENÇAO / BALANÇA / LABORATORIO </t>
  </si>
  <si>
    <t>54.114.072/0001-58</t>
  </si>
  <si>
    <t xml:space="preserve">FABIO C. MENDES </t>
  </si>
  <si>
    <t xml:space="preserve">FAZER SOLDA E ALINHAMENTO + MAÇARICO + CALDERARIA + RODA DE CORTE + MAO DE OBRA MONTAR E DESMONTAR </t>
  </si>
  <si>
    <t>CRONOGRAMAS + PARTE DE ORÇAMENTOS PARA O PROJETO  +  COMI, MUNQ</t>
  </si>
  <si>
    <t>12.498.722/0001-05</t>
  </si>
  <si>
    <t>APARECIDO VALERIO DE LIMA</t>
  </si>
  <si>
    <t>REFORMA TAMPAS LATERAIS CARROCERIA</t>
  </si>
  <si>
    <t>FRETEIROS+NRZ1F21-1.243,90+AMD4E46-845,02+EGI4A63-831,00+IQM2I17-933,38</t>
  </si>
  <si>
    <t>92.747.492/0002-82</t>
  </si>
  <si>
    <t>CCCC</t>
  </si>
  <si>
    <t>MATERIAL DESGASTE+LAMINAS+CANTOS+PARAFUSOS</t>
  </si>
  <si>
    <t>LINCK MAQUINAS</t>
  </si>
  <si>
    <t>CILINDRO-AMORTECEDOR ACENTO OPERADOR</t>
  </si>
  <si>
    <t>FILTRO HIDRAULICO+PORTA BITS</t>
  </si>
  <si>
    <t>GALÃO 20 LITROS TRANSPORTE DE COMBUSTIVEL 02 UN</t>
  </si>
  <si>
    <t xml:space="preserve">CURVA ZICADA + TAMPAO +CABO PP 4X2 + FONTE CHAVEADA + DISPOSITIVO PROTETOR  + LUVA DE EMENDA + TERMINAL DE COMPRESSAO + PLUG FEMEA + PLACA 1 POSTO VERTICAL + FIO FLEXIVEL </t>
  </si>
  <si>
    <t>LAMINA CARACOL + CARACOL ESQUERDO V406302063 + CARACOL DIREITO + PARAFUSO + PORCA CHAPEU DN1587 M20 + PARAFUSO SEXT A VADO</t>
  </si>
  <si>
    <t>42.543.071/0001-80</t>
  </si>
  <si>
    <t xml:space="preserve">MADEIRAO MATERIAIS DE CONTRUÇAO </t>
  </si>
  <si>
    <t>obra</t>
  </si>
  <si>
    <t xml:space="preserve">MADEIRA (SERA DE PINUS ) </t>
  </si>
  <si>
    <t>02.841.406/0002-03</t>
  </si>
  <si>
    <t xml:space="preserve">DOURALUB DISTRIBUIDORA </t>
  </si>
  <si>
    <t>PREVENTICA CAM. TRIPLO</t>
  </si>
  <si>
    <t>1 MONTAEM E DESMOTAHEM</t>
  </si>
  <si>
    <t xml:space="preserve">CANETA SOPRADORA + COMPRESSOR DE AR + CORTADOR DE PISOS + LUBRIFICADOR DE LINHA + COMPRIMIDO 3/4 MARTELETEROMPEDOR PNEUMATICA </t>
  </si>
  <si>
    <t xml:space="preserve">FORMAS 10 + SUPORTE TAMBOR 10+  MESA +BACIAS + SUPORTE BALANÇA </t>
  </si>
  <si>
    <t xml:space="preserve">PRESTAÇAO DE SERVIÇO MECANICO EM GERAL ( ALEXANDRE DAMACENO ) </t>
  </si>
  <si>
    <t xml:space="preserve">7 VISORES 105X120 INCOLOR 4MM + 01 VIDRO TEMPERADO BLINDEX FUME COM CORTE 8MM </t>
  </si>
  <si>
    <t>21/10/20255</t>
  </si>
  <si>
    <t xml:space="preserve">PORNTEIRA ROCK CHEESEL + FIXADOR DE PONTEIRA ² </t>
  </si>
  <si>
    <t>REF ADESIVOS PREFIXOS COM PELICULA TRASNPARENTE 30X20CM</t>
  </si>
  <si>
    <t xml:space="preserve">BLOCO DE CHEQUK LIST 30 BLOCOS </t>
  </si>
  <si>
    <t xml:space="preserve">ADESIVOU PRISMATICOS REFÇETIVO COM APLICAÇAO GABINE CAMINHAO </t>
  </si>
  <si>
    <t>ADESIVOU PRISMATICOS REFLETIVO COM APLICAÇAO  CAM PIPA</t>
  </si>
  <si>
    <t xml:space="preserve">ADESIVOU PRISMATICOS REFLETIVO COM APLICAÇAO  ( ONIX SFH - 1F83 ) </t>
  </si>
  <si>
    <t>ADESIVOU PRISMATICOS REFLETIVO COM APLICAÇAO  ( POLO SFN - 3G87 )</t>
  </si>
  <si>
    <t xml:space="preserve">ADESIVOU PRISMATICOS REFLETIVO COM APLICAÇAO  ( ONIX SFN 1D29 ) ) </t>
  </si>
  <si>
    <t xml:space="preserve">ADESIVOU PRISMATICOS REFLETIVO COM APLICAÇAO  CAM BASCULANTE </t>
  </si>
  <si>
    <t>5951/A1</t>
  </si>
  <si>
    <t>08.766.702/0001-92</t>
  </si>
  <si>
    <t>BALANÇAS CATARINENSE</t>
  </si>
  <si>
    <t xml:space="preserve">BALANÇA ( INSTALADA NO CANTEIRO ) </t>
  </si>
  <si>
    <t xml:space="preserve">SERVIÇO DE GUINDASTE E IÇAMENTO </t>
  </si>
  <si>
    <t xml:space="preserve">EXAUSTOR PAREDE + CABO FLEX + LAMP LED + SOQUETE TUBOL + BRAÇADEIRA + PAINEL EMB + LIZ FLEX + TRAMON MOD TOMADA + CAIXA PASSAGEM + FITA ISOLANTE </t>
  </si>
  <si>
    <t xml:space="preserve">DIESEL S 500 451,92 LTS PLACAS ( ATE 3I84 / ARN 2D47 ) </t>
  </si>
  <si>
    <t>INSTALAÇAO DE GIROFLEX AMARELO + CHAVE TICTACE MAO DE OBRA  ( MICROONIBUS)</t>
  </si>
  <si>
    <t xml:space="preserve">CAM BASCULANTE   LAMPADAS E TERMINAIS </t>
  </si>
  <si>
    <t xml:space="preserve">CAM BASCULANTE   LAMPADAS E TERMINAIS  + CAMERA DE RÉ </t>
  </si>
  <si>
    <t xml:space="preserve">LAMPADAS E MAO DE OBRA  CAM. PRANCHA MUNK </t>
  </si>
  <si>
    <t xml:space="preserve">INSTALAÇAO DE SETA MICROONIBUS AGRALE VALORE </t>
  </si>
  <si>
    <t xml:space="preserve">INSTALAÇAO DE CAMERA DE RÉ E MAO DE OBRA ( OOM - 7329)  </t>
  </si>
  <si>
    <t xml:space="preserve">INSTALAÇAO DE MONITOR DE CAMARA DE RÉ, ESTROBO, GIROFLEX CHAVE TICTAC, RELES E MAO DE OBRA  DESCONTAR PLACA AUX 2G56 </t>
  </si>
  <si>
    <t xml:space="preserve">INSTALAÇAO DE MONITOR DE CAMARA DE RÉ, ESTROBO, GIROFLEX CHAVE TICTAC, RELES E MAO DE OBRA  DESCONTAR PLACA ATG - 3184 </t>
  </si>
  <si>
    <t>INSTALAÇAO MINI ESCAVADEIRA DE GIROFLEX AMARELO + CHAVE TICTAC</t>
  </si>
  <si>
    <t xml:space="preserve">INSTALAÇAO DE CHAVA TICTAC + STROBO + MAO DE OBRA  ( MONTANA TAX - 8141 ) </t>
  </si>
  <si>
    <t xml:space="preserve">INSTALAÇAO DE CAMERA DE RÉ , ESTROBO + SIRENE + CHAVE DE LUZ E MAO DE OBRA </t>
  </si>
  <si>
    <t xml:space="preserve">INSTALAÇAO DE FAROL STROBO, CAMERA DE RÉ + MONITOR DE CAMERA + GIROFLEX + SINERENE + CHAVE + EXTENSOES </t>
  </si>
  <si>
    <t xml:space="preserve">INSTALAÇAO DE CAMERA DE RÉ ( POLO EQUIPE DE SEGURANÇA) </t>
  </si>
  <si>
    <t xml:space="preserve">INSTALAÇAO CAMARE DE RÉ CONJUNTO MAO DE AMIGO + FAROL + GIROFLEX + CHICOTE E SIRENE </t>
  </si>
  <si>
    <t xml:space="preserve">INSTALAÇOES SOMENTE MAO DE OBRA ( CAM. BASCULANTE ) </t>
  </si>
  <si>
    <t>EQUIPAMENTO</t>
  </si>
  <si>
    <t xml:space="preserve">CONCERTO DE BONECO PARA SINALIZAÇAO </t>
  </si>
  <si>
    <t>MONTANA, INSTALAÇAO DE MAO AMIGO, BARCO ( UAS 3E83  )</t>
  </si>
  <si>
    <t xml:space="preserve">CAM. BASCULANTE ( INSTALAÇOES DE LAMPADAS ) </t>
  </si>
  <si>
    <t xml:space="preserve">BUCHA ESTABILIZADA </t>
  </si>
  <si>
    <t xml:space="preserve">LAVAGEM / VEICULOS </t>
  </si>
  <si>
    <t xml:space="preserve">1 BICO + 1 CONSERTO ( CORSA PLACAS HSI 7512 )  </t>
  </si>
  <si>
    <t xml:space="preserve">1 CONSERTO CAMINHA ESPAGIDOR </t>
  </si>
  <si>
    <t xml:space="preserve">1 rodizio CAM. SINALIZAÇAO </t>
  </si>
  <si>
    <t xml:space="preserve">MEIA SOLA ( CAVALO MECANICO PRANCHA) </t>
  </si>
  <si>
    <t>CAM. ESPAGIDOR  ( LAVAGEM )</t>
  </si>
  <si>
    <t>MONTANA RENILDO ( PLACA SFO 1G40 )</t>
  </si>
  <si>
    <t xml:space="preserve">LAVAGEM ( CAM. PIPA ) </t>
  </si>
  <si>
    <t xml:space="preserve">LAVAGEM  SO POR FORA ( MINI CARREGADEIRA ) </t>
  </si>
  <si>
    <t xml:space="preserve">LAVAGEM MEIA SOLA ( CAM. TRENTINI ) (PLACA IOT - 1A80 ) </t>
  </si>
  <si>
    <t xml:space="preserve">LAVAGEM POR BAIXO (CTM 13175)  </t>
  </si>
  <si>
    <t xml:space="preserve">LAVAGEM MICRO ONIBUS  </t>
  </si>
  <si>
    <t>LAVAGEM  MONTANA SFJ 2H21</t>
  </si>
  <si>
    <t>MONTANA EMERSOM ( TBK 1A70)</t>
  </si>
  <si>
    <t>SAVEIRO ADELIRIO OLACAS ( TBM 6JJ2i</t>
  </si>
  <si>
    <t xml:space="preserve">FRETE DE TUBULAÇOES </t>
  </si>
  <si>
    <t>23/10/0202</t>
  </si>
  <si>
    <t xml:space="preserve">PRESTAÇAO DE SERVIÇO FERMORMA CANTEIRO ( NEOVIA)  REF: AO CONTRATO 163.03MSV MUNDO NOVO KM 18 </t>
  </si>
  <si>
    <t xml:space="preserve">PONTEIRA ROCK CHESEL + FIXADOR PONTEIRA  ( ESCAVADEIRA HIDRAULICA ) </t>
  </si>
  <si>
    <t xml:space="preserve">JET COOLER MB AXOR - OM 457LA  ARLA </t>
  </si>
  <si>
    <t xml:space="preserve">CONFIGURAÇAO DE TOMADA DO RABICHO PARA O PLUQUE DO ONIBUS </t>
  </si>
  <si>
    <t xml:space="preserve">TROCA DE SIRENE + TROCA DE CIBIÉ TRASEIRO  + TERMINAIS DE FIO </t>
  </si>
  <si>
    <t xml:space="preserve">SUBISTITUIÇAO DE SIRENE DE RÉ  BM 10 E TERMINAIS </t>
  </si>
  <si>
    <t>LIGAÇAO   CHICOTE DO GIROFLEX + STROBO</t>
  </si>
  <si>
    <t xml:space="preserve">INSTALAÇAO DO CHICOTE DA MAO AMIGA + CIBIÉ + TROCA DE FUSIVEL ( CAVALO MECANICO ) </t>
  </si>
  <si>
    <t xml:space="preserve">REVISAO SINALEIRO DIANTEIRO + LUZ ITERNA GBINE ( CAM. BASCULANTE ) </t>
  </si>
  <si>
    <t xml:space="preserve">SUBISTITUIÇAO DE SIRENE DE RÉ  BM 10 E TERMINAIS  + TROCA DE LAMAPADA ( ROLO HAM ) </t>
  </si>
  <si>
    <t xml:space="preserve">TROCA DE CIBIÉ + SUBSTITUIÇAO DE ACELERADOR + CHAVE DE CIBIÉ </t>
  </si>
  <si>
    <t xml:space="preserve">SERVIÇO REPARO DO COMUTADOR DE IGNIÇAO SERVIÇO DE SUBISTITUIÇAO E CHAVE </t>
  </si>
  <si>
    <t xml:space="preserve">CAM . ESPAGIDOR RECONDICIONAMENTO DO CHICOTE +TROCA DO MOTOR RPM +CHIP DA PLACA ELETRONICA + </t>
  </si>
  <si>
    <t>SERVIÇO DE REVISAO DE SINALEIRO  + TROA DE LAMPADA + INSTALAÇAO DE CAMERA DE RÉ E MONITOR (SERVIÇO REALIZADO EM NOVA ALVORADA )</t>
  </si>
  <si>
    <t>EQUIPANENTOS</t>
  </si>
  <si>
    <t xml:space="preserve">TROCA DO SENSOR DO PAINEL DE TEMPERATURA  + MARCADOR DE COMBUSTIVEL + CONECTTOR + LAMPADAS + TOCOGRAFO + CHICOTE ELETRICO SINALEIROS  ( CAM CIMENTO) </t>
  </si>
  <si>
    <t xml:space="preserve">REVISAO DO CHICOTE  + SIRENE DE RE +CAMERA DE RÉ (MINICAVADEIRA) </t>
  </si>
  <si>
    <t xml:space="preserve">FAROL DIANTEIRO E TRASEIRO + TROCA DE TERMINASIS + CAMERA DE RÉ (  MINI CARREGADEIRA ) </t>
  </si>
  <si>
    <t xml:space="preserve">MINI CARREGADEIRA SERVIÇO DE INSTALAÇAO DO CHICOTE DA CAMERA DE RÉ + REVISAO DOS SINALEIROS </t>
  </si>
  <si>
    <t xml:space="preserve">LIGAÇAO DA CHAVE DOS STROBO ( MICROONIBUS ) </t>
  </si>
  <si>
    <t>CAM. CONSERVA SERVIÇO DE REVISAO E LIGAÇAO DAS CHAVE DOS STROBO ( NOVA ALVORADA DO SUL ) (CONSERVA)</t>
  </si>
  <si>
    <t>15.370.558/0001-36</t>
  </si>
  <si>
    <t xml:space="preserve">CAPELARI E KANASHIMA LTDA </t>
  </si>
  <si>
    <t xml:space="preserve">ENG JUNÇAO 100x100 + 3M DE CORDA </t>
  </si>
  <si>
    <t>SERVIÇO DE CORREÇAO LIGAÇAO DA CENTRAL DOS STROBOS  ( ROLO CORRUGADO )</t>
  </si>
  <si>
    <t xml:space="preserve">CARRETINHA 2UNIDADE POR 4 DIAS  CARTAO JOAO NETO </t>
  </si>
  <si>
    <t>CHUMBADOR PBA 3/4x7 COM PORCA MAIS ARRUELA (LAVADOR DE PEDRA )</t>
  </si>
  <si>
    <t>PREDITIVA</t>
  </si>
  <si>
    <t>FILTRO AR PRIMARIO 94G/W20E + FILTRO COMBUSTIVEL + FILTRO DE AR SECUNDARIO 94G/W20E + FILTRO OLEO SEPARADOR + FILTRO DESUMIDIFICADOR</t>
  </si>
  <si>
    <t>FLANGE BTIANGULAR</t>
  </si>
  <si>
    <t>ROLAMENTOS/FLANGES VASSOURAS</t>
  </si>
  <si>
    <t>02.935.843/0001-05</t>
  </si>
  <si>
    <t>SEFAZ SECRETARIA DE ESTADO DA FAZENDA</t>
  </si>
  <si>
    <t>CONECTORES+DJUNTORS</t>
  </si>
  <si>
    <t>INSTALAÇÃO LABORÁTORIO+INSTALAÇÃO+RAMAL+REPAROS</t>
  </si>
  <si>
    <t>13.830.994/0001-15</t>
  </si>
  <si>
    <t xml:space="preserve">MRM FERRAGENS E FERRAMENTOS </t>
  </si>
  <si>
    <t xml:space="preserve">ADAPTADOR DE IMPACTO + PITO SEXT 1/2POL + PITO ESTRIADO </t>
  </si>
  <si>
    <t>NOVA FROTA</t>
  </si>
  <si>
    <t xml:space="preserve">ELEMENTO EXTERNO DO FILTRO DE AR + ELEMENTO INTERNO + FILTRO AR CONDICIONADO + FILTRO AR RECIRCULAÇAO </t>
  </si>
  <si>
    <t>DIESEL S 10  4.238,83 LTS placas ( EGI 4A63 + BWZ 1C13 + HTP 7G86 + HTP 7I14 + CLH 6J38 + KFF 8D90 + AYA 4J11 + KGN 2266 + DTV 9G75 +  SDP 3B26 + SEB 7G25</t>
  </si>
  <si>
    <t>05.413.664/0001-04</t>
  </si>
  <si>
    <t xml:space="preserve">C&amp;A TRASPORTES COMERCIO </t>
  </si>
  <si>
    <t xml:space="preserve">TANQUE USADO PARA ARMAZENAMENTO DE DIESEL </t>
  </si>
  <si>
    <t>ENGATE PARA MINI CARREGADEIRAS</t>
  </si>
  <si>
    <t>FILTRO SEP+FILTRO</t>
  </si>
  <si>
    <t xml:space="preserve">FILTROS ARLA </t>
  </si>
  <si>
    <t>FILTRO DE OLEO+FILTRO DE COMB+FILTRO DE AR+PARAFUSO+JOGO DE JUNTA+MANGUEIRA+OLEO MOTOR+KIT MOLA INJETORA</t>
  </si>
  <si>
    <t>TBO7H80 VEICULO RENIVE TROCA CAVELETE BOMBA DE AGUA</t>
  </si>
  <si>
    <t>MANUT.CHICOTE+PASSAR APARELHO LIMPEZA ARLA+BICO</t>
  </si>
  <si>
    <t>MÃO DE OBRA MOTOR+RETIFICA</t>
  </si>
  <si>
    <t>MÃO DE OBRA CONSERTO VENTUINHA+ TROCAR CAVALETE DE AGUA</t>
  </si>
  <si>
    <t xml:space="preserve">ARLA 32 GRAEL </t>
  </si>
  <si>
    <t xml:space="preserve">CORREIA + TINTA SPRAY + FITA VEDA ROSCA + ABRAÇADEIRA + ARRUELA + CONEXAO GALVANIZADA + THINNER 2750 AGRANEL </t>
  </si>
  <si>
    <t>OLEO DIESEL S 500 166,080LTS ( NTS 9G89 )</t>
  </si>
  <si>
    <t>OLEO DIESEL S 500 166,930S ( NTS 9G89 )</t>
  </si>
  <si>
    <t>OLEO DIESEL S 500 167,120 ( NTS 9G89 )</t>
  </si>
  <si>
    <t>34.314.560/0001-32</t>
  </si>
  <si>
    <t>MEJ MADEC LAMINADORA LTDA</t>
  </si>
  <si>
    <t xml:space="preserve">PLASTIFICADO 2,20X1,0X7MM ( MADERITE / FORMAS / DRENO ) 2 BOLETOS </t>
  </si>
  <si>
    <t xml:space="preserve">TIJOLOS RETRATOS PARA FAZER MURO LATERAL NE QUALIDADE </t>
  </si>
  <si>
    <t>35.791.222/0001-54</t>
  </si>
  <si>
    <t>BORRACHARIA DO TONHÃO</t>
  </si>
  <si>
    <t>MANUTENÇÃO PNEU+CAMERA+CPNSERTO</t>
  </si>
  <si>
    <t>ROSALIA BARRIOS</t>
  </si>
  <si>
    <t>FERRAMENTA</t>
  </si>
  <si>
    <t>CHAVE DE IMPACTO 1350NM 3/4 20V P20S 02 BATERRIAS</t>
  </si>
  <si>
    <t>04.131.838/0001-75</t>
  </si>
  <si>
    <t xml:space="preserve">NOTA DE COBRANÇA REFERENTE </t>
  </si>
  <si>
    <t>57.899.968/0001-19</t>
  </si>
  <si>
    <t>TORNOTEC SHIMADA ACESSORIOS</t>
  </si>
  <si>
    <t>PARAFUSOS+CHAVES+MANGUEIRA+CONEX+CAPA</t>
  </si>
  <si>
    <t xml:space="preserve">QUERENCIA CHURRASCARAIA </t>
  </si>
  <si>
    <t xml:space="preserve">BUFFET LIVRE </t>
  </si>
  <si>
    <t>11.523.796/0001-83</t>
  </si>
  <si>
    <t>DOS SANTOS E CIA LTDA</t>
  </si>
  <si>
    <t xml:space="preserve">SERVIÇO DE FABRICAR SUPORTE </t>
  </si>
  <si>
    <t>PARAFUSO 8x30 SEXT ACO 8.8 + PORCA + ARRUELAS ( INSTALAÇOES DE BAHEIRO )</t>
  </si>
  <si>
    <t>35791222/000154</t>
  </si>
  <si>
    <t xml:space="preserve">CONSERTO DE PNEU DESMONTAGEM E MONTAGEM ( BOBCAT) </t>
  </si>
  <si>
    <t>SERVIÇO MONTAGEM E DESMONTAGEM + VUKCANIZAÇAO ( CAM BASCULANTE )</t>
  </si>
  <si>
    <t xml:space="preserve">CAMARA DE AR + SERVIÇO MONTAGEM/DESMONTAGEM </t>
  </si>
  <si>
    <t xml:space="preserve">FILTRO HIDRAULICO + ELEMENTO EXTERNO +ELEMENTO INTERNO </t>
  </si>
  <si>
    <t>OLEO 15W40+10W+HD68 200 LT DE CADA</t>
  </si>
  <si>
    <t>00.361.448/0001-30</t>
  </si>
  <si>
    <t>RICKLI INDUSTRIA E COMERCIO DE BORRACHA</t>
  </si>
  <si>
    <t>PENEIRAS LAVAGEM DE PEDRAS</t>
  </si>
  <si>
    <t>79.879.318/0001-44</t>
  </si>
  <si>
    <t>PREVENTIVA DE 50 HR PÇ</t>
  </si>
  <si>
    <t>CORRETIVA CONSERTO DE MOTOR ELETRICO USINA</t>
  </si>
  <si>
    <t>VALVULA DE SUCÇÃO 3" MANGOTE TRASEIRO</t>
  </si>
  <si>
    <t>S10-CQH7F38-831,00-IUW3D73-1074,14-ATP7G86-301,04-EGI4A63-2.972,04-AUX2G56-480,926-ARX3I27-1026,23</t>
  </si>
  <si>
    <t xml:space="preserve">WK940/24 FILTRO DE COMBUSTIVEL HAM HUMMEL </t>
  </si>
  <si>
    <t xml:space="preserve">ROMAM - COMERCIO DE FERRAGENS </t>
  </si>
  <si>
    <t xml:space="preserve">ESTOPA COSTURADO DE PANO </t>
  </si>
  <si>
    <t>TB QD.4 600X300K60E 1/2H3,6</t>
  </si>
  <si>
    <t>J.HERBERTS</t>
  </si>
  <si>
    <t>ENGATE3"+ENGATEFEMEA+ABRACADEIRA</t>
  </si>
  <si>
    <t>PREVENTIVA DE 50HR M.O</t>
  </si>
  <si>
    <t>S500-JJX5932-554,00+NRZ1E22-44,90+NRZ1E22-1163,98+EKZ4862-550,00+HTP5C12-1133,82</t>
  </si>
  <si>
    <t>38.233.436/0002-39</t>
  </si>
  <si>
    <t xml:space="preserve">LUCIANA ASCURRA CORREA </t>
  </si>
  <si>
    <t>EXTINTORES</t>
  </si>
  <si>
    <t xml:space="preserve">CAFE CONTAINER ( MANUTENÇAO ) </t>
  </si>
  <si>
    <t>56.031.480/0001-02</t>
  </si>
  <si>
    <t xml:space="preserve">INSTALAÇOES DE 70M² FORRO PVC + TUBO 20X20 KM 18 +FORRO 8mm + 4 CHAPA DE ACRILICO </t>
  </si>
  <si>
    <t xml:space="preserve">CAIXA DAGUA TANQUE 5.000LTS ( LAVADOR DE PEDRA ) </t>
  </si>
  <si>
    <t xml:space="preserve">PORCA 1/2 x 7/16 + PARAFUSO PARA LAMIN 1/2  +LAMINA 16x152 </t>
  </si>
  <si>
    <t xml:space="preserve">CARTAO D </t>
  </si>
  <si>
    <t xml:space="preserve">BROCA + ELETROUDO +CONEXOES +ADAPATADORES </t>
  </si>
  <si>
    <t xml:space="preserve">INSTALAÇOES DE DIVISORIAS 135M² </t>
  </si>
  <si>
    <t xml:space="preserve">CONSERTO DE CUIDA E REGULAGEM FREIO ( CAM ESPARGIDOR ) </t>
  </si>
  <si>
    <t xml:space="preserve">CAM PIPA ( LAVAGEM COMPLETA ) 280 - 60 HAVER Total 220,00 R$ </t>
  </si>
  <si>
    <t xml:space="preserve">LAVAÇAO CAMINHAO ESPARGIDOR </t>
  </si>
  <si>
    <t xml:space="preserve">LAVAÇAO MONTANA MEIA SOLA  ( ROBERTO) </t>
  </si>
  <si>
    <t xml:space="preserve">LAVAÇAO MINI CARREGADEIRA (BOBCAT)   1 LT DE DIESEL </t>
  </si>
  <si>
    <t xml:space="preserve">LAVAÇAO CAMINHAO ESPARGIDOR ( PASSOU DIESEL + BATE AGUA ) </t>
  </si>
  <si>
    <t xml:space="preserve">TIRAR AREA DE DENTRO CAM. PIPA </t>
  </si>
  <si>
    <t xml:space="preserve">CASE RETRO ( 6 LITROS DIESEL  + 1/2 SOLA E LIMPEZA INTERNA </t>
  </si>
  <si>
    <t>MONTANA LAVAVAO ( TONINHO ) TAX - 8I41</t>
  </si>
  <si>
    <t>ONIX BRANCO LAVAÇAO  SFJ - 2H21</t>
  </si>
  <si>
    <t xml:space="preserve">CAM PLATAFORMA LAVAÇAO </t>
  </si>
  <si>
    <t>PA CARREGADEIRA</t>
  </si>
  <si>
    <t xml:space="preserve">LAVAÇAO MONTANA ( SFO 1G40 ) </t>
  </si>
  <si>
    <t xml:space="preserve">CAMINHAO CIMENTO LAVAÇAO SO GABINE </t>
  </si>
  <si>
    <t xml:space="preserve">LAVAÇAO NICROONIBUS </t>
  </si>
  <si>
    <t xml:space="preserve">LAVAÇAO ESCAVADEIRA HIDRAULICA </t>
  </si>
  <si>
    <t>SAVEIRO ROBUST ( TBM - 6J12 ) ADELIRIO</t>
  </si>
  <si>
    <t xml:space="preserve">CAM SINALIZAÇAO ( GIVANILDO ) LAVAÇAO </t>
  </si>
  <si>
    <t xml:space="preserve">1 PNEU 12 16,5 BOB CAT </t>
  </si>
  <si>
    <t xml:space="preserve">1 CONSERTO TBK 1A70 ( MONTANA ) </t>
  </si>
  <si>
    <t xml:space="preserve">1 MONTAGEM E DESMONTAGEM ( STRADA BRANCA ) JOSÉ ANTONIO </t>
  </si>
  <si>
    <t xml:space="preserve">1 MONTAGEM E DESMONTAGEM ( CARRIOLA RAFAEL ) </t>
  </si>
  <si>
    <t xml:space="preserve">1 MONTAGEM E DESMONTAGEM ( ROLO DE PNEUS ) </t>
  </si>
  <si>
    <t>TOMADA TRIFASICA 4 POLOS + FIO 16mm + CAIXA DE PASSAGEM (CONCRETO)</t>
  </si>
  <si>
    <t xml:space="preserve">VENTILADOR EXAUSTOR </t>
  </si>
  <si>
    <t>TORNEIRA PIA MOVEL BRANCA 3/4</t>
  </si>
  <si>
    <t xml:space="preserve">ESPATULA AÇO INOX  + VASELINA SOLIDA BRANCA </t>
  </si>
  <si>
    <t xml:space="preserve">DIESEL BS-10 + B500 + ARLA GRANEL (IOT 1A80 + ATP 7G86 + BWZ 1C30 + SEB 7G25 + SDP 3B25 )  </t>
  </si>
  <si>
    <t>08.298.989/0001-73</t>
  </si>
  <si>
    <t>SILVA E SILVA LTDA -  ME</t>
  </si>
  <si>
    <t xml:space="preserve">MATERIAL LAVA PEDRA ( VALVULA ESFERA + ENGATE RAPIDO + ADAPTADOR + UNIAO ASSENTO) JOSÉ ANTONIO </t>
  </si>
  <si>
    <t xml:space="preserve">CAVALO MECANICO TROCA DE LAMPADAS E SINALEIROS </t>
  </si>
  <si>
    <t xml:space="preserve">4 BUNECOS DE SINALIZAÇAO </t>
  </si>
  <si>
    <t xml:space="preserve">CAM CARROCERIA TROCA MONITOR + FIXAR PLACA TRASEIRA + FAROOIS DIANTEIRO + TROCA DE SIRENE DE RÉ + TROCA DE MODULO </t>
  </si>
  <si>
    <t xml:space="preserve">TROCA DE LAMPADA DOS FAROIS + RELIOGAÇAO DO MODULO DOS STROBOS </t>
  </si>
  <si>
    <t xml:space="preserve">ROLO DE PNEUS ( TROCA LANTERNA LED + LAMPADA + SERVIÇO FIXAR INGNIÇAO </t>
  </si>
  <si>
    <t xml:space="preserve">TROCA DE LANTERNA + MEIA LUZ </t>
  </si>
  <si>
    <t xml:space="preserve">CAM. CARROCERIA ( OISCA ALERTA COM RELE ) </t>
  </si>
  <si>
    <t xml:space="preserve">TRATOR DE PNEUS TROCA DE SIRENE DE RÉ + TROCA LAMPADA + EMENDA DO CHICOTE + LIMPADOR TRASEIRO </t>
  </si>
  <si>
    <t xml:space="preserve">CAM . VIGA REVISAO SINALEIRO </t>
  </si>
  <si>
    <t xml:space="preserve">SERVIÇO DE TROCA DE CIBIRÉ RÉ + LIGAÇAO DE CAMERA + LANTERNAS </t>
  </si>
  <si>
    <t xml:space="preserve">RETO ESCAVADEIRA ( INSTALAÇOES + TROCAS DE LAMPADAS + REVISAO DE SINALEIRAS E TESTE FLUSIVEL </t>
  </si>
  <si>
    <t xml:space="preserve">FIXAR LANTERNA ( CAM. BASCULANTE ) </t>
  </si>
  <si>
    <t xml:space="preserve">CAM BASCULANTE TROCA DE RELE PARTIDA E DESLOCAMENTO </t>
  </si>
  <si>
    <t xml:space="preserve">SERVIÇO  DE REVISAO DOS SINALEIROS E FAROIS, TROCA DO FAROL COM LAMPADA ( CAM PIPA) </t>
  </si>
  <si>
    <t xml:space="preserve">SERVIÇO DE TROCA LANTERNA LATERAL COM LANTERNA, SERVIÇO DE TROCA </t>
  </si>
  <si>
    <t xml:space="preserve">SERVUÇO DE TROCA DE MONITOR E DE CAMERA DE RE, LIGAÇAO DA LUZ DO TETO </t>
  </si>
  <si>
    <t xml:space="preserve">RELE + TROCA DE FAROIS ALTO E BAIXO </t>
  </si>
  <si>
    <t xml:space="preserve">SERVIÇO DE TESTES DO CHICOTE E RELE + FAROIS ALTO E BAIXO </t>
  </si>
  <si>
    <t xml:space="preserve">LIGAÇAO DOS FIOS CABO PP 3x1 MM para o motor </t>
  </si>
  <si>
    <t>33.136.110/0002-15</t>
  </si>
  <si>
    <t>DIPEMAX DISTRIBUIDORA DE PEÇAS LTDA</t>
  </si>
  <si>
    <t xml:space="preserve">SERVIÇO PARTE ELETRICA SIO 2A83 + REL 0242 + SEZ - 1C85 ( RIO BRILHANTE - MS ) </t>
  </si>
  <si>
    <t xml:space="preserve">CABOS FLEXISIVEIS ( ELETRO MAIKO ) </t>
  </si>
  <si>
    <t xml:space="preserve">PREGO CCAB 10 POL + MADEIRA SERRADA ( TABUAS DE 20CM ) </t>
  </si>
  <si>
    <t>OLEO DIESEL S 500 190,540Lts( NTS 9G89 )</t>
  </si>
  <si>
    <t>OLEO DIESEL S 500 191.520Lts ( NTS 9G89 )</t>
  </si>
  <si>
    <t>OLEO DIESEL S 500 167.510Lts ( NTS 9G89 )</t>
  </si>
  <si>
    <t>OLEO DIESEL S 500 200,550Lts ( NTS 9G89 )</t>
  </si>
  <si>
    <t>OLEO DIESEL S 500 116,701 ( NTS 9G89 )</t>
  </si>
  <si>
    <t>OLEO DIESEL S 500 102,570( NTS 9G89 )</t>
  </si>
  <si>
    <t>49.317.570/0001-07</t>
  </si>
  <si>
    <t>BR TRANSPORTES E LOCAÇOES LTDA</t>
  </si>
  <si>
    <t xml:space="preserve">MOVIMENTAÇAO DE BARREIRAS MUNCK COM OPERADOR </t>
  </si>
  <si>
    <t xml:space="preserve">PLUS 30 + ELEM FILTRO COMB + CARTUCHO FILTRO DE COMBUSTIVEL + ELEM FILTRO OLEO  MOTOR + MALHA COSTURADA </t>
  </si>
  <si>
    <t xml:space="preserve">DIESEL S-500 2.501,99 PLACAS (ANT 1831 + EZL 1D12 + EKZ 4862 +DTV 9F + AMD DE46 + NRZ 1F21 +JJX 5932 +  ATP 7G86 + HTP 7114 + ATE 3184 + FDC 8J84 + ARN 2D47 </t>
  </si>
  <si>
    <t xml:space="preserve">CANETA SOPRADORA + COMPRESSOR DE AR + CORTADORA DE PISOS + LUBRIFICADOR + MANGUEIRA + MARTELETE </t>
  </si>
  <si>
    <t xml:space="preserve">OLEO EIXO WB101 +PARAFUSO + PORCA </t>
  </si>
  <si>
    <t xml:space="preserve">tira br circ lam 120/14g + PLACA CIRCULO LAM 140/16 + CALÇO </t>
  </si>
  <si>
    <t>tira br circ lam 120/14g + PLACA CIRCULO LAM 140/16 + CALÇO</t>
  </si>
  <si>
    <t>57.007.760/0001-48</t>
  </si>
  <si>
    <t xml:space="preserve">BORRACHARIA AROEIRA ( DANIEL NOLLI ) </t>
  </si>
  <si>
    <t>SERVIÇO ( TIPTOP ) CONSERTO ( MINICARREGADEIRA)</t>
  </si>
  <si>
    <t xml:space="preserve">CONSERTO PNEU MINICARREGADEIRA </t>
  </si>
  <si>
    <t xml:space="preserve">TROCA DE PNEU (  SEMI REBOQUE ) </t>
  </si>
  <si>
    <t>SERVICO CONSERTO DE PNEU ) SEZ - 1C81</t>
  </si>
  <si>
    <t xml:space="preserve">SERVIÇO CONSERTO + TIPTOP ( PENEUS) </t>
  </si>
  <si>
    <t xml:space="preserve">SERVIÇO  DE MONTAGEM E DESMONTAGEM  ( MCL 1078 + 6340 ) </t>
  </si>
  <si>
    <t>SERVIÇO DE MONTAGEM E DESMONTAGEM + CAMERA  de AR</t>
  </si>
  <si>
    <t xml:space="preserve">SERVIÇO DE CONSERTOS E TIP TOP PENEUS </t>
  </si>
  <si>
    <t xml:space="preserve">SERVIÇO DE MONTAEM E DESMONTAGEM ( MCL 6340) + ( MCL 5716) </t>
  </si>
  <si>
    <t xml:space="preserve">MATERIA ELETRICO USINA / CANTEIRO ( MAIKO)  ( BUCHA  + CAIXA ELETRONICA + CURVA LONGA + FIO FLEXIVEL + PARAFUSO + MAGUEIRA + MODULO </t>
  </si>
  <si>
    <t>SERVIÇO DE SOCORRO VEICULO CARGO NUMERO DE IDENTIFICAÇAO ( MIV 8145)</t>
  </si>
  <si>
    <t xml:space="preserve">SERVIÇO DE MOLEJO CARRETA PRANCHA </t>
  </si>
  <si>
    <t xml:space="preserve">SERVIÇO DE EMBUCHAMENTO DE ESI CARRETA PRANCHA </t>
  </si>
  <si>
    <t xml:space="preserve">GERADOR 116 KVA TRIFASICO DIESEL 250LTS </t>
  </si>
  <si>
    <t xml:space="preserve">HORAS EXCDENTES DO GERADOR  REF: 97HRS EXCEDENTES </t>
  </si>
  <si>
    <t>CIMENTO C2 F 32 VOTORAN 50KG</t>
  </si>
  <si>
    <t>40.737.593/0001-98</t>
  </si>
  <si>
    <t>DAVANSO E DELEVATI LTDA</t>
  </si>
  <si>
    <t xml:space="preserve">CAFE ELDORADO ( MANUTENÇAO ) </t>
  </si>
  <si>
    <t>57.376.919/0001-90</t>
  </si>
  <si>
    <t xml:space="preserve">LUCAS DE OLIVEIRA </t>
  </si>
  <si>
    <t xml:space="preserve">PORTA PARA ESCRITORIO + VIDRO FUME </t>
  </si>
  <si>
    <t xml:space="preserve">JANELA FUME + POR DE GIRO ISUFILME </t>
  </si>
  <si>
    <t xml:space="preserve">SERVIÇO LUBRIFICADOR + FLUIDO RADIADOR + FILTRO DO MOTOR + SERVIÇO TROCA CORREIA </t>
  </si>
  <si>
    <t xml:space="preserve">PORTA BITIS </t>
  </si>
  <si>
    <t xml:space="preserve">COLA+LUVA+TE SOLDAVEL +PLUG + MICTORIO + ARAME + VALVULA + JOELHO +BUCHA + ARGAMASSA+ PEVEDUTO+EMENDA+CAL+REDUÇAO+FITA+CAIXA E CORDA </t>
  </si>
  <si>
    <t>15.389.901/0003-56</t>
  </si>
  <si>
    <t xml:space="preserve">AUTO PEÇAS PIROLI </t>
  </si>
  <si>
    <t>30/11/2025'</t>
  </si>
  <si>
    <t>MOLA E MOLEJO ( DIANTEIRO ESQUERDO</t>
  </si>
  <si>
    <t xml:space="preserve">PELICULA CARRO ADM POLO MARCOS </t>
  </si>
  <si>
    <t xml:space="preserve">PLACA COMPACTADORA </t>
  </si>
  <si>
    <t xml:space="preserve"> REFORMA RECP 12x16,51 </t>
  </si>
  <si>
    <t>FILTRO SEPARADOR AGUA + FILTRO DE COMBUSTIVEL</t>
  </si>
  <si>
    <t xml:space="preserve">CAIXA CIMENTO 20L + CORTINA SOLDA </t>
  </si>
  <si>
    <t xml:space="preserve">DIESEL S500 952,510 Lts ( kgn 2266 + kff 8D90 + CQH 7F36 + AVM 1C60 + IQM 2117) </t>
  </si>
  <si>
    <t xml:space="preserve">CORETIVA EM BORRACHA PARABRISA ( VASAMENTO DE AGUA ) ( MICROONIBUS) </t>
  </si>
  <si>
    <t xml:space="preserve">PLCA COMPACTADORA </t>
  </si>
  <si>
    <t>20.326.970/0001-99</t>
  </si>
  <si>
    <t xml:space="preserve">ALESSIUS RESTAURANTE </t>
  </si>
  <si>
    <t>ALMOÇO ( NOVA ALVORADA DO SUL ) DRENO ELIENTON</t>
  </si>
  <si>
    <t>02.855.426/0011-04</t>
  </si>
  <si>
    <t xml:space="preserve">PARANA EQUIPAMENTOS </t>
  </si>
  <si>
    <t>BICO + STRAINER E FILTRO</t>
  </si>
  <si>
    <t>09.137.236/0001-49</t>
  </si>
  <si>
    <t>ENZO CAMINHOES</t>
  </si>
  <si>
    <t xml:space="preserve">MICROLOG + UNIVERSAL +PANO P LIMPEZA + MICROLOG +INJEÇAO + INJEÇAO DP+ ANEL DE VEDAÇAO </t>
  </si>
  <si>
    <t xml:space="preserve">PREVENTIA TROCA DE OLEOO E DE FIKTRO </t>
  </si>
  <si>
    <t>DIESEL S 500 466,300 LTS PLACAS ( ATP 7G86 + JJX59 3932)</t>
  </si>
  <si>
    <t>ARRUELA + PORCA SEXT POLIDA+ BARRA DE ROSCA Q 3/4 1000 R1 POL</t>
  </si>
  <si>
    <t>PORTA BEATS FREZA</t>
  </si>
  <si>
    <t xml:space="preserve">P - 5913-017.5X25 PNEU 17 5X25 </t>
  </si>
  <si>
    <t xml:space="preserve">DESLOCAMENTO DO MECANICO TP V2, NUMERO O.S 91237 ( COMBOIO) </t>
  </si>
  <si>
    <t>TICKET LOG RECOLHEMENTO IRFF TRANSAÇOES REALIZADAS ATE 31/10</t>
  </si>
  <si>
    <t>PRESTAÇAO DE SERVIÇO DE FABRICAÇAO DE PERLONGADO</t>
  </si>
  <si>
    <t>00.419.103/0001-90</t>
  </si>
  <si>
    <t xml:space="preserve">DOUTUBOS </t>
  </si>
  <si>
    <t xml:space="preserve">VALVULA TRIPARTIDA A CARBONO 3/4 REGISTRO GAVETA REF 601 </t>
  </si>
  <si>
    <t xml:space="preserve">TESTAR SELENOIDE DA BOMBA + MANGUEIRAS HIDRAULICAS </t>
  </si>
  <si>
    <t>REPARO COMPRESSOR</t>
  </si>
  <si>
    <t>TROCAR REPADO COMPRESSOR</t>
  </si>
  <si>
    <t>04.925.648/0001-20</t>
  </si>
  <si>
    <t xml:space="preserve">COSTA E COSTA </t>
  </si>
  <si>
    <t>LENT LANT TIJOULINHO + AM ARRENDONDADA - SINALSUL</t>
  </si>
  <si>
    <t xml:space="preserve">LOCAÇAO DE CONTAIRNER  ESCRITORIO </t>
  </si>
  <si>
    <t xml:space="preserve">PREGO 18X24 TABUA PINO 3MTS + COLUNA DE FERRO PRONTA 7/14 </t>
  </si>
  <si>
    <t>SILO CIMENTO RANDON PLACA ( GKL - 3C41)</t>
  </si>
  <si>
    <t xml:space="preserve">LOCAÇAO DE MAQUINAS </t>
  </si>
  <si>
    <t xml:space="preserve">TROCA DE MOLA CAMINHAO BASCULANTE </t>
  </si>
  <si>
    <t xml:space="preserve">EMNUCHAMENTO DO CHASSI </t>
  </si>
  <si>
    <t>39.961.432/0001-02</t>
  </si>
  <si>
    <t>EG TECH SERVICOS DE MANUTENCAO INDUSTRIAL</t>
  </si>
  <si>
    <t xml:space="preserve">ELABORAÇAO DE PROJETO, PARA INSTALAÇAO NO CANTEIRO ( ENGENHARIA ) </t>
  </si>
  <si>
    <t>PRESTAÇAO DE SERVIÇO REFERENTE ENERGIA INDUASTRIAL</t>
  </si>
  <si>
    <t>07.222.462/9600-01</t>
  </si>
  <si>
    <t>ESTRELA DOURADA</t>
  </si>
  <si>
    <t>CARTAO TOINHO</t>
  </si>
  <si>
    <t xml:space="preserve">ABASTESCIMENTO ( CARTAO PARTICULAR ) TONINHO 25LTS  ETANOL </t>
  </si>
  <si>
    <t>04.868.412/0007-94</t>
  </si>
  <si>
    <t xml:space="preserve">AUTO POSTO PRA PRENTE BRASIL </t>
  </si>
  <si>
    <t xml:space="preserve">MANGUEIRAS DE AR COMPRIMIDO MT + MANGUEIRA DEA R COMPRIMIDO 20M </t>
  </si>
  <si>
    <t>37.533.523/0001-03</t>
  </si>
  <si>
    <t xml:space="preserve">WOOD ACABAMENTOS </t>
  </si>
  <si>
    <t xml:space="preserve">PISO LAMINADO GREEN + MANDA 2MM+ ACESC CANTONEIRA GREEN + CANTONEIRA DE ALUMINIO </t>
  </si>
  <si>
    <t>FAZER UMA CONCHA COMPLETA PARA BOBACAT900X350mnn</t>
  </si>
  <si>
    <t xml:space="preserve">4 RODOS DE RASTELO PARA PAVIMENTAÇAO </t>
  </si>
  <si>
    <t xml:space="preserve">FAZER BASE COMPLETA LAVADOR DE PEDRA </t>
  </si>
  <si>
    <t xml:space="preserve">ENDIREITAR E SOLDAR PARACHOC ( SEMIREBOQUE) </t>
  </si>
  <si>
    <t>RECUPERAR QUADRO DE 6 PLACAS DE SINALIZACAO</t>
  </si>
  <si>
    <t xml:space="preserve">SERVIÇO PRANCHA </t>
  </si>
  <si>
    <t>SERVIÇO DE CANOS CAMINHAO PIPA</t>
  </si>
  <si>
    <t xml:space="preserve">FAZER RAMPA PARA ACABADORA DSUPORTES </t>
  </si>
  <si>
    <t xml:space="preserve">FAZE SUPORTE PRA TAMBOR ( ESPAGIDOR) </t>
  </si>
  <si>
    <t xml:space="preserve">FAZER SUPORTE DO COROTI TBF - 0H20 </t>
  </si>
  <si>
    <t xml:space="preserve">SERVIÇO FAZER BASE BANCO CAM. SINALIZAÇAO </t>
  </si>
  <si>
    <t xml:space="preserve">SERVIÇO DE MANGUEIRA PIPA </t>
  </si>
  <si>
    <t xml:space="preserve">PARALAMA TRASEIRO CAM. PIPA </t>
  </si>
  <si>
    <t>05.913.748/0001-07</t>
  </si>
  <si>
    <t xml:space="preserve">A BRASILEIRA MOVEIS </t>
  </si>
  <si>
    <t xml:space="preserve">AR CONDICIONADO SALA MANUTENÇAO ( UNIDADE INT ELGIN HW ECO INVERTER) ( PATRIMONIO ) </t>
  </si>
  <si>
    <t xml:space="preserve">EGI-4A63+ ARX - 3I27 + EGI 4A63 + DTV 9F75 + KGN 2266+ KFF 8D90 +IQC 6102 1.537,420LTS </t>
  </si>
  <si>
    <t>CINTA ELEVAÇAO BRANCA 06T 04M + CINTA ELEVAÇAO BRANCA + MANILHA + CINTA C/ CATRACA</t>
  </si>
  <si>
    <t>CARTAO TONINHO</t>
  </si>
  <si>
    <t xml:space="preserve">ENGATES COM ROSCA E ESCAMA </t>
  </si>
  <si>
    <t xml:space="preserve">PARAFUSO + PREGO + LAMINA </t>
  </si>
  <si>
    <t xml:space="preserve">CANTO 5 FURO 3/4 MOTONIVELADORA </t>
  </si>
  <si>
    <t xml:space="preserve">TIRA BR LAMINA </t>
  </si>
  <si>
    <t>04 PNEUS XBRI FORZA-1650,00 CADA PERDA DA CARCAÇA</t>
  </si>
  <si>
    <t>2 MONTAGEM DE PNEUS</t>
  </si>
  <si>
    <t>01 CONSERTO</t>
  </si>
  <si>
    <t xml:space="preserve">1 CONSERTO </t>
  </si>
  <si>
    <t>1 MONTAGEM</t>
  </si>
  <si>
    <t>1 TIP TOP+1CONSERTO</t>
  </si>
  <si>
    <t>1 CONSERTO</t>
  </si>
  <si>
    <t>2 CONSERTO</t>
  </si>
  <si>
    <t>MONTANA SFJ3B24</t>
  </si>
  <si>
    <t>GERAL</t>
  </si>
  <si>
    <t>SFO1G40 - MONTANA</t>
  </si>
  <si>
    <t>TBM6J12-MONTANA</t>
  </si>
  <si>
    <t>TBO7H80 POLO</t>
  </si>
  <si>
    <t>TBK1A70 MONTANA</t>
  </si>
  <si>
    <t xml:space="preserve">CAMINHAI TANQUE ( COMBOIO) </t>
  </si>
  <si>
    <t xml:space="preserve">CABO LONGO 1,5MNT + ADESIVO PLASTICO + CABO PP + FITA DUPLA FACE + TUBO PVC ESGOTO + TANQUE CONCRETO JOELHO </t>
  </si>
  <si>
    <t xml:space="preserve">TROCA PARABRISA CAM CARROCERIA </t>
  </si>
  <si>
    <t xml:space="preserve">EXTINTOR CARRETA ESPUMA MEC + EXTINTOR ESPUMA MEC + EXTINTOR INDUSTRIAL 20 KG </t>
  </si>
  <si>
    <t>EXTINTOR NOVO ABC 4 PLACAS DE IDENTIFICAÇAO  +DEMARCAÇAO DE SOLO</t>
  </si>
  <si>
    <t xml:space="preserve">FAZER 2 PROTEÇAO DE LANTERNA DE SETA E SOLDA NO CAMINHAO , CORTE DOBRA E SOLDA CADERIARIA </t>
  </si>
  <si>
    <t xml:space="preserve">MANGUEIRA R2 1/2 HIDRAULICA HYLIK + FGR 7/8 JIC 1/2 + FG90 </t>
  </si>
  <si>
    <t xml:space="preserve">CAM CONSERVA ( TROCA TERMINAL FAZER CONXA ) </t>
  </si>
  <si>
    <t xml:space="preserve">TROCA DE ESTIRANTI + FAZER SOLDACASTICA +FAZER E SOLDAR CHAPA DE DESGASTE DA CONCHA </t>
  </si>
  <si>
    <t>LOCAÇÃO DE CONTAINNERS VESTIARIO</t>
  </si>
  <si>
    <t>GIROFLEX+INSTALAÇÃO+SOCORRO+SIRENE RÉ</t>
  </si>
  <si>
    <t>TROCA LAMPADAS TRASEIRAS</t>
  </si>
  <si>
    <t>REMOÇÃO SUPORTE GIROFLEX+LEDS+BARRA LED</t>
  </si>
  <si>
    <t>INSTALÇAÕ DE SIRENE DE RÉ + CAMERA+CABO AUXILIAR+SIRENE</t>
  </si>
  <si>
    <t>LIGAÇÃO DE GIROFLEX+INSTALAÇÃO DE STROBOS</t>
  </si>
  <si>
    <t xml:space="preserve">TROCAR MONITOR+CAMERA DE RÉ+BATERIA CARGA </t>
  </si>
  <si>
    <t>TROCA DAS LANTENAS+LENTES</t>
  </si>
  <si>
    <t>RETIRAR ESTROBOS+MONTAGEM DOS ESTROBOS</t>
  </si>
  <si>
    <t>TROCAR CAMERA DE RÉ+SERVIÇOS</t>
  </si>
  <si>
    <t>ACOMPANHAR DOIMIGO OS EQUIPAMENTOS</t>
  </si>
  <si>
    <t>TROCA CAMERA DE RÉ+BATERIAS PARA CARREGAR</t>
  </si>
  <si>
    <t>ELETRICA+RELES+GIROFLEX+ILUMINAÇÃO</t>
  </si>
  <si>
    <t>ELETRICA+INSTALAÇÃO+STROBOS</t>
  </si>
  <si>
    <t xml:space="preserve">REVISÃO GERAL+LED LATERAL </t>
  </si>
  <si>
    <t>REVISÃO CAMERA DE RÉ EMENDA CHICOTE</t>
  </si>
  <si>
    <t>REVISAR+STROBOS+FAROIS+LAMPADAS+ACENDEDOR+GIROFLE</t>
  </si>
  <si>
    <t>CAMERA DE RÉ+LAMPADAS+MEIA LUZ+GIROFLEX</t>
  </si>
  <si>
    <t>TROCA STROBOS+LAMPADAS</t>
  </si>
  <si>
    <t>TROCAR STROBOS</t>
  </si>
  <si>
    <t>REVISÃO SINALEIRAS+FAROIS+LAMPADAS+RELE+CHAVE+CHICOTE+GIROFLEX</t>
  </si>
  <si>
    <t>TESTE CHICOTE CAMERA DE RÉ+TROCAR CAMERA</t>
  </si>
  <si>
    <t>TROCAR AMORTECEDOR ACENTO OPERADOR</t>
  </si>
  <si>
    <t>INSTALAÇÃO AUXILIAR+CHAVE+FUSIVEL+CABO</t>
  </si>
  <si>
    <t>TROCA DOS STROBOS</t>
  </si>
  <si>
    <t>FAROL AUXILIAR+LANTERNA+MEIA LUZ+RELE+CAMERA DE RÉ+CHICOTE</t>
  </si>
  <si>
    <t>TBM6712 - CAMERA DE RÉ+PORTA FUSIVEL</t>
  </si>
  <si>
    <t>INSTALÇAI DE CAMERA DE RÉ+RELE+LAMPADAS+SIRENE+STROBOS</t>
  </si>
  <si>
    <t>CAMERA DE RÉ+SINALEIRO+LAMPADAS</t>
  </si>
  <si>
    <t>TROCA PARA LAMA+LANTERNA+LAMPADA+SINALEIRO+SOCORRO</t>
  </si>
  <si>
    <t>OLEO DIESEL S500</t>
  </si>
  <si>
    <t>CORRENTE PARA CPM 2090  CAM.PLAT.MUNCK</t>
  </si>
  <si>
    <t xml:space="preserve">PEDESTAL + CORRENTE PLASSTICA +CAVALETE + PLCACAS DE SINALUZAVAO </t>
  </si>
  <si>
    <t>INDIIRETO</t>
  </si>
  <si>
    <t xml:space="preserve">TRATOR DE ESTEIRA LAVAÇAO </t>
  </si>
  <si>
    <t xml:space="preserve">ESCAVADEIRA HIDRAUlICA </t>
  </si>
  <si>
    <t xml:space="preserve">MINI CARREGADEIRA ( MEIA SOLA  ) </t>
  </si>
  <si>
    <t xml:space="preserve">montana nova ( pavimentaçao / josias) </t>
  </si>
  <si>
    <t xml:space="preserve">ONU-1202 OLEO DIESEL CLASSE GRUPO DE EMBAGEM 1000 LTS </t>
  </si>
  <si>
    <t xml:space="preserve">bico auto p abastecimento + tambor plast 200l </t>
  </si>
  <si>
    <t xml:space="preserve">SERVIÇOS MECANICOS ( MAO DE OBRA ) &lt; NOVA ALVORADA DO SUL &gt; </t>
  </si>
  <si>
    <t xml:space="preserve">CONTINENTAL CONTINECT CORREIA MOTOR + FILTRO DO AR </t>
  </si>
  <si>
    <t xml:space="preserve">1.766,439 LTS PLACAS ( SDP 3B26 + SEB 7G25 + CQH 7F36) </t>
  </si>
  <si>
    <t xml:space="preserve">ELEMENTO VAZADO CONTRUÇAO PAREDE LATERAL QUALIDADE </t>
  </si>
  <si>
    <t>02.331.276/0001-88</t>
  </si>
  <si>
    <t xml:space="preserve">POSTO DAS AMERICAS </t>
  </si>
  <si>
    <t xml:space="preserve">ARLA ( PAGO PELO CARTAO PARTICULAR CALOR ) </t>
  </si>
  <si>
    <t>36.521.669/0001-76</t>
  </si>
  <si>
    <t>FERNANDO SOARES DE TOLEDO</t>
  </si>
  <si>
    <t xml:space="preserve">21 PONTO DE TOMADA + 13 PONTO DE ILUMINAÇAO +ENTRADA DE ENEGIA + MONTAGEM E DESMONTAGEM </t>
  </si>
  <si>
    <t xml:space="preserve">FAZER TROCA E RECEPCIONAR SUPORTE DA BITS DE CORTE E DA INVALATADORA + SOLDA CHAPA DA LINGUA DA RODA DE CORTE + SOLDAS +REMOÇAO E PREPARAÇAO DA BASE </t>
  </si>
  <si>
    <t xml:space="preserve">CAMINHAO LUBRFICADOR  LAVAÇAO </t>
  </si>
  <si>
    <t xml:space="preserve">USOU 15 LITROS DE DIESEL  </t>
  </si>
  <si>
    <t xml:space="preserve">MONTANA SFN5C61 MEIA SOLA </t>
  </si>
  <si>
    <t xml:space="preserve">CAM PIPA ( TANQUE ) MEIA SOLA </t>
  </si>
  <si>
    <t xml:space="preserve">MICRO ONIBUS ( MEIA SOLA ) </t>
  </si>
  <si>
    <t>MOTONIVELADORA CATERPEA CAT (</t>
  </si>
  <si>
    <t>CAMINHAO SOLOCIMENTO ( MEIA SOLA )</t>
  </si>
  <si>
    <t xml:space="preserve">MICROONIBUS MEIA SOLA </t>
  </si>
  <si>
    <t xml:space="preserve">RECICLADORA DE SALFALTO MEIA SOLA </t>
  </si>
  <si>
    <t xml:space="preserve">CAVALO MECANICO MOTO DAVI </t>
  </si>
  <si>
    <t>SELANTE PU PRETO / CINZA 360G</t>
  </si>
  <si>
    <t xml:space="preserve">LUVA SLDA+ ADAPTADOR + ADESIVO + CAP SOLDA 25MM + JOELHO MANGUEIRA + VEDA ROSCA + ABRAÇADEIRA + MAGUEIRA PRETA </t>
  </si>
  <si>
    <t xml:space="preserve">SFN 6B92 POLO BRANCO JOAO stioker </t>
  </si>
  <si>
    <t xml:space="preserve">LAVADA MAIS MOTOR PLACA ( QHP 5143 ) </t>
  </si>
  <si>
    <t>59.910.610/0001-75</t>
  </si>
  <si>
    <t>PAMELA DAIANE RIBEIRO</t>
  </si>
  <si>
    <t>ESCADA MEZANINO + GUARDA CORPO + GUARDA CORPO 1,2M X 3,57M</t>
  </si>
  <si>
    <t xml:space="preserve">RETROVISOR UNIVERSSAL 200x370 </t>
  </si>
  <si>
    <t>DIESEL B S500 PLACAS ( AUX-2G56 + IQM 2117 + EGI4A63)</t>
  </si>
  <si>
    <t xml:space="preserve">ADESIVO PRIMASTICO REFLETIVOS COM APLICAÇAO ( SFJ - 3B24 ) </t>
  </si>
  <si>
    <t>ADESIVO PRIMASTICO REFLETIVOS COM APLICAÇAO ( UAS 3E83 )</t>
  </si>
  <si>
    <t>ADESIVO PRIMASTICO REFLETIVOS COM APLICAÇAO (tbk 1070)</t>
  </si>
  <si>
    <t>ADESIVO PRIMASTICO REFLETIVOS COM APLICAÇAO ( TAI - 5E08 )</t>
  </si>
  <si>
    <t>ADESIVO PRIMASTICO REFLETIVOS COM APLICAÇAO ( TAI - 5E10  )</t>
  </si>
  <si>
    <t xml:space="preserve">ADESIVO PRIMASTICO REFLETIVOS COM APLICAÇAO ( CAMINHAO BASCUANTE) </t>
  </si>
  <si>
    <t xml:space="preserve">ADESIVO PRIMASTICO REFLETIVOS COM APLICAÇAO (  CAMINHAO BASCUANTE) </t>
  </si>
  <si>
    <t xml:space="preserve">ADESIVO PRIMASTICO REFLETIVOS COM APLICAÇAO ( MICROONIBUS)  </t>
  </si>
  <si>
    <t>equipamnto</t>
  </si>
  <si>
    <t>ADESIVO PRIMASTICO REFLETIVOS COM APLICAÇAO ( TAK - 9130 )</t>
  </si>
  <si>
    <t xml:space="preserve">ADESIVO PRISMATICO REFLETIVOS COM APLICAÇAO  (SFO - 1G40 ) </t>
  </si>
  <si>
    <t>ADESIVO PRISMATICO REFLETIVOS COM APLICAÇAO  ( MONTANA TBO 7H80 )</t>
  </si>
  <si>
    <t xml:space="preserve">ADESIVO PRISMATICO REFLETIVOS COM APLICAÇAO  ( RETOROESCAVADEIRA ) </t>
  </si>
  <si>
    <t xml:space="preserve">ADESIVO PRISMATICO REFLETIVOS COM APLICAÇAO  ( CAM BASCULANTE CATARINO) </t>
  </si>
  <si>
    <t xml:space="preserve">ADESIVO PRISMATICO REFLETIVOS COM APLICAÇAO  ( CAM. BASCULANTE ) </t>
  </si>
  <si>
    <t>ADESIVO PRISMATICO REFLETIVOS COM APLICAÇAO  (  CAM. BASCULANTE )</t>
  </si>
  <si>
    <t>ADESIVO PRISMATICO REFLETIVOS COM APLICAÇAO  ( CAM. PLAT. MUNK )</t>
  </si>
  <si>
    <t>ADESIVO PRISMATICO REFLETIVOS COM APLICAÇAO  ( CAM. VIGA )</t>
  </si>
  <si>
    <t>ADESIVO PRISMATICO REFLETIVOS COM APLICAÇAO  ( MICOONIBUS )</t>
  </si>
  <si>
    <t>ADESIVO PRISMATICO REFLETIVOS COM APLICAÇAO  ( CARRETINHA )</t>
  </si>
  <si>
    <t>ADESIVO PRISMATICO REFLETIVOS COM APLICAÇAO  ( SEMI REBOQUE)</t>
  </si>
  <si>
    <t>ADESIVO PRISMATICO REFLETIVOS COM APLICAÇAO  ( MONTANA SFN - 5C16 )</t>
  </si>
  <si>
    <t>47.050.230/0001-29</t>
  </si>
  <si>
    <t>JJ E AR TRANSPORTES</t>
  </si>
  <si>
    <t>TRANSPORTE MINI CARREGADEIRAPRXMS</t>
  </si>
  <si>
    <t xml:space="preserve">ADESIVO PRIMASTICO REFLETIVOS COM APLICAÇAO ( </t>
  </si>
  <si>
    <t xml:space="preserve">TRASNPORTE mini CARREGADEIRA BOBCAT  CURITIBA X RIO BRILHANTE </t>
  </si>
  <si>
    <t>VIDRO LATERAL FUME + PUXADOR DE JANELA ( MICROONIBS)</t>
  </si>
  <si>
    <t xml:space="preserve">PELICULA PROTETORA SOLAR ( ROLO LARANJA) </t>
  </si>
  <si>
    <t xml:space="preserve">PELICULA PROTETORA SOLAR ( ROLO dynapac) </t>
  </si>
  <si>
    <t xml:space="preserve">DJENTOR + PARAFUSO + LUVA PU +BROCA MUNTIFUNÇAO + CONECTOR + BARRAMENMTO TP </t>
  </si>
  <si>
    <t>PARAFIUSO+PREGO+MALHA+DESEMPENADEIRA+CUMIEIRA</t>
  </si>
  <si>
    <t xml:space="preserve">PINCEL + LIXA + REVGOLD+THINER+CORESUL+FITA+KIT EPÓX ( MATERIAL CANTEIRO ) (ESCRITORIO) </t>
  </si>
  <si>
    <t>MOTOR4T+MOTOR TOYAMA TE65</t>
  </si>
  <si>
    <t>PATRIMONIO</t>
  </si>
  <si>
    <t>COMPACTADOR DE SOLO TRT80ZM</t>
  </si>
  <si>
    <t>45.645.103/0001-47</t>
  </si>
  <si>
    <t>MARIA HOLANDA ARAUJO DA SILVA</t>
  </si>
  <si>
    <t xml:space="preserve">TRANSPORTE EQUIPAMENTO ( ROLO COMBINADO) JACIARA - MT x MUNDONOVO - MS </t>
  </si>
  <si>
    <t>31/11/2025</t>
  </si>
  <si>
    <t xml:space="preserve">SFJ 2H21 ONIX BRANCO </t>
  </si>
  <si>
    <t xml:space="preserve">SINALIZAÇAO VISUAL BANNES ADESIVOS ( EQUIPES 518 / 514 / 509 ) </t>
  </si>
  <si>
    <t>MEDIÇAO DE VASSOURA 01/10/2025 a 30/10/2025</t>
  </si>
  <si>
    <t xml:space="preserve">MAO DE OBRA MECANICO ( ALEXANDRE DAMACENO ) MAQUINAS E CAMINHOES </t>
  </si>
  <si>
    <t>DIESEL FRETEIROS 2.112,559 LTS PLACAS (ARN 2D47 + ATE 3I84 + EGI 4A63 + FDC 8J84 SDP 3B26 )</t>
  </si>
  <si>
    <t xml:space="preserve">REFERENTE AO CONTRATO 163.03 MSV CANTEIRO MUNDO NOVO CONFORME CRONOGRAMA EXECUÇAO DA OBRA </t>
  </si>
  <si>
    <t>BORRACHAS PARA LAMAS</t>
  </si>
  <si>
    <t>ENZO CAMINHOES LTDA</t>
  </si>
  <si>
    <t xml:space="preserve">LIMPADOR + PANO LIMPEZA + JUNTA TAMPA CABEÇOTE +INJEÇAO +JOGO DE PEÇA DE ELEMENTO DE FILTRO + ANEL DE VEDAÇAO </t>
  </si>
  <si>
    <t xml:space="preserve">TUBO COBRE + TUDO DE ISOLAMENTO + SUPORTE + FITA OVC +ARRUELA </t>
  </si>
  <si>
    <t xml:space="preserve">LONA DE CONTENÇAO </t>
  </si>
  <si>
    <t xml:space="preserve">MONTAGEM E INSTALAÇOES DO FORRO CANTEIRO </t>
  </si>
  <si>
    <t xml:space="preserve">cedesa premium + nikor nivelador + reajunte + supercola </t>
  </si>
  <si>
    <t xml:space="preserve">DESLOCAMENTO DO MECANICO </t>
  </si>
  <si>
    <t>CORRETIVA EM PNEUS DOS CAMINHÕES</t>
  </si>
  <si>
    <t>NRZ1F21,AMD4E46,BWZ1C13,IOT1A80.EKZ4862,EJV2G07,DTV9F75,CQH7F36,IQM2I17,IOT1A80,EZL1D12,HRO3C89</t>
  </si>
  <si>
    <t>REGISTRO+VALVULA+VOLANTE</t>
  </si>
  <si>
    <t>DISCO TACOGRAFO+OLEODIESEL S500</t>
  </si>
  <si>
    <t xml:space="preserve">MEIA SOLA  LAVAÇAO ( TBO 0H40 ) </t>
  </si>
  <si>
    <t>FERRAMENTAS MANUAIS REGISTRO+VALVULA+VOLANTE</t>
  </si>
  <si>
    <t>VALVULA ESTICAR ESTEIRA</t>
  </si>
  <si>
    <t xml:space="preserve">MEIO SOLA ( ONIX BRANCO  ) </t>
  </si>
  <si>
    <t xml:space="preserve">INSTALAÇAO DE CAMERA DE RÉ  + EXTENÇAO </t>
  </si>
  <si>
    <t>INSTALAÇAO CAMERA DE RÉ + GIROFLEX + FAROL AUXILIAR STROBO</t>
  </si>
  <si>
    <t>INSTALAÇAO DE STROBO E GIRIFLEX ( ESCAVADEIRA HIDRAULICA )</t>
  </si>
  <si>
    <t xml:space="preserve">INSTALAÇAO DE ALTERNADOR ( CAM. PIPA) </t>
  </si>
  <si>
    <t xml:space="preserve">INSTALAÇOES DE BOTAO VIDROS  ( CAM BASCULANTE) </t>
  </si>
  <si>
    <t xml:space="preserve">INSTALAÇAO DE LAMPADAS + FAROIS DE LED + FAROL STROBO ( CAM. CARROCERIA ) </t>
  </si>
  <si>
    <t xml:space="preserve">INSTALAÇAO DE STROBO E GIROFLEZ ( MOTONIVELADORA) </t>
  </si>
  <si>
    <t>INSTALAÇAO DE GIROFLEX ( ESCAVADEIRA ESTEIRA)</t>
  </si>
  <si>
    <t>INSTALAÇAO DE GIROFLEX ( TRATOR DE PNEUS)</t>
  </si>
  <si>
    <t xml:space="preserve">INSTALAÇAO DE STROBO + GIROFLEX + LAMPADAS + CHAVE TICTAC ( ESCAVADEIRA HIDRAULICA) </t>
  </si>
  <si>
    <t xml:space="preserve">INSTALAÇAO DE GIROFLEX ( CAM.ESPARGIDOR) </t>
  </si>
  <si>
    <t>INSTALAÇAO DE GIROFLEX + FAROL AUXILIAR + STROBO ( MOTONIVELADORA)</t>
  </si>
  <si>
    <t xml:space="preserve">INSTALAÇAO DE FAROL DE LED QUADRADO 16 ( ROLO CORRUGADO) </t>
  </si>
  <si>
    <t xml:space="preserve">INSTALAÇOES DE GIROFLEX ( MONTANA RENILDO) </t>
  </si>
  <si>
    <t xml:space="preserve">TRASNPORTE VALETADEIRA CURITIBA X RIO BRILHANTE </t>
  </si>
  <si>
    <t>REGISTRO+MANGUEIRA+ABRAÇADEIRA</t>
  </si>
  <si>
    <t>REFORMA DE 05 PNEUS 12X16.5</t>
  </si>
  <si>
    <t>FAROL TRAZEIRO  JCB</t>
  </si>
  <si>
    <t>CAMINHO SEGURO ACESSO PATIO BALANÇA</t>
  </si>
  <si>
    <t>VAV 13193</t>
  </si>
  <si>
    <t>TROCAR FAIXAR REFLETIRVAS</t>
  </si>
  <si>
    <t>INSTALAR FAROL AUXILIAR+ESPAGUETE CABO2X1</t>
  </si>
  <si>
    <t>TROCAR BATERIA+TESTEAR ALTERNADOR</t>
  </si>
  <si>
    <t>SERVIÇO STROBOS+TROCA</t>
  </si>
  <si>
    <t xml:space="preserve">TROCAR BOMBA MISTURADOR </t>
  </si>
  <si>
    <t>TROCAR LAMOPADAS</t>
  </si>
  <si>
    <t>TROCAR MONITOR+CAMERA</t>
  </si>
  <si>
    <t>GIROFLEX+CAMERA+STROBOS+SIRENE+SINALEIROS+LAMPADAS</t>
  </si>
  <si>
    <t>REVISÃO SINALEIRO+LAMPADAS+LANTERNAS</t>
  </si>
  <si>
    <t>TROCA LANTERNA LATERAL</t>
  </si>
  <si>
    <t>TROCA DA MAÇANETA VIDRO</t>
  </si>
  <si>
    <t>GIROFLEX+CAMERA+FAROL AUXILIAR+MONITOR</t>
  </si>
  <si>
    <t>TROCA STROBOS+LAMNTERNAS+SOQUETES+FAROL+GIROFLEX</t>
  </si>
  <si>
    <t>TROCA DAS LAMPADAS DOS SINALEIROS MEIA LUZ</t>
  </si>
  <si>
    <t>TROCAR CAMERA DE RÉ+SINALEIROS+STROBOS+FAROL+LAMPADAS</t>
  </si>
  <si>
    <t>TROCA DE STROBOS</t>
  </si>
  <si>
    <t xml:space="preserve">INSTALAÇÃO DE GIROFLEX+STROBOS+CAMERA DE RÉ+SIRENE </t>
  </si>
  <si>
    <t>GIROFLEX+STROBOS+CAMERA+MONITOR+LENTES+6MT CABOS</t>
  </si>
  <si>
    <t>01 BUZINA</t>
  </si>
  <si>
    <t>LAITARTE E BALERINI LTDA</t>
  </si>
  <si>
    <t>SERVIÇO DE ENGENHARIA</t>
  </si>
  <si>
    <t>CRONOGRAMAS+PROJETOS+SERVIÇOS DE ENGENHARIA</t>
  </si>
  <si>
    <t>PREVENTIVA DE 500HORAS</t>
  </si>
  <si>
    <t>CLH6J38+AUX2G56+ATP7G86+SEB7G25+SEB7G25</t>
  </si>
  <si>
    <t xml:space="preserve">LIMPEZA INTERNA TANQUE DE AGUA+DESMONTAGEM BOMBA </t>
  </si>
  <si>
    <t>M.O PREVENTIVA</t>
  </si>
  <si>
    <t>PEÇAS PREVENTIVA OLEO E FILTROS</t>
  </si>
  <si>
    <t>M.O REPARAÇÃO EM SISTEMA DE ARLA SCANNER</t>
  </si>
  <si>
    <t>VALVULA LIMITADORA+KIT REPARO+KIT VALVULA</t>
  </si>
  <si>
    <t xml:space="preserve">ADEQUAÇÃO PRISMATICA REFLETIVA DIVERSOS EQUIPAMENTOS </t>
  </si>
  <si>
    <t>10.443.660/0001-09</t>
  </si>
  <si>
    <t>TORRE FORTE ENGENHARIA LTDA</t>
  </si>
  <si>
    <t>PEÇAS PARA INSTALÇAO ELETRICA CANTEIRO SISTEMA PARA RAIO</t>
  </si>
  <si>
    <t>50.005.677/0001-36</t>
  </si>
  <si>
    <t>LIMA &amp; MENDONÇA LTDA</t>
  </si>
  <si>
    <t>ADESIVOS BALANÇA+PORTAS+PLACAS</t>
  </si>
  <si>
    <t>FAIXA REFLETIVA LATERAL+PARACHOQUE+ALICATE+JG DE CHAVE6-32MM+ALICATE DE PRESSÃO+CHAVE10,13,17MM</t>
  </si>
  <si>
    <t>REFORMA CARRO VANDERLEY SFI2H21</t>
  </si>
  <si>
    <t>01.035.897/0001-51</t>
  </si>
  <si>
    <t>LUBFIL COMERCIO DE FILTRO</t>
  </si>
  <si>
    <t>FILTROS + ELEMENTO</t>
  </si>
  <si>
    <t xml:space="preserve">TRANSPORTE VALETADEIRA BAGUAÇU PARA RIO BRILHANTE ( VALETADEIRA ) </t>
  </si>
  <si>
    <t>TRANSPORTE VALETADEIRA CURITIBA PARA  RIO BRILHANTE (MINICARREGADEIRA)</t>
  </si>
  <si>
    <t>ELEMENTO DE FILTRO</t>
  </si>
  <si>
    <t>TANQUE+ABRAÇADEIRA+JOELHO+ADAPTADOR+VEDADOR+MANGUEIRA+BUCHA</t>
  </si>
  <si>
    <t>MALHA+BROXA+PARAFUSO+DISCO+CHAVE</t>
  </si>
  <si>
    <t>LOCAÇÃO DE GERADOR USINA</t>
  </si>
  <si>
    <t xml:space="preserve">LAVAGEM SAVEIRO ( TBE 7F22) </t>
  </si>
  <si>
    <t>EGI4A63+FDC8J84+HTP5C12</t>
  </si>
  <si>
    <t>MATERIAL DE LIMPEZA MAQUINAS E CAMINHÕES</t>
  </si>
  <si>
    <t>LOCAÇÃO DE PLATAFORMA 16MT</t>
  </si>
  <si>
    <t>PLANO DE RIGGING MOVIMENTAÇÃO DE CARGA</t>
  </si>
  <si>
    <t xml:space="preserve">CONSUMO DE COMBUSTIVEL ETANOL GASOLINA </t>
  </si>
  <si>
    <t xml:space="preserve">RECUPERAÇAO DE PLACAS D SINALIZAÇAO </t>
  </si>
  <si>
    <t>/</t>
  </si>
  <si>
    <t>DRENO/SERGIO</t>
  </si>
  <si>
    <t>LAVAGEM COMPLETA ( ESCAVADEIRA HIDRAULICA ) A</t>
  </si>
  <si>
    <t xml:space="preserve">REBOQUE LAVAGEM COMPRETA </t>
  </si>
  <si>
    <t>49.583.613/0001-98</t>
  </si>
  <si>
    <t xml:space="preserve">JOELSON PERALTA </t>
  </si>
  <si>
    <t>MÃO DE OBRA MECANICA</t>
  </si>
  <si>
    <t xml:space="preserve">COMBOIO LAVAGEM COMPLETA </t>
  </si>
  <si>
    <t xml:space="preserve">QHP 5143  ( CAM . MUNCK ) </t>
  </si>
  <si>
    <t>LAVAGEM SFO 1G40  ( RENILDO MONTANA )</t>
  </si>
  <si>
    <t xml:space="preserve">LAVAGAM TBK 1A70 ( MONTANA EMERNSON ) </t>
  </si>
  <si>
    <t xml:space="preserve">LAVAGAM POLO ( TBO 7H80) </t>
  </si>
  <si>
    <t xml:space="preserve">LAVAGEM MONTANA ( UAS 3E83) </t>
  </si>
  <si>
    <t xml:space="preserve">LAVAGEM ONIX ( TAI 5E10 )  </t>
  </si>
  <si>
    <t xml:space="preserve">LAVAGEM MONTANA CLEITON ( TAM 2A92) </t>
  </si>
  <si>
    <t>LAVAGEM ONIX ( TAI 5E08</t>
  </si>
  <si>
    <t xml:space="preserve">LAVAGEM CAM. ESPAGIDOR ( CEM 0587) </t>
  </si>
  <si>
    <t>40.000.115/9001-45</t>
  </si>
  <si>
    <t>FRETE REFERENTE A PARA BRISA DANIFICADO</t>
  </si>
  <si>
    <t>186539020001-92</t>
  </si>
  <si>
    <t>SUZIANE CZEZANIAK</t>
  </si>
  <si>
    <t>LOCAÇÃO DE IMPRESSORAS</t>
  </si>
  <si>
    <t>60.515.603/0003-10</t>
  </si>
  <si>
    <t xml:space="preserve">BR VIDROS OFF ROAD </t>
  </si>
  <si>
    <t>PARA BRISA FRONTRAL QUEBRA</t>
  </si>
  <si>
    <t xml:space="preserve">SERVIÇO DE MARTELINHO DE OURO TCROS PLACA ( SFO 7H36 ) </t>
  </si>
  <si>
    <t>LOCAÇAO DE CAÇAMBA DE LIXO</t>
  </si>
  <si>
    <t>DIESEL S10-S500</t>
  </si>
  <si>
    <t>49.107.106/0001-88</t>
  </si>
  <si>
    <t>VIDRO FRONTRAL QUEBRA EM SOLDA</t>
  </si>
  <si>
    <t xml:space="preserve">MICOONIBUS ( LAVAÇAO COMPLETA ) </t>
  </si>
  <si>
    <t xml:space="preserve">SOCORRO PERTODO BOCA DE LATA </t>
  </si>
  <si>
    <t xml:space="preserve">MONTAGEM E DESSMONTAGEM  ( MINI ESCAVADERA ) </t>
  </si>
  <si>
    <t xml:space="preserve">CONSERTO + TIPTO </t>
  </si>
  <si>
    <t>15.225.898/0001-73</t>
  </si>
  <si>
    <t>JC MORO</t>
  </si>
  <si>
    <t>ABO 1H94</t>
  </si>
  <si>
    <t xml:space="preserve">LOCAÇAO 01/09/2025 A 31/10/2025 </t>
  </si>
  <si>
    <t>63.551.092/0001-18</t>
  </si>
  <si>
    <t xml:space="preserve">PRISCILA YUMI BRASIL </t>
  </si>
  <si>
    <t xml:space="preserve">8 PORTAS SANFONADAS + PORTA GIRO + FOLHJA DE JANELA + 4CHAPAS POLICRILL + 4 BASCULANTE COM ARMAÇAO NO TUBO DO ALUMINIO </t>
  </si>
  <si>
    <t>CONCRETAGEM BAIA ESPARGIDOR</t>
  </si>
  <si>
    <t>05.005.677/0001-36</t>
  </si>
  <si>
    <t>GRAFICA COMETA</t>
  </si>
  <si>
    <t xml:space="preserve">CONFECÇÃO DE PLACAS SINALIZAÇÃO </t>
  </si>
  <si>
    <t xml:space="preserve">PEDIDO DE 5 M³ DE CONCRETO PARA CALÇADA ( CANTEIRO ) </t>
  </si>
  <si>
    <t xml:space="preserve">RECARGA + EXTINTOR NOVO ABC 8KG + LUMINARIAS + PLACAS DE SINALIZACAO + TRIPE DE SOLO </t>
  </si>
  <si>
    <t>TELA+BICO AGUA</t>
  </si>
  <si>
    <t xml:space="preserve">PARAL TRANS CAB DIR + ESTRIBO DIR MB AXOR 14 (NF) </t>
  </si>
  <si>
    <t xml:space="preserve">DIESEL B S10 435LTS  DIESEL S500 1.124,370 LTS PLACAS ( NRZ 1E22 + EGI 4A63  + ATE 3184 + HTP 7I84 + AMD 4E46 ) </t>
  </si>
  <si>
    <t xml:space="preserve">BUCHA + ANEL + ARRUELA + BUCHA  +CHAPA DE COMPENSAO  + ANEL E CALCO </t>
  </si>
  <si>
    <t>TABUA DE PINOS</t>
  </si>
  <si>
    <t>QUEBRA PARA LAMA E SUPORTE ESTRIBO LADO DIREITO PEÇA</t>
  </si>
  <si>
    <t>MÃO DE OBRA MAQUINAS E CAMINHÕES</t>
  </si>
  <si>
    <t>001/25</t>
  </si>
  <si>
    <t xml:space="preserve">LOCAÇAO SILO DE CIMENTO </t>
  </si>
  <si>
    <t xml:space="preserve">LOCAÇAO CARRETA TANQUE PARA ARMAZENAMENTO DE CIMENTO INIC : ( 19/11/2025 A 19/02/2026) </t>
  </si>
  <si>
    <t>28.222.429/0001-42</t>
  </si>
  <si>
    <t xml:space="preserve">ATUAL CARGAS  TRANSPORTES </t>
  </si>
  <si>
    <t>TRASNFORMADOR TRIFASICO 500 KVA 13.880VOLT</t>
  </si>
  <si>
    <t>MUNCK</t>
  </si>
  <si>
    <t>MOVIMENTAÇÃO DE CARGA, CONTAINNERS</t>
  </si>
  <si>
    <t>FRETE TRANSPORTE EQUIPAMENTO CARRETA  TSD</t>
  </si>
  <si>
    <t>ABRAÇADEIRAS+ELETRODOS+PLUGS+MATERIAL ELETRICOS+DIVERSOS</t>
  </si>
  <si>
    <t>500 LT DE ARLA 32 3,45 LT</t>
  </si>
  <si>
    <t>PRISIONEIRO MOTOR+VEDANTE ESCAPAMENTOS</t>
  </si>
  <si>
    <t>M.O COLETOR TURBINA</t>
  </si>
  <si>
    <t>FILTRO DE COMBUSTIVEL PSD960/1EPSC75</t>
  </si>
  <si>
    <t>TROCA DE OLEO E FILTROS PREVENTIVA DE 10.000KM PEÇAS</t>
  </si>
  <si>
    <t>M.O TROCA DE OLEO E FILTROS</t>
  </si>
  <si>
    <t>PEÇA PREVENTIVA DE 400H</t>
  </si>
  <si>
    <t>M.O PREVENTIVA 400H</t>
  </si>
  <si>
    <t>INCIDENTE TROCA DE PARA LAMA E CAIXA DE FERRAMENTA PEÇAS</t>
  </si>
  <si>
    <t>CORRETIVA FURADEIRA</t>
  </si>
  <si>
    <t>PARA BRISA FRONTAL</t>
  </si>
  <si>
    <t>05.391.256/0001-90</t>
  </si>
  <si>
    <t>HELOA AUTO POSTO LTDA</t>
  </si>
  <si>
    <t>142,9610 lts DIESEL S10</t>
  </si>
  <si>
    <t>157,3910 LTS DIESEL S10</t>
  </si>
  <si>
    <t>DIESELS10-S500 IQM2I17, ARX3I27, DTV9F75, NRZ1F21, EDE7E48, BWZ1C13, CQH7F36, EJV 2G07, HTP7I14, AUX2G56, NRZ1E22, EKZ4862, ATE3I84, HRO3C89, CQH7F36, IOT1 A80, HTP5C12, BWZ1C13, AMD4E46, QIB8A50, ANT1831, EGI4A63, NRZ1F21, AYA4 J11, IQM2I17, SEB7G25, ARX3I27, AXB5B36, ARN2D47, FDC8J84</t>
  </si>
  <si>
    <t>LONAS COBERTURA CHÃO SERVIÇO DE CIMENTO CARRETA SILO</t>
  </si>
  <si>
    <t xml:space="preserve">DIESEL 1.222LTS </t>
  </si>
  <si>
    <t>TABUA DE PINOS + COLUNA DE FERRO + ARAME  RECOZIDO + JOELHO 90G + RIPAO DE 05 CM</t>
  </si>
  <si>
    <t>SERVIÇO DE LAVAGEM DE VEICULOS LEVES ( LUBRIFICAÇAO E LIMPEZA )</t>
  </si>
  <si>
    <t xml:space="preserve">GRAFIACA OLIMPICA </t>
  </si>
  <si>
    <t xml:space="preserve">ADESIVO PRISMATICO REFLETIVOS COM APLICAÇAO ( saveiro tbl 1l76) </t>
  </si>
  <si>
    <t>ADESIVO PRISMATICO REFLETIVOS COM APLICAÇAO ( SEZ 1C85 )</t>
  </si>
  <si>
    <t xml:space="preserve">ADESIVO PRISMATICO REFLETIVOS COM APLICAÇAO  ( STRADA EFQ 9J24) </t>
  </si>
  <si>
    <t>ADESIVO PRISMATICO REFLETIVOS COM APLICAÇAO  ( SIO 283) MICRO</t>
  </si>
  <si>
    <t>ADESIVO PRISMATICO REFLETIVOS COM APLICAÇAO (carretinha TBW8C46)</t>
  </si>
  <si>
    <t>26/1=2</t>
  </si>
  <si>
    <t>ADESIVO PRISMATICO REFLETIVOS COM APLICAÇAO (cavalo mecanico )</t>
  </si>
  <si>
    <t>IMPRENSSAO+ IMPLASTIFICAÇAO MEDINDO 10X8CMA + ADESIVO REFLETIVO +PLACAS COM ADESIVO +CANTONEIRAS + ADESIVOS 0800</t>
  </si>
  <si>
    <t xml:space="preserve">ALEXANDRE ( SERVIÇO MANUTENÇAO ) </t>
  </si>
  <si>
    <t xml:space="preserve">VIDRO LATERAL SUPERIOR TRASEIRO + SUPERIOR DA PORTA TERPERADO CURVO  ( RETRO JUAN) </t>
  </si>
  <si>
    <t>6 PENEU RECAPAGEM-VIPAL-DESLOCAMENTO ATÉ CG</t>
  </si>
  <si>
    <t xml:space="preserve">FONTE PAINEL + FECHAMENTO DE MOTOR + ATERRAMENTO +TOMADA COM INFRAESTRUTUTRA +REVISAO ESTUFA(QUALIDADE)+ATERRAMENTOS NAS MAQUINAS +INFRAESTRUTURA TANQUE DE COMBIUSTIVEL </t>
  </si>
  <si>
    <t>MANGUEIRA ENGATE CIMENTO</t>
  </si>
  <si>
    <t>SERVIÇO EM MOLEJO, CARRETA PRANCHA</t>
  </si>
  <si>
    <t>MARRETA 10KG+GALÃO 20LT</t>
  </si>
  <si>
    <t>DTV9F75,AMD4E46,CQH4F36,SEB7G25,SDP3B26,EKZ4862,BWZ1C13,HTP5C12,HTP7I14,QIB8A50,ANT1832,CLH3J38,AXB5B36,ATE3I84,RDC8J84</t>
  </si>
  <si>
    <t xml:space="preserve">SERVIÇO MANUTENÇAO BOBCAT + DESCOLAMENTO + MANUTENÇAO BOB CAT + DESLOCAMENTO + MANUTENÇAO ( REL 0242) + MANUTENÇAO (MCL 1078) </t>
  </si>
  <si>
    <t xml:space="preserve">INTALAÇOES DE DIVISORIAS + MONTAGEM E DESMONTAGEM FORRO+ REPOSIÇAO PORTA DE VIDRO+ DIVISORIAS DE ACRILICO </t>
  </si>
  <si>
    <t xml:space="preserve">CORREIA VENT VENT VW 18310 + ROB BOMBA                                                                    </t>
  </si>
  <si>
    <t>GIROFLEX+STROBOS</t>
  </si>
  <si>
    <t>FAROL AUXILIAR+ESTROBOS</t>
  </si>
  <si>
    <t>ONIXSFJ2H21</t>
  </si>
  <si>
    <t>CAMERA+MONITOR+ELETRICA</t>
  </si>
  <si>
    <t>TAE5E10 - GIROFLEX+CAMERA+MONITOR+STROB</t>
  </si>
  <si>
    <t>UAS3E83-GIROFLEX</t>
  </si>
  <si>
    <t>CAMERA+MONITOR+GIROFLEX+CHAVE+STROBOS</t>
  </si>
  <si>
    <t>PLACA+PVC+ADESIVOS</t>
  </si>
  <si>
    <t xml:space="preserve">REVISAO DA  BUSIINA SIRENE DE RÉ + FAROIS + TROCA DE FUZIVEIS + EMENDA DO CHICOTE </t>
  </si>
  <si>
    <t xml:space="preserve">TROCA DE BUZINA + REVISAO DE SINALEIRO + UMA LAMPADA H7 + REVIAO DE FAOL  LUZ BAIXA E ALTA + </t>
  </si>
  <si>
    <t>TROCA DA LENTO DO SINALEIRO  + LAMPADA H7</t>
  </si>
  <si>
    <t xml:space="preserve">LAMPADA DO FAROAL H4 </t>
  </si>
  <si>
    <t xml:space="preserve">CONFIGURAÇAO MAO AMIGA  ( CARRETINHA) </t>
  </si>
  <si>
    <t xml:space="preserve">SERVIÇO DE TROCA DE LANTERNA </t>
  </si>
  <si>
    <t xml:space="preserve">SERVIÇO DESMONTAR E REGULAR FECHADURA DA PORTA </t>
  </si>
  <si>
    <t>SERVIÇO DE INSTALACAO DO STOB COMMA CHAVE E CHICOTE</t>
  </si>
  <si>
    <t xml:space="preserve">SERVIÇO DE COLACAR FAIXA DE SINALIZAÇAO  + SERVIÇO DE ISNTALAÇAO DOIS CINTOS </t>
  </si>
  <si>
    <t>TROCA DE MONITOR NO KM 18</t>
  </si>
  <si>
    <t xml:space="preserve">REVISAO DOS SINALEIROS  + RETIRAR CURTO DA MEIA LUZ + TROCA DE FUZIVEIS  + TROCA DE LAMPADA + SINALEIRA </t>
  </si>
  <si>
    <t xml:space="preserve">SERVIÇO DE REVISAO DA INSTALAÇAO DO CHICOTE + SENSOR NIVEL DE COBUSTIVEL </t>
  </si>
  <si>
    <t xml:space="preserve">TROCA DA FECHADURA DOP CAPU TRASEIRO </t>
  </si>
  <si>
    <t xml:space="preserve">ABASTECER SAVEIRO </t>
  </si>
  <si>
    <t>REVISAO DOS SINALEIROS + STROBOS + BUZINA + CAMERA DE RÉ E GIROFLEX</t>
  </si>
  <si>
    <t>REVISAO DOS SINALEIROS FAROIS LANTERNAS LATERIAS + STROBOS + BUZINA + CAMERA DE RÉ E GIROFLEX</t>
  </si>
  <si>
    <t xml:space="preserve">REVISAO DOS SINALEIROS FAROIS LANTERNAS LATERIAS + STROBOS + BUZINA + SERVIÇO DE FIXAR </t>
  </si>
  <si>
    <t xml:space="preserve">REVISAO DOS SINALEIROS FAROIS LANTERNAS LATERIAS + STROBOS + BUZINA + LIMPADOR DE PARABRISA </t>
  </si>
  <si>
    <t>INSTALAÇAO DE STROBO + CHAVE TICTAC+FUZIVEL + SETE METROS DE CABO FIO PP 21 + CAMERA DE RE ( BEATRIZ) ( ONOX  SFJ 2H21)</t>
  </si>
  <si>
    <t xml:space="preserve">ISNTALAÇAO DE STROBO + CAMERA DE RÉ E MONITOR GIROFLEX + FIOS PORTA FUZIVEL  E CHAVE ( SAVEIRO TBL 1176) </t>
  </si>
  <si>
    <t xml:space="preserve">PRESTAÇAO DE SERVIÇO REFORMAS NEOVIA  </t>
  </si>
  <si>
    <t>CORREIA+ROLAMENTO</t>
  </si>
  <si>
    <t>PREVENTIVA TROCA DE OLEO E FILTROS</t>
  </si>
  <si>
    <t>31.707.969/0001-20</t>
  </si>
  <si>
    <t xml:space="preserve">DOIS IRMAOS </t>
  </si>
  <si>
    <t>REEMBOLSO DE LOCAÇAO  ( CAM. PIPA )</t>
  </si>
  <si>
    <t>PREVENTIVA PEÇA OLEO E FILTROS</t>
  </si>
  <si>
    <t>CONEXAO+ESPIGÃO+ALICATE+ABRAÇADEIRAS</t>
  </si>
  <si>
    <t>REGISTRO ESFERA 3"</t>
  </si>
  <si>
    <t>SOPRADOR NAKITA</t>
  </si>
  <si>
    <t xml:space="preserve">AMORTECEDORES PORTAS </t>
  </si>
  <si>
    <t>IOT1A80,EGI4A63,ARN2D47,OOM9C21,SEB7G25,SDP3B26,EKZ4862,BWZ1C13,CQH7F36,ANT1831,ARX3I27,CLH6J38,QIB8A50,AQM2A59,HRO3C89,NRZ1E22,AYA4J11,AMD4E46,AUX2G56,DTV9F25</t>
  </si>
  <si>
    <t>UNHAS+PARAFUSOS DE DESGASTE</t>
  </si>
  <si>
    <t>PARAFUSO+PORCA+LAMINA3CX</t>
  </si>
  <si>
    <t>00.924.845/0009-20</t>
  </si>
  <si>
    <t>SOLDAMAQ</t>
  </si>
  <si>
    <t>ARAME+GERADOR+OLEO+MAQSOLDA</t>
  </si>
  <si>
    <t>PINCEL+ROLO+FITA+PISO</t>
  </si>
  <si>
    <t xml:space="preserve">PREVENTIVA MÃO DE OBRA </t>
  </si>
  <si>
    <t>PEÇAS FILTROS+OLEOS</t>
  </si>
  <si>
    <t xml:space="preserve">M.O PREVENTIVA </t>
  </si>
  <si>
    <t>FRETE TRANSPORTE TRATOR DE ESTEIRA MUNDO NOVO CASCAVEL</t>
  </si>
  <si>
    <t>HTP7I14,HTP5C12,AYA4J11,FDC8J84,DTV9F75</t>
  </si>
  <si>
    <t>PNEU 12X16.5 BOB</t>
  </si>
  <si>
    <t>14.707.364/0001-10</t>
  </si>
  <si>
    <t>XCMG BRASIL INDUSTRIA</t>
  </si>
  <si>
    <t>PREVENTIVA DE 100 H PEÇAS</t>
  </si>
  <si>
    <t>DIESE S10 LTS 224,790 LTS</t>
  </si>
  <si>
    <t>28.618.881/0001-28</t>
  </si>
  <si>
    <t>ELETRO JUMBO MANUTENÇOES LTDA</t>
  </si>
  <si>
    <t xml:space="preserve">SERVIÇO DO MUNCK ING 80.500  ( TANQUE CAP USINA) </t>
  </si>
  <si>
    <t>46.330.606/0001-96</t>
  </si>
  <si>
    <t xml:space="preserve">JUNIOR DE ARAUJO </t>
  </si>
  <si>
    <t>TARASNPORTE MATERIAL ( DESPESAS MOTORISTA )</t>
  </si>
  <si>
    <t xml:space="preserve">200 BLOCO DE CONCRETO ( PATIO CANTEIRO ) </t>
  </si>
  <si>
    <t>PINTURA CANTEIRO OFICINA</t>
  </si>
  <si>
    <t>97.537.952/0001-80</t>
  </si>
  <si>
    <t xml:space="preserve">BORRACHARIA PAGE </t>
  </si>
  <si>
    <t xml:space="preserve">SOCORRE E CONSETO DE PNEUS </t>
  </si>
  <si>
    <t>MONTAGEM DA PAZINHA  MINI CARREGADERIRA</t>
  </si>
  <si>
    <t xml:space="preserve">TROCA DE PNEU NA RODOVIA </t>
  </si>
  <si>
    <t xml:space="preserve">FRETE DE ASSISTENCIA MONTAGEM E DESMONTAGEM </t>
  </si>
  <si>
    <t xml:space="preserve">BICO FINO MEDIO CAMINHAO + CONSERTO DE PENUES CAM BASCULANTE </t>
  </si>
  <si>
    <t>PORCA SEGMENTO+PRAFUSOS 60 UNIDADES</t>
  </si>
  <si>
    <t>27.456.415/0001-20</t>
  </si>
  <si>
    <t>MEXBRA MONOFILAMENTOS</t>
  </si>
  <si>
    <t>VASSOURAS PARA BOBS 165 MM 340 UN 28,60 UNT</t>
  </si>
  <si>
    <t xml:space="preserve">CAÇAMBA ( LIMPEZA DO CANTEIR0 ) </t>
  </si>
  <si>
    <t>CURVA+NIPLE+JOELHO 3"</t>
  </si>
  <si>
    <t>PEÇAS ELETRICAS,FITA+VEDAÇÕES+CIMENTO+BROCA+TINTA+BROCA DE AÇO+PULVERIZADOR+OCULOS DE PROTEÇÃO</t>
  </si>
  <si>
    <t xml:space="preserve">LOCAÇAO EQUIPAMENTOS ( CANETA SOPRADORA + COMPRESSOR DE AR 400 PCM - DIESEL ( 18705)  + CORTADORA DE PISOS (57947) + MANGUEIRA + MARTELETE </t>
  </si>
  <si>
    <t>37.970.003/0001-68</t>
  </si>
  <si>
    <t xml:space="preserve">COMERCIO UNIVERSITARIO </t>
  </si>
  <si>
    <t xml:space="preserve">VASILHAME PET 20LTS + AGUA MINERAL 20 LTS  </t>
  </si>
  <si>
    <t>COMPRESSOR ATLAS+MARTELETES+CORTADEIRA DE PISO</t>
  </si>
  <si>
    <t>TRANSPORTE AMERICANA MUNDO NOVO MS</t>
  </si>
  <si>
    <t>SENSOR AR CONDICIONADO</t>
  </si>
  <si>
    <t xml:space="preserve">BROCA+LAMPADA LED+PARAFUSO AGULHA+PLAFON +FIO FLEXIVEL +CAIXA DE ATERRAMENTO +CONECTOR +DISPOSITIVO PROTETOR +TERMINAL COMPRESAO </t>
  </si>
  <si>
    <t xml:space="preserve">LOCAÇAO DO GERADOR ( PERIODO 28-11 ATE 28/12 ) </t>
  </si>
  <si>
    <t xml:space="preserve">DIESEL  S-500 212,010 LTS </t>
  </si>
  <si>
    <t>ESTEIRA PARA MECANICO SATA + OLEO LUBRIFICANTE TEXACO MAROPA 20L</t>
  </si>
  <si>
    <t>34.151.100/0015-36</t>
  </si>
  <si>
    <t>SOTREQ S/A</t>
  </si>
  <si>
    <t xml:space="preserve">PREVENTIVA MOTONIVELADO MNC 62222 1000HORAS </t>
  </si>
  <si>
    <t xml:space="preserve">MOVIMENTAÇAO DE CARGA TANQUE </t>
  </si>
  <si>
    <t xml:space="preserve">FRETE DA PREVENTIVA ( PAGO JOAO NETO) </t>
  </si>
  <si>
    <t xml:space="preserve">ABRAÇADEIRA + ADAPTADOR +FIO FLEXIVEL +CAIXA PARA ELETROUDO+ FIO FLEXIVEL+ eELETROUDOS+ CONDULETE +CURVA A PVC CINZA +FIO FLEXIVEL + TERMINAL TP FOEQUILHA </t>
  </si>
  <si>
    <t>59.985.139/0001-84</t>
  </si>
  <si>
    <t>59.985.139 PRISCILA DE LAZARI REUBY SOUSA</t>
  </si>
  <si>
    <t>TRANSPORTE DE PEÇA VIBRO ACABADORA</t>
  </si>
  <si>
    <t>LOCAÇÃO DE FURACÃO 3 DIARIAS</t>
  </si>
  <si>
    <t>09.282.594/0014-60</t>
  </si>
  <si>
    <t>TERRA VERDE</t>
  </si>
  <si>
    <t>REGULADOR DE VOLTAGEM</t>
  </si>
  <si>
    <t>00.008.923/0001-20</t>
  </si>
  <si>
    <t>APT LOGISTICA</t>
  </si>
  <si>
    <t>FRETE DE PEÇAS DOURADOS+MUNDO NOVO+RIO BRILHANTE</t>
  </si>
  <si>
    <t>DIESEL PLACASNRZ1F21, BWZ1C13, NRZ1E22, NRZ1E22, NRZ1F21, FDC8J84, AQM2A59, A RN2D47, AMD4E46, EKZ4862, OOM9C21, JJX5932, AYA4J11, CLM13174, ARX3I27, A TE3I84, IOT1A80, AXB5B36, AUX2G56, HTP5C12, AMD4E46, ANT1831</t>
  </si>
  <si>
    <t>CONSUMO DE ETANOL VEICULOS LEVES 28 VEICULOS</t>
  </si>
  <si>
    <t>10 ECOMAX+16 REMOCIL</t>
  </si>
  <si>
    <t xml:space="preserve">PNEU295+RODA+MONTAGEM+DESMONTAGEM CARRETA </t>
  </si>
  <si>
    <t xml:space="preserve">CAM. BASCULANTE ( BUCHA+ TAMPA DO TANQUE +TAMPA ARLA + CHAVE ) </t>
  </si>
  <si>
    <t xml:space="preserve">MAO DE OBRA DE 1/3 DOS SERVIÇOS DE INSTALAÇAO ELETRICA BARRACAO  (NOVO ESCRTORIO) </t>
  </si>
  <si>
    <t xml:space="preserve">MONTAGEM DE REDE SUBTERRANIA PARA ELETRICA E FIBRA OPTICA + ILUMINAÇAO DO CUBICULO + SUPORTE PARA SALA DA QUALIDADE </t>
  </si>
  <si>
    <t xml:space="preserve">FILTRO + ANEL + RETENTOR  ( MOTONIVELADORA ) </t>
  </si>
  <si>
    <t>MATERIAL PARA OFICINA</t>
  </si>
  <si>
    <t>PNTIRA BARRAÇÃO</t>
  </si>
  <si>
    <t xml:space="preserve"> FDC8J84, HTP7I14, EKZ4862, ANT1831, AQM2A59, HRO3C89, IQM2I17</t>
  </si>
  <si>
    <t>MECANICA 1313</t>
  </si>
  <si>
    <t>BUCHA+TAMPA+ARLA</t>
  </si>
  <si>
    <t>M.O PREVENTIVA TROCA DE OLEO E FILTROS</t>
  </si>
  <si>
    <t>FILTRO DE AR +FILTRO DE ARLA</t>
  </si>
  <si>
    <t>DISCO TACOGRAFO+RETENTRO+TRAVA</t>
  </si>
  <si>
    <t>M.O TROCAR RETENTOR DE RODA</t>
  </si>
  <si>
    <t>FRETEIROS DIESEL S500+ARLA32</t>
  </si>
  <si>
    <t>20.739.604/0001-61</t>
  </si>
  <si>
    <t>GUINDASTES NASCIMENTO</t>
  </si>
  <si>
    <t>MOVIMENTAÇÃO DE CARGA AMERICANA MOINHO</t>
  </si>
  <si>
    <t>04 PNEUS SEMI NOVOS DUNLOP</t>
  </si>
  <si>
    <t>04 MONTAGEM+SOCORRO</t>
  </si>
  <si>
    <t>02 PNEUS NOVOS B5 INCIDENTE TRCHO BOB CAT</t>
  </si>
  <si>
    <t>MONTAGEM 7</t>
  </si>
  <si>
    <t>LAVAGEM PEÇAS</t>
  </si>
  <si>
    <t>CONSERTO</t>
  </si>
  <si>
    <t>1BICO+MONTAGEM</t>
  </si>
  <si>
    <t>1CONSERTO</t>
  </si>
  <si>
    <t>1BICO+2RODIZIO</t>
  </si>
  <si>
    <t>1CAMERA1PROTETOR</t>
  </si>
  <si>
    <t>1CAMERA+1PROTETOR</t>
  </si>
  <si>
    <t>AGULHA +MONTAGEM DE CORRENTES</t>
  </si>
  <si>
    <t>REFORMA CAIXA DE AGUA</t>
  </si>
  <si>
    <t>SOLDA GRADE+ALINHAMENTO</t>
  </si>
  <si>
    <t>CONFECCIONAR 12 QUADROS PLACAS SINALIZAÇÃO</t>
  </si>
  <si>
    <t>PLATEELEIRAS ALMOX</t>
  </si>
  <si>
    <t>CONCHA BOB MINI</t>
  </si>
  <si>
    <t>SOLDA+SUPORTES</t>
  </si>
  <si>
    <t>SOLDAR AQUADROS</t>
  </si>
  <si>
    <t>SUPORTE PNUES</t>
  </si>
  <si>
    <t>CONFECCIONAR CAIXA CAÇAMBA</t>
  </si>
  <si>
    <t>ALINHAMENTO MANGUEIRA</t>
  </si>
  <si>
    <t>RECUPERAR QUADRO SUPORTE</t>
  </si>
  <si>
    <t>SUPORTE MANGUEIRAS PIPA</t>
  </si>
  <si>
    <t>PISTÃO ROLO</t>
  </si>
  <si>
    <t>TAMPA TANQUE</t>
  </si>
  <si>
    <t>CAMERAS BALANÇA SUPORTE</t>
  </si>
  <si>
    <t>PARAFUSOS ROLO</t>
  </si>
  <si>
    <t>TANQUE PIPA SUPORTE</t>
  </si>
  <si>
    <t>TAMPAS TAMBORES+LIMPEZA</t>
  </si>
  <si>
    <t>CARRINHO PARA CORDAGUIA PAVIMENTAÇÃO</t>
  </si>
  <si>
    <t>SOLDAR CAIXAS AGUA</t>
  </si>
  <si>
    <t>SUPORTE VIBRO ALINHAMENTO</t>
  </si>
  <si>
    <t>SOLDA PARA CHOQUE</t>
  </si>
  <si>
    <t xml:space="preserve">SOLDA ALUMINIUM BASCULANTE </t>
  </si>
  <si>
    <t>1PNEU USADO+PROTETOR</t>
  </si>
  <si>
    <t>1CAMERA+PROTETOR1MONTAGEM</t>
  </si>
  <si>
    <t>1RODIZIO+1MONTAGEM/DESMONTAGEM</t>
  </si>
  <si>
    <t>50.238.187/0001-25</t>
  </si>
  <si>
    <t>VICTOR SAMPAIO</t>
  </si>
  <si>
    <t xml:space="preserve">ELETRICA PREDIO PRINCIPAL </t>
  </si>
  <si>
    <t>TRANSPORTE PEÇAS CG MUNDO NOVO</t>
  </si>
  <si>
    <t>MANGUEIRA1/2"</t>
  </si>
  <si>
    <t>REGISTRO VALVULA</t>
  </si>
  <si>
    <t>MATERIAL DE REFORMA ELETRICOS DIVERSOS</t>
  </si>
  <si>
    <t>NRZ1E22,CQH7F36,IQM2I17,IOT1A80,NRZ1F21,OOM9C21,SEB7G25,DTV9F75,SDP3B26,HRO3C89,AMD4E46,ANT1831,CLH6J38,HTP7I14,ARX3I27,BWZ1C13.</t>
  </si>
  <si>
    <t>FILTRO DE AR CONDICIONADO</t>
  </si>
  <si>
    <t>ESMERILHADEIRA DE 4" E 7" USO OFICINA</t>
  </si>
  <si>
    <t>ADESIVO PRISMATICO ONIX SFG0E53</t>
  </si>
  <si>
    <t>ADESIVO PRISMATICO MONTANA TAM 2A92</t>
  </si>
  <si>
    <t xml:space="preserve">SERVIÇO MANUTENÇAO AR CONDICIONADO </t>
  </si>
  <si>
    <t>REVISAO ELETRICA /TROCA CORREIA MOTOR</t>
  </si>
  <si>
    <t>ADESIVO PRISMATICO</t>
  </si>
  <si>
    <t xml:space="preserve">SERVIÇO DE BORRACHARIA </t>
  </si>
  <si>
    <t>PALHETA+SIRENE+M.O+SINALEIRO</t>
  </si>
  <si>
    <t>CAMERA+STROBOS+MONITOR+CABO</t>
  </si>
  <si>
    <t>ELETRICA+CAMERA+BUZINA+GIROFLEX</t>
  </si>
  <si>
    <t>CHAVE+ELETRICA</t>
  </si>
  <si>
    <t>CHAVE+20A</t>
  </si>
  <si>
    <t>M.O RETIRAR MEIA LUZ+REVISAR ELETRICA</t>
  </si>
  <si>
    <t>M.OTROCA DAS PALHETA+PALHETAS</t>
  </si>
  <si>
    <t>EDF7E48 TROCA DE LENTE</t>
  </si>
  <si>
    <t>TROCAR LAMPADA H1</t>
  </si>
  <si>
    <t>LAMPADA+PISCA</t>
  </si>
  <si>
    <t>CHICOTE+VELAS+TESTES</t>
  </si>
  <si>
    <t>CHAVE GERAL+CHAVE</t>
  </si>
  <si>
    <t>FUSIVEIS+FAROL+GIROFLEX</t>
  </si>
  <si>
    <t>TBF 0H21</t>
  </si>
  <si>
    <t>2 BATERIA 105 H</t>
  </si>
  <si>
    <t>SINALEIRA+PISCA+LANTERNA DIANTEIRA</t>
  </si>
  <si>
    <t>TROCA LAMPADA+FAROL</t>
  </si>
  <si>
    <t>ALTERNADOR+ROLAMENTO+POLIA+DESMONTAGEM+MONITOR+CAMERA</t>
  </si>
  <si>
    <t>SIRENE+LAMPARA+SINALEIRA</t>
  </si>
  <si>
    <t>MO TROCA CINTO DE SEGURANÇA</t>
  </si>
  <si>
    <t>TROCAR LIMPADOR DE PARA BRISA</t>
  </si>
  <si>
    <t>INSTALAÇÃO DE GIROFLEX</t>
  </si>
  <si>
    <t>TROCAR FUZIVEIS</t>
  </si>
  <si>
    <t>TROCA CENTRAL+STROBOS+FUSIVEIS+TERMINAL BATERIA</t>
  </si>
  <si>
    <t>TROCA PORTA FUSIVEL+CHAVE GERAL+MOTOR DO INTERCLIMA</t>
  </si>
  <si>
    <t>M.O TROCAR ESTROBOS+LAMPADA+LANTERNA+LADO ESQUERDO</t>
  </si>
  <si>
    <t>TROCAR MAÇANETA EXTERNA COM CHAVE ESQUERDA</t>
  </si>
  <si>
    <t>INSTALAÇÃO DE CAMERA DE RÉ</t>
  </si>
  <si>
    <t>03.608.668/0001-04</t>
  </si>
  <si>
    <t>AUTO PEÇA DISTRI MODELO APD</t>
  </si>
  <si>
    <t xml:space="preserve">PEÇA PARA CONSERTO SINISTRO / PORTA COMPLETA </t>
  </si>
  <si>
    <t>OLEO DIESEL S500 - NTS9G89</t>
  </si>
  <si>
    <t xml:space="preserve">MATERIAL PARA ELETRICA USINA </t>
  </si>
  <si>
    <t xml:space="preserve">VERIFICAR DOSES DE ARLA32 ( APOS TESTE RAPIDO  + UNIDADE DESADORA DO SISTEMA APOS TRATAMENTO + RENOVER E INSTALAR RESERVATORIO ) CAM PIPA </t>
  </si>
  <si>
    <t xml:space="preserve">10M³ DE CONCRETO ( BARRACAO SEU ROBERTO ) </t>
  </si>
  <si>
    <t xml:space="preserve">DESLOCAMENTO DO MECANICO + VERIFICAR DOSES DA ARLA + DISAGONOZE CONECTAR  E POS TRATAMENTO DE TEMPERATURA DOLIQUIDO AMEFERRIM </t>
  </si>
  <si>
    <t xml:space="preserve">MODULO DE COMANDO PARAMETRIZAR CAM. PRANCHA ADRIANO </t>
  </si>
  <si>
    <t xml:space="preserve">SERVIÇO DE OBRA LOCAÇAO CAMINHAO MUCK  </t>
  </si>
  <si>
    <t>LIMPA VIDROS BIOLIMP + MALÇHA TRAPO COLORIDO FARDO 10 KG</t>
  </si>
  <si>
    <t>ESTINTORES 1KG+2G ABC</t>
  </si>
  <si>
    <t>MOVIMENTAÇÃO DE CARGA BARREIRAS</t>
  </si>
  <si>
    <t>FUNILARIA E PINTURAPARALAMA+MÃO DE OBRA</t>
  </si>
  <si>
    <t>500 LITROS</t>
  </si>
  <si>
    <t>TRANSPORTE DE CAMINHÃO CIMENTO DE MUNDO NOVO PRA CURITIBA</t>
  </si>
  <si>
    <t xml:space="preserve">AGENTE ADITIVO PARA SISTEMA + UNIDADE DOSADORA </t>
  </si>
  <si>
    <t xml:space="preserve">MICROLOGIC +PANO DE LIMPEZA +VALVULA +INTERRUPTOR +ARLA </t>
  </si>
  <si>
    <t xml:space="preserve">CRONOGRAMS +ALTERAÇOES + ACOMPANHAMENTOS JUNTO AO SETOR +MEDIÇOES+FISCALIZAÇOES </t>
  </si>
  <si>
    <t xml:space="preserve">SERVIÇOES DE ENGENHARIA </t>
  </si>
  <si>
    <t xml:space="preserve">ESTOQUE DE FILTROS  DOS EQUIPAMENTOS </t>
  </si>
  <si>
    <t xml:space="preserve">LAMINA PARA REPOSIÇAO DE ESTOQUE </t>
  </si>
  <si>
    <t xml:space="preserve">TRANSPORTE VALETADEIRA E MATERIAIS PARA RIO BRILHANTE </t>
  </si>
  <si>
    <t xml:space="preserve">M.O PARTE DO SISTEMA DE ARLA </t>
  </si>
  <si>
    <t xml:space="preserve">SERVICÇO SISTEMA DE ARLA </t>
  </si>
  <si>
    <t xml:space="preserve">TRANSPORTE VALETADEIRA MUNDO NOVO X RIO BRILHANTE </t>
  </si>
  <si>
    <t>MATERIAL ELETRICO+DISJUNTOR+CAIXA+CABO+PARAFUSOS</t>
  </si>
  <si>
    <t xml:space="preserve">BOTAO XB2ILUMINAÇAO 220 + ADESIVO COLA </t>
  </si>
  <si>
    <t xml:space="preserve">1200 LTS DIESEL S10 </t>
  </si>
  <si>
    <t>MPX SOLUCOES CONSTRUTIVAS LTDA</t>
  </si>
  <si>
    <t>MATERIAL UTILIZADO NO CANTEIRO</t>
  </si>
  <si>
    <t>18.800.162/0001-70</t>
  </si>
  <si>
    <t>G.E.P  TRANSPORTE MANU SILOS</t>
  </si>
  <si>
    <t xml:space="preserve">MATERIAL PARA ABASTECIMENTO DO CEBOLAO </t>
  </si>
  <si>
    <t xml:space="preserve">FILTROS DE COMB. FILTRO SEPARADOR </t>
  </si>
  <si>
    <t xml:space="preserve">ABASTECIMENTOS DE FRETEIROS  DESCONTAR EM MEDIÇAO </t>
  </si>
  <si>
    <t xml:space="preserve">PEÇAS PARA CONSERTO DO SINISTRO </t>
  </si>
  <si>
    <t>TROCA PARA LAMA</t>
  </si>
  <si>
    <t>11.746.130.0001/94</t>
  </si>
  <si>
    <t>CONFIANCA TUR</t>
  </si>
  <si>
    <t xml:space="preserve">MOBILIZAÇÃO DE 3 BASCULANTES  SINOP-MT PARA MUNDO NOVO- MS  </t>
  </si>
  <si>
    <t xml:space="preserve">RECAPEAMENTO DE PNEUS BOBACAT </t>
  </si>
  <si>
    <t xml:space="preserve">TRANSPORTE TANQUE DE EMULSAO PARA MICRO TERCEIRO </t>
  </si>
  <si>
    <t>15.001.448/0001-05</t>
  </si>
  <si>
    <t>CTA</t>
  </si>
  <si>
    <t xml:space="preserve">SISTEMA DE AUTOMATIZAÇAO DE ABASTECIMENTO </t>
  </si>
  <si>
    <t>INSTALAÇAO DO CTA PDESTAL SIMPLES</t>
  </si>
  <si>
    <t xml:space="preserve">MATERIAIS ELETRICOS PARA CANTEIRO </t>
  </si>
  <si>
    <t>52.607.091/0001-21</t>
  </si>
  <si>
    <t>ARTHA COMERCIO</t>
  </si>
  <si>
    <t xml:space="preserve">SERVICO REFENTEN A  MANUT CORRETIVA NA ACABADORA </t>
  </si>
  <si>
    <t>MATERIAL PARA CANTEIRO</t>
  </si>
  <si>
    <t>VALDEIR BPRGES</t>
  </si>
  <si>
    <t>TROCA DE LAMPADA H4</t>
  </si>
  <si>
    <t xml:space="preserve">SERVIÇO MANUTENÇAO AR CONDICIONADO  ( PA CARREGADEIRA ) </t>
  </si>
  <si>
    <t xml:space="preserve">serviço MANUTENÇAO DO AR r ROLO CORRUGADO </t>
  </si>
  <si>
    <t xml:space="preserve">SERVIÇO DE MNAUTENÇAO AR CONDICIONADO + KIT CONJUNTO EMBREAGEM </t>
  </si>
  <si>
    <t xml:space="preserve">SERVIÇO DE MANUTENÇAO AR CONDICIONADO / LIMPEZA TECNICA /OLEO SISTEMA/ M.O PAINEL / M.O CAIXA EVAPORADORA </t>
  </si>
  <si>
    <t>SERVIÇO  MANUTENÇAO AR CONDICIONADO / CARGA DE GAS / OLEO SISTEMA/ DESLOCAMENTO</t>
  </si>
  <si>
    <t>SERVIÇO DE MANUTENÇAO  AR CONDICIONADO / CARGA DE GAS /OLEO/LIMPEZA INTERNA EVAPORADOR/ M.O</t>
  </si>
  <si>
    <t xml:space="preserve">SERVIÇO AR CONDICIONADO/ ELETRO VENTILADOR/ M.O CABINE/LIMPEZA CAIXA/PARTE ELETRICA </t>
  </si>
  <si>
    <t>SERVICO MANUTENÇAO AR CONDICIONADO / CARGA DE GAS / OLEO SISTEMA/PRESSOSTATO/M.O</t>
  </si>
  <si>
    <t>CARGA DE GAS / OLEO VALVULA DE ALTA</t>
  </si>
  <si>
    <t xml:space="preserve">SERVICO POLO PLACA SFN3G87 / CARGA DE GAS /OLEO SISTEMA/ SOLDA ALUMINIO/ M.O </t>
  </si>
  <si>
    <t xml:space="preserve">SERVICO REVISAO SINALEIRO TROCA ESTROBO </t>
  </si>
  <si>
    <t xml:space="preserve">INSTALAÇAO INVERSOR DE ENERGIA 600W , INSTALAÇAO DA ANTENA INTERNENT </t>
  </si>
  <si>
    <t>TROCA DE ESTROBO , PORTA FUZIVEL E CAMERA DE RE</t>
  </si>
  <si>
    <t>3879/3475</t>
  </si>
  <si>
    <t>COXIM DIANTEIRO+BUCHA DE AMORTECEDOR+SERVO EMBREAGEM+CILINDRO MESTRE</t>
  </si>
  <si>
    <t>TROCA LAMPADA FAROL DIANTEIRO TERMINAL DO PLUG</t>
  </si>
  <si>
    <t>TROCA DA LAMPADA FAROL LADO DIREITO / SAVEIRO SERGIO TAK9I30</t>
  </si>
  <si>
    <t xml:space="preserve">TROCA ESTROBO / CAMERA DE RÉ / PORTA FUZIVEL </t>
  </si>
  <si>
    <t>INSTALAÇÃO DE GIRO FLEX TROCA DE FAIXA REFLETIVA DO PARACHOQUE</t>
  </si>
  <si>
    <t>MONTAGEM E DESMONTAGEM CINTO DE SEGURANÇA</t>
  </si>
  <si>
    <t>SERVICO TESTE CHIOCOTE DO COMANDO DO VIDRO ELETRICO/CENTRAL DE CONTROLE /SIRENE BM10</t>
  </si>
  <si>
    <t>TROCA BOMBA DE COMBUSTIVEL/ FILTRO  /SEZ 1C85 SAVEIRO</t>
  </si>
  <si>
    <t>INSTALÇAO DE ESTROBOBO  /CABO PP /PORTA FUZIVEL / MONTANA UAV 1C16</t>
  </si>
  <si>
    <t>INSTLAÇAO DE ESTROBO/ PORTA FUZEIVEL / SFG0E53 ONIX</t>
  </si>
  <si>
    <t xml:space="preserve">TROCA ESTROBO TRASEIRO </t>
  </si>
  <si>
    <t>TROCA DO FAROL DIANTEIRO LADO ESQUERDO /SIRENE BM 10</t>
  </si>
  <si>
    <t xml:space="preserve">REVISAO SINALEIRO / CAMERA DE RÉ/ GIROFLEX /EMENDA DO CHICOTE DAS LANTERNAS LATERAIS </t>
  </si>
  <si>
    <t xml:space="preserve">REVISAO DE SINALEIRO / FAROIS /ESTROBOB / GIROFLEX TROCA DE LAMPADA </t>
  </si>
  <si>
    <t>REVISAO PARTE ELETRICA / TESTE DIODO DO GERADOR /CHIOCOTE CONTROLES TRASEIRO/REDICAR DA VIBRO</t>
  </si>
  <si>
    <t>02.596.390/0001-30</t>
  </si>
  <si>
    <t xml:space="preserve">AÇOS PINHAIS </t>
  </si>
  <si>
    <t>01 PAR DE PERFIL 70X720X60MM</t>
  </si>
  <si>
    <t>PINÇA DE ELEVAÇAO ACOPLADA</t>
  </si>
  <si>
    <t>DIESEL S500 / NTS9G89</t>
  </si>
  <si>
    <t xml:space="preserve">TROCA DO VENTILADOR DO AR CONDICIONADO </t>
  </si>
  <si>
    <t xml:space="preserve">MANUTENÇAO AR CONDICIONADO + LETRO VELADOR+ LIMPEZA CAIXA + PARTE ELETRICA (descontar n¹ contrato  117389 ) </t>
  </si>
  <si>
    <t>DISJUNTORES PARA USINA</t>
  </si>
  <si>
    <t>10.000 LTS DIESEL S10</t>
  </si>
  <si>
    <t>ALINHAMENTO E BALANCIAMENTO</t>
  </si>
  <si>
    <t>M.O REFERENTE AO SINISTRO</t>
  </si>
  <si>
    <t>LAVAGEM DE EQUIPAMENTO</t>
  </si>
  <si>
    <t xml:space="preserve"> COXIM ROLO DYNAPAC</t>
  </si>
  <si>
    <t xml:space="preserve">REVISAO  ELETRICA E TROCA LAMPADA </t>
  </si>
  <si>
    <t>MANUTENÇAO NO CHICOTE /TERMINAIS DE BATERIA /EMENDA DO ELICE</t>
  </si>
  <si>
    <t>03.625.271/0001-20</t>
  </si>
  <si>
    <t>MECATRON DIESEL LTDA ME</t>
  </si>
  <si>
    <t xml:space="preserve">REPARO NA CAIXA DE CAMBIO </t>
  </si>
  <si>
    <t xml:space="preserve">NRZ1E22/ NRZ1F21/ AXB5B36/ AQM2A59/ IOT1A80/ FDC8J84/ QIB8A50 </t>
  </si>
  <si>
    <t xml:space="preserve">FILTROS PARA ESTOQUE </t>
  </si>
  <si>
    <t>DIESEL S10 /JJX5932/ NRZ1E22/ NRZ1F21/ AXB5B36/ AUX2G56/ IOT1A80/ AQM2A59/ FDC8J84/ QIB8A50</t>
  </si>
  <si>
    <t xml:space="preserve">LAVAÇÃO DE EQUIPAMENTOS E MAQUINAS </t>
  </si>
  <si>
    <t>MEDIDOR DE SULCO DE PNEU 150MM</t>
  </si>
  <si>
    <t xml:space="preserve">TROCA DE 07 PNEUS </t>
  </si>
  <si>
    <t xml:space="preserve">LAVAGEM </t>
  </si>
  <si>
    <t>LAVAGEM /SFN3G87</t>
  </si>
  <si>
    <t>LAVAGEM /  TAI 5E10</t>
  </si>
  <si>
    <t>LAVAGEM /SEZ 1C85</t>
  </si>
  <si>
    <t>LAVAGEM /TBO7H80</t>
  </si>
  <si>
    <t>LAVAGEM / TAK1D63</t>
  </si>
  <si>
    <t>LAVAGEM /SFG0E53</t>
  </si>
  <si>
    <t>LAVAGEM / UAS3E83</t>
  </si>
  <si>
    <t>LAVAGEM / SFO 1G40</t>
  </si>
  <si>
    <t>LOCAÇAO GERADOR DE ENERGIA EXCEDEU 328 HRS</t>
  </si>
  <si>
    <t xml:space="preserve">LOCAÇAO GERADOR USINA, PERIODO ( 28/11/2025 HA 27/12/2025) </t>
  </si>
  <si>
    <t xml:space="preserve">FILTRO DE CABINE </t>
  </si>
  <si>
    <t>PEÇAS PARA CONSERTO DO SINISTRO / OBS  PORTA COMPLETA FOI EMITIDO NOTA DE DEVOLUÇAO , IGNORAR O VALOR DE 3.399,100</t>
  </si>
  <si>
    <t>TRANSPORTE DA VALETADEIRA</t>
  </si>
  <si>
    <t>NELSON HIDEO SHIMADA EIRELI</t>
  </si>
  <si>
    <t>MATERIAL CAMINHAO SINALIZACAO</t>
  </si>
  <si>
    <t>DIESEL S10 / SEJ6D58/ BBF6H84</t>
  </si>
  <si>
    <t xml:space="preserve">LOCAÇAO MINI CARREGADEIRA </t>
  </si>
  <si>
    <t xml:space="preserve">ROLO DE LA DE CARNEIRO +LIXA DAGUA 150 3M+ ESMAPTE +PINCEL +ROLO ANTI GOTA ( DUAS LISTRAS)23CM +AGUA RAZ  CIACOLLOR </t>
  </si>
  <si>
    <t>SERVIÇO DE ESTROBO / CHAVE/ CHICOTE PORTA FUZIVEL (sfn2e05)</t>
  </si>
  <si>
    <t>SERVICO ESTROBO/ LIGAÇAO SIMOVA 6M FIO / DESMONTAGEM PAINEL</t>
  </si>
  <si>
    <t xml:space="preserve">SERVIÇO LANTERNA LATERAL  / TACOGRAFO / MANUTENÇAO PAINEL </t>
  </si>
  <si>
    <t xml:space="preserve">TROCA  LANTERNA PISCA DIANTEIRO / REVISAO SINALEIRO / TROCA ESTROBOS </t>
  </si>
  <si>
    <t xml:space="preserve">TROCA LANTERNA LED / SOQUETE </t>
  </si>
  <si>
    <t xml:space="preserve">GIROFLEX / CENTRAL ESTROBO/ CABO PPPARA SIMOVA </t>
  </si>
  <si>
    <t>TROCA LANTERNA COM LED LADO ESQUERDO (SFN3G87)</t>
  </si>
  <si>
    <t xml:space="preserve">FILTROS PARA ESTOQUE  ESCAVADEIRA KOMATSU </t>
  </si>
  <si>
    <t xml:space="preserve">LONA PARA CAIXA DE CONTENSAO </t>
  </si>
  <si>
    <t>79.879.318/0007-30</t>
  </si>
  <si>
    <t xml:space="preserve">PREVENTIVA 250H </t>
  </si>
  <si>
    <t>DESLOCAMNETO EXTERNO</t>
  </si>
  <si>
    <t>MATERIAL PARA PREVENITIVA</t>
  </si>
  <si>
    <t xml:space="preserve">CAÇAMBA DE COLETA  RESIDOS </t>
  </si>
  <si>
    <t>57.764.763/0016-02</t>
  </si>
  <si>
    <t xml:space="preserve">LOXAM </t>
  </si>
  <si>
    <t>ALUGUEL TERRES DE ILUMINAÇAO</t>
  </si>
  <si>
    <t xml:space="preserve">MATERIAL ELETRICO </t>
  </si>
  <si>
    <t xml:space="preserve">PREVENTIVA  DESCONTAR 2.142,50  CONTRATO 117279 - DESCONTAR E 2 PARCELA </t>
  </si>
  <si>
    <t>AP GERENCIAL</t>
  </si>
  <si>
    <t>BITS 500 UND-AP GERENCIAL CEQ</t>
  </si>
  <si>
    <t xml:space="preserve">MATERIAL PARA O CANTEIRO </t>
  </si>
  <si>
    <t xml:space="preserve">PINTURA E FUNELARIA PARA CHOQUE </t>
  </si>
  <si>
    <t>M.O VASSOURA  / CORRETIVA</t>
  </si>
  <si>
    <t xml:space="preserve">MATERIAL MELHORIA DO CANTEIRO </t>
  </si>
  <si>
    <t>TROCA DO RETENTOR , CUBO</t>
  </si>
  <si>
    <t xml:space="preserve">CORRETIVA VALETADEIRA </t>
  </si>
  <si>
    <t xml:space="preserve">CORRETIVA VASSOURA </t>
  </si>
  <si>
    <t>M.O PREV . DESCONTAR 275,00 CONTRATO 117279 - DESCONTAR EM 2 PARCELA</t>
  </si>
  <si>
    <t>CORRETIVA BOMBA</t>
  </si>
  <si>
    <t xml:space="preserve">TROCA DOS CIBIE TRASEIRO </t>
  </si>
  <si>
    <t>APARELHO DE INJEÇAO /SENSOR DE FASE / BICO INJETOR (TBM6J12)</t>
  </si>
  <si>
    <t xml:space="preserve">TROCA LAMPADA </t>
  </si>
  <si>
    <t>RETIRADA DE CURTO DO CHICOTE DOS ESTROBO</t>
  </si>
  <si>
    <t>LAVAÇAO SIMPLES + HIGIENIZAÇAO  (SEZ1C85)</t>
  </si>
  <si>
    <t>LAVAÇAO SIMPLES (TAM2A92)</t>
  </si>
  <si>
    <t>LAVAÇAO SIMPLES (SFE0H90)</t>
  </si>
  <si>
    <t>LAVAÇAO SIMPLES (TAX 8I41)</t>
  </si>
  <si>
    <t>LAVAÇAO SIMPLES (SFN 1D29)</t>
  </si>
  <si>
    <t>LAVAÇAO SIMPLES (SFJ 3B25)</t>
  </si>
  <si>
    <t>LAVAÇAO SIMPLES (SFH1F83)</t>
  </si>
  <si>
    <t>LAVAÇÃO SIMPLES (TBL1I76)</t>
  </si>
  <si>
    <t>LAVAÇAO (SFO7H36)</t>
  </si>
  <si>
    <t>LAVAÇAO SIMPLES  (TAI5E10)</t>
  </si>
  <si>
    <t>LAVAÇAO SIMPLES (TBO0H81)</t>
  </si>
  <si>
    <t>LAVAÇAO SIMPLES (SFN5C16)</t>
  </si>
  <si>
    <t>LAVAÇAO (SFN3G87)</t>
  </si>
  <si>
    <t>LAVAÇAO SIMPLES (TBI 1A31)</t>
  </si>
  <si>
    <t>CORRETIVA  NA RAMPA DE ELEVAÇAO (PRANCHA)</t>
  </si>
  <si>
    <t>SERVICO MANUTENÇAO DE AR CONDICIONADO  PGTO VIA PIX</t>
  </si>
  <si>
    <t>2025/2025 2978</t>
  </si>
  <si>
    <t>LOCAÇAO PLATAFORMA DE ELEVAÇAO HAULOTTE</t>
  </si>
  <si>
    <t xml:space="preserve">M.O / MANUTENÇAO CORRETIVA/ MAQUINAS EQUIPAMENTOS </t>
  </si>
  <si>
    <t>CORRETIVA CABO ACELERADOR (DESCONTAR TERCEIRO)</t>
  </si>
  <si>
    <t>FILTRO DE OLEO + FILTRO COMBUSTIVEL + FILTRO AR DO MOTOR DE EFICIENCIA PADRAO + FILTRO ( MOTONIVELADORA )</t>
  </si>
  <si>
    <t xml:space="preserve">DISJUNTOR + SOQUETE +LAMPADA LED +GRAMPO +CABO +TUBO GALVA +CABEÇOTE + CURVA 90G +SIBRATEC CANTATOR +CABO FLEX </t>
  </si>
  <si>
    <t>LONA TECHSILO PRETO/BRANCO 14Mx100</t>
  </si>
  <si>
    <t>TROCA DIANTEIRO E TRASEIRO</t>
  </si>
  <si>
    <t>TROCA DO CIBIE TRASEIRO /ESTROBO DIREITO</t>
  </si>
  <si>
    <t>TROCA LANTERNA LATERAL PISCA ESQUERDO</t>
  </si>
  <si>
    <t>TROCA MONITOR / LAMPADA SINALEIRO/ SIRENE BM10 RE</t>
  </si>
  <si>
    <t xml:space="preserve">CHAVE DE SETA COSTAL / COM ALERTA / CHAVE DE SETA </t>
  </si>
  <si>
    <t xml:space="preserve">LANTERNA LED PISCA DIANTEIRO/LANTERNA CANOINHA LATERAL </t>
  </si>
  <si>
    <t xml:space="preserve">TROCA LAMPADAS 67/ LAMPADA PINGO DAGUA /LENTES TRASEIRA </t>
  </si>
  <si>
    <t xml:space="preserve">INTERRUPTOR MANECO / CHAVE DE LUZ </t>
  </si>
  <si>
    <t xml:space="preserve">CHAVE GERAL /CHAVE DA RAMPA </t>
  </si>
  <si>
    <t xml:space="preserve">TROCA LAMPADA H7 FAROL / FIXAÇAO DO CIBIE </t>
  </si>
  <si>
    <t>TROCA CIBIE /CABO PP 2X1</t>
  </si>
  <si>
    <t xml:space="preserve">CAMERA DE RE/ MEIA LUZ/ REVISAO CHICOTE LATERAL </t>
  </si>
  <si>
    <t xml:space="preserve">INSTALAÇAO ACEDENDOR DE CIGARRO/ LANTERNA MEIA LUZ COM PLUG /DUAS CHAVES SINALIZAÇAO TRASEIRA DAS FLECHAS </t>
  </si>
  <si>
    <t xml:space="preserve">TROCA STROBO / TROCA DO MODULO ELETRONICO </t>
  </si>
  <si>
    <t xml:space="preserve">TROCA DO GIROFLEX  /REVISAO DOS SINALEIROS  LATERAIS TRASEIROS E DIANTEIROS /SOQUETE E LAMPADAS </t>
  </si>
  <si>
    <t xml:space="preserve">DESMONTAGEM E MONTANGEM LIMPADOR NO PIVOT/ INSTALÇAO BUZINA AR/ ENGATE RAPIDO MANGUEIRA/ LAMPADA </t>
  </si>
  <si>
    <t xml:space="preserve">TROCA CIBIE TRASEIRO/LAMPADA MEIA LUZ TRASEIRA </t>
  </si>
  <si>
    <t xml:space="preserve">ALTERNADOR NOVO/ SERVICO TROCA ALTERNADOR </t>
  </si>
  <si>
    <t>SAR6301</t>
  </si>
  <si>
    <t xml:space="preserve">TRANSPORTE CARRETA P/ ARMAZENAMENTO AGUA /EMULÇAO </t>
  </si>
  <si>
    <t xml:space="preserve">PREVENTIVA </t>
  </si>
  <si>
    <t>29.869.620/0001-43</t>
  </si>
  <si>
    <t xml:space="preserve">AJAX CENTRO AUTOMOTIVO </t>
  </si>
  <si>
    <t>COMPRESSOR + FILTRO SECADOR + GAS LIMPEZA + OLEO MILITEC OBS: ( DESCONTAR  numeor contrato 117278))</t>
  </si>
  <si>
    <t xml:space="preserve">DESCOLACAMENTO SISTEMA DE AR CONDICIONADO </t>
  </si>
  <si>
    <t>CONSUMO DE GASOLINA VEICULOS LEVES</t>
  </si>
  <si>
    <t xml:space="preserve">BORRACHARIA </t>
  </si>
  <si>
    <t xml:space="preserve">QUADRO DE COMANDO + CABO FLEX +TUB GALV FOGO + CABEÇOTE + DISJ DIN 3xTROMON MOD TOMADA + SIBRATEC +UNIDUT ( MATEIRAL MAIKO) </t>
  </si>
  <si>
    <t>29.824.704/0001-60</t>
  </si>
  <si>
    <t xml:space="preserve">K. M. MENDES &amp; P. H. DA SILVA LTDA </t>
  </si>
  <si>
    <t xml:space="preserve">PLACAS PARA PORTA + UNIDADES + PLACAS DE IDENTIFICAÇAO + PESSOAS AUTORIZADAS + IDENTIFICAÇAO +RÉ + MAO DE OBRA + INSTALAÇOES </t>
  </si>
  <si>
    <t xml:space="preserve">LOCAÇAO DE IMPRESSORA BHOTER L 5652 </t>
  </si>
  <si>
    <t xml:space="preserve">SERVIÇO EIXO MOTOR LIMPADOR </t>
  </si>
  <si>
    <t>CANO E TAMPA TAMBOR LABORATORIO</t>
  </si>
  <si>
    <t xml:space="preserve">SERVIÇO SUPORTES PARALAMA CAIXA FERRAMENTA </t>
  </si>
  <si>
    <t xml:space="preserve">04 SUPORTE PARA ACABADORA </t>
  </si>
  <si>
    <t xml:space="preserve">CONSERTO PLACA DE SINALZIAÇAO </t>
  </si>
  <si>
    <t xml:space="preserve">02 PAINEIS DA RAMPA </t>
  </si>
  <si>
    <t xml:space="preserve">03 GABARITO COM REGULAGEM EQUIPE CIVIL </t>
  </si>
  <si>
    <t xml:space="preserve">SUPORTE E SOLDA </t>
  </si>
  <si>
    <t xml:space="preserve">HASTIA PISTAO </t>
  </si>
  <si>
    <t xml:space="preserve">MONTAGEM RAMPA </t>
  </si>
  <si>
    <t xml:space="preserve">08 QUADROS DE PLACAS SINALIZACAO </t>
  </si>
  <si>
    <t xml:space="preserve">02 SUPORTE ROLO E SOLDA </t>
  </si>
  <si>
    <t>GRADE COMPLETA DO SPRED</t>
  </si>
  <si>
    <t xml:space="preserve">LOCAÇAO CARRETINHA / REFERENTE A MES 10,11,12 </t>
  </si>
  <si>
    <t>MOVIMENTO DE CARGAS /BARREIRAS</t>
  </si>
  <si>
    <t xml:space="preserve">LUBRIFICAÇAO E ABASTECIMENTO USO OFICINA </t>
  </si>
  <si>
    <t>MANUTENÇAO E CONSERVAÇAO PREDIAL</t>
  </si>
  <si>
    <t>BORRACHARIA (SFJ2H21)</t>
  </si>
  <si>
    <t xml:space="preserve">BORRACHARIA FOI NOVA ALVORADA DO SUL </t>
  </si>
  <si>
    <t xml:space="preserve">SOCORRO LEVAR PNEU ITAQUIRAI </t>
  </si>
  <si>
    <t xml:space="preserve">LAVAGEM CORTESIA </t>
  </si>
  <si>
    <t xml:space="preserve">TROCA DE CIBIE DA RE DUAS LAMPADAS SINALEIRO </t>
  </si>
  <si>
    <t>LAVAGEM ( SFJ2H21)</t>
  </si>
  <si>
    <t>LAVAGEM (TBM 6J12)</t>
  </si>
  <si>
    <t>LAVAGEM (TBE7F22)</t>
  </si>
  <si>
    <t>LAVAGEM (TBO7H80)</t>
  </si>
  <si>
    <t>LAVAGEM (UAS3E83)</t>
  </si>
  <si>
    <t>LAVAGEM (TAI5E08)</t>
  </si>
  <si>
    <t>10.688.087/0001-95</t>
  </si>
  <si>
    <t>TRANSTERRA</t>
  </si>
  <si>
    <t xml:space="preserve">REFERENTA A LOCAÇAO ESCAVADEIRA </t>
  </si>
  <si>
    <t>57.983.266/0001-19</t>
  </si>
  <si>
    <t xml:space="preserve">MUNDO NOVO TERRAPLANAGEM </t>
  </si>
  <si>
    <t xml:space="preserve">LOCAÇAAO RETROESCAVADEIRA 26 DIAS </t>
  </si>
  <si>
    <t xml:space="preserve">CORRETIVA ROLAMENTO CONJUNTO DAS RODAS </t>
  </si>
  <si>
    <t xml:space="preserve">SERVIÇOES ELETRICOS TOMADAS 220+ LIGACOES E REGULAGENS + ATERRAMANETO DE MAQIONAS +CABEEAMENTO , E INSTALAÇOES FECHAMENTO ELETRRICO DO MOTOR </t>
  </si>
  <si>
    <t>INTALÇAO CHAVEIROS E KIT WIFE</t>
  </si>
  <si>
    <t>1 TIP TOP 1 CONSERTO</t>
  </si>
  <si>
    <t>CORRETIVA DIFERENCIAL / DESCONTAR CONTRATO 117641</t>
  </si>
  <si>
    <t xml:space="preserve">M.O MECANICA </t>
  </si>
  <si>
    <t xml:space="preserve">LOWGAM BRUNO RICARDO </t>
  </si>
  <si>
    <t xml:space="preserve">REFORMA EM GERAL NO CANTEIRO DE OBRA (ESCRITORIO) </t>
  </si>
  <si>
    <t>HIGIENIZAÇÃO</t>
  </si>
  <si>
    <t>BORRACHARIA XBRI/LAVADOR</t>
  </si>
  <si>
    <t>OLEO DIESEL S500 - NTS9G89 REF 11/12/25</t>
  </si>
  <si>
    <t xml:space="preserve">LOCAÇAO / COMPRESSOR /CORTA QUINA /MARTELETE </t>
  </si>
  <si>
    <t xml:space="preserve">O.R SALVIATO E CIA LTDA </t>
  </si>
  <si>
    <t xml:space="preserve">MATERIAL PARA CANTEIRO </t>
  </si>
  <si>
    <t xml:space="preserve">MATERIAL PARA BANHEIRO CANTEIRO </t>
  </si>
  <si>
    <t xml:space="preserve">TRANSPORTE DE CAMINHAO BATE ESTACA </t>
  </si>
  <si>
    <t xml:space="preserve">LOCAÇAO CAMINHAO MUNCK  MOVIMENTAÇAO DE CARGA </t>
  </si>
  <si>
    <t xml:space="preserve">CONSERTO DE 2 MOTOR ELETRICO </t>
  </si>
  <si>
    <t xml:space="preserve">MANTA ANTIADERENTE CAÇAMBAS ASSOALHO </t>
  </si>
  <si>
    <t xml:space="preserve">TROCA TOMADA DE FORÇA </t>
  </si>
  <si>
    <t>LEANDERSON FABIANO SILVESTRO LTDA</t>
  </si>
  <si>
    <t xml:space="preserve">SERVIÇO DE GUINDASTE MOVIMENTAÇAO DE CARGA </t>
  </si>
  <si>
    <t xml:space="preserve">JOELHO + BUCHA RED SOLD + ABRAÇADEIRA + JOELHO + LUVA + SIFAO SANFONADO + TE SOLDAVEL + TE ESGOTO +TUBOS +JOELHO +TORNENIRA </t>
  </si>
  <si>
    <t xml:space="preserve">TRANSPORTE DA VASSOOURA MECANICA E PINÇA BIGUAÇU - SC PARA MUNDO NOVO - MS </t>
  </si>
  <si>
    <t xml:space="preserve">DIARIAS PARA FAZER TRANSPORTE DE CAMINHAO LAGES A MUNDONOVO </t>
  </si>
  <si>
    <t xml:space="preserve">PAR DE SETA DE INDICAÇAO </t>
  </si>
  <si>
    <t>10.682.077/0001-42</t>
  </si>
  <si>
    <t>JC SINALIZAÇAO LTDA</t>
  </si>
  <si>
    <t xml:space="preserve">LOCAÇAO CAM. BAT ESTACAS ( QHN - 2H92 ) </t>
  </si>
  <si>
    <t>11.746.130/0001-94</t>
  </si>
  <si>
    <t>CONFIANÇA TUR</t>
  </si>
  <si>
    <t>FRETE TRANSPORTE CAMINHÕES MT X MS CBV-2202 / 2207 / 2213</t>
  </si>
  <si>
    <t xml:space="preserve">21,07 lits DE GASOLINA COMUM ( GALAO MINASUL) descontar freteiro </t>
  </si>
  <si>
    <t>3.231,27 litros  GASOLINA, PLACAS ( HTP 5C12 + ANT 1831 + NRZ 1E22 + ARN 2D47 + HTP 7114 + SDP 3B26 + SEB 7G25 ATE 3184 + OOM9C21</t>
  </si>
  <si>
    <t>57.009.667/0001-72</t>
  </si>
  <si>
    <t>GUSTAVO SALES MILKE</t>
  </si>
  <si>
    <t>CERTIFICAÇÃO VASO E PRESSÃO CIV CIPP</t>
  </si>
  <si>
    <t>33.301.295/0001-41</t>
  </si>
  <si>
    <t>INSPEOESTE INSPEÇÃO VEICULAR</t>
  </si>
  <si>
    <t>44.927.512/0001-73</t>
  </si>
  <si>
    <t>AV. TRUCKCENTER</t>
  </si>
  <si>
    <t xml:space="preserve">205,66 LTS DE OLEO DIESEL S-500 ( CAM BASCULANTE ) </t>
  </si>
  <si>
    <t xml:space="preserve">REGISTRO GAVETA + BCHA RED + ADAP SOLD+ ADAPTADOR SOL FLANGE + TORNEIRA BOIA </t>
  </si>
  <si>
    <t>1140,41 LTS DE DIESEL B S+500</t>
  </si>
  <si>
    <t xml:space="preserve">FAIXA REFLETIVAS EMERGENCIAL </t>
  </si>
  <si>
    <t>VALVULA PU IVECO COMPLETA</t>
  </si>
  <si>
    <t xml:space="preserve">446,09 lts de DIESEL S-500 PLACAS ( CLH - 6J38 + BDD 4A30 ) </t>
  </si>
  <si>
    <t xml:space="preserve">LOCAÇAO GERADOR 16KVA TRIFASICO ( PERIODO 28/12/2025 A 27/01/2026) </t>
  </si>
  <si>
    <t xml:space="preserve">MONTAGEM DE EXTENSOES COM PLUG INDUSTRIAL PARA GERADOR MOVEL + TROCA DJUNTOR GERAL DAS TOMADAS +SUBSTITUIÇAO DO PLUG </t>
  </si>
  <si>
    <t>VERIFICAÇAO SUPERFICIAL DOS REDUTORES + REAPERTO DOS REDUTORES MANCAIS E ALINHAMENTOS + MONTAGEM DE ABRIGO PARA PAINEL ELETRICO</t>
  </si>
  <si>
    <t>MONTAGEM DO SISTEMA DE MONITORAMENTO DAS CAMERAS + CONTETOR  MONITOR + SUPORTE +CABEAMENTO</t>
  </si>
  <si>
    <t xml:space="preserve">INSTALAÇAO DOS AR CONDICIONADOS ( ADM) 19 APARELHOS </t>
  </si>
  <si>
    <t>PLATAFORMA HAULOTTE LOCAÇÃO 13/01 Á 12/02</t>
  </si>
  <si>
    <t xml:space="preserve">CABOS KVA ( INSTALAÇOES CANTEIRO ) </t>
  </si>
  <si>
    <t xml:space="preserve">MANGUEIRA DO CAMINHAO LUBRIFICADOR ( CLM 13174) </t>
  </si>
  <si>
    <t xml:space="preserve">FAZER 2 CARRINHOS PARA GERADOR COM BASE NAS LUMINARIAS </t>
  </si>
  <si>
    <t xml:space="preserve">SERVIÇO DE TORNO REFAZER PEÇA TOMADA DE FORÇA </t>
  </si>
  <si>
    <t xml:space="preserve">FAZER 3 MESAS BANCADAS COMPLETA </t>
  </si>
  <si>
    <t xml:space="preserve">SERVIÇO DE EMBUCHAMENTO DA CONCHA PC350 E RECUPERAR BASE </t>
  </si>
  <si>
    <t>SERVIÇO DE PISTAO ROLO DE PNEU E MANGUEIRA ( RPD 13546)</t>
  </si>
  <si>
    <t xml:space="preserve">RECUPERAR EIXO ELECOIDE DA USINA </t>
  </si>
  <si>
    <t>63.823.120/0001-09</t>
  </si>
  <si>
    <t xml:space="preserve">MARCOS BATISTELA LTDA </t>
  </si>
  <si>
    <t xml:space="preserve">MAO DE OBRA ( CORRETIVA BANHEIRO QUIMICO ) NOVA ALVORADA - MS  </t>
  </si>
  <si>
    <t xml:space="preserve">LOCAÇAO CAÇAMBA DE LIXO REF: 24/12/2025 A 24/01/2026 </t>
  </si>
  <si>
    <t xml:space="preserve">TROCA PARABRISA ( ONIX ) ELIENTON DRENO </t>
  </si>
  <si>
    <t xml:space="preserve">MANILHA CABO DE AÇO 1.4 </t>
  </si>
  <si>
    <t xml:space="preserve">SPRAY + OLEO HIDRAULICO + PF SX G5 </t>
  </si>
  <si>
    <t xml:space="preserve">LAVAÇAO (STRADA TAK1J63) JOSÉ ANTONIO </t>
  </si>
  <si>
    <t xml:space="preserve">LAVAÇAO COMLECA ( CAM BASCULANTE ) </t>
  </si>
  <si>
    <t xml:space="preserve">LAVAÇAO ( MONTANA SFJ 3B24 ) </t>
  </si>
  <si>
    <t xml:space="preserve">LAVAÇAO ( MONTANA UAV 1C16) JOSIAS </t>
  </si>
  <si>
    <t xml:space="preserve">LAVAÇAO ( MONTANA SEZ 1C85) </t>
  </si>
  <si>
    <t>LAVAÇAO ( CAMINHAO BASCULANTE * NT6989 )</t>
  </si>
  <si>
    <t xml:space="preserve">LAVAÇAO (CAMINHA BASCUANTE ) </t>
  </si>
  <si>
    <t xml:space="preserve">LAVAÇAO COMPLETA ( ROLO CORROGADO ) </t>
  </si>
  <si>
    <t xml:space="preserve">LAVAÇAO COMPLETA ( MINICARREGADEIRA ) </t>
  </si>
  <si>
    <t xml:space="preserve">LAVAÇAO COMPRETA ( ROLO COMBINADO ) </t>
  </si>
  <si>
    <t>LAVAÇAO COMPLETA ( MONTANA TBK 1A70 )</t>
  </si>
  <si>
    <t>LAVAÇAO  COMPLETA ( CAM . COMBOIO)</t>
  </si>
  <si>
    <t xml:space="preserve">LAVAÇAO 1/2 SOLA ( TRATOR ESTEIRA ) </t>
  </si>
  <si>
    <t>LAVAÇAO 1/2 SOLA ( ESCAVADEIRA HIDRAULICA )</t>
  </si>
  <si>
    <t>LAVAÇAO ( CAM . BASCULANTE )</t>
  </si>
  <si>
    <t>LAVAÇAO ( CAM SINALIZAÇAO )</t>
  </si>
  <si>
    <t xml:space="preserve">LAVAÇAO ( CAM CIMENTO ) </t>
  </si>
  <si>
    <t>LAVAÇAO TRATOR DE PNEUS</t>
  </si>
  <si>
    <t>LAVAÇAO 1/2 SOLA ( POLO SFN 3G87)</t>
  </si>
  <si>
    <t xml:space="preserve">LAVAÇAO ( CAM VIGA ) </t>
  </si>
  <si>
    <t xml:space="preserve">LAVAÇAO ( ONIX BRANCO SFJ 2H21 ) </t>
  </si>
  <si>
    <t xml:space="preserve">LAVAÇAO COMPLETA ( CAM. BSCULANTE ) </t>
  </si>
  <si>
    <t>LAVAÇAO ( MONTANA TBK 1A70 )</t>
  </si>
  <si>
    <t xml:space="preserve">LAVAÇAO ( RETROESCAVADEIRA ) </t>
  </si>
  <si>
    <t>LAVAÇAO ( MINICARREGADEIRA)</t>
  </si>
  <si>
    <t xml:space="preserve">LAVAÇAO ( ROLO TANDEM ) </t>
  </si>
  <si>
    <t>LAVAÇAO ( RODO DE ONEU)</t>
  </si>
  <si>
    <t xml:space="preserve">LAVAÇAO ( ONIBUS ) </t>
  </si>
  <si>
    <t xml:space="preserve">LAVAÇAO (  ROLO TANDEM ) </t>
  </si>
  <si>
    <t xml:space="preserve">LAVAÇAO ( CAM SOPRADOR ) </t>
  </si>
  <si>
    <t xml:space="preserve">LAVAÇAO ( CAM. TRIPLO) </t>
  </si>
  <si>
    <t xml:space="preserve">LAVAÇAO ( CAVALO MECANICO ) </t>
  </si>
  <si>
    <t>LAVAÇAO ( CAM. SINALIZAÇAO )</t>
  </si>
  <si>
    <t xml:space="preserve">LAVAÇAO ( CAM. BASCULANTE ) </t>
  </si>
  <si>
    <t xml:space="preserve">LAVAÇAO ( ROLO DE PENUS ) </t>
  </si>
  <si>
    <t xml:space="preserve">LAVAÇAO ( MONTANA TAX 8I41) </t>
  </si>
  <si>
    <t xml:space="preserve">LAVAÇAO ( ESPAGIDOR ) </t>
  </si>
  <si>
    <t xml:space="preserve">LAVAÇAO ( TRATOR DE ESTEIRA ) </t>
  </si>
  <si>
    <t xml:space="preserve">LAVAÇAO ( NIVELADORAS DE PNEU) </t>
  </si>
  <si>
    <t xml:space="preserve">LAVAÇAO (ONIBUS) </t>
  </si>
  <si>
    <t xml:space="preserve">LAVAÇAO ( TRATOR DE PENEUS ) </t>
  </si>
  <si>
    <t xml:space="preserve">LAVAÇAO ( RECICLADORA DE SOLO ) </t>
  </si>
  <si>
    <t>LAVAÇAO (ESCAVADEIRA HIDRAULICA)</t>
  </si>
  <si>
    <t xml:space="preserve">LAVAÇAO ( ROLO CORRUGADO ) </t>
  </si>
  <si>
    <t>LAVAÇAO ( ECAM ESPAGIDOR )</t>
  </si>
  <si>
    <t xml:space="preserve">LAVAÇAO ( SFG OE53 ) </t>
  </si>
  <si>
    <t xml:space="preserve">LAVAÇAO ( CAM. RESERVA ) </t>
  </si>
  <si>
    <t xml:space="preserve">LAVAÇAO ( SAVEIRO TBM 6J12 ) </t>
  </si>
  <si>
    <t xml:space="preserve">LAVAÇAO ( MONTANA SFO 1G40 ) </t>
  </si>
  <si>
    <t xml:space="preserve">LAVAÇAO ( VIBRACABADORA ) </t>
  </si>
  <si>
    <t xml:space="preserve">LAVAÇAO ( ESCAVADEIRA HIDRAULICA ) </t>
  </si>
  <si>
    <t xml:space="preserve">LAVAÇAO( MINE CARREGADEIRA ) </t>
  </si>
  <si>
    <t xml:space="preserve">LAVAÇAO MINE CARREGADEIRA ) </t>
  </si>
  <si>
    <t xml:space="preserve">LAVAÇAO ROLO DYNAPAC </t>
  </si>
  <si>
    <t xml:space="preserve">LAVAÇAO ( SAVEIRO TAK 9130) </t>
  </si>
  <si>
    <t xml:space="preserve">ALINHAMENTO E SOCORRO KM 8 ( MOTONIVELADORA PATROL) </t>
  </si>
  <si>
    <t xml:space="preserve">SOCORRO KM 8 ALINHAMENTO ( CAMINHAO MUNCK) </t>
  </si>
  <si>
    <t>SOCORRO KM 8 1 BICO + 1 CONSERTO ( MOTONIVELADORA )</t>
  </si>
  <si>
    <t xml:space="preserve">1 RODIZIO + SOCORRO KM 8 ( PIPA MERCEDEZ) </t>
  </si>
  <si>
    <t xml:space="preserve">CONSERTO ( POLO TECNICO SEGURANÇA ) JOAO STOKER </t>
  </si>
  <si>
    <t>2 PNEUS + CAMARA ( SAVEIRO LAMBARI TBM 6J12 )</t>
  </si>
  <si>
    <t>CONSERTO ( MONTANA LABORATORIO ) UAS 3E83</t>
  </si>
  <si>
    <t xml:space="preserve">1 CONSERTO MINI CARREGADEIRA </t>
  </si>
  <si>
    <t xml:space="preserve">1 RODIZIO + ALINHAMNETO SOCORRO PA CARREGADEIRA </t>
  </si>
  <si>
    <t xml:space="preserve">CONSERTO ( MINI CARREGADEIRA) </t>
  </si>
  <si>
    <t xml:space="preserve">CONSERTO ( RETRO ) </t>
  </si>
  <si>
    <t xml:space="preserve">1 CONSERTO ( ONIX SFG OE53 ) </t>
  </si>
  <si>
    <t xml:space="preserve">CALIBRAGEM +BICO DE TODA FROTA + CAM. TIPTOP + CONSERTO DE MAQUINAS + ALINHAMENTO NO PATIO </t>
  </si>
  <si>
    <t xml:space="preserve">2 PNEUS + 2 RODIZIO ( CAM BASCULANTE ) </t>
  </si>
  <si>
    <t>1 TIPTOP + MAO DE OBRA ( CASE )</t>
  </si>
  <si>
    <t>04 PNEUS + CAMARA ( CAM BASCULANTE )</t>
  </si>
  <si>
    <t xml:space="preserve">UNIAO ROTATIVA + VALVULA LIMITADORA + MANGUEIRA </t>
  </si>
  <si>
    <t xml:space="preserve">BACIA ACOPLADA+CX ACOP. 3/6 LITROS +BOLSA VEDAÇAO+FECHADURA+DOBRADIÇA+JOELHO+LUVA+SILICONE +ENGATE FLEXIVEL +PARAFUSO </t>
  </si>
  <si>
    <t xml:space="preserve">CHAVE COMBINADA CATRACA 13MM + PINCEL + CABO IKV 16mm+ ABRAÇADEIRA + FITA MULTIUSO </t>
  </si>
  <si>
    <t xml:space="preserve">SERVIÇO DE RECUPERAÇAO DE PNTURA + PARA-LAMA ESQUERDO + RETIAR VIDRO TRASEIRO E MAO DE OBRA </t>
  </si>
  <si>
    <t xml:space="preserve">TRANSPORTE DE EQUIPAMENTOS ( ADM ) </t>
  </si>
  <si>
    <t xml:space="preserve">CARRETA / S. REBOQUE/ TANQUE </t>
  </si>
  <si>
    <t>VEICULO</t>
  </si>
  <si>
    <t>HIGIENIZAÇÃO MONTANA SFO-1G40</t>
  </si>
  <si>
    <t>SUBSTITUIÇÃO DE UM PNEU USADO 295  E UMA MONTAGEM E DESMONTAGEM</t>
  </si>
  <si>
    <t>BORRACHARIA XBRI</t>
  </si>
  <si>
    <t>HEISS CONTAINNERS</t>
  </si>
  <si>
    <t>55.561.371/0001-34</t>
  </si>
  <si>
    <t>DILOCAR S/A</t>
  </si>
  <si>
    <t xml:space="preserve">REFERENTE HA ALUGUEL BATE ESTACA </t>
  </si>
  <si>
    <t>SUBSTITUIÇÃO DE UM PNEU USADO 295</t>
  </si>
  <si>
    <t>4 MONTAGEM E DESMONTAGEM E UM SOCORRO</t>
  </si>
  <si>
    <t>1 CONSERTO ONIX LABORATORIO</t>
  </si>
  <si>
    <t>1 CONSERTO  STRADA TAK-1G63</t>
  </si>
  <si>
    <t>1 CAMARA 1100/22.5   1- MONTAGEM E DESMONTAGEM  1- SOCORRO</t>
  </si>
  <si>
    <t xml:space="preserve">SERVICO DE INSTALAÇOES DE CAMERA , ISTROBO + GIROFLEX + INSTALAÇOES DAS FLECHAS  SETA TRASEIRA  E INTALAÇOES  CHAVES </t>
  </si>
  <si>
    <t xml:space="preserve">MAO DE OBRA </t>
  </si>
  <si>
    <t xml:space="preserve">CARTUCHO FILTRO COMBUSTIVEL  + ELEM FILTRO </t>
  </si>
  <si>
    <t xml:space="preserve">CRONOGRAMAS + ALTERAÇAO DE PROJETOS + fiscalizaçao de obra + PARTE ORÇAMENTARIA </t>
  </si>
  <si>
    <t>51.165.644/0001-70</t>
  </si>
  <si>
    <t xml:space="preserve">RAFAEL PAGANELLI </t>
  </si>
  <si>
    <t>RETROESCAVADEIRA 580N + DESCOMNTAGERM + TROCA DE CORAO + LIMPEZA DE ELEMENTOS ?</t>
  </si>
  <si>
    <t xml:space="preserve">CIRCUITO DE SEGURANÇA + 18 LUMINARIAS + ELETROUDOS E TUBULAÇAO  EM PVC + QUADRO DE DISTRIBUIÇAO </t>
  </si>
  <si>
    <t xml:space="preserve">PLUG FEMEA ACOP.  + FITA ISOLANTE </t>
  </si>
  <si>
    <t>DIESEL B-S10 MONOFASIC. PLACAS ( AUX 2G56 + HTP 5C12 AMD DE46 + NRZ 1E22 + NRZ 1F21 + EDF 7E48 ) CONTRATO 4500795850</t>
  </si>
  <si>
    <t>TEGAPE INPORTAÇÕES E COMERCIO DE TECIDOS</t>
  </si>
  <si>
    <t>COBRE FACIL SOMBRITES</t>
  </si>
  <si>
    <t xml:space="preserve">TURBINA + FILTRO </t>
  </si>
  <si>
    <t xml:space="preserve">OLEO TRASNMISSAO </t>
  </si>
  <si>
    <t>SERVIÇO DE TROCA DE COXIM, CATRACA, FLEXIVEL DE FREIO E MOLEJO CBV-2202</t>
  </si>
  <si>
    <t xml:space="preserve">TROCA DE BUCHAS E ESTIRANTES </t>
  </si>
  <si>
    <t xml:space="preserve">1 MONTAGEM E DESMONTAGEM </t>
  </si>
  <si>
    <t>33.101.295/0001-41</t>
  </si>
  <si>
    <t>MOLHAD</t>
  </si>
  <si>
    <t>INSPEÇAO DE SEGURANÇA PARA CAPITAÇAO DE VEICULOS ( BAM - 4B87) cam triplo</t>
  </si>
  <si>
    <t>M.O TROCA DA TURBINA</t>
  </si>
  <si>
    <t>TORNO CONFECÇÃO DE PEÇAS - FAZER FLEXIVEL DE EMBREAGEM DO CAMINHÃO CBV 2202</t>
  </si>
  <si>
    <t>M.O TROCA CRUZETA+PREVENTIVA</t>
  </si>
  <si>
    <t>331.012.950/0012-41</t>
  </si>
  <si>
    <t>INSPEÇAO DE SEGURANÇA PARA CAPITAÇAO DE VEICULOS ( CTM 8913 )</t>
  </si>
  <si>
    <t>1 TIP TOP 1 CONSERTO 1 MONTAGEM E DESMONTAGEM</t>
  </si>
  <si>
    <t>1 MONTAGEM E DESMONTAGEM DE PNEU</t>
  </si>
  <si>
    <t xml:space="preserve">DIIESEL S10 a descontar PLACAS ( FDC 8J84 + MIH 6E55 + DTV 9F75 + CQH 7F36 +ATE3I84+ OOM - 9C21 + BWZ 1C13 + CLH 6138 + JJX 5932 + AYA 4J11 ) </t>
  </si>
  <si>
    <t xml:space="preserve">LOCAÇAO REF PERIODO DE 28/12/25  A  26/01/2026 </t>
  </si>
  <si>
    <t>00.088.054/4001-07</t>
  </si>
  <si>
    <t xml:space="preserve">JOSUE AFONSO LTDA </t>
  </si>
  <si>
    <t>MULTIVIAS</t>
  </si>
  <si>
    <t xml:space="preserve">SELAGEM ENSAIO TACOGRAFO </t>
  </si>
  <si>
    <t>30.109.260/0001-60</t>
  </si>
  <si>
    <t xml:space="preserve">GHJ LOCAÇOES LTDA </t>
  </si>
  <si>
    <t>PRESTAÇAO DE SERVIÇO DE TRANSPORTE E ESTABELECIM</t>
  </si>
  <si>
    <t>86.805.744/0001-07</t>
  </si>
  <si>
    <t>AFERIÇÃO CRONOTACOGRAFO</t>
  </si>
  <si>
    <t>ADESIVOS PRISMATICOS</t>
  </si>
  <si>
    <t>LOCAÇÃO GRUPO GERADOR 28/12 Á 26/01</t>
  </si>
  <si>
    <t xml:space="preserve">HIGIENIZAÇÃO MEIA SOLA POLO TBO 7H80 </t>
  </si>
  <si>
    <t>TRANSPORTE FREZADORA DE ASFALTO PR MS</t>
  </si>
  <si>
    <t>REALIZADO 5 RODIZIO DE PNEUS</t>
  </si>
  <si>
    <t>1- CAMARA 1100/22,5 1- MONTAGEM E DESMONTAGEM 1- SOCORRO COM DISTANCIA 30 KM</t>
  </si>
  <si>
    <t>29.513.670/0001-93</t>
  </si>
  <si>
    <t>MATERMIX FERRAGENS E MATERIAIS CONSTRUÇÃO LTDA</t>
  </si>
  <si>
    <t>SUBSTITUIÇÃO DE MANGUEIRA ASPIRAL</t>
  </si>
  <si>
    <t>HIGIENIZAÇÃO MONTANA TBK 1A70</t>
  </si>
  <si>
    <t>BORRACHARIA XBRI/ LAVADOR</t>
  </si>
  <si>
    <t>CHECK LIST+ADESIVOS EMBLEMAS</t>
  </si>
  <si>
    <t>CANTEIRO INSTALAÇÃO AR CONDICIONADO</t>
  </si>
  <si>
    <t>30.1409.260/0001-60</t>
  </si>
  <si>
    <t>FRETE TRANSPORTE 336</t>
  </si>
  <si>
    <t>SERVIÇO DE MONTAGEM PARA BARRO NOVO</t>
  </si>
  <si>
    <t>RECUPERAÇÃO E PINTAR PORTA CABINE FUNILARIA E PINTURA</t>
  </si>
  <si>
    <t xml:space="preserve">SERVIÇO EM LAMINAS MÃO DE OBRA TROCA DOS CALÇOS </t>
  </si>
  <si>
    <t>SERVIÇO DE FUNILARIA CABINE CAMINHÃO MERCEDES AUC-1B91</t>
  </si>
  <si>
    <t>REVISÃO PREVENTIVA</t>
  </si>
  <si>
    <t>SUBSTITUIÇÃO DE ATUADOR DE EMBREAGEM E CILINDRO DE EMBREAGEM CMM 4194</t>
  </si>
  <si>
    <t>TRANSPORTE DE GRADE MUNDO NOVO&gt;FRANCISCO BELTRÃO PR</t>
  </si>
  <si>
    <t>TRANSPORTE DE GRADE MUNDO NOVO&gt;BIGUAÇU SC</t>
  </si>
  <si>
    <t>SUBSTITUIÇAÕ DE PNEU</t>
  </si>
  <si>
    <t>TORNO E SOLDA  LAMINA DE MOTONIVELADORA MNC 10939</t>
  </si>
  <si>
    <t>LAVADA COMPLETA</t>
  </si>
  <si>
    <t>21.665.182/0001-16</t>
  </si>
  <si>
    <t>PARAFUSO PARA APOIO CANTEIRO</t>
  </si>
  <si>
    <t>SERVIÇO NO CHICOTE DO VIDRO ELETRICO E TROCA DA CHAVE DO VIDRO</t>
  </si>
  <si>
    <t xml:space="preserve">SERVIÇO DE ENGENHARIA </t>
  </si>
  <si>
    <t>TROCA DE LAMPADAS</t>
  </si>
  <si>
    <t>TROCA DAS PALHETAS</t>
  </si>
  <si>
    <t>TROCA DOS STROBOS TESTE BOMBA DE AGUA TROCA DA BUZINA</t>
  </si>
  <si>
    <t>REVISAR ELETRICA STROBOS +CAMERA+FAROL+COMUTADOR</t>
  </si>
  <si>
    <t>STROBOS</t>
  </si>
  <si>
    <t>SIRENE+LAMPADAS+SERVIÇO</t>
  </si>
  <si>
    <t>TROCA DE LAMPADAS+CENTRAL+STROBOS</t>
  </si>
  <si>
    <t xml:space="preserve">TROCA DE LAMPADAS </t>
  </si>
  <si>
    <t>LAMPADAS+SETA+FUZIVEL+FAROL</t>
  </si>
  <si>
    <t>LAMPADAS+LUZ+PISCA</t>
  </si>
  <si>
    <t>FAIXA+REVISÃO COMPLETA</t>
  </si>
  <si>
    <t>TROCA DE LAMPADAS+REVISÃO</t>
  </si>
  <si>
    <t>01BATERIA+BICO+ELETRICA</t>
  </si>
  <si>
    <t>REVISÃO ELETRICA+MAÇANETA+LANTERNAS+MEIALUZ+STROBOS+FAIXAS</t>
  </si>
  <si>
    <t>02 BATERIAS+TROCA</t>
  </si>
  <si>
    <t>LAMPADA+SERVIÇO ELETRICO</t>
  </si>
  <si>
    <t>ROLAMENTO+JG DE ESCOVA+BATERIA+ALTERNADOR</t>
  </si>
  <si>
    <t>STROBOS+RELIGAÇÃO</t>
  </si>
  <si>
    <t>STROBOS+GIROFLEX</t>
  </si>
  <si>
    <t>RADIO+CABOS</t>
  </si>
  <si>
    <t>SERVIÇO DE TROCA DA CHAVE DA LUZ</t>
  </si>
  <si>
    <t>TROCA DA MAÇANETA+LANTERNAS</t>
  </si>
  <si>
    <t>TROCA DE LAMPADA+CORREIA ALTERNADOR</t>
  </si>
  <si>
    <t>BOMBA ROLO+TROCA DA CHAVE</t>
  </si>
  <si>
    <t>TROCA DE LAMPADA+SINALEIRO</t>
  </si>
  <si>
    <t>ANTENA+TERMINAL+STARLINK</t>
  </si>
  <si>
    <t>TROCA BUZINA</t>
  </si>
  <si>
    <t>TROCA DO PARAFUSO DO ATERRAMENTO+ REVISÃO EM VABOS DA BATERIA + APLICAÇÃO FAROL AUXILIAR TRASEIRO</t>
  </si>
  <si>
    <t>BATERIA 60H</t>
  </si>
  <si>
    <t>TER-FOCO SOLUÇÕES</t>
  </si>
  <si>
    <t>TROCA BATERIA+100 01</t>
  </si>
  <si>
    <t>CONSUMO DE ETANOL VEICULOS LEVES</t>
  </si>
  <si>
    <t>TRANSPORTE DE CAMINHÕES MT MS ADIANTAMENTO DESPESAS DE VIAGEM</t>
  </si>
  <si>
    <t>TRANSPORTE DE CAMINHÕES MT MS</t>
  </si>
  <si>
    <t>ELETRICA+SIRENE+BUZINA+LIGAÇÃO AR</t>
  </si>
  <si>
    <t>MAÇANETA+PORTA DIREITA</t>
  </si>
  <si>
    <t>TROCAR LAMPADA</t>
  </si>
  <si>
    <t>RELE PISCA+CHAVE+LANTERNA+CAMERA</t>
  </si>
  <si>
    <t>FAROL+PISCA+BOTÃO+VIDRO+RECUPERAÇÃO</t>
  </si>
  <si>
    <t>TERMINAIS BATERIA+FUZIVEL+LIMPEZAPORTA</t>
  </si>
  <si>
    <t>TROCA CARROCERIA+DESMONTAGEM+PARAFUSO</t>
  </si>
  <si>
    <t>STROBOS E PLUG LAMPADAS</t>
  </si>
  <si>
    <t>REVISÃO ELETRICA+STROBOS+LAMPADAS</t>
  </si>
  <si>
    <t>MAQUINA VIDRO+CAMERA DE RÉ+FAROL</t>
  </si>
  <si>
    <t>TROCA DE LENTE LANTERNA</t>
  </si>
  <si>
    <t>REVISÃO CIBIES GIROFLEX</t>
  </si>
  <si>
    <t>INSTALAÇÃO GIROFLEX+CHICOTE+RELE+SIRINE</t>
  </si>
  <si>
    <t>TROCA DE CHAVE STROBOS</t>
  </si>
  <si>
    <t>TER-ERGOS</t>
  </si>
  <si>
    <t>TROCA DE 02 BATERIAS 100 HP</t>
  </si>
  <si>
    <t>TROCA DE LANTERNAS E FAIXA REFLETIVA</t>
  </si>
  <si>
    <t>MAQUINAVIDRO+MANGUEIRA</t>
  </si>
  <si>
    <t>1- CONSERTO DE PNEU MONTANA SFJ-3J24</t>
  </si>
  <si>
    <t xml:space="preserve">PREVENTIVA 500HRS  </t>
  </si>
  <si>
    <t>ART MUNCK MOVIMENTAÇÃO DE CARGA</t>
  </si>
  <si>
    <t>40.021.406/0001-75</t>
  </si>
  <si>
    <t>MAK RENTAL EQUIPAMENTOS</t>
  </si>
  <si>
    <t>CHAVE DE IGNIÇÃO+MOTOR DE PARTIDA+MOTOR DE ARRANQUE</t>
  </si>
  <si>
    <t>PARAFUSOS+TUBOS DE COBRE+CANTONEIRAS -INSTALAÇÃO AR CONDICIONADO</t>
  </si>
  <si>
    <t>BR VIDROS OFF ROAD LTDA</t>
  </si>
  <si>
    <t>TROCA VIDRO DIANTEIRO</t>
  </si>
  <si>
    <t>CONSUMO DE DIESEL S10</t>
  </si>
  <si>
    <t>ARLA 32 DIESEL S10</t>
  </si>
  <si>
    <t>37.854.144/0001-15</t>
  </si>
  <si>
    <t>M2 TRATORES COMERCIO DE PEÇAS</t>
  </si>
  <si>
    <t>MOTOR GEROTH 080 REVERVA VASSOURAS</t>
  </si>
  <si>
    <t>VASSOURA DELTRACTOR</t>
  </si>
  <si>
    <t>REDIMENSSIONAMENTO DE ELETRICA</t>
  </si>
  <si>
    <t>IMPRESSORAS, MANUTENÇÃO,USINA,BALANÇA</t>
  </si>
  <si>
    <t>DISJUNTORE 80A</t>
  </si>
  <si>
    <t>DISJUNTORE 3X63</t>
  </si>
  <si>
    <t xml:space="preserve">MOTOR HIDRAULICO ACIONAMENTO CIRCULAÇÃO BARRA </t>
  </si>
  <si>
    <t>49.107.106/0001-58</t>
  </si>
  <si>
    <t>TROCA DO VIDRO LATERAL ESQUERDO</t>
  </si>
  <si>
    <t xml:space="preserve">CONSUMO DE DIESEL S 500 </t>
  </si>
  <si>
    <t>PRESTAÇÃO DE SERVIÇO MÃO DE OBRA MECANICA</t>
  </si>
  <si>
    <t>TAI 5E08 - PARA BRISA NOVO</t>
  </si>
  <si>
    <t>CABOS+CONECTO+ROLDANAS+AMAÇAO</t>
  </si>
  <si>
    <t>DISJUNTORES+CONECTORES</t>
  </si>
  <si>
    <t>MATERIAL, SERVIÇO USINA DE ASFALTO PREVENTIVAS CORRETIVAS ELETRICAS</t>
  </si>
  <si>
    <t>REVISÃO ELETRICA CANTEIRO TROCA DE DIMENSIONAMENTO</t>
  </si>
  <si>
    <t>14.890.969/0001-90</t>
  </si>
  <si>
    <t>AUTO MECANICA R &amp;M LTDA</t>
  </si>
  <si>
    <t>CORRETIVA DO CAMBIO + CONFECÇÃO DE SUPORTE DA VIBRO ACABADORA</t>
  </si>
  <si>
    <t>49.785.647/0001-85</t>
  </si>
  <si>
    <t>WENDEL CRISTHIAN BRASIL</t>
  </si>
  <si>
    <t>DIVISORIAS+ESPELHOS+DIVISORIAS</t>
  </si>
  <si>
    <t>SUPORTE DE PLACAS</t>
  </si>
  <si>
    <t>PLACAS DE SINALIZAÇÃO</t>
  </si>
  <si>
    <t>MANGUEIRA HD</t>
  </si>
  <si>
    <t>SUPORTE GUIA</t>
  </si>
  <si>
    <t>BASSE CARRETA</t>
  </si>
  <si>
    <t>REFORÇO SOLDA CONCHA</t>
  </si>
  <si>
    <t>CANO ESPARGIDOR</t>
  </si>
  <si>
    <t>MARTELETE</t>
  </si>
  <si>
    <t>RODOS PAVIMENTAÇÃO</t>
  </si>
  <si>
    <t>PARA CHOQUE</t>
  </si>
  <si>
    <t>SUPORTES SINALIZAÇÃO</t>
  </si>
  <si>
    <t>SOLDAS CAVALETES PRENSA</t>
  </si>
  <si>
    <t xml:space="preserve">EIXO AGULHA </t>
  </si>
  <si>
    <t>VASSOURA CONCHA</t>
  </si>
  <si>
    <t>LAVAÇÃO DOS VEICULOS LEVES</t>
  </si>
  <si>
    <t>GIROFLEX INSTALAÇÃO</t>
  </si>
  <si>
    <t>SFN3G87 INSTALAÇÃO DE GIROFLEX</t>
  </si>
  <si>
    <t>FAROL AUXULIAR STROBOS TAX 8I41</t>
  </si>
  <si>
    <t>TUBOS SOLDAVEL+CURVA+ABRAÇADEIRAS</t>
  </si>
  <si>
    <t>MODULO+CAIXA+ADPTADOR+BUCHAS</t>
  </si>
  <si>
    <t>05.555.452/0001-53</t>
  </si>
  <si>
    <t>JUAN ANIBAL SCHNEIDER</t>
  </si>
  <si>
    <t>MADEIRA PARA PATOLAS DE MUNCK</t>
  </si>
  <si>
    <t>PREVENTIVA DE 1.000H.</t>
  </si>
  <si>
    <t>TROCA DE STROBOS+MEIA LUZ+SOQUETE+PARA LAMA+LAMPADA</t>
  </si>
  <si>
    <t>ELETRICAS+LAMPADAS</t>
  </si>
  <si>
    <t>ELETRICA GERAL+VENTUINHA+REPAROS</t>
  </si>
  <si>
    <t>ESTIRANTE BRAÇO RETROVISOR LE</t>
  </si>
  <si>
    <t>18.147.759/0001-67</t>
  </si>
  <si>
    <t>MUNCK FACCIN</t>
  </si>
  <si>
    <t>TRANSPORTE DE PÁ CARREGADEIRA SORRISO - MT MUNDO NOVO MS</t>
  </si>
  <si>
    <t>TROCA DE FILTROS DE COMB. CBV2216/2214/2213</t>
  </si>
  <si>
    <t>56.779.560/0001-40</t>
  </si>
  <si>
    <t>TF MAQUINAS E EQUIPAMENTOS</t>
  </si>
  <si>
    <t>MOTOBOMBA +MANGOTES</t>
  </si>
  <si>
    <t>MOVIMENTAÇÃO DE CARGA DESCARGA SILO</t>
  </si>
  <si>
    <t>49.660.339/0001-03</t>
  </si>
  <si>
    <t>ESPELHAR COMERCIO DE VIDROS E ACESSORIOS</t>
  </si>
  <si>
    <t>PORTA PARA BRISA FRONTAL</t>
  </si>
  <si>
    <t>FUNILARIA E PINTURA MICRO ONIBUS</t>
  </si>
  <si>
    <t>TRANSPORTE DESLOCAMENTO PASSAGEM FRETE</t>
  </si>
  <si>
    <t>FAROL+LANTERNA+MOLDURA</t>
  </si>
  <si>
    <t>SERVIÇO DE LIMPEZA E CONSERVA DE EQUIPAMENTOS</t>
  </si>
  <si>
    <t>APOIO EM BORRACHARIA CONSERTOS MONTAGEM E DESMONTAGEM</t>
  </si>
  <si>
    <t>27.860.511/0001-30</t>
  </si>
  <si>
    <t>TEXEIRA IMPLEMENTOS</t>
  </si>
  <si>
    <t>TROCA DO SISTEMA DE ELEVAÇÃO DA RAMPA</t>
  </si>
  <si>
    <t>ELETRICA CANTEIRO ESCRITÓRIO BARRACÃO ROBERTO</t>
  </si>
  <si>
    <t>PLUG+CABO+LAMPADA</t>
  </si>
  <si>
    <t>TIRAS DE BRONZE+CALÇOS DE DESLIZAMENTOS CIRCULO E LAMONA</t>
  </si>
  <si>
    <t>PELICULA PARA BRISA</t>
  </si>
  <si>
    <t>45.898.424/0001-53</t>
  </si>
  <si>
    <t>ERNANI REDHETTE JUNIOR</t>
  </si>
  <si>
    <t>TRANAPORTE CAMINHÕES SORRISO MUNDO NOVO</t>
  </si>
  <si>
    <t>58.953.056/0001-40</t>
  </si>
  <si>
    <t>THIAGO SANTOS DE LIMA</t>
  </si>
  <si>
    <t>POLIMENTO DE CAMINHÃO TRIPLO PATIO</t>
  </si>
  <si>
    <t>ARLA 800 LT</t>
  </si>
  <si>
    <t>64.017.097/0001-28</t>
  </si>
  <si>
    <t>ROSANGELLA SAUCEDO LEMES</t>
  </si>
  <si>
    <t>SERVIÇO SISTEMA DE FREIOS</t>
  </si>
  <si>
    <t>MANUTENÇÃO CANTEIRO</t>
  </si>
  <si>
    <t>RECEBIMENTO DE MATERIAL NO CANTEIRO DIESEL</t>
  </si>
  <si>
    <t>CCR</t>
  </si>
  <si>
    <t>BOTÃO +CHAVE+CAIXA+CONECTO</t>
  </si>
  <si>
    <t xml:space="preserve">PEÇASPARA CORRETIVA SOLDA </t>
  </si>
  <si>
    <t>METERIAL PARA MELHORIA DO COMBIO CLM- 13174</t>
  </si>
  <si>
    <t>23.448.899/0001-05</t>
  </si>
  <si>
    <t>MOBA DO BRASIL</t>
  </si>
  <si>
    <t>ATENDIMENTO EM CAMPO SISTEMA MOBA</t>
  </si>
  <si>
    <t>MELHORIA PARTE ELETRICA BARRACÃO CIVIL</t>
  </si>
  <si>
    <t>M2 TRATORES COMERCIO DE PEÇAS E MAQUINAS LTDA</t>
  </si>
  <si>
    <t>CORREIA TRAÇÃO MINICARREGADEIRA</t>
  </si>
  <si>
    <t>MDM SOLUCOES ELETRICAS LTDA</t>
  </si>
  <si>
    <t xml:space="preserve">REALIZADADO MANUTENÇÃO DE CANTEIRO E PARTE ELETRICA </t>
  </si>
  <si>
    <t>REALIZADO SERVIÇO DE MUNK PARA APOIO NA BASE DE MUNDO NOVO</t>
  </si>
  <si>
    <t>TRANSPORTE DE VEICULO</t>
  </si>
  <si>
    <t>VASSOURA PARA BOBCAT PAVIMENTAÇÃO 360 UN R$33,00</t>
  </si>
  <si>
    <t>PREVENTIVA CANTEIRO MUNDO NOVO</t>
  </si>
  <si>
    <t>CORRETIVA CILINDRO DE MARCHA</t>
  </si>
  <si>
    <t>CONSERTO DE PNEUS</t>
  </si>
  <si>
    <t>DESPESA DE VIAGEM PARA MUNDO NOVO -VEICULO  PLACA -JBC 6H42</t>
  </si>
  <si>
    <t>DESPESA DE DESLOCAMENTO SORRISO MUNDO NOVO</t>
  </si>
  <si>
    <t>APLICAÇÃO DAS DIVISORIAS PARA IMPLANTAÇÃO DE SALA DE ESCRITORIO</t>
  </si>
  <si>
    <t>SUBSTITUIÇÃO DE AMORTECEDOR DE CABINE CPM 2090</t>
  </si>
  <si>
    <t xml:space="preserve">TROCA DO ESTROBO/ SIRENE /REVISAO FAROIS E SINALEIROS </t>
  </si>
  <si>
    <t>GRAXA PARA ROLAMENTOS USO OFICINA</t>
  </si>
  <si>
    <t>OLEO PARA ENGRENAGENS REDUTORES USINA</t>
  </si>
  <si>
    <t>32.561.603/0001-58</t>
  </si>
  <si>
    <t>PIROLI</t>
  </si>
  <si>
    <t xml:space="preserve">CORRETIVA EMBREAGEM </t>
  </si>
  <si>
    <t>DISCO DE TACOGRAFO PARA USO EQUIPAMENTO OBRA</t>
  </si>
  <si>
    <t>OLEO HIDRAULICO 68 CTM-8913</t>
  </si>
  <si>
    <t xml:space="preserve">FILTRO SEPARADOR PC727 ESTOQUE </t>
  </si>
  <si>
    <t>OLEO TRANSMISSÃO 80W90 REL-2876</t>
  </si>
  <si>
    <t>TROCA DE BOMBA DA AGUA E RETENTOR</t>
  </si>
  <si>
    <t>REPAROS EM VAZAMENTO DE MANGUEIRAS. REPARO EM MOLEJO E CONECTORRADIADOR</t>
  </si>
  <si>
    <t>15.389.901/0001-94</t>
  </si>
  <si>
    <t>PIROLI ELDORADO</t>
  </si>
  <si>
    <t>CORRETIVA KIT EMBREAGEM</t>
  </si>
  <si>
    <t>SERVIÇO DE CONSERTO FECHADURA BAA-8I02</t>
  </si>
  <si>
    <t>MELHORIA EM SALAS ADMINISTRATIVAS</t>
  </si>
  <si>
    <t>32.175.797/0001-54</t>
  </si>
  <si>
    <t>ESPARGIPEÇAS</t>
  </si>
  <si>
    <t>PEÇAS PARA SUPRIR ESTOQUE BLOCO COMBOIO+MANGUEIRA+NUMERADOR BOMBA</t>
  </si>
  <si>
    <t>CANETA SOPRADORA COMPRESSOR DE AR E MANGUEIRA DE AR COMPRIMIDO</t>
  </si>
  <si>
    <t>SUBSTITUIÇÃO E FILTRO DE OLEOBDN 7J23</t>
  </si>
  <si>
    <t>LAVAGEM DO CAVALO MECANICO PLACA AWI-0E25</t>
  </si>
  <si>
    <t>LAVAGEM DE VEICULO LEVE MONTANA PLACA SFJ3B24</t>
  </si>
  <si>
    <t>LAVAGEM DE MOTONIVELADORA MNC-10939</t>
  </si>
  <si>
    <t>LAVAGEM DE VEICULO LEVE MONTANA PLACA SF0 1G40</t>
  </si>
  <si>
    <t>LAVAGEM DE VEICULO MICRO ONIBUS PLACA OOM-7E39</t>
  </si>
  <si>
    <t>LAVAGEM DE EQUIPAMENTO BASCULANTE PLACA -SEI-4A52</t>
  </si>
  <si>
    <t xml:space="preserve">LAVAGEM DE VEICULO LEVE POLO PLACA- TBO 7H8 </t>
  </si>
  <si>
    <t>73.714.156/0001-08</t>
  </si>
  <si>
    <t>POSTO DE MOLA E ESCAPAMENTO COMBOIO LTDA</t>
  </si>
  <si>
    <t>GANCHO DE FIXAÇÃO DE LONA RETA+COLA DE SILICONE</t>
  </si>
  <si>
    <t>LAVAGEM DE VEICULO LEVE -PLACA SEJ 6D58</t>
  </si>
  <si>
    <t>47.621.583/0001-31</t>
  </si>
  <si>
    <t>FERRACINI &amp; LAROZA LTDA ME</t>
  </si>
  <si>
    <t>SERVIÇO DE ALINHAMENTO TRASEIRO +SERVIÇO RASTER</t>
  </si>
  <si>
    <t xml:space="preserve">REPAROS NO MONITOR REPAROS NO CHICOTE TROCA DA PALHETA </t>
  </si>
  <si>
    <t>LAVAGEM DE DISTRIBUIDOR DE AGREGADO 100041</t>
  </si>
  <si>
    <t>LAVAGEM DE EQUIPAMENTO DE SIMALIZÇAO GCJ 4I14</t>
  </si>
  <si>
    <t>LAVAGEM DE CARRETA TANQUE  PLACA SAR-5084</t>
  </si>
  <si>
    <t>LAVAGEM DE EQUIPAMENTO COMBOIO CLM 13174</t>
  </si>
  <si>
    <t>LAVAGEM DE EQUIPAMENTO CAMINHÃO BASCULANTE PLACA -SEK 9J99</t>
  </si>
  <si>
    <t>LAVAGEM DE VEICULO LEVE SAVEIRO PLACA SFH2I42</t>
  </si>
  <si>
    <t>LAVAGEM DE EQUIPAMENTO BASCULANTE PLACA SEK 7B37</t>
  </si>
  <si>
    <t>LAVAGEM DE VEICULO LEVE  POLO PLACA SFN-3G87</t>
  </si>
  <si>
    <t>LAVAGEM DE VEICULO LEVE PLACA TAI-5E08</t>
  </si>
  <si>
    <t>LAVAGEM DE VEICULO LEVE  PLACA TBL-1I76</t>
  </si>
  <si>
    <t>47.415.811/0001-17</t>
  </si>
  <si>
    <t>RYMAK EQUIPAMENTOS LTDA</t>
  </si>
  <si>
    <t>LOCAÇÃO DE ROLO COMPACTADOR MODELO CC348 LOCADOR RYMAK</t>
  </si>
  <si>
    <t>33.656.729/0035-19</t>
  </si>
  <si>
    <t>IGUAÇU MAQUINAS AGRICOLAS LTDA</t>
  </si>
  <si>
    <t>MATERIAL PREVENTIVA VAV 13192</t>
  </si>
  <si>
    <t>TRANSPORTE TANQUE DE MUNDO NOVO X APUCARANA   SAR-5084</t>
  </si>
  <si>
    <t>00.858.886/0003-70</t>
  </si>
  <si>
    <t>UNIPETRO MS DISTRIBUIDORA DE PETROLEO LTDA</t>
  </si>
  <si>
    <t>RECEBIMENTO DE ARLA 3.307 LTS  MS MOTIVAL PANTANAL</t>
  </si>
  <si>
    <t>41.698.350/0001-50</t>
  </si>
  <si>
    <t>RODRIGUES &amp; SILVA PRODUTOS AGROPECUARIOS LTDA</t>
  </si>
  <si>
    <t>REPAROS BOMBA COSTAL PG COM CARTÃO JOSE ANTONIO</t>
  </si>
  <si>
    <t>31.195.429/0001-05</t>
  </si>
  <si>
    <t>AGRO MELO LTDA</t>
  </si>
  <si>
    <t>GRAMPO TIPO QUEBRA DEDO LANÇA CONCHA RETRO</t>
  </si>
  <si>
    <t>CAMINHÃO PIPA MANGUEIRA PARA RADIADOR+ ABRAÇADEIRA 14-22</t>
  </si>
  <si>
    <t>PARAFUSOS+ARRULEAS+ADESIVOS+ABRAÇADEIRAS TOMADA DE FORÇA CAVALO</t>
  </si>
  <si>
    <t>ROLAMENTO 6203 ZZ RETENTOR 1847 CARRETIVA DO ESTICADOR</t>
  </si>
  <si>
    <t>SUPORTE COBRE FACIL</t>
  </si>
  <si>
    <t>CORRETIVA TROCA DE PARABRISA</t>
  </si>
  <si>
    <t>APLICAÇÃO DE VIDROS ROLO RTL 0159</t>
  </si>
  <si>
    <t>TROCA DE ROLETE INFERIOR TEL 2006</t>
  </si>
  <si>
    <t>SUBSTITUIÇÃO DE NIVEL DE AGUA TANQUE PIPA CTM-9064 PG CARTÃO JOSE ANTONIO</t>
  </si>
  <si>
    <t>15.389.901/0005-18</t>
  </si>
  <si>
    <t>AUTO PEÇAS E POSTO DE MOLAS PIROLI LTDA</t>
  </si>
  <si>
    <t>REPARO NA MANGUEIRA DE ARREFECIMENTO</t>
  </si>
  <si>
    <t>07.782.051/0001-61</t>
  </si>
  <si>
    <t>AUTO PEÇAS E MECANICA ESTRELA LTDA</t>
  </si>
  <si>
    <t>CORREÇÃODE VAZAMENTO ARREFECIMENTO PG CARTÃO JOSE ANTONIO</t>
  </si>
  <si>
    <t>03.894.424/0001-35</t>
  </si>
  <si>
    <t>ELIAS DA SILVA OFICINA MECANICA</t>
  </si>
  <si>
    <t>MANUTENÇÃO CORRETIVA</t>
  </si>
  <si>
    <t xml:space="preserve">ANEL DE ACO + MANGUEIRA +ABRAÇADEIRA </t>
  </si>
  <si>
    <t>TERMINAL DE DIREÇÃO L/D</t>
  </si>
  <si>
    <t>MELHORAMENTO DE EQUIPAMENTO DISTRIBUIDOR DE AGREGADO 100041 CBV 2220 CBV 2219</t>
  </si>
  <si>
    <t xml:space="preserve">MELHORAMENTO PARTE ELETRICA BASE </t>
  </si>
  <si>
    <t>MELHORAMENTO REALIZADO PARTE ELETRICA BASE MUNDO NOVO</t>
  </si>
  <si>
    <t>TENDA PARA PROTEÇÃO DA AREA DE MANUSEIO DO MATERIAL PAR EMULSÃO ASFALTICA</t>
  </si>
  <si>
    <t>41.326.230/0001-22</t>
  </si>
  <si>
    <t>JOSEILMADE ALMEIDA LUZ - ME</t>
  </si>
  <si>
    <t>DESPESAS PAGAS COM O CARTÃO SENHOR ADELIRIO</t>
  </si>
  <si>
    <t>REPAROS NA USINA E MONTAGEM DE IMPLANTAÇÃO DE SALA DE APOIO ROBERTO</t>
  </si>
  <si>
    <t>MANUTENÇÃO RCL 4166</t>
  </si>
  <si>
    <t>SUBSTITUIÇÃO DE MANGUEIRA PG CARTÃO JOSE ANTONIO</t>
  </si>
  <si>
    <t>FUNIL PLASTICO FLEXIVEL  RCL 4166 PG COM CARTÃO JOSE ANTONIO</t>
  </si>
  <si>
    <t>COMPLEMENTAÇAO DE OLEO HIDRAULICO PG CARTÃO JOSE ANTONIO</t>
  </si>
  <si>
    <t>ENGATE VASSOURA BOBO CAT</t>
  </si>
  <si>
    <t>PARAFUSO FLANGEADO+DOBRADIÇA +PARAFUSO FRANCCES+ARRUELA LISA PLACA DO MUNCK</t>
  </si>
  <si>
    <t>RESSARCIMENTO DE DESPESAS OPERACIONAIS REFERENTE A COMBUSTIVEL E PEDAGIO PARA DESLOCAMENTO</t>
  </si>
  <si>
    <t>MATERIAL PARA PROTEÇÃO CONTRA ENTUPIMENTO DA CEBOLA DO CTM 9064 PG CARTÃO JOSE ANTONIO</t>
  </si>
  <si>
    <t>BOMBONA DE 1000 LTS PG COM CARTÃO DYESON</t>
  </si>
  <si>
    <t>ABRAÇADEIRA E UNIÃO C PG COM CARTÃO DYESON</t>
  </si>
  <si>
    <t>SUBSTITUIÇÃO DE MANGUEIRA DO RADIADOR PG CARTÃO DYESON</t>
  </si>
  <si>
    <t>MATERIAL ELETRICO PARA SUPOR CANTEIRO PG CARTÃO DYESON</t>
  </si>
  <si>
    <t>CADEADO PARA APOIO TANQUE PG CARTÃO DYESON</t>
  </si>
  <si>
    <t>COMPLEMENTAÇÃO DE OLEO HIDRAULICO RCL-4166 PG CARTÃO JOSE ANTONIO</t>
  </si>
  <si>
    <t>43.267.655/0001-33</t>
  </si>
  <si>
    <t>DMP MANUTENÇÃO DE MAQUINARIOS PESADO LTDA</t>
  </si>
  <si>
    <t>LOCAÇÃO DE EQUIPAMENTO MNC 6222</t>
  </si>
  <si>
    <t>REPARO NO EQUIPAMENTO PG COM CARTÃO JOSE ANTONIO</t>
  </si>
  <si>
    <t>MAK RENTAL EQUIPAMENTOS DO BRASIL LTDA</t>
  </si>
  <si>
    <t>PEÇAS DE VASSOURA MECANICA E SENSOR  DE ROTAÇÃO MCL-2131</t>
  </si>
  <si>
    <t xml:space="preserve">RADIADOR PARA SUPRIR ESTOQUE </t>
  </si>
  <si>
    <t xml:space="preserve">REFERENTE AO ABASTECIMENTO TICKET LOG </t>
  </si>
  <si>
    <t>RECEBIMENTO DE DIESEL DIA 29/01/2026 QUANTIDADE 12.000 LTS</t>
  </si>
  <si>
    <t xml:space="preserve">MATERIAL PARA USO EM EQUIPAMENTO DISCO DE TACOGRAFO DIESEL S 500 </t>
  </si>
  <si>
    <t>CORETIVA AR CONDICIONADO AVT 0H36</t>
  </si>
  <si>
    <t>CORRETIVA  AR CONDICIONADO AVT 0H36</t>
  </si>
  <si>
    <t>FAIXA REFLETIVA + THINER+SPRAY PRETO +ESPATULO</t>
  </si>
  <si>
    <t>PELICULA PROTETORA SOLAR</t>
  </si>
  <si>
    <t>MAO DE OBRA CORRETIVA MAQUINAS E EQUIPAMENTOS</t>
  </si>
  <si>
    <t>APLICAÇÃO DE ADESIVOS PRISMATICO  ADEQUAÇÃO SEGURANÇA CBV 2206 CBV CBV 2213 CBV 2214 CBV 2202 CBV 2212 CBV 2217</t>
  </si>
  <si>
    <t xml:space="preserve">TORNO CONFECÇÃO DE PEÇAS MANGUEIRAS HIDRAULICAS </t>
  </si>
  <si>
    <t>TORNO CONFECÇÃO DE PEÇAS - SEY 3G35  15 MTS DE MANGUEIRAS PNEUMATICAS COM 4 EMENDAS</t>
  </si>
  <si>
    <t>TORNO CONFECÇÃO DE PEÇAS RECUPERAR E FAZER PARTES SUPORTES DE PLACAS DE SINALIZAÇÃO</t>
  </si>
  <si>
    <t xml:space="preserve">TORNO CONFECÇÃO DE PEÇAS FAZER FERRAMENTAS COMPLETAS PARA TENDA DE RODOVIA </t>
  </si>
  <si>
    <t>32.561.159/0001-71</t>
  </si>
  <si>
    <t>PIROLI PECAS E SERVIÇOS MECANICOS LTDA</t>
  </si>
  <si>
    <t>REPAROS MECANICOS</t>
  </si>
  <si>
    <t>CORRETIVA ELETRICA SENSOR DE PRESSÃO VALVULA BOSCH</t>
  </si>
  <si>
    <t>TORNO CONFECÇÃO DE PEÇAS - FAZER MANGUEIRA GRANDE DO COMPRESSOR CAL 9866</t>
  </si>
  <si>
    <t>TORNO CONFECÇÃO DE PEÇAS SERVIÇO TANQUE PIPA CAMINHÃO PIPA</t>
  </si>
  <si>
    <t>TORNO CONFECÇÃO DE PEÇAS FAZER PARTE DO CHASSIS E REFORÇO MCB 0200</t>
  </si>
  <si>
    <t>CORRETIVA ELETRICA</t>
  </si>
  <si>
    <t xml:space="preserve">TORNO CONFECÇÃO DE PEÇAS - FAZER TRAVA DO ESCARIFICADOR PATROL CAT </t>
  </si>
  <si>
    <t xml:space="preserve">TROCA DE LAMPADA TRASEIRA </t>
  </si>
  <si>
    <t>PAGO</t>
  </si>
  <si>
    <t>SUBSTITUIR FLEXIVEL SUBSTITUIR ABRAÇADEIRA DO FILTRO DE AR</t>
  </si>
  <si>
    <t>ABRAÇADEIRA FLEXIVEL DE FREIO REDUTOR MACHO X FEMEA 22</t>
  </si>
  <si>
    <t xml:space="preserve">CORRETIVA MOLEJO </t>
  </si>
  <si>
    <t>TORNO CONFECÇÃO DE PEÇAS - FAZER EMBUCHAMENTO DA CONCHA REL 0242</t>
  </si>
  <si>
    <t xml:space="preserve">TORNO CONFECÇÃO DE PEÇAS - SOLDAR E REFORÇAR H MINI CARREGADEIRA </t>
  </si>
  <si>
    <t xml:space="preserve">TORNO DE BANCADA MULTIFUNCIONAL+ CUMBADOR PARABOLT PARA TENDA </t>
  </si>
  <si>
    <t>APLICAÇÃO DE INSULFILME</t>
  </si>
  <si>
    <t>SERVIÇO REALIZADO NO SISTEMA DE AR CONDICIONADO REL 2876</t>
  </si>
  <si>
    <t>SERVIÇO REALIZADO NO SISTEMA DE AR CONDICIONADO MEL 1604</t>
  </si>
  <si>
    <t xml:space="preserve">REVISÃO DO FAROL DIANTEIRO </t>
  </si>
  <si>
    <t>2 RODIZIO</t>
  </si>
  <si>
    <t>SERVIÇO REALIZADO NO SISTEMA DE AR CONDICIONADO RTL 0159</t>
  </si>
  <si>
    <t>SERVIÇO REALIZADO NO SISTEMA DE AR CONDICIONADO RCL 7229</t>
  </si>
  <si>
    <t xml:space="preserve">PREVENTIVA CPV 10991 OS 989620 </t>
  </si>
  <si>
    <t>LAVAGEM DE EQUIPAMENTO BASCULANTE CBV 2205</t>
  </si>
  <si>
    <t>LOCAÇAO DE GERADOR PARA USINA</t>
  </si>
  <si>
    <t>FRETE DE MATERIAS PARA UNIDADE DE MUNDO NOVO</t>
  </si>
  <si>
    <t>TORNO CONFECÇÃO DE PEÇAS - FAZER SUPORTE PARA CHOQUE E SOLDAS CHASSI CAMINHÃO CBV 2205</t>
  </si>
  <si>
    <t>THIAGO SANTOS LIMA</t>
  </si>
  <si>
    <t xml:space="preserve">POLIMENTO E LAVAGEM DE TANQUE DE EMULSÃO </t>
  </si>
  <si>
    <t>REPAROS NA BOMBA DO PIPA</t>
  </si>
  <si>
    <t>06.290.476/0001-90</t>
  </si>
  <si>
    <t>DAVIGRIL MELLO LAGO SILVA LTDA - ME</t>
  </si>
  <si>
    <t xml:space="preserve"> REPAROS VAV 13192 AUR 4H62</t>
  </si>
  <si>
    <t xml:space="preserve">PARAFUSOS + TESOURA PARA APLICAÇÃO DE LINHA DE VIDA </t>
  </si>
  <si>
    <t>HASTE ACOBREADA+CONECTOR PARA HASTE+CHAVE FENDA+PRENSA CABO+BARRAMENTO DIM+CHAVE CONCTORA CHAVE SELETORA+JOGO DE BROCA ESCALONADA+SILICONE NEUTRO+TERMINAIS +LAMPADA LED+CHAVE FENDA</t>
  </si>
  <si>
    <t>SERVIÇO DE HIGIENIZAÇÃO DO EQUIPAMENTO UAV 1C16</t>
  </si>
  <si>
    <t>SERVIÇO DE HIGIENIZAÇÃO DO EQUIPAMENTO SFO 1G40</t>
  </si>
  <si>
    <t>SERVIÇO REALIZADO NO SISTEMA DE AR CONDICIONADO CBV 2205</t>
  </si>
  <si>
    <t>SERVIÇO DE HIGIENIZAÇÃO DO EQUIPAMENTO SEI 3J73</t>
  </si>
  <si>
    <t>SERVIÇO DE HIGIENIZAÇÃO DO EQUIPAMENTO CEM 0587</t>
  </si>
  <si>
    <t>SERVIÇO DE HIGIENIZAÇÃO DO EQUIPAMENTO UBG 8G45</t>
  </si>
  <si>
    <t>SERVIÇO DE HIGIENIZAÇÃO DO EQUIPAMENTO TBK 1A70</t>
  </si>
  <si>
    <t>SERVIÇO DE HIGIENIZAÇÃO DO EQUIPAMENTO  CPM 2090</t>
  </si>
  <si>
    <t>SERVIÇO DE HIGIENIZAÇÃO DO EQUIPAMENTO  REL 1716</t>
  </si>
  <si>
    <t>SERVIÇO DE HIGIENIZAÇÃO DO EQUIPAMENTO  MEL 1604</t>
  </si>
  <si>
    <t>SERVIÇO DE HIGIENIZAÇÃO DO EQUIPAMENTO  OOM 7E39</t>
  </si>
  <si>
    <t>SERVIÇO DE HIGIENIZAÇÃO DO EQUIPAMENTO  SEK 9J99</t>
  </si>
  <si>
    <t>FILTROS DE REPOSIÇÃO PREVENTIVA RPD 13174</t>
  </si>
  <si>
    <t>SERVIÇO DE HIGIENIZAÇÃO DO EQUIPAMENTO  SEI 4A520</t>
  </si>
  <si>
    <t>SERVIÇO DE HIGIENIZAÇÃO DO EQUIPAMENTO  TBO 7H80</t>
  </si>
  <si>
    <t>SERVIÇO DE HIGIENIZAÇÃO DO EQUIPAMENTO  SFN 5C16</t>
  </si>
  <si>
    <t>SERVIÇO DE HIGIENIZAÇÃO DO EQUIPAMENTO  TBE 7E22</t>
  </si>
  <si>
    <t>QUEBRA DO VIDRO PERDA DAS PEÇAS FIXAÇÃO DA PORTA</t>
  </si>
  <si>
    <t>FAIXA REFLETIVA PARA APOIO SINALIZAÇÃO DE EQUIPAMENTOS</t>
  </si>
  <si>
    <t>MANGUEIRA SUCÇÃO 4'+ABRAÇADEIRA 32MM+ PARAFUSO 1/4+ARRUELA LISA+PORCA TRAVANTE 1/4</t>
  </si>
  <si>
    <t>25.287.883/0001-93</t>
  </si>
  <si>
    <t>CLEIDE MARIA DOS CAVALCANTI MEI</t>
  </si>
  <si>
    <t>TROCA DOS PNEUS BDN 7J23</t>
  </si>
  <si>
    <t>SERVIÇO DE LIMPEZA E CONSERVA DE CANTEIRO</t>
  </si>
  <si>
    <t>85.141.745/0001-23</t>
  </si>
  <si>
    <t>RECK TRANSPORTES LTDA</t>
  </si>
  <si>
    <t>LOCAÇÃO DE BASCULANTE E MNCK</t>
  </si>
  <si>
    <t>ABASTECIMENTO DE COMBUSTIVEL  ARLA 32 OLEO 2T BDN-7J23</t>
  </si>
  <si>
    <t>ABASTECIMENTO FRETEIRO</t>
  </si>
  <si>
    <t>ABASTECIMENTO DE FRETEIROS</t>
  </si>
  <si>
    <t>TROCA DE BOMBA DA AGUA CEM 0587</t>
  </si>
  <si>
    <t>LUVA SOLDAVEL+ PORCA SEXTAVADA+ BICOS GRAXEIROS+</t>
  </si>
  <si>
    <t>PORCA 7/8+PARAFUSO 16X50+ARRUELAS</t>
  </si>
  <si>
    <t>00.994.541/0001-82</t>
  </si>
  <si>
    <t>TAPAJOS MATERIAL DE CONSTRUÇAO</t>
  </si>
  <si>
    <t>MELHORIA CORREÇÃO NO EQUIPAMENTO</t>
  </si>
  <si>
    <t>CONFECÇÃO DE ADESIVOS /CARIMBO</t>
  </si>
  <si>
    <t>RECEBIMENTO DE DIESEL DIA 05/02/2026</t>
  </si>
  <si>
    <t>35.007.869/0001-42</t>
  </si>
  <si>
    <t xml:space="preserve">BRUNA TAIS DIAS ROCHA </t>
  </si>
  <si>
    <t>ADEQUAÇÃO DE SEGURANÇA CANTEIRO EXTINTORES</t>
  </si>
  <si>
    <t>LAMINA DE DESGASTE MNC 100000</t>
  </si>
  <si>
    <t>LAMINA DE DESGASTE MNC 10939</t>
  </si>
  <si>
    <t>LAMINA DE DESGASTE MNC 6222</t>
  </si>
  <si>
    <t>MELHORIA DE CANTEIRO MAGUEIRA+CABO+PRENSA+PARAFUSOS</t>
  </si>
  <si>
    <t>MELHORIA DE CANTEIRO COM LUMINARIA EMERGENCIAL BARRACÃOCHAVE+LUVA+ABRAÇADEIRA+TUBO</t>
  </si>
  <si>
    <t>MELHORIA DE CANTEIRO COM LUMINARIA EMERGENCIAL BARRACÃOTOMADA+FLANGE+CABO</t>
  </si>
  <si>
    <t>TRANSPORTE DE EQUIPAMENTO CURITIBA PR PARA MUNDO NOVO MS</t>
  </si>
  <si>
    <t>CONSUMO COMBUSTIVEL MAQUINAS EQUIPAMENTOS 6.000,00</t>
  </si>
  <si>
    <t xml:space="preserve">EXTINTOR NOVOS E SUPORTE PARA SUPRIR ESTOQUE </t>
  </si>
  <si>
    <t xml:space="preserve">MATERIAL PARA USO COMBOIO </t>
  </si>
  <si>
    <t xml:space="preserve">CABO SENSOR CURSO LATERAL </t>
  </si>
  <si>
    <t xml:space="preserve">SERVIÇO DE MANUTENÇÃO E REPAROS MECANICOS DE CORTE E SOLDA PARACHOUE E INSTALAÇÃO DE FAIXAS REFLETIVAS CTM 9064 </t>
  </si>
  <si>
    <t>PINTURA PARACHOQUE TINTA+FAIXA REFLETIVA</t>
  </si>
  <si>
    <t>PEÇAS PARA QUINTA RODA CAVALO /CARRRETA ANEL FECHO 5 RODA+BICO PAPAGAIO+ BORRACHA 5 RODA</t>
  </si>
  <si>
    <t>REPAROS NA SUSPENSÃO CBV 2205</t>
  </si>
  <si>
    <t>BICO GRAXEIRO45 GRAU+FLEXIVEL DE FREIO+COXIM SUSPENÇÃO CABINE+COXIM TRASEIRO+CONEÇÃO VALVULA+PINO DE CENTRO+PORCA DE PINO+ TERCEIRA MOLA DIANTEIRA</t>
  </si>
  <si>
    <t>SUBSTITUÇÃO DE CABO DESTRAVA CABINE +PUXADOR+VALVULA TERMOSATICA</t>
  </si>
  <si>
    <t>MANGUEIRA DE NYLON +MANGOTE RESERVATORIO + ABRAÇADEIRA 32-44</t>
  </si>
  <si>
    <t>OLEO 68 COMPLEMENTAÇÃO</t>
  </si>
  <si>
    <t>15.106.661/0001-73</t>
  </si>
  <si>
    <t>M.L.S. MANDSTACK RECUPERADORA AUTOMOTIVA</t>
  </si>
  <si>
    <t>RECUPERAÇÃO E REPINTURA LATERAL TRAZEIRA ESQUERDA</t>
  </si>
  <si>
    <t>LOCAÇÃO DE CACAMBA + UMA RETIRADA A 24 DE JANEIRO A 24 FEVEREIRO DE 2026 ECO POLO</t>
  </si>
  <si>
    <t>ABASTECIMENTO DE CAMINHOES FRETEIROS</t>
  </si>
  <si>
    <t>COMBUSTIVEL PARA ESTOQUE OBRA MUNDO NOVO</t>
  </si>
  <si>
    <t>LOCAÇÃO DE EQUIPAMENTO PARA FAZER PERFURAÇÃO DE BROCAS DRENAGEM</t>
  </si>
  <si>
    <t>COMBUSTIVEL FRETEIROS  PLACA JJX 5932, AUX 2G56, QIB 8A50,DVT 9I51, NRZ 1E22, ANT 1831, OOM 9C21, CLH 6J38, FDC 8J84</t>
  </si>
  <si>
    <t>TRANSPORTE DE CAMINHÕES MUNDO NOVO TELEMACO BORBA AGRO ROQUE</t>
  </si>
  <si>
    <t>COMBUSTIVEL APOIO FRETEIROS DIESEL S-10 PLACAS BWZ 1C13, NRZ 1F21, HTP 5C12, ARX 3I27, ANT 1831, AYA 4J11, HTP 7I14, MIH 6E55, IQM 2I17, IOT 1A80, ARN 2D47</t>
  </si>
  <si>
    <t>TROCAR PARALAMA CALOTAS DANIFICADOS  FAIXAADESIVA+PARALAMA CARRETA+CALOTA RODA+FILTRO LUBRIFICANTE CUMMINS</t>
  </si>
  <si>
    <t xml:space="preserve">TROCAR CANOS RETORNO BICOS </t>
  </si>
  <si>
    <t>SERVIÇO DE TROCA DE STROBO E TROCA DE LAMPADAS</t>
  </si>
  <si>
    <t>CORRETIVA POLO TBO 7H80 SERVIÇO DE VAZAMENTO DE BOMBA MAO DE OBRA</t>
  </si>
  <si>
    <t>CORRETIVA POLO TBO 7H80 SERVIÇO DE VAZAMENTO DE BOMBA SELANE PARA RADIADOR +ADITIVO RADIADOR +SILICONE DIRKO</t>
  </si>
  <si>
    <t>REPAROS EM LAMPADAS E SOQUETES E TROCA DE FAROL LADO ESQUERDO</t>
  </si>
  <si>
    <t>BUZINA A AR+INSTALAÇÃO DA BUZINA</t>
  </si>
  <si>
    <t>TROCA DE FILTRO DE COMBUSTIVEL TEL 1029</t>
  </si>
  <si>
    <t xml:space="preserve">SERVIÇOS DE BORRACHARIA </t>
  </si>
  <si>
    <t>ABRAÇADEIIRA+ LIMPA CONTATO+ DESENGRIPANTE+MANGUEIRA CRITAL</t>
  </si>
  <si>
    <t>COMBUSTIVEL /ABASTECIMENTO/ MAQUINAS /EQUIPAMENTOS</t>
  </si>
  <si>
    <t>ABASTECIMENTO DO CAMIMÃO COMBOIO PARA ABASTECER EQUIPAMENTOS</t>
  </si>
  <si>
    <t>SERVIÇOS DE BORRACHARIA MUNDO NOVO DISTRIBUIDOR DE AGREGADO 100041</t>
  </si>
  <si>
    <t>SERVIÇOS DE BORRACHARIA MUNDO NOVO SDQ 9H92</t>
  </si>
  <si>
    <t>SERVIÇOS DE BORRACHARIA MUNDO NOVO SFJ  3B24</t>
  </si>
  <si>
    <t>SERVIÇOS DE BORRACHARIA MUNDO NOVO SFH 1H83</t>
  </si>
  <si>
    <t>SERVIÇOS DE BORRACHARIA MUNDO NOVO RPB 4073</t>
  </si>
  <si>
    <t>TROCA DO CABEÇOTE DE COMBUSTIVEL  MNC 6222</t>
  </si>
  <si>
    <t>DANIEL DALLABRIDA</t>
  </si>
  <si>
    <t>FATURA DE LOCAÇÃO VASSOURA MECANICA BOBO CAT PAVIMENTAÇÃO</t>
  </si>
  <si>
    <t>63.305.598/0001-47</t>
  </si>
  <si>
    <t>EDMILSON BENEDITO</t>
  </si>
  <si>
    <t>INSTALAÇÃO DE COBRE FACIL CBV 2217 CBV 2214 CBV 2202 CBV 2206 CBV 2218 CBV 2205</t>
  </si>
  <si>
    <t xml:space="preserve">RETIRADA DO BORRACHÃO DOS CAMINHOES MERCEDES </t>
  </si>
  <si>
    <t>PRIORI MAQUINAE IMPLEMENTOS AGRICOLA</t>
  </si>
  <si>
    <t xml:space="preserve">PARAFUSOS+ ABRAÇADEIRAS+ELASTICO LONA </t>
  </si>
  <si>
    <t>42.327.570/0001-30</t>
  </si>
  <si>
    <t>ADRIANO GOTTARDI BORRACHARIA - ME</t>
  </si>
  <si>
    <t>TROCA DE PNEUS MCL- 2131</t>
  </si>
  <si>
    <t>FECHADURA CABINE ATEGO</t>
  </si>
  <si>
    <t xml:space="preserve">LOCAÇÃO DE GUINDASTE </t>
  </si>
  <si>
    <t xml:space="preserve">MELHORIAS NA BASCULANTE </t>
  </si>
  <si>
    <t>ALUGUEL GRUPO GERADOR USINA</t>
  </si>
  <si>
    <t>FILTRO SEPARADOR 924 K+FILTRO SEPARADOR</t>
  </si>
  <si>
    <t xml:space="preserve">LOCAÇÃO DE MUNCK MOVIMENTAÇÃO DE CARGA </t>
  </si>
  <si>
    <t xml:space="preserve">TRANSPORTE DE ROLO COMPACTADOR </t>
  </si>
  <si>
    <t>TRACTEC</t>
  </si>
  <si>
    <t>BIG BAG 1,00X1,00X1,60 USO USINA</t>
  </si>
  <si>
    <t xml:space="preserve">MONTAGEM DO SILO DA USINA </t>
  </si>
  <si>
    <t>NOEVIA0</t>
  </si>
  <si>
    <t>MONTAGEM DE LONA FACIL CBV 2217 SOLDA JUMELO CARRETA PRANCHA BEF 5C36</t>
  </si>
  <si>
    <t>SUBSTITUIÇÃO DE RETROVISOR  200X370</t>
  </si>
  <si>
    <t>RODADO COMPLETO CARINHO DE MAO CBUQ</t>
  </si>
  <si>
    <t>CONCERTO DE DE PLACAS SINALIZAÇÃO</t>
  </si>
  <si>
    <t>RETROVISOR UNIVERSAL 200X370MM</t>
  </si>
  <si>
    <t>MATERIAL PARA REALIZAR PREVENTIVA RPD 9129</t>
  </si>
  <si>
    <t>MATERIAL PARA SUBSTITUIÇÃO DE EMBRAGEM EMBREAGEM</t>
  </si>
  <si>
    <t>TROCA DE FILTRO DE COMBUSTIVEL EHL 1152</t>
  </si>
  <si>
    <t>USO OFICINA/ CAMINHAO CIMENTO CCM-4181</t>
  </si>
  <si>
    <t>APLICAÇÃO DE COBRE FACIL RHV 4I13 SEJ 6D58</t>
  </si>
  <si>
    <t>LOCAÇÃO DE CACAMBA PLACA OLH 3F84</t>
  </si>
  <si>
    <t>ABASTECIMENTO REFERENTE 807,55 LITROS PARA VEICULO DE PLACA AYK 8G29</t>
  </si>
  <si>
    <t>ARRUELA 1/4+FILTRO DE COMBUSTIVEL25320/31320</t>
  </si>
  <si>
    <t>ANTI FERRUGEM+THINNER 900ML+ESTOPA</t>
  </si>
  <si>
    <t>COMPRESSOR+OLEO+EVAPORADOR</t>
  </si>
  <si>
    <t>PALHETA DO LIMPADOR DE PARABRISA FIAT PLACA TAK 1J63</t>
  </si>
  <si>
    <t>M.O REMOVER PAINEL</t>
  </si>
  <si>
    <t xml:space="preserve">ESPELHO BIONICO 90 MM+ESPELHO RETROVISOR </t>
  </si>
  <si>
    <t>SERVIÇO DE CONCERTO COMPACTADOR SAPO TROCA DE SANFONA COIFA E SAPATA</t>
  </si>
  <si>
    <t>REVISÃO CHICOTE CAMERA REVISÃO VIDRO ELETRICO EMENDA CHICOTE TROCA DO GIRO FLEX TROACA DE UM BOTÃO</t>
  </si>
  <si>
    <t>LAITARTE E BALLERINE</t>
  </si>
  <si>
    <t>LOCAÇÃO DE GERADOR 10 DIAS</t>
  </si>
  <si>
    <t>DESLOCAMENTO E REPAROS ELETRICOS PLACAS-SDY 9I66-TAK-9I30 - RHT 0E26</t>
  </si>
  <si>
    <t xml:space="preserve">CONSERTO SOPRADOR </t>
  </si>
  <si>
    <t>CINTA DE MOVIMENTAÇÃO DE CARGA</t>
  </si>
  <si>
    <t>64.113.302/0001-59</t>
  </si>
  <si>
    <t>AGUINALDO ELIAS LOPES FRANCISCO</t>
  </si>
  <si>
    <t xml:space="preserve">SERVIÇO DE PINTURA </t>
  </si>
  <si>
    <t>TROCA DE CAMERA DE RE</t>
  </si>
  <si>
    <t>SERVIÇO TROCA LANTERNA TROCA DE DUAS LANTERNA DA LATERAL REVISÕES DAS LANTERNAS</t>
  </si>
  <si>
    <t xml:space="preserve">ADESIVO PRISMATICO </t>
  </si>
  <si>
    <t xml:space="preserve">TROCA ESTROBO / REVISAOA LINALEIRO DIANTEIRO /FIXAR BRAÇO LIMPADOR / CAMERA RE </t>
  </si>
  <si>
    <t xml:space="preserve">RETENTOR + GRAXA + FILTROS </t>
  </si>
  <si>
    <t>M.O CUBO E RETENTOR DE ESCAPAMENTO</t>
  </si>
  <si>
    <t>ROLAMENTO+ALTERNADOR+LAMPADAS</t>
  </si>
  <si>
    <t>SERVIÇO REALIZADO NO SISTEMA DE AR CONDICIONADO CBV 2206</t>
  </si>
  <si>
    <t>FAZER PEITO DE AÇO COM SUPORTE CBV 2206 VLR RHH 9D56</t>
  </si>
  <si>
    <t>REVISÃO DO CHICOTE DA CAMERA</t>
  </si>
  <si>
    <t>INSTALAÇÃO DE GIROFLEX E CHAVE</t>
  </si>
  <si>
    <t>REVISÃO DO CHICOTE DA LUZ BAIXA+EMENDA DO CHICOTE + LIGAÇÃO DOS FAROL AUXILIAR</t>
  </si>
  <si>
    <t>TROCA DE BATERIA NO KM 42 PLACA SFN 1D29</t>
  </si>
  <si>
    <t>SERVIÇO DE INSTALAÇAO DE CAMERA MONITOR+ GIRO FLEX COM CHAVE+ INSTALAÇÃO STROBO +REVISÃO SINALEIRA+TROCA DE LAMPADA+TROCA DE RELE AUXILIAR PARA CAMERA+22 MTS DE CABO PP 2X1</t>
  </si>
  <si>
    <t>TROCA DE TERMINAIS DE BATERIA+GIROFLEX+DOIS FAROL AUXILIAR+REVISÃO ELETRICA TRAZEIRA E DIANTEIRA</t>
  </si>
  <si>
    <t>SERVIÇO DE CONFIGURAÇÃO DO TACOGRAFO</t>
  </si>
  <si>
    <t>REVISÃO NO CHICOTE DAS CAMERAS E SUBSTITUIÇÃO DE CAMERA E MONITOR +TROCA DE STROBO</t>
  </si>
  <si>
    <t>SERVIÇO DE TROCA CAIXINHA DOS STROBO</t>
  </si>
  <si>
    <t>SERVIÇO DE INSTALAÇÃO DE CAMERA +STROBO+MONITOR+ TROCA DE LAMPADA FAROL AUXILIAR PLACA SFH 1F83</t>
  </si>
  <si>
    <t>TROCA DE STROBO</t>
  </si>
  <si>
    <t>TROCA DE STROBO +REVISÃO DE CAMERA</t>
  </si>
  <si>
    <t xml:space="preserve">TROCA DE STROBO+SEVIÇO DE RETIRADA DE MANGUEIRA DO RADIADOR </t>
  </si>
  <si>
    <t>SERVIÇO DE TROCA DE CAMERA DE RE + INSTALAÇÃO DE PX</t>
  </si>
  <si>
    <t>SERVIÇO DE TROCA DE MONITOR DA CAMERA DE RE</t>
  </si>
  <si>
    <t>SERVIÇO DE TROCA DE FAROL AUXILIAR STROBO, E REVISÃO DE SINALEIRA</t>
  </si>
  <si>
    <t>TROCA DE FUSIVEL E PORTA FUSIVEL DUAS LENTES TRASEIRAS E LAMPADAS QUEIMADAS</t>
  </si>
  <si>
    <t>TROCA FAIXAS REFLETIVAS+SUBSTITUIÇÃO SUPORTE LATERNA+MONTAGENS DO SUPORTE DAS LANTERNAS+SUBSTITUIÇÃO DE LAMPADAS 67+APLICAÇÃO DE SIRENE DE RE+INSTALAÇÃO DE BUZINA, TROCA DE STROBO</t>
  </si>
  <si>
    <t>2 TUBOS DE COLA PARA PARABRISA</t>
  </si>
  <si>
    <t>REVISÃO DE 3 MANEQUINS+ BATERIA 65 A ERBS+TROCA DE LAMPADA H7</t>
  </si>
  <si>
    <t>TROCA DE BATERIA +TROCA DE MODULO STROBO E CAMERA DE RE+CHICOTE DO BOTÃO VIBRADOR</t>
  </si>
  <si>
    <t>TROCA DE STROBO +CENTRAL DO STROBO+FAROL AUXILIAR TRASEIRO+CAMERA DE RE</t>
  </si>
  <si>
    <t>PREPARAÇÃO PARA DESMOBILIZAÇÃO</t>
  </si>
  <si>
    <t>SERVIÇO DE TROCA DE LENTE +TROCA DE STROBO +TROCA DE LANTERNA+ RVISÃO DOS FAROIS AUXIIARES</t>
  </si>
  <si>
    <t>INSTALAÇÃO DE STROBO+INSTALAÇÃO DE STROBO+MONITOR INSTALAÇÃO DE SIRENE RE+ GIROFLEX COM CHICOTE E CHAVE+8MTS CABO PP2X1</t>
  </si>
  <si>
    <t>TROCA DE LAMPADA MEIA LUZ+TROCA DE CAMERA DE RE</t>
  </si>
  <si>
    <t>INTALAÇÃO GIRO FLEX+ CAMERA DE RE+ STROBO +FAROL AUXILIAR BRAÇO DA CONCHA</t>
  </si>
  <si>
    <t>TROCA DO CHICOTE COMPLETO,+INSTALAÇÃO DO RELE+RELIGAÇÃO E TROCA DA CAMERA+FICÇAO DO MONITOR</t>
  </si>
  <si>
    <t>TROCA LAMPADA PINGO+SOQUETE PINGO AGUA+LAMPADA H7</t>
  </si>
  <si>
    <t>TROCA DE GIROFLEX</t>
  </si>
  <si>
    <t>LIGAÇÃO DE SETA TRASEIRO+20 MTS FIO+RELE PISCA+LIGAÇÃO DE STROBO+CHAVE RELE PISCA+GIROFLEX+PORTA FUSIVEL</t>
  </si>
  <si>
    <t>SERVIÇO NA LANTERNA TRASEIRA</t>
  </si>
  <si>
    <t>SERVIÇO DO PAINEL</t>
  </si>
  <si>
    <t>TROCA DE FAROL AUXILIAR+LIGAÇÃO DO CHAPEU DO TANQUE+TROCA DO FUSIVEL +VERIFICAR CHAVE</t>
  </si>
  <si>
    <t>SERVIÇO DE DESMONTAGEM E MONTAGEM DA COLUNA DE DIREÇÃO</t>
  </si>
  <si>
    <t>FIXAR MONITOR E LIGAÇÃO DO POSITIVO CAMERA DE RE COM PORTA FUSIVEL</t>
  </si>
  <si>
    <t>SERVIÇO DE TROCA CAMERA RE+ TROCA DE DUAS BATERIA COM FRETE 70 AH</t>
  </si>
  <si>
    <t>SERVIÇO DE ELETROVENTILADOR +TROCA DE ROLAMENTO608+JG DE ESCOVA+TROCA DE STROBO ECAMERA DE RE+ DESMONTAGEM E MONTAGEM DO PAINEL</t>
  </si>
  <si>
    <t>SERVIÇO DE TROCA DA MEIA LUZ TROCA DE FAIXA TRASEIRA</t>
  </si>
  <si>
    <t>REPAROS NO CHICOTE DAS LANTERNAS TRASEIRAS</t>
  </si>
  <si>
    <t>REVISÃO DO CHICOTE DA SOLENOIDE DA BOMBA  REALIZADO DOMINGO KM 07 MAQUINA SEM OPERAÇÃO</t>
  </si>
  <si>
    <t>RELE DO PISCA+ DUAS BATERIA 100 AH</t>
  </si>
  <si>
    <t>PORCA TRAVANTE +ARRUELA 6MM+ PARAFUSO 6X40+CILINDRO MESTRE DE EMBREAGEM+DISCO DE CORTE 4 1/2</t>
  </si>
  <si>
    <t>TESTE ELETRICO NA BOMBA DO ESPARGIDOR</t>
  </si>
  <si>
    <t>REVISÃO NA PARTE ELETRI DE SINALEIRAS+TROCA DE UMA LAMPADA H3+TROCA DE LAMPADA 69</t>
  </si>
  <si>
    <t>TROCA DE CINTO TRES PONTAS MOTORISTA</t>
  </si>
  <si>
    <t>TROCA DE MODULO STROBO</t>
  </si>
  <si>
    <t>TROCA DE CAMERA E MONITOR RELE  RE</t>
  </si>
  <si>
    <t>TROCA DE LANTERNA + LAMPADA H7+DOIS TERMINAL DE BATERIA+FUSIVEL DE 80 AH+CABOS POSITIVOS</t>
  </si>
  <si>
    <t xml:space="preserve">SERVIÇO DE TROCA SINALEIRA +STROBO </t>
  </si>
  <si>
    <t>REVISÃO DA ILUMNAÇAO RETIRADO DO RETROVISOR</t>
  </si>
  <si>
    <t>LIGAÇÃO DO FIO DO AUTOMATICO+REVISÃO DA SINALEIRA +FAROL AUXILIAR + STROBO + CHICOTE +RELE DO CHICOTE DA CAMERA+ TROCA DO FAROL AUXILIAR</t>
  </si>
  <si>
    <t>TROCA DE LENTES+ REVISÃO DE SINALEIRA+TROCA DE SIRENE+REVISÃO DE FAROL E LIMPADOR</t>
  </si>
  <si>
    <t>TROCA DE GIROFLEX MONTANA UAV 1C16</t>
  </si>
  <si>
    <t>TROCA DE PAR DE FAROL AUXILIAR DIANTEIRO</t>
  </si>
  <si>
    <t>CHICOTE DE CAMERA DE RE+ MONTAGEM DO PARABRISA</t>
  </si>
  <si>
    <t xml:space="preserve">DUAS BATERIAS DE 60 AH PARA BONECOS DE SINALIZAÇÃO </t>
  </si>
  <si>
    <t>TROCA DAS LANTERNAS+ LAMPADA 1141+LAMPADA H7</t>
  </si>
  <si>
    <t>TESTE DO SENSOR DE PRESÃO DO OLEO +TROCA DO GIRO FLEX</t>
  </si>
  <si>
    <t>DIARIA CORRESPONDENTE A AUXILIO NA PARTE ELETRICA NO KM 60 COM EQUIPE DO MOBA</t>
  </si>
  <si>
    <t>TROCA DE GIRO FLEX POLO PLACA SFN-3G87</t>
  </si>
  <si>
    <t>TROCA DE LAMPADA H4 SAVEIRO TBL-1I76</t>
  </si>
  <si>
    <t>TROCA DE LAMPADA SINALEIRA+LAMPADA DE FREIO+STROBO +GIROFLEX+LAMPADA H7</t>
  </si>
  <si>
    <t>TROCA DE CINTO TRES PONTAS+LAMPADA DE FREIO+ STROBO CAMERA +SIRENE</t>
  </si>
  <si>
    <t>TROCAR FAROL DIREITO+LAMPADA H7+LAMPADA H1  LAMPADA PINGO +STROBO+BUZINA+GIROFLEX +LUZ DE RE+EMENDA NO CHICOTE DAS LANTERNAS LATERAIS</t>
  </si>
  <si>
    <t>TROCA DE LANTERNA+SETE LAMPADAS +MONTAGEM E DESMONTAGEM PARABARRO E PLACA</t>
  </si>
  <si>
    <t>TROCA DE UMA TOMADA 12V DO ACENDEDOR INSTALAÇÃO DO GIROFLEX PLACA SFJ-3B24</t>
  </si>
  <si>
    <t xml:space="preserve">TROCA DOS TERMINAIS DE BATERIA </t>
  </si>
  <si>
    <t>DESMONTAGEM E MONTAGEM DO BANCO PARA REPARO NO CHICOTE+REPARO NA PLACA DE FUSIVEL</t>
  </si>
  <si>
    <t>INSTALAÇÃO DE GIROFLEX + CHAVE +PORTA FUSIVEL</t>
  </si>
  <si>
    <t>LANTERNA H7+SOQUETE H7 +SIRENE DE RE+ STROBO+FAROL AUXILIAR +CAMERA+GIROFLEX</t>
  </si>
  <si>
    <t xml:space="preserve">SERVIÇO DE TROCA STROBO E FICCÇÃO DO RABICHO </t>
  </si>
  <si>
    <t>TROCA DE GIROFLEX TROCA DE STROBO +LAMPADA H3</t>
  </si>
  <si>
    <t>REVISÃO DAS XUXINHAS+DUAS CHAVES+STROBOS E FAROLA AUXILIAR</t>
  </si>
  <si>
    <t>SERVIÇO DE MANUTENÇÃO ELETRICA DE DOIS BONECOS</t>
  </si>
  <si>
    <t>SERVIÇO DE MANUTENÇÃO DE MANIQUIM TROCA DE FUSIVEL E INSTALAÇÃO</t>
  </si>
  <si>
    <t>SERVIÇO DE MANUTENÇÃO DOS MANIQUINS KM 80  4MTS DE CABO PP</t>
  </si>
  <si>
    <t>CONCERTOS DE DUAS BONECAS</t>
  </si>
  <si>
    <t>SERVIÇO EM BONECO REVISÃO DO CHICOTE INSTALAÇÃO DO BONECO DUAS GARRAS</t>
  </si>
  <si>
    <t>BATERIA BONECA SINALIZAÇÃO</t>
  </si>
  <si>
    <t xml:space="preserve">CAMINHAO DESMOBILIZADO </t>
  </si>
  <si>
    <t>SERVIÇO GIROFLEX STROBO FAROL AUXILIAR TRASEIRO + CAMERA</t>
  </si>
  <si>
    <t>SERVIÇO GIROFLEX STROBO FAROL AUXILIAR TRASEIRO E DIANTEIRO</t>
  </si>
  <si>
    <t>TROCA DE BATERIA MOURA DE 100 AH</t>
  </si>
  <si>
    <t xml:space="preserve">LOCAÇÃO DE ANDAIME </t>
  </si>
  <si>
    <t>SERVIÇO DE  GUINDASTE NA CIDADE DE MUNDO NOVO MOVIMENTAÇÃO DE CARGA</t>
  </si>
  <si>
    <t>34.345.673/0001-03</t>
  </si>
  <si>
    <t>ADRIANA DE SIQUEIRA MELLO</t>
  </si>
  <si>
    <t>SERVIÇO DE LAUDO TECNICO EM DOIS COMPRESSOR 60 PCM</t>
  </si>
  <si>
    <t xml:space="preserve">ABASTECIMENTO DE FRETEIROS PLACA CRZ 8B82 36,220LTS+CRZ 8B82 7,130 LTS GASOLINA COMUM+SEB 7G25 708,350 LTS +CRZ 8B82 25,460 LTS </t>
  </si>
  <si>
    <t xml:space="preserve">BOMBA DE COMBSTIVEL </t>
  </si>
  <si>
    <t>MACACÃO DE APOIO COLABORADOR JOSE ANTONIO</t>
  </si>
  <si>
    <t>COMBUSTIVEL /ABASTECIMENTO/ MAQUINAS /EQUIPAMENTOS 10.000</t>
  </si>
  <si>
    <t>USO TANQUE DE EMULSÃO ENGATE 2'+MANG SUCÇAO 2' ABRAÇADEIRA 48-56</t>
  </si>
  <si>
    <t xml:space="preserve">SERVIÇO DE LOCAÇÃO CAMINHÃO ACCELO 1016 </t>
  </si>
  <si>
    <t>37.551.801/0001-55</t>
  </si>
  <si>
    <t>CENTRO SUL ENGENHARIA COMERCIO E SERVIÇO LTDA</t>
  </si>
  <si>
    <t>DESLOCAMENTO DE TANQUE DE EMULSÃO DE SÃO GABRIEL MS PARA MUNDO NOVO</t>
  </si>
  <si>
    <t>LOCAÇÃO DE TANQUE PARA ARMAZENAR EMULSÃO ASFALTICA</t>
  </si>
  <si>
    <t>00.404.539/0001-06</t>
  </si>
  <si>
    <t>COMBUSTIVEL CADIESEL LTDA</t>
  </si>
  <si>
    <t>OLEO DIESEL PARA APOIO CANTEIRO OBRA DOURADOS RETRO</t>
  </si>
  <si>
    <t>OLEO DIESEL PARA APOIO CANTEIRO OBRA DOURADOS TRATOR</t>
  </si>
  <si>
    <t>ABASTECIMENTO REFERENTE 300,010 LITROS PARA VEICULO DE PLACA HTP 5C12</t>
  </si>
  <si>
    <t>ABASTECIMENTO REFERENTE 184,81 LITROS PARA VEICULO DE PLACA AQN 2A59</t>
  </si>
  <si>
    <t>ABASTECIMENTO REFERENTE NSD 511,02 LITROS PARA VEICULO DE PLACA NSD 0G69</t>
  </si>
  <si>
    <t>ABASTECIMENTO REFERENTE 56,59 LITROS PARA VEICULO DE PLACA CRZ 8B82</t>
  </si>
  <si>
    <t>ABASTECIMENTO REFERENTE 580 LITROS PARA VEICULO DE PLACA DTV 9F75</t>
  </si>
  <si>
    <t>ABASTECIMENTO REFERENTE 248,93 LITROS PARA VEICULO DE PLACA ARX 3I27</t>
  </si>
  <si>
    <t>ABASTECIMENTO REFERENTE 218,97 LITROS PARA VEICULO DE PLACA ARN 2D47</t>
  </si>
  <si>
    <t>APLICAÇÃO DE ADESIVOS PRISMATICOS SAVEIRO UBG 8G45+CAMINHAO SRS 3D72+CAMINHÃO RHT 0E26+ VAN QAH 4E61+ SAVEIRO UBI 7J36+BASCULANTE RHV 4I08+BASCULANTE RHV 4I11+SAVEIRO UBI 7J40+ ROLO RTD 0378</t>
  </si>
  <si>
    <t>COMBUSTIVEL PARA ATENDER EQUIPAMENTOS OBRA ARLA</t>
  </si>
  <si>
    <t xml:space="preserve">TELA COLEIRA BRANCA +ARAME LISO+MANILHA 1,65+MANILHA RETA +RETALHO </t>
  </si>
  <si>
    <t xml:space="preserve">SUBSTITUIÇÃO DO PARABRISA </t>
  </si>
  <si>
    <t xml:space="preserve">SERVIÇO DE TRANSPORTE </t>
  </si>
  <si>
    <t>LOCAÇÃO DE IMPRESSORA</t>
  </si>
  <si>
    <t xml:space="preserve">FRETE DE RECICLADORA </t>
  </si>
  <si>
    <t>FRETE MOTO NIVELADORA MNC 100119</t>
  </si>
  <si>
    <t>FILTRO CORRESPONDENTE PREVENTIVA DE  1.000 HORAS</t>
  </si>
  <si>
    <t>ARLA 32 800LT</t>
  </si>
  <si>
    <t>ABASTECIMENTO VEICULOS LEVES ( EMISSAO DE CARTAO)</t>
  </si>
  <si>
    <t>ABRAÇADEIRA + SOQUETES 1/2+ESTILETE+CHAVE COMBINADA 15MM+ CHAVE COMBINADA 24MM+CAIXA DE 5 GAVETA</t>
  </si>
  <si>
    <t>ABASTECIMENTO DE FRETEIOS PLACA AQM 2A59 188 LTS MIH 6E55 447,230 LTS</t>
  </si>
  <si>
    <t xml:space="preserve">SERVIÇO DE EIXO MOTOR LIMPEZA ONIBUS </t>
  </si>
  <si>
    <t>TICKET LOG REFERENTE A ABASTECIMENTO</t>
  </si>
  <si>
    <t>COMBUSTIVEL PARA ATENDER EQUIPAMENTOS OBRA 10.000</t>
  </si>
  <si>
    <t>REFAZER 4 QUADROS DE PLACAS DE SINALIZAÇÃO PLACA RHB 1D73 VALOR 850+FAZER SUPORTE PARA PA CARREGADEIRA VALOR 1580+FAZER PEITO DE AÇO COMPLETO CBV 2218 VALOR 1850+FAZER RASTELOS RODOS VALOR 650+FAZER ONZE POSTES VALOR 1.350+SERVIÇO DE MANGUEIRA E CONEXÃO ESPARGIDOR VALOR 350,00+ SERVIÇO DE SOLDA MUNCK SEY 3G35 VALOR 180,00+ CAMINHÃO PLATAFORMA  CPM 2090 VALOR 280,00+FAZER POSTE PARA BALANÇA VALOR 1.100,00</t>
  </si>
  <si>
    <t>TUBO LEVE CINZA+ABRAÇADEIRA 3/4+CABIPP+ FONTE CHAVEADA+LAMPADA LED+PARAFUSO BROCANTE+SOQUETE COM ABA PORCELANA+ADAPTADOR RETO+LUVA DE ELETRODUTO+CONDULETE</t>
  </si>
  <si>
    <t>DISPESAS DE FRETE PARA TRANSPORTE DE PEÇAS</t>
  </si>
  <si>
    <t>SOLDAMAQ COMERCIO DE FERRAMENTAS</t>
  </si>
  <si>
    <t>PAGO CARTÃO</t>
  </si>
  <si>
    <t>CANTEIRO DOURADOS CADEADO 40 MM+ MANGUEIRA CRISTAL+MARCADOR AZUL+MARRETA 1,5 KG+NIVEL DE ALUMINIO+TORNEIRA JARDIM+TRENA 50 MTS+ TRENA 50 MTS</t>
  </si>
  <si>
    <t>LOCAÇÃO DE GUINDASTE PARA MOVIMENTAÇÃO DE BARREIRAS</t>
  </si>
  <si>
    <t>MANGUEIRA DE SUCÇAO 2''+MANGUEIA 2.1/2''+ABRAÇADEIRA 54X62+ABRAÇADEIRA 67X75</t>
  </si>
  <si>
    <t>REFERENTE A ABASTECIMENTO PLACA SDP 3B26</t>
  </si>
  <si>
    <t>REFERENTE A ABASTECIMENTO PLACA SEB 7G25</t>
  </si>
  <si>
    <t>REFERENTE A ABASTECIMENTO PLACA AYK 8G29</t>
  </si>
  <si>
    <t>LOCAÇÃO DE PLATAFORMA  HAULATTE / HA 16RTJ</t>
  </si>
  <si>
    <t>CORRETIVA EMBREAGEM</t>
  </si>
  <si>
    <t>CABO PP2,5+SPQUETE PORCELA+ LAMPADA LED BULBO+ISOLADOR ROLDANA+ GRAMPO FIXADOR</t>
  </si>
  <si>
    <t>CUSTO DE TRAJETO 01/02 - 02/02-03/02-04/02-TRABALHO NA USINA 05/02-ATENDIMENTO NA QUALIDADE 09/02- TRABALHO USINA 10/02 BUSCAR CMERAS EM DOURADOS 12/02 INSTALAÇÃO DE CAMERA  13/02 BUSCAR CAMERA EM DOURADOS 16/02 TRABALHO BARRACÃO 17/02 TRABALHO BARRACÃO CAMERA 18/02  TRABALHO NA USINA E MANUTENÇÃO</t>
  </si>
  <si>
    <t>MONTAR ESTRUTURA PARA BOMBA NOVA DO RECICLO DE OLEO, PASSAR CABEAMENTO PARA BOMBA RECICLO DE OLEO, FAZER FECHAMENTO DE NO MOTOR DA BOMBA NOVA.</t>
  </si>
  <si>
    <t>PRAFUSO LAMINA 1/2X1.3/4 +PORCA 1/2X7/16+ LAMINA 16X 152X 1632</t>
  </si>
  <si>
    <t>LAMINA 1826 X 150 X 3/4</t>
  </si>
  <si>
    <t>SUPORTE ENGATES BOBS+ENGATES</t>
  </si>
  <si>
    <t>MALABIM</t>
  </si>
  <si>
    <t xml:space="preserve"> VIDRO TRASEIRO, INCIDENTE SERGIO</t>
  </si>
  <si>
    <t>M.O FUNILARIA E PINTURA INCIDENTE POLO JOÃO ESTOCKER</t>
  </si>
  <si>
    <t>ELETRICA CANTEIRO USINA</t>
  </si>
  <si>
    <t>ROLAMENTO+GIROFLEX+CUBO+TENSOR</t>
  </si>
  <si>
    <t>01.107.033/0001-51</t>
  </si>
  <si>
    <t>DIMAC EQUIPAMENTOS</t>
  </si>
  <si>
    <t>LOCAÇÃO GERADRO 116 KVA</t>
  </si>
  <si>
    <t>CABO DE COBRE+MANGUEIRA+DISJUNTORES+FITAS+TERMINAL+MANGUEIRAS</t>
  </si>
  <si>
    <t>LAVAÇÃO MAQUINAS CAMINHÕES E EQUIPAMENTOS 62 EQUIPAMENTOS</t>
  </si>
  <si>
    <t>BORRACHARIA, CONSERTOS E TROCAS</t>
  </si>
  <si>
    <t>INTALAÇÃO DE GIROFLEX</t>
  </si>
  <si>
    <t>INTALAÇÃO DE LENTE ELETRICA</t>
  </si>
  <si>
    <t>CABOS DA BATERIA ALTERNADOR</t>
  </si>
  <si>
    <t>01-BATERIA 110H</t>
  </si>
  <si>
    <t>LAURENO &amp; BAGNARA LTDA</t>
  </si>
  <si>
    <t>COBERTURA BARRAÇÃO BAIAS EMULSSÃO</t>
  </si>
  <si>
    <t>1 LANTERNA DE TRAZEIRA  LAMPADA SERVIÇO DE TROCA  TERMINIS DO CIBIE TROCA DO SUPORTE SIMOVA</t>
  </si>
  <si>
    <t>FONTE CHAVEADA+ CABO PP 2X1,5+SIRENE PIEZO+CAIXA DE PASSAGEM+BOTÃO EMERGENCIA SEM TRVA+BOTÃO ILUMINAÇÃO 220</t>
  </si>
  <si>
    <t>ELETRICA+FONTE+CABO+CAIXA+BOTÃO</t>
  </si>
  <si>
    <t>TERMICRO</t>
  </si>
  <si>
    <t>USINA DE MICRO OLEO 68 100 LT</t>
  </si>
  <si>
    <t>DIESEL S500</t>
  </si>
  <si>
    <t>ESXTINTOR DE 1KG ABC</t>
  </si>
  <si>
    <t>MODULO+TOMADA+PLACASELETRICA USICA ESCRITÓRIO PRINCIPAL</t>
  </si>
  <si>
    <t>ELETRICA BARRAÇÃO+USINA+QUALIDADE</t>
  </si>
  <si>
    <t>DUAS LAMPADAS DA SINALEIRA</t>
  </si>
  <si>
    <t>REPAROS PARAFUSO  ARRUELAS CONEXOES REDUTORAS</t>
  </si>
  <si>
    <t>M.O P´REVENTIVA TROCA DE OLEO E FILTROS</t>
  </si>
  <si>
    <t>PREVENTIVA TROCA DE FILTROS E OLEO</t>
  </si>
  <si>
    <t>M.O TROCA PINO DE CENTRO MOLA ESQUERDA</t>
  </si>
  <si>
    <t>MOLA+PINO CENTRO ESQUERDO</t>
  </si>
  <si>
    <t>OLEO TRANSMISSÃO 85W140</t>
  </si>
  <si>
    <t>COMPRESSOR+OLEO+ADITIVO RADIADOR</t>
  </si>
  <si>
    <t>M.O TROCA COMPRESSOR MOTOR</t>
  </si>
  <si>
    <t xml:space="preserve">KITS DE LIMPEZAS 100 UN </t>
  </si>
  <si>
    <t xml:space="preserve">ELETRICA EM MAQUINAS E EQUIPAMENTOS </t>
  </si>
  <si>
    <t>31.512.301/0001-28</t>
  </si>
  <si>
    <t>CLAUDEMIR MIRANDA DA SILVA</t>
  </si>
  <si>
    <t xml:space="preserve">CANTEIRO DOURADOS TERRAPLANAGEM </t>
  </si>
  <si>
    <t>TINTAS PARA PINRURA BARRACÃO CANTEIRO</t>
  </si>
  <si>
    <t>COMBUSTIVEL APOIO CANTEIRO DOURADOS</t>
  </si>
  <si>
    <t xml:space="preserve">CONEXÃO TEE EMENDA+ MANGUEIRA NYLON 6 MM </t>
  </si>
  <si>
    <t>JOGO DE SOQUETES 1/2</t>
  </si>
  <si>
    <t>SILICONE+APLICADOR DE SILICONE+ ADESIVO INSTANTANEO RB 100+PARAFUSO SEXTAVADO+ADESIVO DE JUNTA MOTOTR</t>
  </si>
  <si>
    <t>MANUTENÇÃO PREVENTIVA ESX 13607</t>
  </si>
  <si>
    <t>45.405.635/0001-07</t>
  </si>
  <si>
    <t>GRASSIELA DE FATIMA</t>
  </si>
  <si>
    <t>REPAROS NA TRAVESSA TRASEIRA CTM 100062</t>
  </si>
  <si>
    <t>CABO 4X50MM BUCHA,ARMAÇÃO+CINTA+PERFURDOR</t>
  </si>
  <si>
    <t>CABO+SOQUETE+LAMP+ISOLADOR</t>
  </si>
  <si>
    <t>MANG.+ENGATE+ABRAÇADEIRA+REGISTRO+MANGUE+ABRACA</t>
  </si>
  <si>
    <t>INSPOESTE INSPEÇAO</t>
  </si>
  <si>
    <t>INSPEÇÃO CIV CIPP</t>
  </si>
  <si>
    <t>PREVENTIVA DE 500H M.O</t>
  </si>
  <si>
    <t>PREVENTIVA DE 500H PÇ</t>
  </si>
  <si>
    <t xml:space="preserve">SOLDAR SUPORTE DO COROTE SOLDAR PARACHOQUE TRASEIRO TROCA FLEXIVEL </t>
  </si>
  <si>
    <t>PARAF.+ARRUELA+PORCA+CHAVE+TUBO+LUVA+JOELHO+DESENGRIPANETE</t>
  </si>
  <si>
    <t>CONSERTO SAPO</t>
  </si>
  <si>
    <t>87.175.824/0001-80</t>
  </si>
  <si>
    <t>CMV CONSTRUÇÕES MECANICAS</t>
  </si>
  <si>
    <t>RODA+CUBO+PÇ PARA VASSOURA</t>
  </si>
  <si>
    <t>CORRETIVA SOPRADOR</t>
  </si>
  <si>
    <t>ALÇA+PERFORMADA+DISTRIBUIÇÃO+BROCA</t>
  </si>
  <si>
    <t>BUCHA+ARRUELA+PARAFUSO+CONECTORES</t>
  </si>
  <si>
    <t>PEÇAS+LONA+PÁ+CADEADO+BUCHA+PINO+CARRINHO EFO 9J81</t>
  </si>
  <si>
    <t>MOTOBOMBA EFO9J81</t>
  </si>
  <si>
    <t>S500 FRETEIROS</t>
  </si>
  <si>
    <t>MANGUEIRA FLEX</t>
  </si>
  <si>
    <t>CABO FLEX+CABO+TERMINAL+TERMINAL</t>
  </si>
  <si>
    <t>VENTILADOR OSCILANTE DE MESA 50 CM</t>
  </si>
  <si>
    <t>OLEO PREMIUM 20W50</t>
  </si>
  <si>
    <t>001/2026</t>
  </si>
  <si>
    <t>59.839.630/0001-05</t>
  </si>
  <si>
    <t xml:space="preserve">LUCIANO DOS SANTOS </t>
  </si>
  <si>
    <t>LOCAÇÃO DE CAMINHÕA CABINE AUXILIAR</t>
  </si>
  <si>
    <t>M.O FINILARIA E PINTURA INCIDENTE ONIX SFE2E05 SERGIO</t>
  </si>
  <si>
    <t>PINTURA CANTEIRO</t>
  </si>
  <si>
    <t>LIMPEZA SISTEMA DE AR CONDICIONADO+RECARGA DE GÁS</t>
  </si>
  <si>
    <t xml:space="preserve">VENTILADOR INTERNO CABINE TROCA </t>
  </si>
  <si>
    <t>MANGUEIRA+SOLDA+CARGA DE GAS</t>
  </si>
  <si>
    <t>SISTEMA AR CONDICIONADO+VENTOINHA+CONDENSADOR</t>
  </si>
  <si>
    <t>DIESEL FRETEIROS</t>
  </si>
  <si>
    <t>MOVIMENTAÇÃO DE CONTAINNERS</t>
  </si>
  <si>
    <t>VALVULA+SISTEMA DE AR</t>
  </si>
  <si>
    <t>21.685.199/0001-09</t>
  </si>
  <si>
    <t>JHON KENNEDY MONTEIRO GEDES</t>
  </si>
  <si>
    <t xml:space="preserve">REFORMA DO BANCO DO MOTORISTA </t>
  </si>
  <si>
    <t>ALUGUEL DE GERADOR 116 KVA +CABOS DE 95 MM 20 MTS</t>
  </si>
  <si>
    <t>ENG+VALVULA+ADAPTA+MANGUEIRA</t>
  </si>
  <si>
    <t>ROMPIMENTO EM TRANPORTE DE CABO DE LIGAÇÃO FEZA+MAQUINA</t>
  </si>
  <si>
    <t>PANO+PAÇHETA+PARAFUSO+TAMPA</t>
  </si>
  <si>
    <t>INSULFILMES MOTONIVELADOR+TRATOR DE ESTEIRA TEK100113</t>
  </si>
  <si>
    <t>NORS EQUIPAMENTOS</t>
  </si>
  <si>
    <t>PREVENTIVA MATERIAL DE SUBISTITUIÇÃO</t>
  </si>
  <si>
    <t>1250 UNIDADE DE BITS</t>
  </si>
  <si>
    <t>CABO DE INTERNET BLINDADO</t>
  </si>
  <si>
    <t>GAS REFRIGERANTE+OLEO COMPRESSOR</t>
  </si>
  <si>
    <t>REALIZADA SUBSTITUIÇÃO DE MOLA QUEBRADA, COXIM E BATENTE DE MOLA CBV-2207</t>
  </si>
  <si>
    <t>GAS S134</t>
  </si>
  <si>
    <t>OLEO DE FREIO DOT 4 CBV 2207</t>
  </si>
  <si>
    <t>COMPLEMENTAÇÃO DE OLEO DE FREIO DOT 4 CBV 2207</t>
  </si>
  <si>
    <t>LUCIANO TRANSPORTES</t>
  </si>
  <si>
    <t>GAS+EVAPORADOR+SELO+ROLAMEN+OLEO+TERMO+TAMPA+RELE</t>
  </si>
  <si>
    <t>M.O DESMONTAGEMMONTAGEM PAINEL</t>
  </si>
  <si>
    <t>COMPRESSORDE AR CONDICIONADO+GAS+NITROGENIO+PEÇA</t>
  </si>
  <si>
    <t>COMPRESSOR+OLEO+CONDENSADOR+GAS</t>
  </si>
  <si>
    <t>PONTA IIZ2+ PARAFUSO SEXTAVADO BOLT+PORCA BOLT</t>
  </si>
  <si>
    <t>SERVIÇO DE TRANSPORTE DE CONTEINERS DE MUNDO NOVO PARA DOURADOS -MS</t>
  </si>
  <si>
    <t>22.056.948/0001-00</t>
  </si>
  <si>
    <t>ACS PNEUS E ACESSORIOS</t>
  </si>
  <si>
    <t>CAMARA DE AR E PROTETOR</t>
  </si>
  <si>
    <t>ABRAÇADEIRA DE NYLON+DISJUNTOR +PLUG FEMEA MANGUEIRA PEVEDUTO+</t>
  </si>
  <si>
    <t>TRANSPORTE DE TANQUE DE EMULSSÃO</t>
  </si>
  <si>
    <t>LOCAÇÃO DE CARRETA TANQUE EMULSSÃO OOM 4849</t>
  </si>
  <si>
    <t>RETOROVISOR 2594758 CGC</t>
  </si>
  <si>
    <t>MONTAGEM DE CABINE COMPLETA DE ALTA TENSÃO TRIFASICA 500 KVA</t>
  </si>
  <si>
    <t>03.938.345/0001-89</t>
  </si>
  <si>
    <t>GLOBAL INFORMATICA LTDA</t>
  </si>
  <si>
    <t>CAMERAS USINA CANTEIRO USINA</t>
  </si>
  <si>
    <t>PARAFUSO SAPATA FLAGEADA+ PORCA ESTEIRA 20X1,5</t>
  </si>
  <si>
    <t>ADPTADOR ESCAMA + REGISTRO ESFERA 3''+ ENGATE FEMEA ROSCA INTERNA 3''+ MANGUEIRA DE SUCÇÃO 3''+ ABRAÇADEIRA MANGOTE 20 MM</t>
  </si>
  <si>
    <t>AGRO - ROQUE SERVICOS E LOCACAO LTDA</t>
  </si>
  <si>
    <t>COMBUSTIVEL + CORRETIVA+ CUSTO DESMOBILIZAÇÃO</t>
  </si>
  <si>
    <t>ARLA 32 GRANEL</t>
  </si>
  <si>
    <t>00.924.845/0004-16</t>
  </si>
  <si>
    <t>SOLDAMAG COMERCIO DE DE FERRAMENTAS LTDA</t>
  </si>
  <si>
    <t>CABO FLEX PP 3X6MM+FITA AUTO FUSÃO+FITA ISOLANTE+PLUG 2P +TOMADA 2P  20A</t>
  </si>
  <si>
    <t>81.463.630/0002-85</t>
  </si>
  <si>
    <t>CABOPEC</t>
  </si>
  <si>
    <t>TROCA DO CABO LANÇA L/D</t>
  </si>
  <si>
    <t>SERVIÇO ELETRICO CONCERTO CHICOTE</t>
  </si>
  <si>
    <t>SERVIÇO DE AR CONDICIONADO  TROCADO RELE VENTOINHA</t>
  </si>
  <si>
    <t>EMENDA 6 MM</t>
  </si>
  <si>
    <t>ESPELHO RETROVISOR</t>
  </si>
  <si>
    <t>CINTA DE AMARRAÇÃO CARGA 3 TONELADAS</t>
  </si>
  <si>
    <t>PARAFUSOS SEXTAVADOS 10MM</t>
  </si>
  <si>
    <t>MAÇANETA PORTA LATERAL</t>
  </si>
  <si>
    <t>BOBINA COMPRESSOR FUSIVEIS RELE AUXILIAR</t>
  </si>
  <si>
    <t xml:space="preserve">LOCAÇÃO DE COMPRESSOR </t>
  </si>
  <si>
    <t>CONCERTO CHICOTE HTP-7I14 ROLO TANDEM RTD 10378</t>
  </si>
  <si>
    <t>COMBUSTIVEL PARA APOIO  OBRA</t>
  </si>
  <si>
    <t>ARRUELAS +PARAFUSOS+PORCAS+CONEXOES+ALICATE DE BICO</t>
  </si>
  <si>
    <t>ABASTECIMENTO PLACA: HTP 7I14  102,610 LTS</t>
  </si>
  <si>
    <t>ABASTECIMENTO PLACA JJX 5932 91,910 LTS</t>
  </si>
  <si>
    <t>ABASTECIMENTO PLACA QIB 8A50 223,250 LTS</t>
  </si>
  <si>
    <t>ABASTECIMENTO PLACA NRZ 1F21 150,00 LTS</t>
  </si>
  <si>
    <t>ABASTECIMENTO PLACA AMD 4E46 230 LTS</t>
  </si>
  <si>
    <t>ABASTECIMENTO PLACA ANT 1831 265,00 LTS</t>
  </si>
  <si>
    <t>ABASTECIMENTO PLACA ARS 3I27 262,830 LTS</t>
  </si>
  <si>
    <t>ABASTECIMENTO PLACA DTV 9F75 570,700 LTS</t>
  </si>
  <si>
    <t>ABASTECIMENTO PLACA NRZ 1E22 273,00 LTS</t>
  </si>
  <si>
    <t>ABASTECIMENTO PLACA HTP 7I14 173,310 LTS</t>
  </si>
  <si>
    <t>ABASTECIMENTO PLACA EGI 4A63 300,00 LTS</t>
  </si>
  <si>
    <t>ABASTECIMENTO PLACA JJX 5932 172,030 LTS</t>
  </si>
  <si>
    <t>ABASTECIMENTO PLACA DVT 9I51  213,870 LTS</t>
  </si>
  <si>
    <t>ABASTECIMENTO PLACA BWZ 1C13 236,990 LTS</t>
  </si>
  <si>
    <t>ABASTECIMENTO PLACA HTP 5C12 173,120 LTS</t>
  </si>
  <si>
    <t>ABASTECIMENTO PLACA CLH 6J38 315,940 LTS</t>
  </si>
  <si>
    <t>ABASTECIMENTO PLACA IQM 2I17  171,760 LTS</t>
  </si>
  <si>
    <t>ABASTECIMENTO PLACA NTS 9G89 151,350 LTS</t>
  </si>
  <si>
    <t>ABASTECIMENTO PLACA CQH 7F36 100,00 LTS</t>
  </si>
  <si>
    <t>ABASTECIMENTO PLACA AXB 5B36 100,00 LTS</t>
  </si>
  <si>
    <t>ABASTECIMENTO PLACA AXB 5B36  5 LTS</t>
  </si>
  <si>
    <t>ABASTECIMENTO PLACA AUX 2G56  1296,88 LTS</t>
  </si>
  <si>
    <t>ABASTECIMENTO PLACA ARN 2D47 165,00 LTS</t>
  </si>
  <si>
    <t>RAW 13553</t>
  </si>
  <si>
    <t>ADAPTADOR 99+ ACOPLADOR ACI 99</t>
  </si>
  <si>
    <t>ACABAMANTOS PROTETOR LATERAIS LADO A E LADO B</t>
  </si>
  <si>
    <t>FRETE TRANSPORTE DE PEÇAS</t>
  </si>
  <si>
    <t>51.245.656/0001-05</t>
  </si>
  <si>
    <t>HOTEL CERRADO</t>
  </si>
  <si>
    <t xml:space="preserve">HOSPEDAGEM EM HOTEL </t>
  </si>
  <si>
    <t>RECARGA DE EXTINTOR ABC 12 KG</t>
  </si>
  <si>
    <t>ABASTECIMENTO PLACA QIB 8A50 230,250 LTS</t>
  </si>
  <si>
    <t>ABSTECIMENTO PLACA NSD 0G69 175,747 LTS</t>
  </si>
  <si>
    <t>ABASTECIMENTO PLACA AMD 4E46 100 LTS</t>
  </si>
  <si>
    <t>ABASTECIMENTO SEB 7G25 200 LTS</t>
  </si>
  <si>
    <t>ABASTECIMENTO PLACA NRZ 1F21 150 LTS</t>
  </si>
  <si>
    <t>ABASTECIMENTO PLACA IOT 1A80 72 LTS</t>
  </si>
  <si>
    <t>ABSTECIMENTO PLACA HTP  5C12 93,010 LTS</t>
  </si>
  <si>
    <t>ABASTECIMENTO PLACA SDP 3B26 300 LTS</t>
  </si>
  <si>
    <t>ABASTECIMENTO PLACA AYK 8G29 250 LTS</t>
  </si>
  <si>
    <t>ABASTECIMENTO PLACA EKZ 4862 50,020 LTS</t>
  </si>
  <si>
    <t>ABASTECIMENTO PLACA NRZ 1F21 50 LTS</t>
  </si>
  <si>
    <t>ABASTECIMENTO PLACA ARX 3I27 212 LTS</t>
  </si>
  <si>
    <t>ABASTECIMENTO PLACA ARX 3I27 51,050LTS</t>
  </si>
  <si>
    <t>ABASTECIMENTO PLACA HTP 7I14 161,380 LTS</t>
  </si>
  <si>
    <t>ABASTECIMENTO PLACA FDC 8584 227,780 LTS</t>
  </si>
  <si>
    <t>APLICAÇÃO DE INSULFIME MNC 100000 RAW 13553</t>
  </si>
  <si>
    <t xml:space="preserve">ETANOL </t>
  </si>
  <si>
    <t>ETANOL</t>
  </si>
  <si>
    <t>SERVIÇO DA TICKET LOG</t>
  </si>
  <si>
    <t>15.787.299/0001-43</t>
  </si>
  <si>
    <t>MULTIVIAS TRANSPORTES</t>
  </si>
  <si>
    <t>LOCAÇÃO DE CARRETA PLACA AVT 0H36</t>
  </si>
  <si>
    <t>12.613.735/0001-70</t>
  </si>
  <si>
    <t>RAMACRIS CLAUDINO DA SILVA GUAIRA</t>
  </si>
  <si>
    <t xml:space="preserve">USO GUARDA CORPO CARRETA DE EMULSÃO </t>
  </si>
  <si>
    <t>M.O COMPRESSOR DESMONTAGEM+MONTAGEM</t>
  </si>
  <si>
    <t>FAZER E CUBOS COMPLETO SERVIÇO DE TORNO VLR 1450</t>
  </si>
  <si>
    <t>FAZER AS TAMPAS DIVISORIA VLR 750</t>
  </si>
  <si>
    <t>FAZER GUARDA CORPO CARRETA  TANQUE VLR 2850</t>
  </si>
  <si>
    <t>FAZER DUAS MANGUEIRAS HIDRAULICAS BOBO CAT MCL-1078 VLR 575</t>
  </si>
  <si>
    <t>SERVIÇO DE SOLDA E TORNO VLR 6550</t>
  </si>
  <si>
    <t>FAZER TAMPA DUPLA  DE CATALIZADOR  VLR 300 PLACA AWN 0E25</t>
  </si>
  <si>
    <t>SERVIÇO SOLDA E REFORÇO DO SUPORTE DE TRANSPORTE DE TUBO VLR 580</t>
  </si>
  <si>
    <t xml:space="preserve">RECUPERAR VALVULA ESPARGIDOR VLR 180,00 </t>
  </si>
  <si>
    <t>RECUPERAR 14 QUADROS DE PLACAS  DE SINALIZAÇÃO</t>
  </si>
  <si>
    <t>FAZER MANGUEIRA HIDARULICA MINI ESCAVADEIRA MCL 1078</t>
  </si>
  <si>
    <t>FAZER 3 BASE PARA PAVIMENTAÇÃO FAZER 2 RODOS DE PAVIMENTAÇÃO  1750</t>
  </si>
  <si>
    <t>SERVIÇO  DE PINOS  ETRAVAS E MONTAGEM BALANÇA TRUCK RHH 9D56 VLR 685,00</t>
  </si>
  <si>
    <t xml:space="preserve">CORRETIVA AR CONDICIONADO </t>
  </si>
  <si>
    <t>LAVAGEM DE SEMI REBOQUE PLACA BEF 6B52</t>
  </si>
  <si>
    <t>LAVAGEM CARRETA PLACA ABO 1H94</t>
  </si>
  <si>
    <t>LAVAGEM CAMINHÃO ESPARGIDOR CEM 1504</t>
  </si>
  <si>
    <t>LAVAGEM DE VEICULO LEVE PLACA SFJ 2H21</t>
  </si>
  <si>
    <t>LAVAGEM VEICULO LEVE PLACA TBM 6J 12</t>
  </si>
  <si>
    <t>LAVAGEM DE EQUIPAMENTO TEL 2006</t>
  </si>
  <si>
    <t xml:space="preserve">LAVAGEM MICRO ONIBUS OOM 7E39 </t>
  </si>
  <si>
    <t>LAVAGEM DE EQUIPAMENTO RPB 4073 BATIDA DE AGUA E SABÃO</t>
  </si>
  <si>
    <t>LAVAGEM DE EQUIPAMENTO MCL 1078  VLR 130,00</t>
  </si>
  <si>
    <t>LAVAGEM DE EQUIPAMENTO CEM 1504 VLR 280,00</t>
  </si>
  <si>
    <t>LAVAGEM DE VEICULO LEVE PLACA SFO 1G40 VLR 80,00</t>
  </si>
  <si>
    <t>LAVAGEM DE VEICULO LEVE PLACA SFH 2I42</t>
  </si>
  <si>
    <t>LAVAGEM DE EQUIPAMENTO CLM 13174 VLR 280</t>
  </si>
  <si>
    <t>LAVAGEM DE EQUIPAMENTO MNC 1000000 VLR 600,00</t>
  </si>
  <si>
    <t>LAVAGEM DE EQUIPAMENTO JBC 6H42 VLR 280,00</t>
  </si>
  <si>
    <t>LAVAGEM DE EQUIPAMENTO RHB 1D763 VLR 280,00</t>
  </si>
  <si>
    <t>LAVAGEM DE EQUIPAMENTO PLACA BAA 8I02 VLR 250,00</t>
  </si>
  <si>
    <t>LAVAGEM DE EQUIPAMENTO ESX 13607 VLR 700</t>
  </si>
  <si>
    <t>LAVAGEMDE VEICULO LEVE PLACA TAX 8I41 VLR 80,00</t>
  </si>
  <si>
    <t>LAVAGEM DE VEICULO LEVE PLACA SFO 7H36 VLR 80,00</t>
  </si>
  <si>
    <t>LAVAGEM DE VEICULO LEVE PLACA UBG 8G45 VLR 80,00</t>
  </si>
  <si>
    <t>LAVAGEM DE VEICULO LEVE PLACA UAV 1G16 VLR 80,00</t>
  </si>
  <si>
    <t>LAVAGEM DE EQUIPAMENTO PLACA BBF 6F21 VLR 280,00</t>
  </si>
  <si>
    <t>LAVAGEM DE VEICULO LEVE PLACA TBO 7H80 VLR 80,00</t>
  </si>
  <si>
    <t>LAVAGEM VEICULO LEVE PLACA SFG 0E53 VLR 80,0</t>
  </si>
  <si>
    <t>LAVAGEM VEICULO LEVE PLACA UBF 7G20 VLR 80,00</t>
  </si>
  <si>
    <t>LAVAGEM DE EQUIPAMENTOS PLACA  OOM 7E39 VLR 250</t>
  </si>
  <si>
    <t>LAVAGEM DE EQUIPAMENTO  PLACA AQC 9D06 VLR 280,00</t>
  </si>
  <si>
    <t>LAVAGEM DE EQUIPAMENTO PLACA BAM 4B87 VLR 280</t>
  </si>
  <si>
    <t>MOLA AUXILIAR PINO DIANTEIRO PORCA 12 MM</t>
  </si>
  <si>
    <t>LAVAGEM DE EQUIPAMENTO PLACA UBK 8F63 VLR 280,00</t>
  </si>
  <si>
    <t>LAVAGEM DE VEICULO LEVE PLACA SFJ 3B23 VLR 80,00</t>
  </si>
  <si>
    <t>LAVAGEM DE VEICULO LEVE  PLACA TBL 1I76 VLR 80,00</t>
  </si>
  <si>
    <t>SERVIÇO DE BORRACHARIA VEICULO LEVE PLACA TBK 1A70  VLR 25,00</t>
  </si>
  <si>
    <t>SERVIÇO DE BORRACHARIA PLACA AWI 0E25 VLR 4760,00 DESCONTAR SERVIÇO</t>
  </si>
  <si>
    <t>SERVIÇOS DE BORRACHARIA RPD 9129 VLR 1000,00</t>
  </si>
  <si>
    <t>SERVIÇO DE BORRACHARIA MNC 100000 VLR 300,00</t>
  </si>
  <si>
    <t>SERVIÇO DE BORRACHARIA RP 03 JPB CW 34 VLR 3760,00</t>
  </si>
  <si>
    <t>SERVIÇO DE BORRACHARIA PLACA AWI 0E25 VLR 100,00</t>
  </si>
  <si>
    <t>SERVIÇO DE BORRACHARIA PLACA RHB 1D73 VLR 180,00</t>
  </si>
  <si>
    <t>SERVICO DE BORRACHARIA VULCANIZAÇÃO+ RODIZIO+ MONTAGEM/DESMONTAGEM MINASUL TERCERIZADO PLACA TBF 7E87 VLR- 380</t>
  </si>
  <si>
    <t>SERVIÇO DE BORRACHARIA PLACA SRS 3D72 VLR 40,00</t>
  </si>
  <si>
    <t>SERVIÇO EM CAMERAS DE MONITORAMENTO PATIO + MONTAGENS DE LUMINARIAS+ SUBSTITUIR DE DVR DE CAMERAS</t>
  </si>
  <si>
    <t xml:space="preserve">SERVIÇO DE MONTAGEM DE QUADRO DE COMANDO PARA ESTUFA+INSPEÇÃO DE REDE COM DEFEITO E CONSERTO </t>
  </si>
  <si>
    <t>SERVIÇO CONSERTO DE MOTOR DO COMPRESSOR DA USINA+ E REPAROS ELETRICOS+MONTAGEM  DE 5 CAMERAS</t>
  </si>
  <si>
    <t>REFERENTE E DIPESAS DE TRANSPORTE 19-02 SALA DE QUALIDADE+20-02 TRABALHO NA USINA E MANUTENÇÃO+REPAROS EM CAMERAS E ELETRICA</t>
  </si>
  <si>
    <t>ABASTECIMENTO PLACA MIH 6E55 500,010 LTS</t>
  </si>
  <si>
    <t>ABASTECIMENTO PLACA HTP 5E12 169,00 LTS</t>
  </si>
  <si>
    <t>ABASTECIMENTO PLACA AMD 4E46 189,00 LTS</t>
  </si>
  <si>
    <t>ABASTECIMENTO PLACA JJX 5932 175,100 LTS</t>
  </si>
  <si>
    <t>ABASTECIMENTO PLACA NTS 9G89 150,110 LTS</t>
  </si>
  <si>
    <t>ABASTECIMENTO PLACA CQH 7F36 293,000 LTS</t>
  </si>
  <si>
    <t>ABASTECIMENTO PLACA EGI 4A63 830,00 LTS</t>
  </si>
  <si>
    <t>ABASTECIMENTO PLACA IQM 2I17 160,110 LTS</t>
  </si>
  <si>
    <t>ABASTECIMENTO PLACA IOT 1A80 153,040 LTS</t>
  </si>
  <si>
    <t>ABASTECIMENTO PLACA NRZ 1F21 250,260 LTS</t>
  </si>
  <si>
    <t>ABASTECIMENTO PLACA EKZ 4862 236,990 LTS</t>
  </si>
  <si>
    <t>ABASTECIMENTO PLACA NSD 0G69 443,00 LTS</t>
  </si>
  <si>
    <t>ABASTECIMENTO PLACA ANT 1831 242,010 LTS</t>
  </si>
  <si>
    <t>ABASTECIMENTO PLACA AXB 5B36 450,10 LTS</t>
  </si>
  <si>
    <t>ABASTECIMENTO PLACA DVT 9I51 1629,93 LTS</t>
  </si>
  <si>
    <t>ABASTECIMENTO PLACA AYK 8G29 100,00 LTS</t>
  </si>
  <si>
    <t>ABASTECIMENTO PLACA SEB 7G25 100,00 LTS</t>
  </si>
  <si>
    <t>ABASTECIMENTO PLACA ARN 2D47 178,00 LTS</t>
  </si>
  <si>
    <t>ABASTECIMENTO PLACA FDC 8J84 420,00 LTS</t>
  </si>
  <si>
    <t>ABASTECIMENTO PLACA ATE 3I84 255,020 LTS</t>
  </si>
  <si>
    <t>ABASTECIMENTO PLACA CLH 6J38 411,450 LTS</t>
  </si>
  <si>
    <t>ABASTECIMENTO PLACA SEB 7G25 765,900 LTS</t>
  </si>
  <si>
    <t>ABASTECIMENTO CLM 13174 4.500,270 LTS PARA ATENDER OPERAÇAO</t>
  </si>
  <si>
    <t>ABASTECIMENTO CLM 13174 1.800 LTS PARA ATENDER OPERAÇAO</t>
  </si>
  <si>
    <t>SERVIÇOS DE CONSTRUÇÃO CIVIL E REPAROS</t>
  </si>
  <si>
    <t>LOCAÇÃO DE EQUIPAMENTO CAMINHÃO BASCULANTE PLACA OLH 3F84</t>
  </si>
  <si>
    <t>PRESTAÇÃO DE SERVIÇO REFERENTE 03/02/2026 02/03/2026</t>
  </si>
  <si>
    <t>ENGATE MACHO COM ESCAMA 3'' + ENGATE  FEMEA INTERNA 3'' + KIT DE ANEL DE VEDAÇÃO +ABRAÇADEIRA MANGOTE 32 MM</t>
  </si>
  <si>
    <t>J HERBERTS</t>
  </si>
  <si>
    <t>LIMITADOR DE PORTA ACELLO + FAIXA REFLETIVA +ESTRELA GRADE</t>
  </si>
  <si>
    <t>12.015.437/0001-88</t>
  </si>
  <si>
    <t>AUTO ELETRICA FRANCA</t>
  </si>
  <si>
    <t>PORTA FUSIVEL+ TERMINAL FIO+CONECTOR 2 VIAS MACHO E FEMEA+ESPAGUETE</t>
  </si>
  <si>
    <t>01.558.747/0001-22</t>
  </si>
  <si>
    <t>KASER PEÇAS E SERVIÇOS</t>
  </si>
  <si>
    <t>CHAVE DE USO GERAL +TERMINAL FIO FEMEA+LUVA TERMINAL FEMEA</t>
  </si>
  <si>
    <t>22.102.266/0001-88</t>
  </si>
  <si>
    <t>BRITES ASSISTENCIA TECNICA RADIO COMUNICAÇÃOE AR CONDICIONADO</t>
  </si>
  <si>
    <t>INSTALAÇÃO DE CABO COM VOLTIMETRO</t>
  </si>
  <si>
    <t>APLICAÇÃO DE ADESIVOS PRIMATICOS TAL 7E08 VLR 1.800,00</t>
  </si>
  <si>
    <t>APLICAÇÃO DE ADESIVOS PRISMATICOS SFN 2E05 VLR 1800,00</t>
  </si>
  <si>
    <t>APLICAÇÃO DE ADESIVOS PRISMATICOS SFJ 3B23</t>
  </si>
  <si>
    <t>APLICAÇÃO DE ADESIVOS PRISMATICOS UBK 8F63</t>
  </si>
  <si>
    <t>APLICAÇÃO DE ADESIVOS PRISMATICOS BAK 8D93</t>
  </si>
  <si>
    <t>APLICAÇÃO DE ADESIVO PRISMATICOS UBL 5I37</t>
  </si>
  <si>
    <t>QJO 6981</t>
  </si>
  <si>
    <t>APLICAÇÃO DE ADESIVO PRISMATICOS QJ0 6981</t>
  </si>
  <si>
    <t>BLOCO CONTROLE DIARIO COMBOIO +CARIMBO AUTOMATICO+TINTA CARIMBO+ADESIVO MOTIVAL PANTANAL COM PELICULA</t>
  </si>
  <si>
    <t>CORRETIVA MECANICA</t>
  </si>
  <si>
    <t>04.996.217/0001-54</t>
  </si>
  <si>
    <t>REPNEUS LTDA</t>
  </si>
  <si>
    <t xml:space="preserve">SERVIÇO DE REFORMA DE 8 PNEUS </t>
  </si>
  <si>
    <t>ABASTECIMENTO DE EQUIPAMENTOS OBRA</t>
  </si>
  <si>
    <t>ABASTECIMENTO DO CAMINHAO TRIPLO PARA TRANSFERENCIA PARA TANQUE PATIO</t>
  </si>
  <si>
    <t>3878/3474</t>
  </si>
  <si>
    <t>REBITE ALUMINIO+LONA DE FREIO+ RETENTOR +ROLAMENTO DE RODA INTERNA</t>
  </si>
  <si>
    <t>3877/3473</t>
  </si>
  <si>
    <t>TUBO INTERMEDIARIO+DISCO TACOGRAFO+SERVIÇO DE SOLDA +SOLDA DE ESCAPE E CONCERTO DE PAINEL</t>
  </si>
  <si>
    <t>OLEO HIDRAULICO 68+ OLEO 68</t>
  </si>
  <si>
    <t>FILTRO DE AR VOLKSWAGEN</t>
  </si>
  <si>
    <t>SERVIÇO DE SUBSTITUIÇÃO DE MOLA</t>
  </si>
  <si>
    <t xml:space="preserve">ESPELHO CAT 120K </t>
  </si>
  <si>
    <t>KIT DO CIRCUITO LAMINA</t>
  </si>
  <si>
    <t>UNHAS MINI ESCAVADEIRA DRENAGEM</t>
  </si>
  <si>
    <t>SERVIÇO DE REFORMA E FUNILARIA MNC 6222</t>
  </si>
  <si>
    <t>LOCAÇÃO DE DEMI REBOQUE TANQUE PLACA ABO 1H94</t>
  </si>
  <si>
    <t>ALUGUEL CTA</t>
  </si>
  <si>
    <t>LICENCIAMENTO DE SOFTWARE PERIODO DE FEVEREIRO</t>
  </si>
  <si>
    <t>ARRUELA 3/4+PORCA 3/4+SPRAY PRETO+PARAFUSOS +PORCAS +CHAVETA TREFILADA 6X6</t>
  </si>
  <si>
    <t>MORAIS</t>
  </si>
  <si>
    <t>CHAVES DE VARIOS TAMNAHOS+CARRINHO PLATAFORMA , MATERIAIS DE USO OFICINA</t>
  </si>
  <si>
    <t>REVISÃO SISTEMA PNEUMATICO OOM-4849+</t>
  </si>
  <si>
    <t>LONA PRETA +CAL VIRGEM+PINCEL+PARAFUSOS+LIXA D'AGUA+CONEXOES PARA CANO 25 MM+ABRAÇADEIRA NYLON+</t>
  </si>
  <si>
    <t>PINTURA NO SETOR DA QUALIDADE</t>
  </si>
  <si>
    <t xml:space="preserve">APLICAÇÃO DE INSULFILME </t>
  </si>
  <si>
    <t>FILTROS DE AR</t>
  </si>
  <si>
    <t>LANTERNA DO PISCA PARALAMA LAMPADA SERVIÇO TROCA DE LANTERNA EMENDA DO CHICOTE MEIA LUZ</t>
  </si>
  <si>
    <t>TROCA DE FAIXA REFLETIVA TROCA DE PLACA INSTALAÇÃO DE LANTERNA</t>
  </si>
  <si>
    <t>INSTALAÇÃO DE GIRO FLEX</t>
  </si>
  <si>
    <t>SUBSTITUIÇAO DE LAMPADA TROCA DE STROBO RELE AUXILIAR TROCA DE FAIXA REFLETIVA</t>
  </si>
  <si>
    <t>SERVIÇO DE INSTALAÇÃO DO GIROFLEX E STROBO PORTA FUSIVEL</t>
  </si>
  <si>
    <t xml:space="preserve">REVISÃO DE SINALIZAÇÃO STROBO CAMERA DE RE </t>
  </si>
  <si>
    <t>PAPEL PARA JUNTA+CATRACA DE FREIO CBV 2212</t>
  </si>
  <si>
    <t>SERVIÇO DE TROCA DE STROBO TROC DE FUSIVEL LIGAÇÃO CHICOTE COMANDO FREZA</t>
  </si>
  <si>
    <t xml:space="preserve">MANGUERAS RADIADOR </t>
  </si>
  <si>
    <t>APLICAÇAO DE FAROL AUXILIAR REVISÃO NA SINALEIRA EMENDA NO CHICOTE</t>
  </si>
  <si>
    <t>CONCERTO DE ULIMINAÇÃO DUAS XUXINHA</t>
  </si>
  <si>
    <t>M.O TROCAR LONAS DE FREIO+REVISAR CUBOS DE RODA</t>
  </si>
  <si>
    <t>INSTALAÇÃO DE STARLINK COM INVERSOR DE ENERGIA MONTANA DO RENILDO</t>
  </si>
  <si>
    <t>TROCA DE UMA LAMPADA 1034+ LENTE SINALEIRA +SERVIÇO DE TESTAR O SEBSOR DA CABINE+LIGAÇÃO DO INTERCLIMA CIMINHÃO DO CATARINO</t>
  </si>
  <si>
    <t>SERVIÇO DE TROCA VALVULA DA LANCHA</t>
  </si>
  <si>
    <t>LONA DE FREIO+REBITE+ADESIVO+ARRUELA+PINO</t>
  </si>
  <si>
    <t>REVISÃODO CHICOTE DOS STROBO TRASEIRO</t>
  </si>
  <si>
    <t>MOLA DIANTEIRA ESQUERDA</t>
  </si>
  <si>
    <t>UM INVERSOR PARA STARLINK</t>
  </si>
  <si>
    <t>SERVIÇO DE INSTTALÇÃO DE RELE DA CAMERA INSTALAÇÃO  DE DOIS STROBO PLACA SFN 3G887</t>
  </si>
  <si>
    <t>SERVIÇO ELETRICA VDRO PORTA LAMPADA 1034 PISCAR</t>
  </si>
  <si>
    <t xml:space="preserve">CABO PP E QUATRO GARRAS </t>
  </si>
  <si>
    <t>LAMPADA H3 LAMPADA P.AGUA LAMPADA 1034 REVISÃO CHICOTE CAMERA RE REVISÃO NO CHICOTE DOS FAROIS TROCA FAROL AUXILIAR</t>
  </si>
  <si>
    <t>SERVIÇO DE TROCA MÃO AMIGA DA CARRETA PRANCHA</t>
  </si>
  <si>
    <t>TORNEAR 4 TAMBOR DE FREIO TROCAR LONAS DE FREIO MONTAGEM E DESMONTAGEM</t>
  </si>
  <si>
    <t xml:space="preserve">TROCA DE GIRO FLEX STROBO FAROL AUXILIAR TESTE SOLENOIDE </t>
  </si>
  <si>
    <t>TROCA DE MONITOR DE CAMERA</t>
  </si>
  <si>
    <t xml:space="preserve">REPAROS NO SISTEMA DE FREIO LONAS REBITE </t>
  </si>
  <si>
    <t>REVISÃO DE STROBO LAMPADA DE PISCA LAMPADA 1141</t>
  </si>
  <si>
    <t xml:space="preserve">INSTALAÇÃO DE SETA DO GIRO FLEX RELE PISCA </t>
  </si>
  <si>
    <t xml:space="preserve">LAMPADA H1 LAMPADA LUZ DO TETO TROCA DE  SOQUETE </t>
  </si>
  <si>
    <t>UM INVERSOR 1000W A ANTENA STALINK LIGAÇÃO DO INVERSOR ATE A BATERIA</t>
  </si>
  <si>
    <t>LAMPADA H1</t>
  </si>
  <si>
    <t>INSTALAÇÃO DE FAROL AUXILIAR TROCA DE DUAS  MEIA LUZ</t>
  </si>
  <si>
    <t>TORNO CONFECÇÃO DE PEÇAS FAZER PEITO DE AÇO COMPLETO COM SUPORTE  CAMINHÃO BASCULANTE CBV 2213</t>
  </si>
  <si>
    <t>INSTALAÇÃO DE STROBO SIRENE DE RE INSTALAÇÃO DE FAROL AUXILIAR INSTALAÇÃO DE GIRO FLEX DUAS LANTERNAS GF 173 LAMPADAS PARA AS SINALEIRAS VINTE E OITO CABO PP 2X1</t>
  </si>
  <si>
    <t xml:space="preserve">INSTALAÇÃO DE BUZINA REVISÃO ELETRICA LIGAÇÃO SOLENOIDE </t>
  </si>
  <si>
    <t xml:space="preserve">INSTALAÇAO DE SINALEIRA TRASEIRO </t>
  </si>
  <si>
    <t>SERVIÇO REALIZADO NO SISTEMA DE AR CONDICIONADO CBV 2213</t>
  </si>
  <si>
    <t>INSTALAÇÃO DE STROBO INSTALAÇÃO DE CAMERA DE RE PORTA FUSIVEL</t>
  </si>
  <si>
    <t>DUAS BATERIAS 60AH TROCA DAS BATERIAS BONECOS SINALIZAÇÃO</t>
  </si>
  <si>
    <t>INSTALAÇÃO DE CAMERA DE RE COM CHAVE INSTALAÇÃO STROBO</t>
  </si>
  <si>
    <t>INSTALAÇÃO DE STROBO INSTALAÇÃO DE CAMERA DE RE COM CHAVE</t>
  </si>
  <si>
    <t>INSTALAÇÃO DO INVERSOR DA STARLINK ROBERTO TERRA</t>
  </si>
  <si>
    <t>INSTALAÇÃO STROBO DIANTEIROS E TRASEIRO INSTALAÇÃO DE CAMERA DE RE INSTALAÇÃO DE GIROFLEX 28 MTS DE FIO PP SERVIÇO NO CHICOTE UMA SIRENE BM10</t>
  </si>
  <si>
    <t>SERVIÇO DE SETA  CARRO FISCAL EMERSON</t>
  </si>
  <si>
    <t>TROCA DE SEIS LANTERNAS GF30 TROCA DE QUATRO FAROL AUXILIAR TROCA CAMERA DE RE</t>
  </si>
  <si>
    <t>LAVAGEM EQUIPAMENTO PLACA RHZ 8G42 VLR 280,00</t>
  </si>
  <si>
    <t>DUAS LAMPADA DO PISCA LAMPADA MEIA LUZ REVISÃO SINALEIRO E STROBO</t>
  </si>
  <si>
    <t>RPL 0418</t>
  </si>
  <si>
    <t>SERVIÇO DE TESTE CHAVE SELETORA TESTE SOLENOIDE DA BOMBA HIDRAULICA TESTE DO CHICOTE DO SENSOR KM 07</t>
  </si>
  <si>
    <t>INSTALAÇÃO GIRO FLEX INSTALAÇÃO DA SETA</t>
  </si>
  <si>
    <t>REVISÃO DO PEDAL DO ACELERADOR E DO CHICOTE</t>
  </si>
  <si>
    <t>SERVIÇO DE CAMERA DE RE GIROFLEX INSTALAÇÃO DE SIRENE DE RE INSTALAÇÃO DE STROBO</t>
  </si>
  <si>
    <t>BATERIA 60 AH SERVIÇO DE TROCA DE BATERIA</t>
  </si>
  <si>
    <t>TROCA DE MONITOR DA RE LAMPADA 1141 RELE AUXILIAR CAMERA DE RE LAMPADA H7</t>
  </si>
  <si>
    <t>BOTAO DO VIDRO DA PORTA TROCA</t>
  </si>
  <si>
    <t xml:space="preserve">INSTALAÇÃO STROBO INSTALÇÃO DA CAMERA DE RE INSTALAÇÃO FAROL AUXILIAR CHICOTE FAROL AUXILIAR </t>
  </si>
  <si>
    <t>INSTALAÇÃO DE GIROFLEX STROBO SIRENE DE RE CAMINHÃO CATARINO</t>
  </si>
  <si>
    <t>REVISÃO DOS RELE SENSOR DE PRESÃO DO OLEO AUTOMATICO BOMBA DO SOPRADOR</t>
  </si>
  <si>
    <t xml:space="preserve">SERVIÇO DE INSTALAÇÃO DE STROBO CAMERA DE RE MONITOR PORTA FUSIVEL CABO PP </t>
  </si>
  <si>
    <t>TROCA DE UMA LANTERNA LATERAL</t>
  </si>
  <si>
    <t xml:space="preserve">TROCA DE DUAS LAMPADAS </t>
  </si>
  <si>
    <t>HEISS INDUSTRIA E COMERCIO DE CONTAINERS LTDA</t>
  </si>
  <si>
    <t>LOCAÇÃO DE CONTEINER KM 80</t>
  </si>
  <si>
    <t xml:space="preserve">HEISS </t>
  </si>
  <si>
    <t>COMBUSTIVEL PARA TRANSFERENCIA COM CAMINHÃO TRIPLO</t>
  </si>
  <si>
    <t>TIO SAM</t>
  </si>
  <si>
    <t>ABASTECIMENTO DE CAMINHÃO COMBOIO PARA ATENDER EQUIPAMENTOS</t>
  </si>
  <si>
    <t>TRANSFERENCIA DE COMBUSTIVEL COM O TRIPLO PARA O PLANTE NO PATIO</t>
  </si>
  <si>
    <t>LAITARTE 7 BALLERINI LTDA</t>
  </si>
  <si>
    <t>SERVIÇO DE ENGENHARIA PATIO DE DOURADOS</t>
  </si>
  <si>
    <t>LOCAÇÃO DE CAVALO MECANICO PLACA BDU 6C53</t>
  </si>
  <si>
    <t>LOCAÇÃO DE CAMINHÃO PIPA</t>
  </si>
  <si>
    <t>29.576.589/0001-52</t>
  </si>
  <si>
    <t>ELIO KAISER</t>
  </si>
  <si>
    <t>SERVIÇO DE TERRAPLAGEM CANTEIRO DOURADOS</t>
  </si>
  <si>
    <t>ABSTECIMENTO DE CAMINHÃO TRIPLO PARA TRANSFERENCIA PLANTE PATIO</t>
  </si>
  <si>
    <t>ABASTECIMENTO DE COMBOIO PARA  ATENDER OBRA</t>
  </si>
  <si>
    <t>LOCAÇÃO DE CARRETA SILO PLACA 4992</t>
  </si>
  <si>
    <t>09.320.122/0001-30</t>
  </si>
  <si>
    <t>JPB RENTAL</t>
  </si>
  <si>
    <t>LOCAÇÃO DE ROLO DE PNEUS CW34</t>
  </si>
  <si>
    <t xml:space="preserve">ROLETE INFERIOR </t>
  </si>
  <si>
    <t xml:space="preserve">MONTAGEM COMPLETA DE CABINE DE MEDIA TENSÃO </t>
  </si>
  <si>
    <t>TRANSPORTE DE EQUIPAMENTO MINI CARREGADEIRA  BOB CAT S770</t>
  </si>
  <si>
    <t>SERVIÇO DE CONCERTO E MONTAGEM E DESMONTAGEM DE PNEUS</t>
  </si>
  <si>
    <t>FILTRO LUBRIFICANTE+FILTRO DE AR PRIMARIO+FILTRO DE AR SECUNDARIO</t>
  </si>
  <si>
    <t xml:space="preserve">AMARRAÇÃO DE EQUIPAMENTOS LOGISTICA DE TRANSPORTE  </t>
  </si>
  <si>
    <t>LOCAÇÃO DE VASSOURA MODELO DEL -1500</t>
  </si>
  <si>
    <t>JOSUE AFONSO DE SOUZA</t>
  </si>
  <si>
    <t>SELAGEM ENSAIO  TACOGRAFO</t>
  </si>
  <si>
    <t>61.101.569/0001-38</t>
  </si>
  <si>
    <t>VAGNER DE PAULO TOLEDO</t>
  </si>
  <si>
    <t>LOCAÇÃO DE UM TROTOR ,MODELO MASSEY FERGUSON 4709 2024</t>
  </si>
  <si>
    <t>TRANSPORTE DE VEICULO DE LARANJEIRA PARA MUNDO NOVO</t>
  </si>
  <si>
    <t>18.841.507/0001-33</t>
  </si>
  <si>
    <t xml:space="preserve">ROMANO TRASPORTES LTDA </t>
  </si>
  <si>
    <t>LOCAÇÃO E FRETE DE CARRETA SILO PLACA GWN 0H74</t>
  </si>
  <si>
    <t>REALIZAÇÃO DE REVISÃO PREVENTIVA</t>
  </si>
  <si>
    <t>COMBUSTIVEL CAMINHÃO COMBIO PARA ATENDER OBRA</t>
  </si>
  <si>
    <t>QUADRO EM METALON +APLICAÇÃO DE VERNIZ</t>
  </si>
  <si>
    <t xml:space="preserve">MATERIAL DE ELETRICA PARA REPAROS NA USINA </t>
  </si>
  <si>
    <t>ABASTECIMENTO REFERENTE PLACAS: HTP 5C12-EKZ 4862-AQM 2A59-ARX 3I27-DVT 9151-JJX 59-HRO 4510- IXH 2A02-BWZ 1C13- MIH 6E55</t>
  </si>
  <si>
    <t>TENSOR COM CATRACA 1/2+CORRENTE 13,00 MM+GANCHO 3.15 TONELADAS</t>
  </si>
  <si>
    <t>MATERIAL PARA REALIZAR MANUTENÇÃO PREVENTIVA</t>
  </si>
  <si>
    <t>LOCAÇÃO DE CAMINHAO CARRECERIA</t>
  </si>
  <si>
    <t>SHORODER</t>
  </si>
  <si>
    <t>PARAFUSOS SEXTAVADOS+PORCAS SEXTAVA+PINOS CONECTOR</t>
  </si>
  <si>
    <t xml:space="preserve">TRANSPORTE DE MOINHO MARTELO </t>
  </si>
  <si>
    <t>TRANSPORTE DE ROLO COMPACTADOR</t>
  </si>
  <si>
    <t>LOCAÇÃO DE CAMINHÃO 3/4 PLACA UBL 5I37-UBK 8F63</t>
  </si>
  <si>
    <t>ABASTECIMENTO REFERENTES PLACAS - NRZ 1F21- MIH 6E55- OOM 9C21-ANT 1831-NRZ 1E22</t>
  </si>
  <si>
    <t>LOCAÇÃO DE CAMINHÃO BASCULANTE PLACA EOE 5E41</t>
  </si>
  <si>
    <t>LAVAGEM CAMINHÃO TANQUE PLACA BEF 6B52</t>
  </si>
  <si>
    <t>LAVAGEM DE VEICULO LEVE UBI 7J36</t>
  </si>
  <si>
    <t>LAVAGEM DE EQUIPAMENTO PLACA OLH 3F84</t>
  </si>
  <si>
    <t>REPAROS EM CHICOTE REPARO MARCADOR COMBUSTIVEL MONTAGEM ED DESMONTAGEM PAINEL LIMPEZA DA PLACA MARCADOR DE COMBUSTIBVEL</t>
  </si>
  <si>
    <t xml:space="preserve">LAVAGEM DE EQUIPAMENTO PLACA TBE 7F22 </t>
  </si>
  <si>
    <t>LAVAGEM DE EQUIPAMENTO PLACA UAS 3E83</t>
  </si>
  <si>
    <t xml:space="preserve">LAVAGEM DE EQUIPAMENTO </t>
  </si>
  <si>
    <t>LAVAGEM DE EQUIPAMENTO PLACA UBF 7G20</t>
  </si>
  <si>
    <t>LAVAGEM DE EQUIPAMENTO PLACA EOE 5E41</t>
  </si>
  <si>
    <t>LAVAGEM DE EQUIPAMENT PLACA TAX 8I41</t>
  </si>
  <si>
    <t>LAVAGEM DE EQUIPAMENTO PLACA SFN 5C16</t>
  </si>
  <si>
    <t>LAVAGEM DE EQUIPAMENTO PLACA TBO 7H80</t>
  </si>
  <si>
    <t>RODIZIO DE PNEUS +MONTAGEM DE 4 PNEUS</t>
  </si>
  <si>
    <t>2 TIPTOP 2 CONSERTO</t>
  </si>
  <si>
    <t xml:space="preserve">1 PNEU </t>
  </si>
  <si>
    <t>4 MONTAGEM E DESMONTAGEM</t>
  </si>
  <si>
    <t>MONTAGEM E DESMONTAGEM</t>
  </si>
  <si>
    <t>2 PNEUS 1000X20+2 CAMARA+2 PROTETOR+4 MONTAGEM E DESMONTAGEM+ 2 RODAS</t>
  </si>
  <si>
    <t>4 PNEU + 4 MONTAGEM BASE PARA MOTOR SILO DE CIMENTO</t>
  </si>
  <si>
    <t>2 RODIZIO PLACA BEO 5F69</t>
  </si>
  <si>
    <t>APLICAÇÃO DE ADESIVO PLACA UBF 7G20-PLACA RAW 13552-MNC 6222-PPB 5C56-RH 8G43-BDU 6C53-MCL 5624-BEF 6B52-RCL 4165-RCL 4166</t>
  </si>
  <si>
    <t>ABSTECIMENTO DE FRETEIROS PLACAS- MIH 6E55-QIB 8A50-IQM 2I17-IOT 1A80-ARN 2D47-CQH 7F36-AXZ 9C21-HTP 7I14-MFA 2H29- NRZ 1F21- HTP 5C12-ANT 1831-FDC 8J84-SDP 3B26-SEB 7G25- EKZ 4862-DVT 9I51-NTS 9G89-DTV 9F75-MIH 6E55</t>
  </si>
  <si>
    <t>ARRUELA + PARAFUSO 20X100 10.9</t>
  </si>
  <si>
    <t xml:space="preserve">PARAFUSO DE LAMINA 5/8X2.1/4 + PORCA 5/8+LAMINA 8 FUROS </t>
  </si>
  <si>
    <t>1 PNEU</t>
  </si>
  <si>
    <t>CORRETIVA DE AR CONDICIONADO</t>
  </si>
  <si>
    <t xml:space="preserve">ENGATE DE REBOQUE </t>
  </si>
  <si>
    <t>PELICULA PROTETORA MNC 100119-TEK 100112- EEB 100149</t>
  </si>
  <si>
    <t xml:space="preserve">REVISÃO PREVENTIVA </t>
  </si>
  <si>
    <t>ANTICORROSIVO</t>
  </si>
  <si>
    <t>CARTAO JOSE</t>
  </si>
  <si>
    <t>30.539.303/0001-48</t>
  </si>
  <si>
    <t xml:space="preserve">MILTON DIAS PORTO JUNIOR </t>
  </si>
  <si>
    <t>LAVAÇÃO DE VEICULO PLACA TAK 1J63 SNF 3G87</t>
  </si>
  <si>
    <t>ABRAÇADEIRA  FLEXIVEL DE FREIO REDUTOR MACHO M22</t>
  </si>
  <si>
    <t>CANTEIO CIVIL</t>
  </si>
  <si>
    <t>MARETA 10 KG</t>
  </si>
  <si>
    <t>COMBUSTIVEL PARA APOIO EQUIPAMENTOS</t>
  </si>
  <si>
    <t>ABASTECIMENTO PLACAS- JJX 5932- ATE 3I84-AMD 4E46- BW 1C13-AYK 8G29 - ADF 7E48- OOM -9C21-CLH 6J38</t>
  </si>
  <si>
    <t>BREMEN TAMPAO MACHO+BREMEN ACOPLADOR NYLON FEMEA3''+FITA VEDA ROSCA</t>
  </si>
  <si>
    <t>SILICONE SPRAY+TERMINAL Z+ENGATE RAPIDO+LUVA REDUTORA+BUCHA DE REDUÇÃO+ADAPTADOR MF+ACOPLADORDE GRAXA</t>
  </si>
  <si>
    <t>ABASTECIMENTO DE FRETEIROS PLACAS - JJX 5932- ATE 3I84-AMD 4E46-BW1 1C13- AYK 8G29-EDF 7E48-OOM 9C21- CLH 6J38</t>
  </si>
  <si>
    <t>TRANSPORTE RETROESCAVADEIRA</t>
  </si>
  <si>
    <t>BORRACHA PARABARRO VOLARE</t>
  </si>
  <si>
    <t>TRANSPORTE DE VEICULO PARA MUNDO NOVO</t>
  </si>
  <si>
    <t>PARAFUSOS 1/2 SOQUETE 1/2 LONGO PINCEIS</t>
  </si>
  <si>
    <t>LOCAÇÃO DE CACAMBA DE ENTULHO</t>
  </si>
  <si>
    <t xml:space="preserve">QUEBRA DE PARA CHOQUE DIANTEIRO MAL USO </t>
  </si>
  <si>
    <t>TRANSPORTE GERADOR DOURADOS</t>
  </si>
  <si>
    <t xml:space="preserve">APLICAÇÃO DE GUARDA CORPO BARRACÃO EQUIPE CIVIL </t>
  </si>
  <si>
    <t>HORAS DE MUNK PARA MOVIMENTAÇÃO NA USINA</t>
  </si>
  <si>
    <t>TAMPAO MACHO +ACOPLADOR NYLON +ADAPTADOR ALUMINIO MACHO+VEDA ROSCA</t>
  </si>
  <si>
    <t>ALUGUEL GRUPO GERADOR</t>
  </si>
  <si>
    <t>59.331.674/0001-11</t>
  </si>
  <si>
    <t>BORACHARRIA VIETNA FRANCIELE ARROYO DE LIMA</t>
  </si>
  <si>
    <t>1 PNEU 205-65-15 01 SOCORRO 01 MONTAGEM</t>
  </si>
  <si>
    <t>DIESEL PARA FRETEIROS- AUX 2G56-ARX 3I27</t>
  </si>
  <si>
    <t>10.652.994/0001-84</t>
  </si>
  <si>
    <t>CASA DA LOCAÇÃO DE MAQUINAS E EQUIPAMENTOS LTDA</t>
  </si>
  <si>
    <t>LOCAÇÃO DA PLATAFORMA ELEVATORIA DOURADOS</t>
  </si>
  <si>
    <t>TRANSPORTE DE VEICULO DE SOLEDADE X MUNDO NOV0</t>
  </si>
  <si>
    <t>APLICAÇÃO DE GIROFLEX PLACA UAS 3E83</t>
  </si>
  <si>
    <t xml:space="preserve">APLICAÇÃO DE GIROFLEX </t>
  </si>
  <si>
    <t>APLICAÇÃO DE GIROFLEX STROBO E FAROL AUXILIAR</t>
  </si>
  <si>
    <t>APLICAÇÃO DE GIROFLEX PLACA SFH 2I42</t>
  </si>
  <si>
    <t>APLICAÇÃO DE GIROFLEX PLACA UBF 7G20</t>
  </si>
  <si>
    <t>APLICAÇÃO DE GIROFLEX PLACA SFJ 3B24</t>
  </si>
  <si>
    <t xml:space="preserve">REFORMA </t>
  </si>
  <si>
    <t>17.449.173/0001-94</t>
  </si>
  <si>
    <t>JAIR LOCAÇOES LTDA</t>
  </si>
  <si>
    <t>SERVIÇO DE LOCAÇÃO DE VEICULO VAN FIAT DUCATO</t>
  </si>
  <si>
    <t>DIESEL PARA ATENDER EQUIPAMENTOS OBRA</t>
  </si>
  <si>
    <t>UNIPETRO</t>
  </si>
  <si>
    <t>ABASTECIMENTO COM CAMINHÃO TRIPLO PARA APOIO EQUIPAMENTO</t>
  </si>
  <si>
    <t>ABASTECIMENTO FRETEIRO MIH 6E55</t>
  </si>
  <si>
    <t>PORTA DIREITA MAÇANETA EXTERNA CABINE</t>
  </si>
  <si>
    <t>52.179.189/0002-06</t>
  </si>
  <si>
    <t>NORS EQUIPAMENTOS DE CONSTRUÇAO CENTRO-OESTE LTDA</t>
  </si>
  <si>
    <t>SUBSTITUIÇÃO DE FILTRO COMBUSTIVEL E FILTRO DE AR PRIMARIOS</t>
  </si>
  <si>
    <t xml:space="preserve">CJ CINTA/CATRACA </t>
  </si>
  <si>
    <t xml:space="preserve">MATERIAL DE DESGASTE </t>
  </si>
  <si>
    <t>MOBILIZAÇÃO DE EQUIPE DRENO ELIELTON</t>
  </si>
  <si>
    <t>CERTIFICADO CIPP E CIV</t>
  </si>
  <si>
    <t>USO E CONSUMO MANUTENÇÃO</t>
  </si>
  <si>
    <t>LOCAÇÃO DE SEMI REBOQUE PERIODO 14/03/2026 A 13/04/2026 PLACA HTE -9928</t>
  </si>
  <si>
    <t>TRINCO+DIFUSOR DE AR+BICO</t>
  </si>
  <si>
    <t>FRETE DE ROLO COMPACTADOR  DE CASCAVEL X MUNDO NOVO</t>
  </si>
  <si>
    <t>05.976.917/0001-88</t>
  </si>
  <si>
    <t xml:space="preserve">REPAROS RADIADOR ADITIVO </t>
  </si>
  <si>
    <t>BICO AUTO P/ ABASTECIMENTO</t>
  </si>
  <si>
    <t xml:space="preserve">CONECTOR REFLETOR RELE BLINDADO SPOT LED </t>
  </si>
  <si>
    <t>INSPEOESTE INSPEÇÃO VEICULAR LTDA</t>
  </si>
  <si>
    <t>REGULARIZAÇÃO CIPP CIV</t>
  </si>
  <si>
    <t>REPAROS CANTEIRO E SUBSTAÇÃO</t>
  </si>
  <si>
    <t>ABASTECIMENTO AQM 2A59 AYK 8G29 DTV 9F75 SEB 7G25 SDP 3B26 OOM 9C21</t>
  </si>
  <si>
    <t xml:space="preserve">ABASTECIMENTO DE EQUIPAMENTOS </t>
  </si>
  <si>
    <t>MATERIAL ARRUELAS PARAFUSOS BROCAS</t>
  </si>
  <si>
    <t>ABASTECIMENTO DE VEICULOS LEVES</t>
  </si>
  <si>
    <t>VALVULA DUPLA CONECTOR MACHO VALVULA DE ACIONAMENTO TIC TAC</t>
  </si>
  <si>
    <t>MATERIAL DE USO NO COMBOIO CHAVES CAIXA DE FERRAMENTAS ESTOPA CALIBRADOR</t>
  </si>
  <si>
    <t xml:space="preserve">MATERIAL PARA MUDANÇA DE REDE GERADOR </t>
  </si>
  <si>
    <t>ABASTECIMENTO PLACA DVT 9F75-AYK 8G29- JJX 5932-AXB 5B36- DVT 9I51- NRZ 1F21-AMD 4E46-NSD 0G69-IQM 2117- IOT 1A80-EDF 7E48- SEB 7G25- MIH 6E55</t>
  </si>
  <si>
    <t>95583-3</t>
  </si>
  <si>
    <t>TRANSPORTE DE PEÇAS</t>
  </si>
  <si>
    <t xml:space="preserve">FRETE DA MINI CARREGADEIRA DE SANTA CATARINA PARA MUNDO NOVO </t>
  </si>
  <si>
    <t>LANTERNA DE CABEÇA PARA APOIO EQUIPE LUBRIFICAÇÃO</t>
  </si>
  <si>
    <t xml:space="preserve">APOIO EM MONTAGEM DE CAMERAS NO CANTEIRO SERVIÇOS GERAIS ELETRICOS OBRAS E CANTEIRO USINA </t>
  </si>
  <si>
    <t>NOTA DE COMBUSTIVEL- NF56182-56189-56206-56254-56253-56356-56405-56403-56433-56478-56467-56402-56468-</t>
  </si>
  <si>
    <t>REFORMA EEC 10932 VLR 18.650+FAZER ROSCA BUJÃO  CAMINHÃO MICRO VLR 375+TORNO E SOLDA DO AGREGADO VLR 390,00+REPARO PISTAO MEV 814 VLR 750,00+CONFECÇAO DE MANGUEIRA TCW 4H03 VLR 1680,00+FAZER PARAFUSO  FAL 04030 VLR 250,00+ FAZER SOLDA TAMPA DA CACAMBA AUX 2G56 VLR 230,00+FAZER MANGUEIRA TBF 0H20 VLR 850,00</t>
  </si>
  <si>
    <t xml:space="preserve">QUEBRA IMDEVIDA PARA CHOQUE DIANTEIRO TROCA FUNILARIA E PINTURA </t>
  </si>
  <si>
    <t>TORNO CONFECÇÃO DE PEÇAS - FAZER SUPORTE E SOLDA PEITO AÇO CAMINHÃO CBV 2214</t>
  </si>
  <si>
    <t>MECANICA OFICINA</t>
  </si>
  <si>
    <t>DESENHOS PROJETOS</t>
  </si>
  <si>
    <t>MONTAGEM E DESMONTAGEM DE 4 PNEUS</t>
  </si>
  <si>
    <t>RODIZIO DE PNEUS +MONTAGEM DE 1 PNEUS</t>
  </si>
  <si>
    <t>PNEU 295</t>
  </si>
  <si>
    <t>1 RODIZIO 5 MONTAGEM DESMONTAGEM</t>
  </si>
  <si>
    <t>4 PNEU 600-9 STYRKEN MACIÇO</t>
  </si>
  <si>
    <t>TORNO CONFECÇÃO DE PEÇAS - RECUPERAR E FAZER SUPORTE PARACHOQUE 2214</t>
  </si>
  <si>
    <t>TIP TOP N 14</t>
  </si>
  <si>
    <t>1 MONTAGEM E DESMONTAGEM 1 SOCORRO</t>
  </si>
  <si>
    <t xml:space="preserve">TIP TOP N 14 1 CONSERTO </t>
  </si>
  <si>
    <t>LAVAGEM DE EQUIPAMENTO AVI 0E25</t>
  </si>
  <si>
    <t>LAVAGEM DE EQUIPAMENTO SFH 1F83</t>
  </si>
  <si>
    <t>TORNO CONFECÇÃO DE PEÇAS - FAZER CHAPA COMPLETA 14 PARA COBERTURA DE PRANCHA  PLACA SBQ 9H92</t>
  </si>
  <si>
    <t>LAVAGEM DE EQUIPAMENTO PLACA TBK 1A70</t>
  </si>
  <si>
    <t>LAVAGEM DE EQUIPAMENTO PLACA SFJ 2H21</t>
  </si>
  <si>
    <t>LAVAGEM DE EQUIPAMENTO SFO 1G40</t>
  </si>
  <si>
    <t>APLICAÇÃO DE ADESIVOS PRIMATICOS PLACA TCW 4H03-TPZ 3F91-MLW 2A68- MCL 5716-RCL 1041-MWS 1158</t>
  </si>
  <si>
    <t>LOCAÇÃO DE CAMINHÃO BASCULANTE E CAMINHAO PLACA- MEV 8I43- AUR 4H62</t>
  </si>
  <si>
    <t>LOCAÇÃO DE CAMINHÃO BASCULANTE E CAMINHAO PLACA- EOE 5E41</t>
  </si>
  <si>
    <t>FATURA DE INFRAÇÃO MAU USO</t>
  </si>
  <si>
    <t>LAVAGEM DE EQUIPAMENTO SFN 1D29</t>
  </si>
  <si>
    <t>LAVAGEM DE EQUIPAMENTO TBI 1A31</t>
  </si>
  <si>
    <t>LAVAGEM DE EQUIPAMENTO TAI 5E08</t>
  </si>
  <si>
    <t>LAVAGEM DE EQUIPAMENTO SFN 6B92</t>
  </si>
  <si>
    <t>LAVAGEM DE EQUIPAMENTO TBE 7E22</t>
  </si>
  <si>
    <t>LAVAGEM DE EQUIPAMENTO TBO 0H81</t>
  </si>
  <si>
    <t>LAVAGEM DE EQUIPAMENTO TAM 2A92</t>
  </si>
  <si>
    <t>LAVAGEM DE EQUIPAMENTO SFJ 3B25</t>
  </si>
  <si>
    <t>LAVAGEM DE EQUIPAMENTO SFY 0E53</t>
  </si>
  <si>
    <t>LAVAGEM DE EQUIPAMENTO SFO 7H36</t>
  </si>
  <si>
    <t>LAVAGEM DE EQUIPAMENTO VAV 1V16</t>
  </si>
  <si>
    <t>LAVAGEM DE EQUIPAMENTO TCROS BRANCO</t>
  </si>
  <si>
    <t>LAVAGEM DE EQUIPAMENTO UBG 8G45</t>
  </si>
  <si>
    <t>LAVAGEM DE EQUIPAMENTO SFM 6B92</t>
  </si>
  <si>
    <t>LAVAGEM DE EQUIPAMENTO SFN 2E05</t>
  </si>
  <si>
    <t>LAVAGEM DE EQUIPAMENTO TBO 0H80</t>
  </si>
  <si>
    <t>LAVAGEM DE EQUIPAMENTO TAK 9I30 PRODUTOS  MAO DE OBRA E REMOÇÃO</t>
  </si>
  <si>
    <t xml:space="preserve">TRNSPORTE DE ROLO DE PNEU </t>
  </si>
  <si>
    <t>COMBUSTIVEL PARA APOIO FRETEIRO PLACA SDP 3B26+ATE 3I84+QIB 8A50+IXH 2A02+DFW 3G81+HTP 7I14+MYT 2I93+ HRO 4510+AYK 8G29</t>
  </si>
  <si>
    <t xml:space="preserve">INSTALAÇÕES DE DIVISORIAS  APLICAÇÃO DE JANELAS </t>
  </si>
  <si>
    <t>DIESEL PARA ATENDER DEMANDAS DE OBRA</t>
  </si>
  <si>
    <t>BAOBAS COMERCIO DE MADEIRAS LTDA</t>
  </si>
  <si>
    <t>TROCAS DAS TABUAS DA PRANCHA</t>
  </si>
  <si>
    <t>TRENA PARAFUSOS PORCAS OINOS ENGATE RAPIDO PINO CONECTOR</t>
  </si>
  <si>
    <t>BUJAO+JUNTA PLANA+CORREIAS +</t>
  </si>
  <si>
    <t xml:space="preserve">PARAFUSOS E ARRUELAS E PINOS PARA CORRETIVA </t>
  </si>
  <si>
    <t>LAITARTE &amp; BALLERINI LTDA</t>
  </si>
  <si>
    <t xml:space="preserve">PROJETO CANTEIRO </t>
  </si>
  <si>
    <t>SUBSTITUIÇÃO DE RETROVISOR L/E</t>
  </si>
  <si>
    <t>MOVIMENTAÇÃO DE CARGA HORAS DE MUNCK</t>
  </si>
  <si>
    <t>33.200.798/0001-74</t>
  </si>
  <si>
    <t xml:space="preserve">ADENILSON CARLOS MARION </t>
  </si>
  <si>
    <t>DESLOCAMENTO DE VEICULO DE CASCAVEL PARA MUNDO NOVO</t>
  </si>
  <si>
    <t>BALDE PLASTICO MARTELO DE BORRACHA KIT AMARRAÇÃO PULVERIZADOR</t>
  </si>
  <si>
    <t>TUBO GALVENIZADO CONDUITEUSO CASA DE FORÇA</t>
  </si>
  <si>
    <t>ADEQUAÇÃO DE SEGURANÇA</t>
  </si>
  <si>
    <t xml:space="preserve">CONFECÇÃO D BLOCOS </t>
  </si>
  <si>
    <t>RECUPERAÇÃO DE PARACHOQUE TCROSS SFO 7H36</t>
  </si>
  <si>
    <t>MANUTENÇÃO PREVENTIVA</t>
  </si>
  <si>
    <t>SERVIÇO REALIZADO NO SISTEMA DE AR CONDICIONADO CBV 2214</t>
  </si>
  <si>
    <t>SERVIÇO DE HIGIENIZAÇÃO DO EQUIPAMENTO CBV 2214</t>
  </si>
  <si>
    <t>TROCA DE STROBO E GIRO FLEX</t>
  </si>
  <si>
    <t>TROCA DE LAMPADA DE RE</t>
  </si>
  <si>
    <t>CORRENTE  4 MTS COM GANCHO ESTICADOR TENSIONADOR</t>
  </si>
  <si>
    <t>LAMINA SERRA FITA VEDA ROSCA</t>
  </si>
  <si>
    <t>TAMPA DE COMBUSTIVEL PARA CAMINHÃO</t>
  </si>
  <si>
    <t xml:space="preserve">FILTRO PARA SISTEMA DE ARLA </t>
  </si>
  <si>
    <t>SERVIÇO DE MANUTENÇÃO</t>
  </si>
  <si>
    <t>INSERT 6 MM NIPLE 6MMUNIÃO MANGUEIRA DE NYLON</t>
  </si>
  <si>
    <t>LAMPADA H4 LAMPADA 1141 LAMPADA 67 TROCA DE LAMPADA FAROL</t>
  </si>
  <si>
    <t>ROLAMENTO B17.99 +6003 , REPARO DO ROLAMENTO REPARO NO ALTERNADOR TERMINAIS LANTERNA PARALAMA LAMPADA PINGO D AGUA LAMPADA H4</t>
  </si>
  <si>
    <t>CORRETIVA SISTEMA ELETRICO LAMPADAS RETROVISOR TAMPA DO TANQUE DO ARLA</t>
  </si>
  <si>
    <t>SERVIÇO CORRETIVA SISTEMA ELETRICO LAMPADAS RETROVISOR TAMPA DO TANQUE DO ARLA</t>
  </si>
  <si>
    <t>MANGUERIA INTERCOOLER</t>
  </si>
  <si>
    <t>SUBSTIÇÃO MANGUERIA INTERCOOLER</t>
  </si>
  <si>
    <t>CORRETIVA MOTOR</t>
  </si>
  <si>
    <t xml:space="preserve"> SERVIÇOCORRETIVA MOTOR</t>
  </si>
  <si>
    <t xml:space="preserve"> SERVIÇO REVISÃO PREVENTIVA </t>
  </si>
  <si>
    <t>9700 LT +290 ARLA</t>
  </si>
  <si>
    <t>27/03/20226</t>
  </si>
  <si>
    <t>18.256.509/0001-65</t>
  </si>
  <si>
    <t>ELETROTECNICA NAVIRAI</t>
  </si>
  <si>
    <t xml:space="preserve">DESLIGAMENTO DE CABINE DE PROTEÇÃO E MEDIÇÃO REGULAGEM DE TENSÃO RELIGAÇÃO DO SISTEMA ELETRICO </t>
  </si>
  <si>
    <t>LAVADOR DE PEDRA INSTALAÇÃO FILTRO DE LINHA</t>
  </si>
  <si>
    <t>TAMPA COMBUSTIVEL</t>
  </si>
  <si>
    <t>CORRETIVA AR CONDICIONADO</t>
  </si>
  <si>
    <t>LOCAÇÃO DO GERADOR SINA</t>
  </si>
  <si>
    <t>ENGATE FILTRO DE SUCÇAO MANGUEIRA FUNIL ABRAÇADEIRA LAVADOR PEDRAS</t>
  </si>
  <si>
    <t>OLEO 68</t>
  </si>
  <si>
    <t>MOVIMENTAÇÃO DE BARREIRAS</t>
  </si>
  <si>
    <t>LIMPA CONTATO PANO COSTURADO QUEROSENE NIPLE BUCHA</t>
  </si>
  <si>
    <t xml:space="preserve">CORREIA DO ALTERNADOR </t>
  </si>
  <si>
    <t>SUBSTITUIÇAO DE MOLA QUEBRADA</t>
  </si>
  <si>
    <t>SERVIÇO DE TRANSFERENCIA DE CARG BATERIA MONTAGEM DE RETROVISOR</t>
  </si>
  <si>
    <t>LIGAÇÃO DA MUFLA- REGULAR VOLTAGEM DA MUFLA-</t>
  </si>
  <si>
    <t>LAMPADA 67 REVISÃO SINALEIRA</t>
  </si>
  <si>
    <t>TROCA DE QUADRO DE STROBO REVISÃO DE SINALEIRO STROBO E GIROFLEX</t>
  </si>
  <si>
    <t>INSTALAÇAO GIROFLEX COM CHAVE TROCA DE STROBO</t>
  </si>
  <si>
    <t xml:space="preserve">TROCA DO SUPORTE DA CAMERA INSTALAÇÃO DE SIRENE </t>
  </si>
  <si>
    <t>TROCA DE LAMPADA  REVISÃO DAS LUZ DO FREIO</t>
  </si>
  <si>
    <t>SERVIÇO DE TROCA DA CAMERA INSTALAÇÃO CHICOTE DA CAMERA DE RE</t>
  </si>
  <si>
    <t>DUAS BATERIA BOSCH 100 AH SERVIÇO  DE TROCA</t>
  </si>
  <si>
    <t>REVISÃO CHICOTE DA CAMERA DE RE SIRENE TROCA DE FUSIVEL</t>
  </si>
  <si>
    <t>BATERIA 150 AH TROACA DE BATERIA</t>
  </si>
  <si>
    <t>TROCA DE FUSIVEL LIMPEZA DO MOTOR REGULAGEM DO BRAÇO DO LIMPADOR</t>
  </si>
  <si>
    <t>TROCA DA CAMERA E CHOCOTE</t>
  </si>
  <si>
    <t xml:space="preserve">TROCA DE LAMPADA </t>
  </si>
  <si>
    <t>TROCA DE TERMINAIS SENSOR  DO TUBO INSTALAÇÃO DE UM RELE TROCA DE INTERRUPTOR DE OLEO</t>
  </si>
  <si>
    <t>TROCA DE INSTALAÇÃO DE QUATRO FAROL AUXILIAR  MINI CARREGADEIRA</t>
  </si>
  <si>
    <t xml:space="preserve">BATERIA 60 AH PARA PLACA DE SINALIZAÇÃO </t>
  </si>
  <si>
    <t>TROCA DO SENSOR TESTE DE CHICOTE LIMPEZA DO PLUG FEITA A CAPA DE DO SENSOR</t>
  </si>
  <si>
    <t>APLICAÇÃO DE STROBO CAMERA  GIROFLEX SIRENE DE RE 25 MTS DE FIO 2X1</t>
  </si>
  <si>
    <t>INSTALAÇÃO STROBO ,CAMERA DE RE, GIROFLEX ,BUZINA , REVISÃO SENSOR REGULAGEM DO SENSOR DA RE</t>
  </si>
  <si>
    <t>INSTALAÇÃO DE FAROL DE RE DA CABINE</t>
  </si>
  <si>
    <t>CORREIRA DO ALTERNADOR TROCA DE SOLENOIDE TERMINAL DE BATERIA REVISÃO DE CHICOTE TROCA RELE DA BOMBA LIMPEZA CONECTOR CHICOTE DA BOMBA</t>
  </si>
  <si>
    <t>CONCERTO BASTOES E GARRAS CINCO MTS DE CABO PP</t>
  </si>
  <si>
    <t xml:space="preserve">TROCA DE 23 FAIXA REFLETIVA </t>
  </si>
  <si>
    <t>APLICAÇÃO DE GIROFLEX STROBO CAMERA COM CHAVE</t>
  </si>
  <si>
    <t>INSTALAÇÃO SIRENE UM RELE PARA CAMERA DE RE TROCA CAMERA</t>
  </si>
  <si>
    <t>INSTALAÇÃO DE INVERSOR UM PORTA FUSIVEL 5 MTS CABO DE 10 MM 6 TERMINAL PONTEIRO</t>
  </si>
  <si>
    <t>APLICAÇÃO DE GIROFLEX COM CHAVE E STROBO</t>
  </si>
  <si>
    <t xml:space="preserve">REPARO STROBOS REVISÃO CHICOTE DE FAROL AUXILIAR DUAS LANTERNAS DO PARACHOQUE </t>
  </si>
  <si>
    <t>TROCA DO PINO DA MAO AMIGA LIGAÇÃO DO ENGATE TROCA DA CAMERA CONJUNTO DA MÃO AMIGA EFO 9J81</t>
  </si>
  <si>
    <t>APLICAÇÃO DE STROBO CAMERA DE RE GIROFLEX  OITO MTS CABO PP 2X1</t>
  </si>
  <si>
    <t xml:space="preserve">CINCO MTS DE FIO 2C1 RELE 24 V CAMERA DE RE GIROFLEX </t>
  </si>
  <si>
    <t>REVISÃO DO SUPORTE  DO FAROL E DA CENTRAL TROCA CAMERA DE RE</t>
  </si>
  <si>
    <t xml:space="preserve">REGULAGEM DOS BRAÇAOS DO PARABRISA </t>
  </si>
  <si>
    <t xml:space="preserve">TROCA STROBO </t>
  </si>
  <si>
    <t>INSTALAÇÃO DE FAROL  DE RE TROCA DE CAMERA</t>
  </si>
  <si>
    <t xml:space="preserve">STROBO INSTALAÇÃO DE QUATRO FAROL AUXILIAR </t>
  </si>
  <si>
    <t>TROCA DE 4 LAMPADA REVISAO DO SINALEIRO TRASEIRO</t>
  </si>
  <si>
    <t>BATERIA 60 AH PARA BONECAS SINALIZAÇÃO</t>
  </si>
  <si>
    <t>LAMPADA  SAVEIRO PLACA 7F22</t>
  </si>
  <si>
    <t>STROBO CAMERA DE RE COM CHAVE GIROFLEX COM CHAVE SIRENE 9 MTS DE CABO PP</t>
  </si>
  <si>
    <t>STROBO INSTALAÇÃO DE GIROFLEX COM CHAVE</t>
  </si>
  <si>
    <t>SERVIÇO DE INSTALAÇÃO DA TAMPA DA MAO AMIGA PARA PUXAR A CARRETINHA</t>
  </si>
  <si>
    <t xml:space="preserve">LAMPADA H3 </t>
  </si>
  <si>
    <t>GIROFLEX COM CHAVE CAMERA DE RE STROBO</t>
  </si>
  <si>
    <t>SERVIÇO NO ALTERNADOR ROLAMENTO 6202 SOLDA PORTA ESCOVA</t>
  </si>
  <si>
    <t>REVISÃO DE STROBO CAMERA FAROL AUXLIAR GIROFLEX RETIRADA DE RED ZONE FIXAÇÃO DA CENTRAL STROBO E DO MONITOR CAMERA DE RE</t>
  </si>
  <si>
    <t>TROCA DE GIROFLEX TROCA DA CAIXA DO STROBO</t>
  </si>
  <si>
    <t>INSTALAÇÃO DE GIROFLEX  COM CHAVE STROBO 12 MTS CABO PP 2X1 DUAS LANTERNAS DO PARALAMA</t>
  </si>
  <si>
    <t>UM FAROL COMPLETO LANTERNA DA SETA LAMPADA H7 LAMPADA H1 LAMPADA PINGO AGUA FAROL DIREITO LAMPADA 67 1141</t>
  </si>
  <si>
    <t>LANTERNA COMPLETA SEIS LAMPADAS TROCA DE SINALEIRA E LAPADA</t>
  </si>
  <si>
    <t>INSTALAÇÃO DE RELE PARA CAMERA DE RE SERVIÇO DE LIMPEZA BOTAO DO VIDRO TROCA DE GIROFLEX</t>
  </si>
  <si>
    <t>INSTALAÇÃO TROCA DO CHICOTE DO GIROFLEX CAMERA DE RE E FAROL AUXILIAR INSTALAÇÃO DE RELE 70 AH STE MTS DE CABO PP 2X1</t>
  </si>
  <si>
    <t>TROCA DE FUSIVEL REPARO NO CURTO DO SENSOR REVISÃO DO CHICOTE ELETRICO</t>
  </si>
  <si>
    <t>TROCA DA CENTRAL DE STROBO SENSOR DA TOMADA SE FORÇA</t>
  </si>
  <si>
    <t>LANTERNA DO PISCA LATERAL UMA LENTE + SEVIÇO</t>
  </si>
  <si>
    <t>SUBSTITUIÇÃO DE QUATRO GARRAS REVISÃO DA XUXA</t>
  </si>
  <si>
    <t>TROCA  DE DEIS LANTERNA LED REVISÃO DAS SINALEIRAS RETIRADA DO CURTO DA MEIA LUZ</t>
  </si>
  <si>
    <t>25 MTS DE CABO 16 MM DIJUNTOR TRIFASICO INSTALÇÃO DE STROBO TERMINAL DE PONTA DE CABO</t>
  </si>
  <si>
    <t>TROCA DE STROBO LAMPADAS FUSIVEIS FAROL DE RE LIGAÇÃO DA LUZA DA CABINE AUXILIAR</t>
  </si>
  <si>
    <t xml:space="preserve">TROCA BASE DA LANTERNA /LIGAÇAO DO CHICOTE/ESTROBO /CAMERA RÉ /CHICOTE TRASEIRO </t>
  </si>
  <si>
    <t>TROCA DE MONITOR DE CAMERA DE RE</t>
  </si>
  <si>
    <t>LENTE DE SINALEIRA SERVIÇO DE TROCA DE LENTE</t>
  </si>
  <si>
    <t xml:space="preserve">LIGAR MOTOR DA RAMPA UM MTS DE FIO 10 MM TERMINAL DE FIO </t>
  </si>
  <si>
    <t xml:space="preserve">SEIS STROBO CAMERA DE RE GIROFLEX CAMERA DE RE PORTA FUSIVEL 29 CABO PP 2X1 27 MTS PARA CAMERA </t>
  </si>
  <si>
    <t>BATERIA 100AH TERMINAL DE BATERIA REVISÃO DE SINALEIRA TROCA DE TERMINAL BATERIA TROCA DE FAROIS INSTALAÇÃO DE GIROFLEX PLACA PPB 5C56</t>
  </si>
  <si>
    <t xml:space="preserve">REVISÃO DOS STROBOS </t>
  </si>
  <si>
    <t xml:space="preserve">TROCA DE LANTERNA TRASEIRA LED TROCA FUSIVEL REVISÃO CHICOTE </t>
  </si>
  <si>
    <t>SERVIÇO DE ALTERNADOR TROCA DE ROLAMENTO 6303 ROLAMENTO 6203 SEVIÇO DE MONTADEM E DESMONTAGEM TROCA DE CORREIA</t>
  </si>
  <si>
    <t>TROCA DA LAMPADA DO PISCA FIXAÇÃO DO STROBO</t>
  </si>
  <si>
    <t>REVISÃO DO CHICOTE DO FUSIVEL DA INTERCLIMA</t>
  </si>
  <si>
    <t>RELE DE 70 AP PORTA FUSIVEL TROCA DO CHICOTE DO FAROL AUXILIAR DOIS METROS DE 2X1 PP TERMINAIS  FUSIVEIS  INSTALAÇÃO DE CHAVE TROCA CHICOTE DOS GUIAS</t>
  </si>
  <si>
    <t>SERVIÇO TROCA DE UMA LENTE GF 174</t>
  </si>
  <si>
    <t>SERVIÇO DE INSTALAÇÃO DE GIROFLEX</t>
  </si>
  <si>
    <t xml:space="preserve">FEITA LIGAÇÃO DOS STROBO </t>
  </si>
  <si>
    <t>TROCA STROBO</t>
  </si>
  <si>
    <t>SERVIÇO DE ABERTURA DE PORTA  CARRETA TRANCADA COM A CHAVE DENTRO</t>
  </si>
  <si>
    <t>ABASTECIMENTO TERCEIRO PLACA AQM 2A52 - NTS 9G59- MFA 2H29- BWZ 1C13- ANT 1831 HTP 5C12</t>
  </si>
  <si>
    <t>ABASTECIMENTO COMBOIO PARA ATENDER OBRA</t>
  </si>
  <si>
    <t>ABASTECIMENTO TERCEIRO PLACA NRZ 1E22- JJX 5932- CQH 7F36- NRZ 1F21- ATE 3I84 -AQM 2A59 EKZ  4862 IQM 2I17 ANT 1831 IOT 1A80</t>
  </si>
  <si>
    <t>CAPOTA  HILUX  UBN 8J05</t>
  </si>
  <si>
    <t>PELICULA PROTETORA  HILUX  UBN 8J05</t>
  </si>
  <si>
    <t xml:space="preserve">TRANSPORTE DE DISTRIBUIDOR DE AGREGADO </t>
  </si>
  <si>
    <t>PELICULA PROTETORA</t>
  </si>
  <si>
    <t>BORRACHAS DE FIXAÇÃO DE PARALAMA</t>
  </si>
  <si>
    <t xml:space="preserve">QUEBRA DO SENSOR ULTRASONICO </t>
  </si>
  <si>
    <t>SUBSTITUIÇÃO PARABRISA QUBRADO</t>
  </si>
  <si>
    <t>FERRAMENTAS PARA APOIO EQUIPAMENTOS</t>
  </si>
  <si>
    <t>SUBSTITUIÇÃO DE MANGUEIRA DE SUCÇAÕ</t>
  </si>
  <si>
    <t>CHAVE IMPACTO DE 1/2 -TALHADEIRA+ LONA POLITILENO</t>
  </si>
  <si>
    <t>CORRETIVA NO MOTOR USINA DE MICRO</t>
  </si>
  <si>
    <t>SERVIÇO CORRETIVA NO MOTOR USINA DE MICRO</t>
  </si>
  <si>
    <t>BORRACHA PORTA VEDAÇÃO</t>
  </si>
  <si>
    <t>26.059.680/0001-02</t>
  </si>
  <si>
    <t>CINTIA AMADOR DE ALMEIDA</t>
  </si>
  <si>
    <t>TRANSPORTE DE DOIS ROLOS E UMA PRANCHA CURITIBA X MUNDO NOVO</t>
  </si>
  <si>
    <t>PAGAMENTO DE 6 DIARIAS DE CAMINHÃO BASCULANTE PLACA OLH -03F84</t>
  </si>
  <si>
    <t>CORRETIVA ELETRICA DESLOCAMENTO</t>
  </si>
  <si>
    <t>CABO PP+TINTA SPRAY + ABRAÇADEIRA+RELE BLINDADO +CHAVE SELETORA</t>
  </si>
  <si>
    <t xml:space="preserve">CORRETIVA NA ESTRUTURA </t>
  </si>
  <si>
    <t>MATERIAL DE USO RECICLAGEM</t>
  </si>
  <si>
    <t xml:space="preserve">MANGUEIRA ABRAÇADEIRA ALICATE UNIVERSAL ENGATE PINO ENGATE </t>
  </si>
  <si>
    <t>15.514.503/0001-52</t>
  </si>
  <si>
    <t>PEDRO HENRIQUE SCAROINI ME</t>
  </si>
  <si>
    <t>CONFECÇÃO DE MANGUEIRA E SUPORTE DE MANGUEIRA</t>
  </si>
  <si>
    <t>ADITIVO DE RADIADOR AGUA DESMINERALIZADA</t>
  </si>
  <si>
    <t>02.000.510/0001-94</t>
  </si>
  <si>
    <t>ISMAR KAKU ME</t>
  </si>
  <si>
    <t>PARAFUSOS+ PORCAS +FITA VEDA ROSCA +ABRAÇADEIRA NYLON</t>
  </si>
  <si>
    <t>TORNEIRA COROTE</t>
  </si>
  <si>
    <t>LAVAGEM E LUBRIFICAÇÃO PLACA BB 7419</t>
  </si>
  <si>
    <t>29.413.121/0001-47</t>
  </si>
  <si>
    <t>ALISSON MICHAEL JESUS DA SILVA LTDA</t>
  </si>
  <si>
    <t>CONCERTO DE PNEU</t>
  </si>
  <si>
    <t>MATERIAL PARA LIMPEZA NA PISTA</t>
  </si>
  <si>
    <t>73.696.973/0001-80</t>
  </si>
  <si>
    <t>MARCOS KOCHANOVSKI TAPECARIA</t>
  </si>
  <si>
    <t>TAPETE SAVEIRO UBF 7G20</t>
  </si>
  <si>
    <t>RETROVISOR COM CAMERA SAVEIRO UBF 7G20</t>
  </si>
  <si>
    <t>DIPEBRAL</t>
  </si>
  <si>
    <t>MAÇARICO PORTATIL CARTUCHO DE GAS BUTANO</t>
  </si>
  <si>
    <t>PARABRISA (RHV - 4113 )</t>
  </si>
  <si>
    <t>REGISTRO ESFERA 1/2</t>
  </si>
  <si>
    <t>02 BATERIAS 100H</t>
  </si>
  <si>
    <t>ESTICADOR EQUIPAMENTO PLACA GEJ 4J14</t>
  </si>
  <si>
    <t>ABRAÇADEIRA E CABO DE ACO GALVENIZADO</t>
  </si>
  <si>
    <t>PARAFUSOS + PORCAS + CHAVES  COMBINADAS+CAIXA SANFONADA</t>
  </si>
  <si>
    <t>CONEXÃO EMENDA RAPIDA CONEXÃO TEE MANGUEIRA NYLON CONEXÃO CONECTOR MACHO CONEXÃO TEE</t>
  </si>
  <si>
    <t>PARABARRO LISO ELASTICO LONA  CAMINHÃO</t>
  </si>
  <si>
    <t xml:space="preserve">CHAVES PINO CONECTOR CHAVE COMBINADA PARAFUSOS PORCAS </t>
  </si>
  <si>
    <t>SOLDA NO CAMINHÃO ESPARGIDOR</t>
  </si>
  <si>
    <t>ABRAÇADEIRA PARA ROLO XCMG</t>
  </si>
  <si>
    <t>TINTA SPRAY DISCO FLAP 4'' FITA CREPE LIXA SECO</t>
  </si>
  <si>
    <t>CABO DE PA RETO PARAFUSO CHIP BOARD</t>
  </si>
  <si>
    <t xml:space="preserve">FILTRO DE OLEO LUBRIFICANTE </t>
  </si>
  <si>
    <t>PARAFUSOS PORCAS ADESIVO BRASCOGLASS ESPATULA</t>
  </si>
  <si>
    <t>BRASCOPLAST TRINCHA 3/4 ADESIVO BLED THINNER CANETA DE MARCAÇÃO</t>
  </si>
  <si>
    <t>ADPTADOR ROSQUEAVEL ALICATE UNIVERSAL SOQUETE DE CHAVE DE FENDA SOQUETE EXTENSÃO 1/2</t>
  </si>
  <si>
    <t>JACTO PULVERIZADOR  BCHAVE COMBINADA JUNTA DE MOTOR</t>
  </si>
  <si>
    <t>ABASTECIMENTO PLACA - AMD 4E46-NRZ 1F21 -HTP 5C12- AQN 2A52- AYK 8G29- IXH 2A02- BWZ 1C13-AXZ 9C21- EKZ 4862- DVT 9I51- SDP 3B26- ARX 3I27- SEB 7G25- OOM 9G21- MIH 6E55- MYT 2I93- IOT  4A80- NTS 9G89- MFA 2H29- ARN 2D47-MIM 0E97- AXB 5B36-AUX 2G5</t>
  </si>
  <si>
    <t>ABASTECIMENTO DO COMBOIO APOIO OBRA</t>
  </si>
  <si>
    <t>SERVIÇO DE DIAGNOSTICO</t>
  </si>
  <si>
    <t>LAVAÇÃO DE EQUIPAMENTO - COM 11321</t>
  </si>
  <si>
    <t>LAVAÇAO DE EQUIPAMENTO - RHB 1D73</t>
  </si>
  <si>
    <t>LAVAÇÃO DE EQUIPAMENTO - MONTANA TBK 1A70</t>
  </si>
  <si>
    <t>LAVAÇÃO DE EQUIPAMENTO TBL 1I76</t>
  </si>
  <si>
    <t>LAVAÇAO DE EQUIPAMENTO - SFO 1G40</t>
  </si>
  <si>
    <t xml:space="preserve">LAVAÇÃO DE EQUIPAMENTO </t>
  </si>
  <si>
    <t>LAVAÇÃO DE EQUIPAMENTO</t>
  </si>
  <si>
    <t>LAVAÇAO DE EQUIPAMENTO</t>
  </si>
  <si>
    <t>LAVAÇÃO DE EQUIPAMENTO CAMINHÃO TERCEIRO PLACA AQM 2A 59</t>
  </si>
  <si>
    <t>LAVAÇÃO DE EQUIPAMENTO SSU 7E09</t>
  </si>
  <si>
    <t>LAVAÇÃO DE EQUIPAMENTO PLACA SFJ 3B23</t>
  </si>
  <si>
    <t>LAVAÇÃO DE EQUIPAMENTO PLACA TAK 1J63</t>
  </si>
  <si>
    <t>LAVAÇÃO DE EQUIPAMENTO TERCEIRO PLACA AUX 2G56</t>
  </si>
  <si>
    <t>LAVAÇÃO DO EQUIPAMENTO</t>
  </si>
  <si>
    <t>LAVAÇÃO DE EQUIPAMENTO PLACA  UBF 7G20</t>
  </si>
  <si>
    <t>LAVAÇÃO DE EQUIPAMENTO PLACA TBM 6J12</t>
  </si>
  <si>
    <t>LAVAÇÃO DE EQUIPAMENTO TERCEIRO PLACA AWU 7B29</t>
  </si>
  <si>
    <t>LAVAÇÃO DE EQUIPAMENTO PLACA SFJ 2H21</t>
  </si>
  <si>
    <t>LAVAÇÃO DE EQUIPAMENTO PLACA UBI 7J40</t>
  </si>
  <si>
    <t>LAVAÇÃO DE EQUIPAMENTO PLACA  SDQ 9H92</t>
  </si>
  <si>
    <t>CABO DE SEGURANÇA LAÇO</t>
  </si>
  <si>
    <t>06.888.783/0001-78</t>
  </si>
  <si>
    <t>E.R. MARCELINO &amp; CIA LTDA ME</t>
  </si>
  <si>
    <t>LONAS</t>
  </si>
  <si>
    <t>INSTALAÇÃO ELETRICAS</t>
  </si>
  <si>
    <t>CORRETIVA NO SISTEMA DE AR CONDICIONADO DE EQUIPAMENTOS</t>
  </si>
  <si>
    <t>RODIZIO DE PNEU DUAS MONTAGEM DESMONTAGEM TERCEIRO EOE 5E41</t>
  </si>
  <si>
    <t>CATARINO</t>
  </si>
  <si>
    <t>1 CONCERTO E 1 RODIZIO PLACA SFJ 3B25</t>
  </si>
  <si>
    <t>5 MONTAGEM E DESMONTAGEM</t>
  </si>
  <si>
    <t>4 RECAPAGEM PNEU 12 16.5</t>
  </si>
  <si>
    <t>1 CAMERA 20.5 R25 2 TIP TOP 1 MONTAGEM E DESMONTAGEM</t>
  </si>
  <si>
    <t>SOCORRO NO KM 22</t>
  </si>
  <si>
    <t xml:space="preserve">1 MONTAGEM </t>
  </si>
  <si>
    <t>SERVIÇOS DE BORRACHARIA</t>
  </si>
  <si>
    <t>CORRETIVA CONFECÇÃO DE ADESIVOS E BLOCO DE CHEKINLIST</t>
  </si>
  <si>
    <t>CONFECÇÃO  DE ADESIVOS PARA FROTA STRADA PLACA IWA 0H39- AOB  0241- CCM 100152- UBN 8I67 - RCL 0418- MCL 1842 COM 11321</t>
  </si>
  <si>
    <t>ADESIVOS PRISMATICOS - OUU 7I50- RTL 0204- RPL 0512- OLH 3F84- UBO 4E01- BBP 4C68- VAL 447</t>
  </si>
  <si>
    <t>RECAPE DE PNEUS BOB CAT</t>
  </si>
  <si>
    <t>MAO DE OBRA DE OLEO DO CAMBIO E FILTRO</t>
  </si>
  <si>
    <t>REVISÃO PREVENTIVA 98874 400/800</t>
  </si>
  <si>
    <t>MATERIAL DE DESGASTE</t>
  </si>
  <si>
    <t>ENGATE HIDRAULICO + EMBREAGEM MODULAR</t>
  </si>
  <si>
    <t>TROCA DE FILTRO DE COMBUSTIVEL</t>
  </si>
  <si>
    <t>SUBSTITUIÇÃO DE LANTERNAS TRASEIRAS</t>
  </si>
  <si>
    <t>MATERIAL DE DESGASTE PLACA DE CIRCUITO DE LAMINA 140/160</t>
  </si>
  <si>
    <t>MATERIAL DE DESGASTE PARAFUSO LAMINA PORCA DE LAMINA -E LAMINAS</t>
  </si>
  <si>
    <t>FILTRO SEPARADOR BOBO CAT</t>
  </si>
  <si>
    <t>ALUGUEL DE CARRETA TANQUE</t>
  </si>
  <si>
    <t>ABASTECIMENTO HRO 4510- CLH 6J38- JJX 5932- AQM  2A59 -ANT  1831- EDF 7E48- ATE 3I84- QWI 8E53</t>
  </si>
  <si>
    <t>APOIO EQUIPAMENTO OBRA</t>
  </si>
  <si>
    <t>33.356.301/0001-01</t>
  </si>
  <si>
    <t>DAKOTA TRANSPORTE EIRELI</t>
  </si>
  <si>
    <t>FRETE / TRANSPORTE DE DISTRIBUIDOR DE AGREGADO</t>
  </si>
  <si>
    <t>FRETE / TRANSPORTE DE COMPRESSOR</t>
  </si>
  <si>
    <t xml:space="preserve">FRETE / TRANSPORTE DE BOB CAT </t>
  </si>
  <si>
    <t>PARAFUSO DE LAMINA PORCA DE LAMINA</t>
  </si>
  <si>
    <t>TRANSPORTE DE FRESA</t>
  </si>
  <si>
    <t>FILTRO HIDRAULICO BOBO CAT S650</t>
  </si>
  <si>
    <t xml:space="preserve">AGUA DESMINERALIZADA ADITIVO </t>
  </si>
  <si>
    <t>CORRETIVA DE MANGUEIRA UNIAO EMENDA</t>
  </si>
  <si>
    <t>08.596.557/0021-92</t>
  </si>
  <si>
    <t>MAQMOB COMERCIO DE MAQUINAS LINHA AMARELA LTDA</t>
  </si>
  <si>
    <t>REVISÃO PREVENTIVA 250 HORAS</t>
  </si>
  <si>
    <t xml:space="preserve">OLEO 68 +NIPLE MACHO +BUCHA DE REDUÇAÕ MF </t>
  </si>
  <si>
    <t>SERVICO DE SOLDAR ENCANAMENTO HIDRAULICO</t>
  </si>
  <si>
    <t>GANCHO DE FIXAÇÃO 80CM</t>
  </si>
  <si>
    <t>83.675.413/0001-01</t>
  </si>
  <si>
    <t>MACROMAQ EQUIPAMANTOS LTDA</t>
  </si>
  <si>
    <t>PREVENTIVAS 500 HORAS</t>
  </si>
  <si>
    <t>03.509.150/0001-13</t>
  </si>
  <si>
    <t>LOCAÇAO DE EQUIPAMENTO MCL 5802</t>
  </si>
  <si>
    <t>LOCAÇAO DE EQUIPAMENTO MCL 5624</t>
  </si>
  <si>
    <t>ENGATE RAPIDOS</t>
  </si>
  <si>
    <t xml:space="preserve">MOTOESMERIL </t>
  </si>
  <si>
    <t>83.675.413/0002-84</t>
  </si>
  <si>
    <t>MACROMAQ EQUIPAMENTOS LTDA</t>
  </si>
  <si>
    <t>MATERIAL PREVENTIVA 500 H</t>
  </si>
  <si>
    <t>PROTEÇÃO DO CARTER INFERIOR</t>
  </si>
  <si>
    <t>PORTA  PEÇAS FECHADO ESTEIRA PARA MECANICO</t>
  </si>
  <si>
    <t>CAMINHAO COMBOIO PARA ATENDER  OBRA</t>
  </si>
  <si>
    <t>SERVIÇO DE TESTE CHICOTE DO RPM+TROCA DO MOTOR DO RPM+SOLDA NOS PINOS DE ENTRADA DA PLACA DO PAINEL</t>
  </si>
  <si>
    <t>INSTALAÇÃO DE BUZINA+TROCA DE CAMERA DE RE+TROCA DO SENSOR DO PEDAL+REVISÃO DAS SINALEIRA</t>
  </si>
  <si>
    <t>65.394.171/0001-98</t>
  </si>
  <si>
    <t>65.394.171 MARILI OLIVEIRA ALCANTARA COSTA</t>
  </si>
  <si>
    <t>TRANSPORTE DE CAMINHÃO COM 11321</t>
  </si>
  <si>
    <t xml:space="preserve">FRETE DE CASCAVEL PARA CARAPO BOB CAT </t>
  </si>
  <si>
    <t>FRETE MOTONIVELADORA E ROLO DE PNEU</t>
  </si>
  <si>
    <t>LOCAÇÃO DE COMPRESSOR TERRAPLANAGEM TSD</t>
  </si>
  <si>
    <t>LOCAÇÃO DE COMPRESSOR PAVIMENTAÇÃO</t>
  </si>
  <si>
    <t>MATERIAL PARA ATENDER LUBRIFICAÇÃO BICOS GRAXEIRO DE VAORIOS TAMANHOS</t>
  </si>
  <si>
    <t>MATERIAL PARA ATENDER LAVADOR DE PEDRA E CEM 1504</t>
  </si>
  <si>
    <t>MATERIAL PARA ATENDER OBRA</t>
  </si>
  <si>
    <t>DIARIA PLACA OLH 3F84 PERIODO 24/03 HA 29/03</t>
  </si>
  <si>
    <t>VAL04477</t>
  </si>
  <si>
    <t>CORRETIVA SUBSTITUIÇAO DE MANGUEIRA DE SUCÇAO</t>
  </si>
  <si>
    <t>COMBUSTIVEL EQUIPAMENTOS</t>
  </si>
  <si>
    <t>64.059.680/0001-00</t>
  </si>
  <si>
    <t>BORTOTI TRANSPORTE LTDA</t>
  </si>
  <si>
    <t xml:space="preserve">SERVIÇO DE TRANSPORTE DE PASSAGEIROS </t>
  </si>
  <si>
    <t xml:space="preserve">REVISÃO DE CUBO E RODAS </t>
  </si>
  <si>
    <t xml:space="preserve">SENSOR </t>
  </si>
  <si>
    <t>REVISÃO DE CUBOS E RODAS</t>
  </si>
  <si>
    <t>MAO DE OBRA DE ALINHAMENTO DE DOIS EIXOS E MAO DE OBRA DE TROCAR BUCHA DO TIRANTE</t>
  </si>
  <si>
    <t>ADITIVO DE RADIADOR E AGUA DESMINERALIZADA CBV 2203 -TAMPA DO RESERVATORIO CBV 2212 COLA VEDA CHOQUE THINNER DISCO DESBASTE RPB 4073</t>
  </si>
  <si>
    <t>3880/3476</t>
  </si>
  <si>
    <t>SERVIÇO DE TROCA DE COXIM+COXINS DIANTEIRO</t>
  </si>
  <si>
    <t>CORRETIVA RETROVISOR E AR CONDICIONADO</t>
  </si>
  <si>
    <t>IMPRESSORA ESCRITORIO</t>
  </si>
  <si>
    <t xml:space="preserve">ESTALAÇÃO DE CANTEIRO SUBSTAÇÃO CASA  DE FORÇA </t>
  </si>
  <si>
    <t xml:space="preserve">REFORMA RECAPAGENS </t>
  </si>
  <si>
    <t>27.785.001/0003-07</t>
  </si>
  <si>
    <t>TREZACO COMERCIO DE TUBO E AÇO LTDA</t>
  </si>
  <si>
    <t>MATERIAL PARA MELHORIA DE EQUIPAMENTO</t>
  </si>
  <si>
    <t>ARLA PARA EQUIPAMENTO</t>
  </si>
  <si>
    <t xml:space="preserve">CORRETIVA PROTEÇÃO DO CARTER </t>
  </si>
  <si>
    <t>14.808.908/0001-30</t>
  </si>
  <si>
    <t>JETCON REVESTIMENTOS LTDA</t>
  </si>
  <si>
    <t xml:space="preserve">LOCAÇÃO DE BOMBA DE CONCRETO </t>
  </si>
  <si>
    <t xml:space="preserve">REFERENTE HA ABASTECIMENTO DE VEICULOS </t>
  </si>
  <si>
    <t>ABASTECIMENTO PLACA ANT 1831- IQM 2I17- MYT 2I17- HRP 4510-IXH 2A02-DFW 3G81 - DVT 9I51</t>
  </si>
  <si>
    <t>CAMINHÃO CARROCERIA UBL 5I37 RETROESCAVADEIRA CAMINHÃO 3/4 UBK 8F63</t>
  </si>
  <si>
    <t>96368-2</t>
  </si>
  <si>
    <t>FRETE DE PEÇAS</t>
  </si>
  <si>
    <t>Data / Hora</t>
  </si>
  <si>
    <t>Documento</t>
  </si>
  <si>
    <t>Equipamento</t>
  </si>
  <si>
    <t>Quantidade</t>
  </si>
  <si>
    <t>CONST SCHOROEDER -10.249.046/0001-00</t>
  </si>
  <si>
    <t>BOB MAQ - 82.976.325/0001-79</t>
  </si>
  <si>
    <t>NOVA FROTA - 03.509.150/0001-13</t>
  </si>
  <si>
    <t>SO ROLOS - 07.592.452/0001-59</t>
  </si>
  <si>
    <t>ROLEPARTS - 82.344.847/0001-58</t>
  </si>
  <si>
    <t>M2 Tratores 37.854.144/0001-15</t>
  </si>
  <si>
    <t>JOAO PB FERREIRA - 09.320.122/0001-30</t>
  </si>
  <si>
    <t>FRETEIRO</t>
  </si>
  <si>
    <t>EOE 5E41</t>
  </si>
  <si>
    <t>Exato Engenharia LTDA - 03.865.048/0001-</t>
  </si>
  <si>
    <t>MAÇARICO/TERCEIROS</t>
  </si>
  <si>
    <t>MAC 8G43</t>
  </si>
  <si>
    <t>TER MSV</t>
  </si>
  <si>
    <t>RECK TRANSPORTES -85.141.745/0001-23</t>
  </si>
  <si>
    <t>TRAC TEC - 02.848.707/0001-31</t>
  </si>
  <si>
    <t>LUG - 06.233.947/0001-29</t>
  </si>
  <si>
    <t>ALBERTON LOCACOES E TERRAPLENAGEMDA</t>
  </si>
  <si>
    <t>ANDREATTA LOCAÇÃO - 16.698.968/0001-73</t>
  </si>
  <si>
    <t>BAA 8I02</t>
  </si>
  <si>
    <t>JEM LOCADORA - 06.221.679/0001-25</t>
  </si>
  <si>
    <t>TRAC TEC - 12.848.707/0001-31</t>
  </si>
  <si>
    <t>MANTOMAC COM DE PECAS- 79.879.318/0005-7</t>
  </si>
  <si>
    <t>AUR 4H62</t>
  </si>
  <si>
    <t>Novacap Engenharia 10.738.611/0001-95</t>
  </si>
  <si>
    <t>RTL 0204</t>
  </si>
  <si>
    <t>DSD LOCADORA - 26.370.409/0001-93</t>
  </si>
  <si>
    <t>TERRA CIVIL - 01.194.012/0001-67</t>
  </si>
  <si>
    <t>MILK &amp; SANTOS - 07.421.137/0001-69</t>
  </si>
  <si>
    <t>UBL 5I37</t>
  </si>
  <si>
    <t>SUDOESTE - A J EBERLE JUNIOR - 14.253.03</t>
  </si>
  <si>
    <t>MAC 2I04</t>
  </si>
  <si>
    <t>MACROMAQ - 83.675.413/0001-01</t>
  </si>
  <si>
    <t>MUNDIAL HOME - 27.914.988/0001-50</t>
  </si>
  <si>
    <t>EEL TRANSPORTES - 26.755.825/0001-00</t>
  </si>
  <si>
    <t>CAL 13704</t>
  </si>
  <si>
    <t>NENE TRANSPORTES - 27.124.831/0001-21</t>
  </si>
  <si>
    <t>CONSTRUBEM 19.787.470/0001-75</t>
  </si>
  <si>
    <t>REL 1118</t>
  </si>
  <si>
    <t>EL LOCACOES - 48.570.652/0001-98</t>
  </si>
  <si>
    <t>FOCO SOLUCOES - 01.734.467/0001-28</t>
  </si>
  <si>
    <t>OURO VERDE LOCAÇÃO E SERVIÇO - 75.609.12</t>
  </si>
  <si>
    <t>SIQ 7E63</t>
  </si>
  <si>
    <t>ELO DOIS DIST CNPJ 33945497000170</t>
  </si>
  <si>
    <t>BOBMAQUINAS - 82.976.325/0001-39</t>
  </si>
  <si>
    <t>Jeremias Guincho LTDA - 19.751.706/0001-</t>
  </si>
  <si>
    <t>MLW 2A68</t>
  </si>
  <si>
    <t>BORTOTI TRANSPORTES - 64.059.680/0001-00</t>
  </si>
  <si>
    <t>ALTOMAX TRANSPORTES LTDA - 36.126.750/00</t>
  </si>
  <si>
    <t>DOIS IRMAOS CONTRUCOES - 31.707.969/0001</t>
  </si>
  <si>
    <t>CONSTRUÇÕES SCHOROEDER EIRELI</t>
  </si>
  <si>
    <t>STRAPA TRANSPORTE E TERRAPLANAGEM LTDA-M</t>
  </si>
  <si>
    <t>DE AMORIM LOCADORA - 53.492.523/0001-69</t>
  </si>
  <si>
    <t>Egt Solucoes 01.665.347/0001-16</t>
  </si>
  <si>
    <t>BM RENTAL 55.911.561/0001-34</t>
  </si>
  <si>
    <t>BANCO BRASILEIRO - 01.852.137/0001-37</t>
  </si>
  <si>
    <t>Tuti Construtora 34.290.458/0001-44</t>
  </si>
  <si>
    <t>NEXEED MAQ E EQUIP - 34.999.718/0001-55</t>
  </si>
  <si>
    <t>OLH 3F84</t>
  </si>
  <si>
    <t>CARNAUBA 27.805.816/0001-49</t>
  </si>
  <si>
    <t>Ponto</t>
  </si>
  <si>
    <t>DIESEL S10</t>
  </si>
  <si>
    <t>CCM 100152</t>
  </si>
  <si>
    <t>CODIGO TRANSACAO</t>
  </si>
  <si>
    <t>FORMA DE PAGAMENTO</t>
  </si>
  <si>
    <t>CODIGO CLIENTE</t>
  </si>
  <si>
    <t>NOME REDUZIDO</t>
  </si>
  <si>
    <t>DATA TRANSACAO</t>
  </si>
  <si>
    <t>TIPO FROTA</t>
  </si>
  <si>
    <t>MODELO VEICULO</t>
  </si>
  <si>
    <t>NUMERO FROTA</t>
  </si>
  <si>
    <t>MATRICULA</t>
  </si>
  <si>
    <t>NOME MOTORISTA</t>
  </si>
  <si>
    <t>SERVICO</t>
  </si>
  <si>
    <t>TIPO COMBUSTIVEL</t>
  </si>
  <si>
    <t>LITROS</t>
  </si>
  <si>
    <t>VL/LITRO</t>
  </si>
  <si>
    <t>HODOMETRO OU HORIMETRO</t>
  </si>
  <si>
    <t>KM RODADOS OU HORAS TRABALHADAS</t>
  </si>
  <si>
    <t>KM/LITRO OU LITROS/HORA</t>
  </si>
  <si>
    <t>VALOR EMISSAO</t>
  </si>
  <si>
    <t>CODIGO ESTABELECIMENTO</t>
  </si>
  <si>
    <t>NOME ESTABELECIMENTO</t>
  </si>
  <si>
    <t>TIPO ESTABELECIMENTO</t>
  </si>
  <si>
    <t>ENDERECO</t>
  </si>
  <si>
    <t>BAIRRO</t>
  </si>
  <si>
    <t>CIDADE</t>
  </si>
  <si>
    <t>UF</t>
  </si>
  <si>
    <t>INFORMACAO ADIDIONAL 1</t>
  </si>
  <si>
    <t>INFORMACAO ADIDIONAL 2</t>
  </si>
  <si>
    <t>INFORMACAO ADIDIONAL 3</t>
  </si>
  <si>
    <t>INFORMACAO ADIDIONAL 4</t>
  </si>
  <si>
    <t>INFORMACAO ADIDIONAL 5</t>
  </si>
  <si>
    <t>FORMA TRANSACAO</t>
  </si>
  <si>
    <t>CODIGO LIBERACAO RESTRICAO</t>
  </si>
  <si>
    <t>SERIE POS</t>
  </si>
  <si>
    <t>NUMERO CARTAO</t>
  </si>
  <si>
    <t>FAMILIA VEICULO</t>
  </si>
  <si>
    <t>GRUPO RESTRICAO</t>
  </si>
  <si>
    <t>CODIGO EMISSORA</t>
  </si>
  <si>
    <t>RESPONSAVEL</t>
  </si>
  <si>
    <t>TIPO ENTRADA HODOMETRO</t>
  </si>
  <si>
    <t>Cartao Fisico</t>
  </si>
  <si>
    <t>NEOVIA - MUNDO NOVO</t>
  </si>
  <si>
    <t>UBO4E01</t>
  </si>
  <si>
    <t>CHEV/MONTANA/T</t>
  </si>
  <si>
    <t/>
  </si>
  <si>
    <t>5078</t>
  </si>
  <si>
    <t>AIMORE IRAJA ALVES</t>
  </si>
  <si>
    <t>Abastecimento</t>
  </si>
  <si>
    <t>GASOLINA COMUM</t>
  </si>
  <si>
    <t>AUTO POSTO TIO SAM</t>
  </si>
  <si>
    <t>POSTO DE COMBUSTIVEL</t>
  </si>
  <si>
    <t>ROD BR 163  KM 20 5</t>
  </si>
  <si>
    <t>ZONA RURAL</t>
  </si>
  <si>
    <t>MUNDO NOVO</t>
  </si>
  <si>
    <t>MS</t>
  </si>
  <si>
    <t>ND</t>
  </si>
  <si>
    <t>TEF</t>
  </si>
  <si>
    <t>00000003</t>
  </si>
  <si>
    <t>6035740454278505</t>
  </si>
  <si>
    <t>GRUPO GERAL DE RESTRICOES</t>
  </si>
  <si>
    <t>gestor de frota</t>
  </si>
  <si>
    <t>TAX8I41</t>
  </si>
  <si>
    <t>MONTANA</t>
  </si>
  <si>
    <t>1005</t>
  </si>
  <si>
    <t>ANTONIO FERREIRA NETTO</t>
  </si>
  <si>
    <t>POSTO CADIESEL</t>
  </si>
  <si>
    <t>RODOVIA BR 163 0 KM 268</t>
  </si>
  <si>
    <t>DOURADOS</t>
  </si>
  <si>
    <t>POS</t>
  </si>
  <si>
    <t>96000532</t>
  </si>
  <si>
    <t>6035740449300174</t>
  </si>
  <si>
    <t>SFN6B92</t>
  </si>
  <si>
    <t>POLO</t>
  </si>
  <si>
    <t>6943</t>
  </si>
  <si>
    <t>GILMAR DE JESUZ</t>
  </si>
  <si>
    <t>6035740450802480</t>
  </si>
  <si>
    <t>UAS3E83</t>
  </si>
  <si>
    <t>1274</t>
  </si>
  <si>
    <t>RODRIGO KNABBEN</t>
  </si>
  <si>
    <t>AUTO POSTO ENTRE RIOS</t>
  </si>
  <si>
    <t>RODOVIA BR 163 0 KM 324</t>
  </si>
  <si>
    <t>PARQUE INDUSTRIAL</t>
  </si>
  <si>
    <t>RIO BRILHANTE</t>
  </si>
  <si>
    <t>96019614</t>
  </si>
  <si>
    <t>6035740451014259</t>
  </si>
  <si>
    <t>UBR1H29</t>
  </si>
  <si>
    <t>4418</t>
  </si>
  <si>
    <t>ELIELTON DOMINGUES FERREIRA</t>
  </si>
  <si>
    <t>6035740454787968</t>
  </si>
  <si>
    <t>POSTO RODOBRAS</t>
  </si>
  <si>
    <t>AREA RODOVIA BR163 KM243  SN</t>
  </si>
  <si>
    <t>AREA RURAL DE DOURADOS</t>
  </si>
  <si>
    <t>91000003</t>
  </si>
  <si>
    <t>TDZ7G52</t>
  </si>
  <si>
    <t>ARGO</t>
  </si>
  <si>
    <t>16</t>
  </si>
  <si>
    <t>DENIS BARBACENA CAMARGO</t>
  </si>
  <si>
    <t>POSTO NOVA GERACAO</t>
  </si>
  <si>
    <t>RODOVIA BR 163  KM 173</t>
  </si>
  <si>
    <t>CENTRO</t>
  </si>
  <si>
    <t>JUTI</t>
  </si>
  <si>
    <t>00000001</t>
  </si>
  <si>
    <t>6035740454422533</t>
  </si>
  <si>
    <t>UBO4E18</t>
  </si>
  <si>
    <t>145</t>
  </si>
  <si>
    <t>ELSON ALEXANDRE MOURA</t>
  </si>
  <si>
    <t>6035740454422475</t>
  </si>
  <si>
    <t>TBE7F22</t>
  </si>
  <si>
    <t>SAVEIRO</t>
  </si>
  <si>
    <t>345</t>
  </si>
  <si>
    <t>GABRIEL DA COSTA ALBUQUERQUE</t>
  </si>
  <si>
    <t>POSTO SAN FERNANDO</t>
  </si>
  <si>
    <t>ROD BR 163  SN KM 135</t>
  </si>
  <si>
    <t>CAARAPO</t>
  </si>
  <si>
    <t>76015557</t>
  </si>
  <si>
    <t>6035740450744708</t>
  </si>
  <si>
    <t>TBX8J15</t>
  </si>
  <si>
    <t>6035740454422491</t>
  </si>
  <si>
    <t>IWA0H39</t>
  </si>
  <si>
    <t>STRADA</t>
  </si>
  <si>
    <t>9787</t>
  </si>
  <si>
    <t>VALDEIR BORGES</t>
  </si>
  <si>
    <t>POSTO MORUMBI</t>
  </si>
  <si>
    <t>ROD BR 163 0 KM 121</t>
  </si>
  <si>
    <t>NAVIRAI</t>
  </si>
  <si>
    <t>PV000001</t>
  </si>
  <si>
    <t>6035740454422558</t>
  </si>
  <si>
    <t>UAV1C16</t>
  </si>
  <si>
    <t>CHEV</t>
  </si>
  <si>
    <t>7311</t>
  </si>
  <si>
    <t>JOSIAS PEREIRA DE OLIVEIRA</t>
  </si>
  <si>
    <t>POSTO CERCA NOVA</t>
  </si>
  <si>
    <t>RODOVIA BR 163 10105</t>
  </si>
  <si>
    <t>PARQUE DAS NACOES</t>
  </si>
  <si>
    <t>6035740451582115</t>
  </si>
  <si>
    <t>TBO0H81</t>
  </si>
  <si>
    <t>T-CROSS</t>
  </si>
  <si>
    <t>1004</t>
  </si>
  <si>
    <t>DOUGLAS RODRIGUES SEVILHA</t>
  </si>
  <si>
    <t>G10 AUTO POSTO</t>
  </si>
  <si>
    <t>RODOVIA PR 317 4652</t>
  </si>
  <si>
    <t>ZONA 46</t>
  </si>
  <si>
    <t>MARINGA</t>
  </si>
  <si>
    <t>PR</t>
  </si>
  <si>
    <t>00000007</t>
  </si>
  <si>
    <t>6035740449966784</t>
  </si>
  <si>
    <t>UCB1J22</t>
  </si>
  <si>
    <t>C1504 SPIN 18L AT LT7</t>
  </si>
  <si>
    <t>3614</t>
  </si>
  <si>
    <t>LEANDRO MARTINS DA SILVA</t>
  </si>
  <si>
    <t>6035740456018735</t>
  </si>
  <si>
    <t>SFN2E05</t>
  </si>
  <si>
    <t>ONIX</t>
  </si>
  <si>
    <t>309604</t>
  </si>
  <si>
    <t>MAURO FERREIRA GUATURA</t>
  </si>
  <si>
    <t>AUTO POSTO TAMBORY IV LTDA</t>
  </si>
  <si>
    <t>AVENIDA MARCELINO PIRES 6680</t>
  </si>
  <si>
    <t>JARDIM MARCIA</t>
  </si>
  <si>
    <t>96018076</t>
  </si>
  <si>
    <t>6035740452507194</t>
  </si>
  <si>
    <t>UBV1G07</t>
  </si>
  <si>
    <t>3529</t>
  </si>
  <si>
    <t>ADELMAR MARTINS BARROS</t>
  </si>
  <si>
    <t>00000002</t>
  </si>
  <si>
    <t>6035740455522455</t>
  </si>
  <si>
    <t>TBK1A70</t>
  </si>
  <si>
    <t>8098</t>
  </si>
  <si>
    <t>EMERSON DA SILVA DE ALMEIDA</t>
  </si>
  <si>
    <t>6035740448611944</t>
  </si>
  <si>
    <t>NAO IDENTIFICADO</t>
  </si>
  <si>
    <t>RENIVE FERREIRA DA COSTA</t>
  </si>
  <si>
    <t>SFN3G87</t>
  </si>
  <si>
    <t>4038</t>
  </si>
  <si>
    <t>TIAGO GOMES DE OLIVEIRA SILVA</t>
  </si>
  <si>
    <t>6035740450012692</t>
  </si>
  <si>
    <t>UCB1J92</t>
  </si>
  <si>
    <t>1002</t>
  </si>
  <si>
    <t>RENILDO DA SILVA</t>
  </si>
  <si>
    <t>6035740454422541</t>
  </si>
  <si>
    <t>UBL6C17</t>
  </si>
  <si>
    <t>VW/SAVEIRO/CS</t>
  </si>
  <si>
    <t>5008</t>
  </si>
  <si>
    <t>JULIO CESAR DE SOUZA</t>
  </si>
  <si>
    <t>POSTO SPREA PROTORK</t>
  </si>
  <si>
    <t>RODOVIA BR 277  KM 146</t>
  </si>
  <si>
    <t>SAO LUIS PURUNA</t>
  </si>
  <si>
    <t>BALSA NOVA</t>
  </si>
  <si>
    <t>76016044</t>
  </si>
  <si>
    <t>6035740455522372</t>
  </si>
  <si>
    <t>TDA1A04</t>
  </si>
  <si>
    <t>HB20</t>
  </si>
  <si>
    <t>6035740455672318</t>
  </si>
  <si>
    <t>UBI7J40</t>
  </si>
  <si>
    <t>SAVEIRO/CS</t>
  </si>
  <si>
    <t>141989</t>
  </si>
  <si>
    <t>AGLAILSON DA SILVA PEREIRA</t>
  </si>
  <si>
    <t>6035740453444140</t>
  </si>
  <si>
    <t>TYE2B50</t>
  </si>
  <si>
    <t>100619</t>
  </si>
  <si>
    <t>JOSE VINICIUS SILVA SANTOS</t>
  </si>
  <si>
    <t>6035740454422517</t>
  </si>
  <si>
    <t>UBP7C43</t>
  </si>
  <si>
    <t>VW/POLO/SENSE</t>
  </si>
  <si>
    <t>7689</t>
  </si>
  <si>
    <t>VANDERLEY FERREIRA</t>
  </si>
  <si>
    <t>6035740454387777</t>
  </si>
  <si>
    <t>POSTO TOP7</t>
  </si>
  <si>
    <t>RUA BENJAMIN CONSTANT 405</t>
  </si>
  <si>
    <t>UCC8G33</t>
  </si>
  <si>
    <t>9.170 DRC 4X2</t>
  </si>
  <si>
    <t>AUTO POSTO TREVO</t>
  </si>
  <si>
    <t>RUA RUI BARBOSA 235</t>
  </si>
  <si>
    <t>ELDORADO</t>
  </si>
  <si>
    <t>96006732</t>
  </si>
  <si>
    <t>6035740454422574</t>
  </si>
  <si>
    <t>POSTO F  F III</t>
  </si>
  <si>
    <t>R DR COUTINHO 15</t>
  </si>
  <si>
    <t>VILA SETENTA</t>
  </si>
  <si>
    <t>96007944</t>
  </si>
  <si>
    <t>AUTO POSTO MARINGA</t>
  </si>
  <si>
    <t>AVENIDA JK 1581</t>
  </si>
  <si>
    <t>SE000001</t>
  </si>
  <si>
    <t>UBF7G20</t>
  </si>
  <si>
    <t>6735</t>
  </si>
  <si>
    <t>MICKAEL FERNANDES DE LIMA SOUSA</t>
  </si>
  <si>
    <t>6035740453729896</t>
  </si>
  <si>
    <t>UBZ6F62</t>
  </si>
  <si>
    <t>7007</t>
  </si>
  <si>
    <t>MARCOS ALEXANDRE PEREIRA</t>
  </si>
  <si>
    <t>6035740456048831</t>
  </si>
  <si>
    <t>UCC8G55</t>
  </si>
  <si>
    <t>3420</t>
  </si>
  <si>
    <t>ANDERSON PEREIRA</t>
  </si>
  <si>
    <t>6035740453478577</t>
  </si>
  <si>
    <t>TBI1A31</t>
  </si>
  <si>
    <t>6035740448611886</t>
  </si>
  <si>
    <t>LENADRO ALVES DA SILVA</t>
  </si>
  <si>
    <t>AUTO POSTO TREVAO</t>
  </si>
  <si>
    <t>ANTONIO DINIZ DONCALVES 1410</t>
  </si>
  <si>
    <t>NOVA ALVORADA DO SUL</t>
  </si>
  <si>
    <t>76010942</t>
  </si>
  <si>
    <t>AUTO POSTO TCHE BR LTDA</t>
  </si>
  <si>
    <t>RODOVIA BR 163 KM 324  SN ZONA RURAL</t>
  </si>
  <si>
    <t>VILA INDUSTRIAL</t>
  </si>
  <si>
    <t>96008905</t>
  </si>
  <si>
    <t>2016</t>
  </si>
  <si>
    <t>FABRICIO DA SILVA ARENA</t>
  </si>
  <si>
    <t>MAS0001</t>
  </si>
  <si>
    <t>CARTAO MASTER 1000</t>
  </si>
  <si>
    <t>18040200</t>
  </si>
  <si>
    <t>DIEGO DA SILVA</t>
  </si>
  <si>
    <t>96018335</t>
  </si>
  <si>
    <t>6035740449629002</t>
  </si>
  <si>
    <t>JOAO DE LIMA JUNIOR</t>
  </si>
  <si>
    <t>TAK9I30</t>
  </si>
  <si>
    <t>497750</t>
  </si>
  <si>
    <t>SERGIO ROSA PACHECO</t>
  </si>
  <si>
    <t>6035740450072142</t>
  </si>
  <si>
    <t>TBL1I76</t>
  </si>
  <si>
    <t>4811</t>
  </si>
  <si>
    <t>ANTONIO HOFFOMAM FILHO</t>
  </si>
  <si>
    <t>6035740451801861</t>
  </si>
  <si>
    <t>TAM2A92</t>
  </si>
  <si>
    <t>158</t>
  </si>
  <si>
    <t>CLEITON REMPEL</t>
  </si>
  <si>
    <t>6035740448611977</t>
  </si>
  <si>
    <t>CLEITON REMPEL-OBS LEANDRO VERIFICAR</t>
  </si>
  <si>
    <t>UBI7J36</t>
  </si>
  <si>
    <t>165</t>
  </si>
  <si>
    <t>DOUGLAS SILVA VIANA</t>
  </si>
  <si>
    <t>00000004</t>
  </si>
  <si>
    <t>6035740453481753</t>
  </si>
  <si>
    <t>SFN1D29</t>
  </si>
  <si>
    <t>5274</t>
  </si>
  <si>
    <t>JOSE PAULO DOS SANTOS</t>
  </si>
  <si>
    <t>6035740449587408</t>
  </si>
  <si>
    <t>TYW9A39</t>
  </si>
  <si>
    <t>5922</t>
  </si>
  <si>
    <t>RONALDO BEZERRA DE OLIVEIRA</t>
  </si>
  <si>
    <t>6035740452133546</t>
  </si>
  <si>
    <t>UBN8J05</t>
  </si>
  <si>
    <t>HILLUX</t>
  </si>
  <si>
    <t>1003</t>
  </si>
  <si>
    <t>FRANCISCO JOSE CANELA HENRRIQUES</t>
  </si>
  <si>
    <t>DIESEL S-10 COMUM</t>
  </si>
  <si>
    <t>6035740454192417</t>
  </si>
  <si>
    <t>5377</t>
  </si>
  <si>
    <t>JOSE IRANILDO</t>
  </si>
  <si>
    <t>UBG8G45</t>
  </si>
  <si>
    <t>101332</t>
  </si>
  <si>
    <t>ALEXANDRE DAMASCENO GOMES</t>
  </si>
  <si>
    <t>6035740452995415</t>
  </si>
  <si>
    <t>TBM6J12</t>
  </si>
  <si>
    <t>7558</t>
  </si>
  <si>
    <t>NELDISSON ARAUJO LESSO</t>
  </si>
  <si>
    <t>6035740450540767</t>
  </si>
  <si>
    <t>UCB1I84</t>
  </si>
  <si>
    <t>271218</t>
  </si>
  <si>
    <t>EDUARDO HENRIQUE MUNIZ ANTUNES</t>
  </si>
  <si>
    <t>6035740456030656</t>
  </si>
  <si>
    <t>UBW1C81</t>
  </si>
  <si>
    <t>286</t>
  </si>
  <si>
    <t>DHEMERSON CORREIA MORAES</t>
  </si>
  <si>
    <t>6035740455657913</t>
  </si>
  <si>
    <t>POSTO PRUDENTAO</t>
  </si>
  <si>
    <t>RODOVIA MANOEL DA COSTA LIMA 0 S/N KM 31</t>
  </si>
  <si>
    <t>BATAGUASSU</t>
  </si>
  <si>
    <t>POSTO CRUZADAO</t>
  </si>
  <si>
    <t>RODOVIA SP 327  KM 16</t>
  </si>
  <si>
    <t>RURAL</t>
  </si>
  <si>
    <t>SANTA CRUZ DO RIO PARDO</t>
  </si>
  <si>
    <t>SP</t>
  </si>
  <si>
    <t>96031349</t>
  </si>
  <si>
    <t>MAHLE CLEVELANDIA</t>
  </si>
  <si>
    <t>ROD PR 280  KM 174</t>
  </si>
  <si>
    <t>RODOVIA</t>
  </si>
  <si>
    <t>CLEVELANDIA</t>
  </si>
  <si>
    <t>PG000001</t>
  </si>
  <si>
    <t>AUTO POSTO 2400</t>
  </si>
  <si>
    <t>AVENIDA GENERAL CARNEIRO 2400</t>
  </si>
  <si>
    <t>CERRADO</t>
  </si>
  <si>
    <t>SOROCABA</t>
  </si>
  <si>
    <t>PISTA001</t>
  </si>
  <si>
    <t>COMERCIO DE COMBUSTIVEIS PASSA DOIS LTDA</t>
  </si>
  <si>
    <t>RODOVIA BR 476  KM 204</t>
  </si>
  <si>
    <t>LOCALIDADE DE PASSA DOIS</t>
  </si>
  <si>
    <t>LAPA</t>
  </si>
  <si>
    <t>96019589</t>
  </si>
  <si>
    <t>217</t>
  </si>
  <si>
    <t>ISMAEL CASSIO DOS SANTOS LAGO</t>
  </si>
  <si>
    <t>UBM1D23</t>
  </si>
  <si>
    <t>2001</t>
  </si>
  <si>
    <t>VANUNO SILVA OLIVEIRA</t>
  </si>
  <si>
    <t>6035740454422525</t>
  </si>
  <si>
    <t>TAJ7H82</t>
  </si>
  <si>
    <t>121009</t>
  </si>
  <si>
    <t>ROGERIO BERNARDES DE CARVALHO</t>
  </si>
  <si>
    <t>6035740454422566</t>
  </si>
  <si>
    <t>6035740456201240</t>
  </si>
  <si>
    <t>RIBALTA MSA PETROLEO</t>
  </si>
  <si>
    <t>AVENIDA MARCELINO PIRES 4958</t>
  </si>
  <si>
    <t>76023991</t>
  </si>
  <si>
    <t>180</t>
  </si>
  <si>
    <t>ELIEZER RENATO DE FREITAS</t>
  </si>
  <si>
    <t>SMJ5A42</t>
  </si>
  <si>
    <t>127</t>
  </si>
  <si>
    <t>LEONARDO DE ALMEIDA LIMA</t>
  </si>
  <si>
    <t>6035740452133553</t>
  </si>
  <si>
    <t>POSTO SERVAL</t>
  </si>
  <si>
    <t>AVENIDA H MATSUZAWA 39</t>
  </si>
  <si>
    <t>REGISTRO</t>
  </si>
  <si>
    <t>SW000001</t>
  </si>
  <si>
    <t>76007397</t>
  </si>
  <si>
    <t>5812</t>
  </si>
  <si>
    <t>DYEISSON ARTHUR LOPES PEREIRA DA SILVA</t>
  </si>
  <si>
    <t>POSTO BCA SABIAZINHO</t>
  </si>
  <si>
    <t>RODOVIA BR 163  KM 35</t>
  </si>
  <si>
    <t>TERRA ROXA</t>
  </si>
  <si>
    <t>1391</t>
  </si>
  <si>
    <t>LUCIANO DE CONTI</t>
  </si>
  <si>
    <t>POSTO CANDOI</t>
  </si>
  <si>
    <t>AVENIDA AV XV DE NOVEMBRO 1571</t>
  </si>
  <si>
    <t>CANDOI</t>
  </si>
  <si>
    <t>96031263</t>
  </si>
  <si>
    <t>POSTO F F VIII</t>
  </si>
  <si>
    <t>RODOVIA BR 163</t>
  </si>
  <si>
    <t>PROLONGAMENTO</t>
  </si>
  <si>
    <t>DOURADINA</t>
  </si>
  <si>
    <t>96007943</t>
  </si>
  <si>
    <t>POSTO SETE</t>
  </si>
  <si>
    <t>AVENIDA INDUSTRIAL 1233</t>
  </si>
  <si>
    <t>ITAQUIRAI</t>
  </si>
  <si>
    <t>96002182</t>
  </si>
  <si>
    <t>POSTO AVENIDA</t>
  </si>
  <si>
    <t>AVENIDA WEIMAR GONCALVES TORRES 151</t>
  </si>
  <si>
    <t>96029108</t>
  </si>
  <si>
    <t>POSTO FORMULA 1</t>
  </si>
  <si>
    <t>RUA JACARANDA 700</t>
  </si>
  <si>
    <t>QUEDAS DO IGUACU</t>
  </si>
  <si>
    <t>17</t>
  </si>
  <si>
    <t>ADELIRIO GILIOLE</t>
  </si>
  <si>
    <t>TBO7H80</t>
  </si>
  <si>
    <t>2986</t>
  </si>
  <si>
    <t>6035740449587051</t>
  </si>
  <si>
    <t>UBN8I67</t>
  </si>
  <si>
    <t>6558</t>
  </si>
  <si>
    <t>GUSTAVO JENSEN</t>
  </si>
  <si>
    <t>6035740453478569</t>
  </si>
  <si>
    <t>PETROLEO CENTRO OESTE</t>
  </si>
  <si>
    <t>RODOVIA BR 163 0 KM 460 5</t>
  </si>
  <si>
    <t>CAMPO GRANDE</t>
  </si>
  <si>
    <t>96003063</t>
  </si>
  <si>
    <t>130724</t>
  </si>
  <si>
    <t>ALEXANDRE DOS SANTOS</t>
  </si>
  <si>
    <t>5091</t>
  </si>
  <si>
    <t>MARCILIO MARTINS</t>
  </si>
  <si>
    <t>UCC8D17</t>
  </si>
  <si>
    <t>6035740454422509</t>
  </si>
  <si>
    <t>UCE5A41</t>
  </si>
  <si>
    <t>334516</t>
  </si>
  <si>
    <t>PATRICIA GISLAINE DOS SANTOS</t>
  </si>
  <si>
    <t>POSTO UNIAO SUL</t>
  </si>
  <si>
    <t>RODOVIA BR 277  SN KM 426 571M</t>
  </si>
  <si>
    <t>CHIMIM</t>
  </si>
  <si>
    <t>CANTAGALO</t>
  </si>
  <si>
    <t>PG000002</t>
  </si>
  <si>
    <t>6035740456365383</t>
  </si>
  <si>
    <t>OKI CENTRO AUTOMOTIVO</t>
  </si>
  <si>
    <t>RUA JOSE ANTONIO DE CAMPOS 378</t>
  </si>
  <si>
    <t>96022197</t>
  </si>
  <si>
    <t>POSTO AGUA AMARELA</t>
  </si>
  <si>
    <t>RODOVIA DOS XISTO  SN  KM 253</t>
  </si>
  <si>
    <t>AGUA AMARELA</t>
  </si>
  <si>
    <t>ANTONIO OLINTO</t>
  </si>
  <si>
    <t>96005577</t>
  </si>
  <si>
    <t>POSTO FASE QUATTRO</t>
  </si>
  <si>
    <t>RODOVIA REGIS BITTENCOURT 0 BR 116 KM 413</t>
  </si>
  <si>
    <t>FLORESTA</t>
  </si>
  <si>
    <t>JUQUIA</t>
  </si>
  <si>
    <t>96006235</t>
  </si>
  <si>
    <t>POSTO MISSIONEIRO</t>
  </si>
  <si>
    <t>RODOVIA BR 163  KM 142</t>
  </si>
  <si>
    <t>VISTA ALEGRE</t>
  </si>
  <si>
    <t>CAPITAO LEONIDAS MARQUES</t>
  </si>
  <si>
    <t>ETANOL ADITIVADO</t>
  </si>
  <si>
    <t>POSTO FIGUEIRA</t>
  </si>
  <si>
    <t>AVENIDA CORONEL ANTONINO 3514</t>
  </si>
  <si>
    <t>CONJUNTO RESIDENCIAL MATA DO JACINTO</t>
  </si>
  <si>
    <t>96022047</t>
  </si>
  <si>
    <t>POSTO BIZUNGAO 3</t>
  </si>
  <si>
    <t>RODOVIA CASTELO BRANCO  SN KM 247 3</t>
  </si>
  <si>
    <t>AVARE</t>
  </si>
  <si>
    <t>POSTO RODOTRUCK</t>
  </si>
  <si>
    <t>AVENIDA JOAQUIM CONSTANTINO 7000</t>
  </si>
  <si>
    <t>JARDIM JEQUITIBA</t>
  </si>
  <si>
    <t>PRESIDENTE PRUDENTE</t>
  </si>
  <si>
    <t>76003743</t>
  </si>
  <si>
    <t>POSTO TITON</t>
  </si>
  <si>
    <t>ROD PR 182  KM 82</t>
  </si>
  <si>
    <t>VILA NOVA</t>
  </si>
  <si>
    <t>REALEZA</t>
  </si>
  <si>
    <t>UCC7G35</t>
  </si>
  <si>
    <t>604584</t>
  </si>
  <si>
    <t>RAFAEL DE ALMEIDA</t>
  </si>
  <si>
    <t>AUTO POSTO LAGOA SECA</t>
  </si>
  <si>
    <t>ROD BR 277  KM 395</t>
  </si>
  <si>
    <t>LAGOA SECA</t>
  </si>
  <si>
    <t>6035740456176582</t>
  </si>
  <si>
    <t>POSTO F  F IV</t>
  </si>
  <si>
    <t>RUA QUINO FALGETTI 520</t>
  </si>
  <si>
    <t>LAGOA BONITA</t>
  </si>
  <si>
    <t>DEODAPOLIS</t>
  </si>
  <si>
    <t>96007084</t>
  </si>
  <si>
    <t>POSTO MAHLE GUAIRA</t>
  </si>
  <si>
    <t>RODOVIA BR 163 0 SN KM 343</t>
  </si>
  <si>
    <t>GUAIRA</t>
  </si>
  <si>
    <t>96026896</t>
  </si>
  <si>
    <t>6035740456438859</t>
  </si>
  <si>
    <t>UCC7G26</t>
  </si>
  <si>
    <t>6035740456174892</t>
  </si>
  <si>
    <t>AUTO POSTO CERRADO</t>
  </si>
  <si>
    <t>AV MARCELINO PIRES 2508</t>
  </si>
  <si>
    <t>76016600</t>
  </si>
  <si>
    <t>AV BERTASSO 1700</t>
  </si>
  <si>
    <t>RESIDENCIAL SANTA EDWIRGES</t>
  </si>
  <si>
    <t>PIRAPOZINHO</t>
  </si>
  <si>
    <t>AUTO POSTO ARLEI I</t>
  </si>
  <si>
    <t>RODOVIA RAPOSO TAVARES 0 SN KM 649</t>
  </si>
  <si>
    <t>PRESIDENTE EPITACIO</t>
  </si>
  <si>
    <t>AUTO POSTO 500</t>
  </si>
  <si>
    <t>RODOVIA BR 277  SN</t>
  </si>
  <si>
    <t>BELA VISTA</t>
  </si>
  <si>
    <t>GUARANIACU</t>
  </si>
  <si>
    <t>96028332</t>
  </si>
  <si>
    <t>POSTO TCHE</t>
  </si>
  <si>
    <t>RUA BENJAMIN CONSTANT 2054</t>
  </si>
  <si>
    <t>BAIRRO NORTE</t>
  </si>
  <si>
    <t>96007558</t>
  </si>
  <si>
    <t>840146</t>
  </si>
  <si>
    <t>CLEVERSON DE FREITAS OLIVEIRA</t>
  </si>
  <si>
    <t>COSTA BRAVA</t>
  </si>
  <si>
    <t>RODOVIA REGIS BITTERNCOURT  SN</t>
  </si>
  <si>
    <t>PALMITALZINHO</t>
  </si>
  <si>
    <t>QUATRO BARRAS</t>
  </si>
  <si>
    <t>NOVA ABASTECEDORA JUMBO</t>
  </si>
  <si>
    <t>RODOVIA BR 267  SN</t>
  </si>
  <si>
    <t>ENTRONCAMENTO</t>
  </si>
  <si>
    <t>96015291</t>
  </si>
  <si>
    <t>UCC7G43</t>
  </si>
  <si>
    <t>547428</t>
  </si>
  <si>
    <t>VALNEI ASSUNCAO PRESTES</t>
  </si>
  <si>
    <t>POSTO MURUNGAVA</t>
  </si>
  <si>
    <t>RODOVIA BR 277  KM 303</t>
  </si>
  <si>
    <t>RELOGIO</t>
  </si>
  <si>
    <t>PRUDENTOPOLIS</t>
  </si>
  <si>
    <t>96018522</t>
  </si>
  <si>
    <t>6035740456174967</t>
  </si>
  <si>
    <t>UCC8H37</t>
  </si>
  <si>
    <t>T</t>
  </si>
  <si>
    <t>293524</t>
  </si>
  <si>
    <t>DANIEL HERSZON FILHO</t>
  </si>
  <si>
    <t>6035740456248209</t>
  </si>
  <si>
    <t>AUTO POSTO FIDELIDADE</t>
  </si>
  <si>
    <t>AVENIDA MARCELINO PIRES 2181</t>
  </si>
  <si>
    <t>96028529</t>
  </si>
  <si>
    <t>POSTO REAL II</t>
  </si>
  <si>
    <t>AVENIDA ENGENHEIRO PAULO ABIB ANDERY 872</t>
  </si>
  <si>
    <t>VILA ADRIANA</t>
  </si>
  <si>
    <t>CAJATI</t>
  </si>
  <si>
    <t>PG000004</t>
  </si>
  <si>
    <t>PLATINAO CGR2</t>
  </si>
  <si>
    <t>AREA DA RURAL</t>
  </si>
  <si>
    <t>AREA RURAL DE CAMPO GRANDE</t>
  </si>
  <si>
    <t>00000006</t>
  </si>
  <si>
    <t>3944</t>
  </si>
  <si>
    <t>AUTO POSTO ENTRE RIOS CIDADE</t>
  </si>
  <si>
    <t>AV BENJAMIN CONSTANT 567</t>
  </si>
  <si>
    <t>PT001001</t>
  </si>
  <si>
    <t>AUTO POSTO MORI</t>
  </si>
  <si>
    <t>RUA DUARTE NUNES 144</t>
  </si>
  <si>
    <t>REGENTE FEIJO</t>
  </si>
  <si>
    <t>498 TORRE</t>
  </si>
  <si>
    <t>ROD MANOEL DA COSTA LIMA  BR 267  KM 142</t>
  </si>
  <si>
    <t>SAO BENTO</t>
  </si>
  <si>
    <t>NOVA ANDRADINA</t>
  </si>
  <si>
    <t>0E490B07</t>
  </si>
  <si>
    <t>AUTO POSTO ANILA</t>
  </si>
  <si>
    <t>BR 277  KM 232 5</t>
  </si>
  <si>
    <t>QUEIMADINHAS</t>
  </si>
  <si>
    <t>FERNANDES PINHEIRO</t>
  </si>
  <si>
    <t>00682876</t>
  </si>
  <si>
    <t>6035740456262648</t>
  </si>
  <si>
    <t>114</t>
  </si>
  <si>
    <t>EVERALDO ANTUNES DE OLIVEIRA</t>
  </si>
  <si>
    <t>POSTO TRES FIGUEIRAS</t>
  </si>
  <si>
    <t>AVENIDA GUAICURUS 3003</t>
  </si>
  <si>
    <t>PARQUE ALVORADA</t>
  </si>
  <si>
    <t>96021560</t>
  </si>
  <si>
    <t>UBT8C45</t>
  </si>
  <si>
    <t>VW/POLO/TRACK</t>
  </si>
  <si>
    <t>113</t>
  </si>
  <si>
    <t>ABMAEL FERREIRA DE SOUZA</t>
  </si>
  <si>
    <t>6035740454422483</t>
  </si>
  <si>
    <t>6035740456542924</t>
  </si>
  <si>
    <t>POSTO EUCALIPTO</t>
  </si>
  <si>
    <t>ROD BR 163  KM 407</t>
  </si>
  <si>
    <t>SIDROLANDIA</t>
  </si>
  <si>
    <t>96009341</t>
  </si>
  <si>
    <t>POSTO DA PRACA</t>
  </si>
  <si>
    <t>AV AMAMBAI 15</t>
  </si>
  <si>
    <t>96031899</t>
  </si>
  <si>
    <t>1838</t>
  </si>
  <si>
    <t>ERON BARBOSA GONCALVES</t>
  </si>
  <si>
    <t>5565</t>
  </si>
  <si>
    <t>BARBARA KARINA KRONBAUER</t>
  </si>
  <si>
    <t>AUTO POSTO HORIZONTE AZUL</t>
  </si>
  <si>
    <t>RUA  LEONARDO JULIO PERNA 59 0 ROD BR 163 KM 256</t>
  </si>
  <si>
    <t>SEDE</t>
  </si>
  <si>
    <t>TOLEDO</t>
  </si>
  <si>
    <t>PG000003</t>
  </si>
  <si>
    <t>POSTO PANDA</t>
  </si>
  <si>
    <t>RUA  VEREADOR ROMEU LAURO WERLANG 620</t>
  </si>
  <si>
    <t>FRANCISCO BELTRAO</t>
  </si>
  <si>
    <t>SW000011</t>
  </si>
  <si>
    <t>PORTAL AUTO POSTO</t>
  </si>
  <si>
    <t>AVENIDA AMELIA FUKUDA 1385</t>
  </si>
  <si>
    <t>PORTAL RESIDENCE</t>
  </si>
  <si>
    <t>96010066</t>
  </si>
  <si>
    <t>AUTO POSTO PRA FRENTE BRASIL</t>
  </si>
  <si>
    <t>RODOVIA BR 467</t>
  </si>
  <si>
    <t>CANADA</t>
  </si>
  <si>
    <t>CASCAVEL</t>
  </si>
  <si>
    <t>PV000003</t>
  </si>
  <si>
    <t>POSTO SAO CRISTOVAO</t>
  </si>
  <si>
    <t>ROD PR 182 0 SN KM 59</t>
  </si>
  <si>
    <t>INTERIOR</t>
  </si>
  <si>
    <t>AMPERE</t>
  </si>
  <si>
    <t>PARADAO AUTO POSTO LTDA</t>
  </si>
  <si>
    <t>RODOVIA BR 277 9930</t>
  </si>
  <si>
    <t>PARQUE TRES FRONTEIRAS</t>
  </si>
  <si>
    <t>FOZ DO IGUACU</t>
  </si>
  <si>
    <t>91000121</t>
  </si>
  <si>
    <t>202586</t>
  </si>
  <si>
    <t>CLISGESDE BONIFACIO DE LIMA</t>
  </si>
  <si>
    <t>AUTO POSTO CAMPO DOURADO</t>
  </si>
  <si>
    <t>RODOVIA BR 463 0</t>
  </si>
  <si>
    <t>CAMPO DOURADO</t>
  </si>
  <si>
    <t>96024160</t>
  </si>
  <si>
    <t>AUTO POSTO TROVAO AZUL</t>
  </si>
  <si>
    <t>RODOVIA PRT 163 KM 274  SN</t>
  </si>
  <si>
    <t>MARECHAL CANDIDO RONDON</t>
  </si>
  <si>
    <t>Total</t>
  </si>
  <si>
    <t>Série</t>
  </si>
  <si>
    <t>Vl Total NF</t>
  </si>
  <si>
    <t>Pto</t>
  </si>
  <si>
    <t>Comb.@Lubri.</t>
  </si>
  <si>
    <t>Tanq.</t>
  </si>
  <si>
    <t>Valor Unit.</t>
  </si>
  <si>
    <t>UNIPETRO DOURADOS 00.836.392/0001-23</t>
  </si>
  <si>
    <t>CADIESEL 00.404.539/0001-06</t>
  </si>
  <si>
    <t>UNIPETRO NOVA ANDRADINA DISTRIBUIDORA DE</t>
  </si>
  <si>
    <t>TERRA DIESEL 22.279.649/0001-26</t>
  </si>
  <si>
    <t>TICKET SOLUCOES - 03.506.307/0001-57</t>
  </si>
  <si>
    <t xml:space="preserve">                                  CONTROLE DE ESTOQUE                     </t>
  </si>
  <si>
    <t>COMPETÊNCIAS :</t>
  </si>
  <si>
    <t>ANTERIOR - REF. MAIO/2026</t>
  </si>
  <si>
    <t>MÊS DE REFERÊNCIA : JUNHO/2026</t>
  </si>
  <si>
    <t>ENTRADAS E SAÍDAS :</t>
  </si>
  <si>
    <t>SALDO MÊS ANTERIOR</t>
  </si>
  <si>
    <t>ENTRADAS NO MÊS</t>
  </si>
  <si>
    <t>SAÍDAS NO MÊS</t>
  </si>
  <si>
    <t>SALDO ATUAL</t>
  </si>
  <si>
    <t xml:space="preserve">Descrição do item </t>
  </si>
  <si>
    <t>Unidade</t>
  </si>
  <si>
    <t>Valor  Unit.</t>
  </si>
  <si>
    <t>Qtde.
de Saldo</t>
  </si>
  <si>
    <t>Valor Total
de Saldo</t>
  </si>
  <si>
    <t>Qtde.
Entrada</t>
  </si>
  <si>
    <t>Valor Entrada</t>
  </si>
  <si>
    <t>Qtde.
Aplicada</t>
  </si>
  <si>
    <t>Valor Saída</t>
  </si>
  <si>
    <t>Qtde.
Final</t>
  </si>
  <si>
    <t>Valor Final</t>
  </si>
  <si>
    <t>ARLA32</t>
  </si>
  <si>
    <t>PÇ</t>
  </si>
  <si>
    <t>BATERIA 110 AH PIONEIRA USADA</t>
  </si>
  <si>
    <t>BATERIA CAT 115 USADA</t>
  </si>
  <si>
    <t>BITS FREZA</t>
  </si>
  <si>
    <t>BITS W 6 / 2 2 Z 2 - RECICLADORA</t>
  </si>
  <si>
    <t>BLOCO MEDIDOR COMPLETO</t>
  </si>
  <si>
    <t>BOMBA DIAFRAGMA</t>
  </si>
  <si>
    <t>BOMBA HIDRAULICA BASCULANTE</t>
  </si>
  <si>
    <t>BORRACHÃO CAÇAMBA 5,000X2,400X8MM</t>
  </si>
  <si>
    <t>BUCHA ESTABILIZADORA</t>
  </si>
  <si>
    <t>CALÇOS DIVERSOS LAMINA</t>
  </si>
  <si>
    <t>CAMERA DE RÉ</t>
  </si>
  <si>
    <t xml:space="preserve">CANTO DE LAMINA PATROL </t>
  </si>
  <si>
    <t>CARREGADOR DE BATERIA</t>
  </si>
  <si>
    <t>CERDAS BOB 165MM 6"</t>
  </si>
  <si>
    <t>CERDAS BOB 210MM 8"</t>
  </si>
  <si>
    <t>CHAVE DE IGNIÇÃO MINI CARREGADEIRA 6693241</t>
  </si>
  <si>
    <t>CINTA CATRACA 5 MT 05 TON</t>
  </si>
  <si>
    <t>CINTA CATRACA 5 MT 10 TON</t>
  </si>
  <si>
    <t>CORRENTES AMARRAÇÃO</t>
  </si>
  <si>
    <t>UM</t>
  </si>
  <si>
    <t>CUICAS</t>
  </si>
  <si>
    <t>ECO ROAD</t>
  </si>
  <si>
    <t>ECOMAX</t>
  </si>
  <si>
    <t>ENGATES BOB FEMEA</t>
  </si>
  <si>
    <t>ENGATES BOB FEMEA CURVO</t>
  </si>
  <si>
    <t>ENGATES BOB MACHO</t>
  </si>
  <si>
    <t>ENGATES BOB MACHO CURVO</t>
  </si>
  <si>
    <t>ESMERILHADEIRA 4" BOSH</t>
  </si>
  <si>
    <t>ESMERILHADEIRA 7" BOSH</t>
  </si>
  <si>
    <t>ESTICADOR TENSIONADOR CORRENTE 3-8'' a 1-2''</t>
  </si>
  <si>
    <t>ESTIRANTE BRAÇO RETROVISOR</t>
  </si>
  <si>
    <t xml:space="preserve">ESTROBO DUPLO </t>
  </si>
  <si>
    <t>ESTROBOS</t>
  </si>
  <si>
    <t>FAROL AUXILIAR LED</t>
  </si>
  <si>
    <t>FILTRO 3608960</t>
  </si>
  <si>
    <t>FILTRO BOB CAT 6667352</t>
  </si>
  <si>
    <t xml:space="preserve">FILTRO BOB CAT 7414582 HIDRAULICO </t>
  </si>
  <si>
    <t>FILTRO BOBCAT ÓLEO MOTOR 6675517/P550318</t>
  </si>
  <si>
    <t>FILTRO AR EXTERNO MOTOR BOBCAT 7008043/AE1184RS</t>
  </si>
  <si>
    <t>FILTRO AR INTERNO MOTOR BOBCAT 7008044/P629468</t>
  </si>
  <si>
    <t>FILTRO AR EXTERNO MOTOR RETANGULAR BOBCAT 7286652</t>
  </si>
  <si>
    <t>FILTRO CAT  156-1200</t>
  </si>
  <si>
    <t>FILTRO CAT 1R-0774</t>
  </si>
  <si>
    <t>FILTRO CAT 1R-1804</t>
  </si>
  <si>
    <t>FILTRO CAT 1R-1808</t>
  </si>
  <si>
    <t>FILTRO CAT 231-4487</t>
  </si>
  <si>
    <t>FILTRO CAT 299-8229</t>
  </si>
  <si>
    <t>FILTRO CAT 326-1643</t>
  </si>
  <si>
    <t>FILTRO CAT 360-8960</t>
  </si>
  <si>
    <t>FILTRO CAT 376-1288</t>
  </si>
  <si>
    <t>FILTRO CAT 423-8521</t>
  </si>
  <si>
    <t>FILTRO CAT 434-3928 =570-1623</t>
  </si>
  <si>
    <t>FILTRO CAT 438-5386</t>
  </si>
  <si>
    <t>FILTRO CAT 439-5037</t>
  </si>
  <si>
    <t>FILTRO CAT 500-0480</t>
  </si>
  <si>
    <t>FILTRO CAT 500-0481</t>
  </si>
  <si>
    <t>FILTRO CAT 500-0483</t>
  </si>
  <si>
    <t>FILTRO CAT 5095694</t>
  </si>
  <si>
    <t>FILTRO CAT 523-4987</t>
  </si>
  <si>
    <t>FILTRO CAT 523-6604</t>
  </si>
  <si>
    <t>FILTRO CAT 527-6894</t>
  </si>
  <si>
    <t>FILTRO CAT 571-5253</t>
  </si>
  <si>
    <t>FILTRO COMBUSTIVEL FCBR 1135</t>
  </si>
  <si>
    <t>FILTRO COMBUSTIVEL PSC 663</t>
  </si>
  <si>
    <t>FILTRO DONALDSON  P 581971</t>
  </si>
  <si>
    <t>FILTRO DONALDSON 164166</t>
  </si>
  <si>
    <t>FILTRO DONALDSON 629468</t>
  </si>
  <si>
    <t>FILTRO DONALDSON P 502504</t>
  </si>
  <si>
    <t>FILTRO DONALDSON P 550318</t>
  </si>
  <si>
    <t>FILTRO DONALDSON P 551026</t>
  </si>
  <si>
    <t xml:space="preserve">FILTRO DONALDSON P 551039 </t>
  </si>
  <si>
    <t>FILTRO DONALDSON P 551316</t>
  </si>
  <si>
    <t>FILTRO DONALDSON P 552044</t>
  </si>
  <si>
    <t>FILTRO DONALDSON P 554004</t>
  </si>
  <si>
    <t>FILTRO DONALDSON P 558615</t>
  </si>
  <si>
    <t>FILTRO DONALDSON P 566205</t>
  </si>
  <si>
    <t>FILTRO DONALDSON P822769</t>
  </si>
  <si>
    <t>FILTRO FLEETGUARD EF 5488</t>
  </si>
  <si>
    <t>FILTRO FLEETGUARD FF 5488</t>
  </si>
  <si>
    <t>FILTRO FLEETGUARD FF 5706</t>
  </si>
  <si>
    <t>FILTRO FLEETGUARD FS 19727</t>
  </si>
  <si>
    <t>FILTRO FLEETGUARD FS 20165</t>
  </si>
  <si>
    <t>FILTRO FLEETGUARD LF 9009</t>
  </si>
  <si>
    <t>FILTRO FRAM P 4102</t>
  </si>
  <si>
    <t>FILTRO JAPAN PARTS FCBR 1315</t>
  </si>
  <si>
    <t>FILTRO KOMATSU 6003113750</t>
  </si>
  <si>
    <t>FILTRO MAHLE KC 617</t>
  </si>
  <si>
    <t>FILTRO MAN PU 1046 X</t>
  </si>
  <si>
    <t>FILTRO MAN WK 1040</t>
  </si>
  <si>
    <t>FILTRO OLEO JOHN DEERE RE 504836</t>
  </si>
  <si>
    <t>FILTRO PARKER RACOR S 900</t>
  </si>
  <si>
    <t>FILTRO SAKURA SFC 55170</t>
  </si>
  <si>
    <t>FILTRO SECADOR APU MB A0004295695</t>
  </si>
  <si>
    <t>FILTRO SEPARADOR DE AGUA FCBR 925</t>
  </si>
  <si>
    <t>FILTRO TECFIL PSD 460/6</t>
  </si>
  <si>
    <t>FILTRO TECFIL PSD 960/1</t>
  </si>
  <si>
    <t>FILTRO WEGA FCD 2041</t>
  </si>
  <si>
    <t>FLEXIVEL PARA ESCAPAMENTO</t>
  </si>
  <si>
    <t xml:space="preserve">GIROFLEX </t>
  </si>
  <si>
    <t>GRAXA TAMBOR 170 KG</t>
  </si>
  <si>
    <t>JOGO DE UNHA RETRO</t>
  </si>
  <si>
    <t>JG</t>
  </si>
  <si>
    <t>LAMINA 10 FUROS 1,43 MTS</t>
  </si>
  <si>
    <t>LAMINA 10 FUROS 1,54 MTS</t>
  </si>
  <si>
    <t xml:space="preserve">LAMINA 12 FUROS </t>
  </si>
  <si>
    <t>LAMINA 13 FUROS 1,83 MTS CURVA</t>
  </si>
  <si>
    <t>LAMINA 13 FUROS 1,83 MTS RETA</t>
  </si>
  <si>
    <t xml:space="preserve">LAMINA 6 FUROS 0,89 MTS </t>
  </si>
  <si>
    <t>LAMINA 6 FUROS 1,63 MTS</t>
  </si>
  <si>
    <t>LAMINA PATROL 15 FUROS 2,13 MTS</t>
  </si>
  <si>
    <t>LAMINA PATROL 18 FUROS 2,23 MTS</t>
  </si>
  <si>
    <t>LAMINA PATROL 8 FUROS 1,59 MTS</t>
  </si>
  <si>
    <t>LAMINA PATROL 8 FUROS 1,60 MTS</t>
  </si>
  <si>
    <t>LIQUIDO ARREFECIMENTO TAMBOR 200 LTS</t>
  </si>
  <si>
    <t>MANGUEIRA HIDRAULICA DIVERSO TAMANHO</t>
  </si>
  <si>
    <t>MAQUINA DE SOLDA MIG LINUS LIM 220 POWER</t>
  </si>
  <si>
    <t>MAQUINA DE SOLDA TORK KAB 250BV</t>
  </si>
  <si>
    <t>MASCARA DE SOLDA AUTOMATICA</t>
  </si>
  <si>
    <t>MATERIAL MELHORIA EQUIPAMENTO(COBRE FACIL)</t>
  </si>
  <si>
    <t>MEDIDOR BREMEN</t>
  </si>
  <si>
    <t>MONITOR/CAMERA DE RÉ</t>
  </si>
  <si>
    <t>MOTOR DE ARRANQUE 6685190</t>
  </si>
  <si>
    <t>MOTOR GERADOR H OMS 080 CM3/ ROT</t>
  </si>
  <si>
    <t>MOTOR HIDRAULICO ORBITAL MMS 08003</t>
  </si>
  <si>
    <t>NUMERADOR COM CAPELA BREMEN 4 DIGITO</t>
  </si>
  <si>
    <t>OLEO 10W</t>
  </si>
  <si>
    <t>TB</t>
  </si>
  <si>
    <t>OLEO 15W40</t>
  </si>
  <si>
    <t>OLEO HD 68</t>
  </si>
  <si>
    <t>PARABRISA MINI CARREGADEIRA</t>
  </si>
  <si>
    <t>PARAFUSO 1'X10"</t>
  </si>
  <si>
    <t>PARAFUSO 5/8X2"</t>
  </si>
  <si>
    <t>PARAFUSO 5/8X3"</t>
  </si>
  <si>
    <t>PARAFUSO 5/8X3,5"</t>
  </si>
  <si>
    <t>PLACA DE ARRASTE  ROLO PNEU DYN4700955804</t>
  </si>
  <si>
    <t xml:space="preserve">PNEU 1100-20 DINAPAC </t>
  </si>
  <si>
    <t>PNEU 20.5X25 PÁ CARREGADEIRA</t>
  </si>
  <si>
    <t>PNEU 295/80-22.5 RECAPADO</t>
  </si>
  <si>
    <t>PNEU BOB CAT 12-16.5</t>
  </si>
  <si>
    <t>PNEU 17.5X25 MOTONIVELADORA</t>
  </si>
  <si>
    <t>QUEROSENE 50 LTS</t>
  </si>
  <si>
    <t xml:space="preserve">RASPADOR GRADE </t>
  </si>
  <si>
    <t>REMOCIL</t>
  </si>
  <si>
    <t>REMOCIL BETA</t>
  </si>
  <si>
    <t>REMOCIL CONCRETO</t>
  </si>
  <si>
    <t>RODA PA CARREGADEIRA</t>
  </si>
  <si>
    <t>SACA BITS EJETOR 45275</t>
  </si>
  <si>
    <t>SACA BITS EXTRATOR 28812</t>
  </si>
  <si>
    <t>SALDO DIESEL TANQUES</t>
  </si>
  <si>
    <t>LT</t>
  </si>
  <si>
    <t>SENSOR FINAL DE CURSO VIBRO ACABADORA</t>
  </si>
  <si>
    <t>SUPT BIT HT22D22</t>
  </si>
  <si>
    <t>SWITCH (MIOLO) DE PARTIDA  BOB CAT6693245</t>
  </si>
  <si>
    <t>TALHA 2T</t>
  </si>
  <si>
    <t>UNHA DE ESCARIFICADOR</t>
  </si>
  <si>
    <t>UNHA DE ESCAVADEIRA 316</t>
  </si>
  <si>
    <t>UNHA DE ESCAVADEIRA 320</t>
  </si>
  <si>
    <t>UNHA ESCAVADEIRA 336</t>
  </si>
  <si>
    <t>Espécie</t>
  </si>
  <si>
    <t>Cód.</t>
  </si>
  <si>
    <t>Empresa/Terceiro</t>
  </si>
  <si>
    <t>Data Hora</t>
  </si>
  <si>
    <t>Material</t>
  </si>
  <si>
    <t>Medição@Anterior</t>
  </si>
  <si>
    <t>Medição@Atual</t>
  </si>
  <si>
    <t>Uso</t>
  </si>
  <si>
    <t>Consumo</t>
  </si>
  <si>
    <t>MB AXOR 3131 6X4</t>
  </si>
  <si>
    <t>BOMBA COMBOIO - TCW 4H03</t>
  </si>
  <si>
    <t>MB 1718 4X2</t>
  </si>
  <si>
    <t>MB ATEGO 1719/48</t>
  </si>
  <si>
    <t>BOMBA COMBOIO - CLM 13174</t>
  </si>
  <si>
    <t>MB AXOR 2536</t>
  </si>
  <si>
    <t>VOLVO L70F</t>
  </si>
  <si>
    <t>VOLVO L70H</t>
  </si>
  <si>
    <t>MB ATEGO 2730 6X4</t>
  </si>
  <si>
    <t>CAT 336</t>
  </si>
  <si>
    <t>XCMG XLZ2303S</t>
  </si>
  <si>
    <t>CAT 140</t>
  </si>
  <si>
    <t>WIRTGEN WR240</t>
  </si>
  <si>
    <t>BOMBA TRIPLO - CTM 8913</t>
  </si>
  <si>
    <t>CAT CC34B</t>
  </si>
  <si>
    <t>BOMAG BW-25RH</t>
  </si>
  <si>
    <t>DYNAPAC CP2700</t>
  </si>
  <si>
    <t>DYNAPAC CC4200</t>
  </si>
  <si>
    <t>HAMM HD O90V</t>
  </si>
  <si>
    <t>CIBER iNOVA 2000C</t>
  </si>
  <si>
    <t>VOGELE SUPER 1800-3</t>
  </si>
  <si>
    <t>TV</t>
  </si>
  <si>
    <t>P.EXTERNO TLOG</t>
  </si>
  <si>
    <t>WIRTGEN W200F</t>
  </si>
  <si>
    <t>CAT 12K</t>
  </si>
  <si>
    <t>TERCEIROS</t>
  </si>
  <si>
    <t>VW 31.330 6X4</t>
  </si>
  <si>
    <t>NEOVIA CONST. (NEO)</t>
  </si>
  <si>
    <t>BOBCAT E55Z</t>
  </si>
  <si>
    <t>DYNAPAC CA25D</t>
  </si>
  <si>
    <t>DYNAPAC CA65D</t>
  </si>
  <si>
    <t>KOMATSU D61EX-23</t>
  </si>
  <si>
    <t>MACARICO</t>
  </si>
  <si>
    <t>P.FIXO MSVIA - MS (OFC+TQ.10000 LTS)</t>
  </si>
  <si>
    <t>P.FIXO MSVIA - MS (TQ.15000 LTS)</t>
  </si>
  <si>
    <t>BOBCAT S750</t>
  </si>
  <si>
    <t>MB AXOR 2544</t>
  </si>
  <si>
    <t>MB AXOR 2644S 6X4</t>
  </si>
  <si>
    <t>MARCOP/VOLARE V8L</t>
  </si>
  <si>
    <t>CAT 316GC</t>
  </si>
  <si>
    <t>MB ACCELO 815</t>
  </si>
  <si>
    <t>CA 25</t>
  </si>
  <si>
    <t>DYNAPAC CA 30</t>
  </si>
  <si>
    <t>CAT CW34</t>
  </si>
  <si>
    <t>CP 2700</t>
  </si>
  <si>
    <t>CAT CB7</t>
  </si>
  <si>
    <t>HAMM HD90</t>
  </si>
  <si>
    <t>BOBCAT S770</t>
  </si>
  <si>
    <t>ATLAS XAS 127</t>
  </si>
  <si>
    <t>XAVS 147 - 280 PCM</t>
  </si>
  <si>
    <t>BOBCAT S570</t>
  </si>
  <si>
    <t>BOBCAT S650</t>
  </si>
  <si>
    <t>MB ACCELO 1016 CE</t>
  </si>
  <si>
    <t>KOMATSU PC 210</t>
  </si>
  <si>
    <t>CAT 416D</t>
  </si>
  <si>
    <t>IVECO TECTOR 170E22</t>
  </si>
  <si>
    <t>IVECO TECTOR 9-190</t>
  </si>
  <si>
    <t>HYUNDAI R200 9</t>
  </si>
  <si>
    <t>XCMG XE160BR</t>
  </si>
  <si>
    <t>VW 31330</t>
  </si>
  <si>
    <t>VW 25.320</t>
  </si>
  <si>
    <t>MB 2536</t>
  </si>
  <si>
    <t>VW DELIVERY 11.180</t>
  </si>
  <si>
    <t>MARCOPOLO VOLARE V9L</t>
  </si>
  <si>
    <t>MB ACCELO 1117</t>
  </si>
  <si>
    <t>MASSEY 6713</t>
  </si>
  <si>
    <t>WIRTGEN- W200</t>
  </si>
  <si>
    <t>FORD CARGO 1519 B</t>
  </si>
  <si>
    <t>MB 2423</t>
  </si>
  <si>
    <t>CAT 416E</t>
  </si>
  <si>
    <t>MARCOP/VOLARE W9 ON</t>
  </si>
  <si>
    <t>FABIANE MARQUES - 54.321.561/0001-11</t>
  </si>
  <si>
    <t>VOLVO VM 270</t>
  </si>
  <si>
    <t>RAM HC 110 G</t>
  </si>
  <si>
    <t>CASE 580 N</t>
  </si>
  <si>
    <t>TRANS MARGATTO - 47.659.861/0001-40</t>
  </si>
  <si>
    <t>19.320 CLT</t>
  </si>
  <si>
    <t>VW - 26.390 CTC</t>
  </si>
  <si>
    <t>VW 6.170</t>
  </si>
  <si>
    <t>MARCOPOLO/MB</t>
  </si>
  <si>
    <t>VW 27.260</t>
  </si>
  <si>
    <t>SCANIA R450/A6X2</t>
  </si>
  <si>
    <t>WIRTGEN W150</t>
  </si>
  <si>
    <t>NEW HOLLAND D140</t>
  </si>
  <si>
    <t>SUNWARD SWL 3220</t>
  </si>
  <si>
    <t>VOLVO VM 220</t>
  </si>
  <si>
    <t>JONH DEERE 750J</t>
  </si>
  <si>
    <t>JOHN DEERE 524K</t>
  </si>
  <si>
    <t>Cód.2</t>
  </si>
  <si>
    <t>Cód.3</t>
  </si>
  <si>
    <t>LOCADORA</t>
  </si>
  <si>
    <t>CONTATO</t>
  </si>
  <si>
    <t xml:space="preserve"> LOCAÇÃO MÊS</t>
  </si>
  <si>
    <t>SETOR</t>
  </si>
  <si>
    <t>RESPONSÁVEL</t>
  </si>
  <si>
    <t>CURITIBA RENT A CAR</t>
  </si>
  <si>
    <t>41 9105-1212</t>
  </si>
  <si>
    <t>VW - POLO 1.0 COMPLETO</t>
  </si>
  <si>
    <t>PATRICIA CARVALHO DA CRUZ</t>
  </si>
  <si>
    <t>TOP LINE</t>
  </si>
  <si>
    <t>41 3039-0699</t>
  </si>
  <si>
    <t xml:space="preserve">TOYOTA HILLUX CDSR </t>
  </si>
  <si>
    <t>FRANCISCO JOSÉ CANELA HENRRIQUES</t>
  </si>
  <si>
    <t>GM - MONTANA</t>
  </si>
  <si>
    <t>ENC-TOPOGRAFIA</t>
  </si>
  <si>
    <t>TOPOG - JOSÉ VINICIOS DA SILVA SANTOS</t>
  </si>
  <si>
    <t>TOPOG - ROGERIO BERNARDES CARVALHO</t>
  </si>
  <si>
    <t>VW - POLO</t>
  </si>
  <si>
    <t>JOSÉ VINICIOS DA SILVA SANTOS</t>
  </si>
  <si>
    <t>TDA1C27</t>
  </si>
  <si>
    <t>HB 20 MANUAL</t>
  </si>
  <si>
    <t>ENGENHARIA</t>
  </si>
  <si>
    <t>JOSÉ PAULO DOS SANTOS</t>
  </si>
  <si>
    <t>MOVIDA CASCAVÉL-PR</t>
  </si>
  <si>
    <t>PROVISÓRIO</t>
  </si>
  <si>
    <t>GM - ONIX</t>
  </si>
  <si>
    <t>BARBARA KARINA KROBAUER (VANUNO)</t>
  </si>
  <si>
    <t>43 9105-1212</t>
  </si>
  <si>
    <t>VW - POLO TRACK MS</t>
  </si>
  <si>
    <t>IMP-DRENAGEM</t>
  </si>
  <si>
    <t>VW - T CROSS 200 TSI - COMFORTLINE</t>
  </si>
  <si>
    <t>IMPLANTAÇÃO</t>
  </si>
  <si>
    <t>41 3078-8682</t>
  </si>
  <si>
    <t>MONTANA - AUTOMATICA</t>
  </si>
  <si>
    <t>MONTANA - MANUAL</t>
  </si>
  <si>
    <t>IMP-TERRAPLANAGEM</t>
  </si>
  <si>
    <t>42 3039-0699</t>
  </si>
  <si>
    <t>UBV 1G07</t>
  </si>
  <si>
    <t>VW- SAVEIRO 1.6 ROBUST</t>
  </si>
  <si>
    <t>MAURO FERREIRA GATURRA</t>
  </si>
  <si>
    <t>VW - SAVEIRO</t>
  </si>
  <si>
    <t>ALEXANDRE DAMASCENO</t>
  </si>
  <si>
    <t>GM - MONTANA 1.2 CD</t>
  </si>
  <si>
    <t>VW - SAVEIRO 1.6 ROBUST</t>
  </si>
  <si>
    <t>ADELIRIO GILIOLI</t>
  </si>
  <si>
    <t xml:space="preserve">MANUTENÇÃO </t>
  </si>
  <si>
    <t xml:space="preserve">NELDISSON </t>
  </si>
  <si>
    <t>UBY2G52</t>
  </si>
  <si>
    <t>ONIX MANUAL</t>
  </si>
  <si>
    <t>GILMAR DE JESUS</t>
  </si>
  <si>
    <t>VW - POLO 1.0 MANUAL</t>
  </si>
  <si>
    <t>GM - MONTANA 1.2 TURBO</t>
  </si>
  <si>
    <t>PEDRO AURELIO MARTINS LEITE</t>
  </si>
  <si>
    <t>URANDI DA SILVA RAMOS MENDES</t>
  </si>
  <si>
    <t>AIMORE IRAJÁ ALVES</t>
  </si>
  <si>
    <t>FIAT ARGO</t>
  </si>
  <si>
    <t>JOSÉ IRANILDO OLIVEIRA CAVALCANTE</t>
  </si>
  <si>
    <t>LOCALIZA NAVIRAÍ-MS</t>
  </si>
  <si>
    <t>HYUNDAI HB20</t>
  </si>
  <si>
    <t>RICHARD BRUNO</t>
  </si>
  <si>
    <t>TBX 8J15</t>
  </si>
  <si>
    <t xml:space="preserve">ANDESON PEREIRA </t>
  </si>
  <si>
    <t>42 3078-8682</t>
  </si>
  <si>
    <t>UBM 3G06</t>
  </si>
  <si>
    <t>DIOGENES ALEX CORDEIRO FIGUEIREDO</t>
  </si>
  <si>
    <t>UBN7I77</t>
  </si>
  <si>
    <t>MONTANA MANUAL</t>
  </si>
  <si>
    <t>DANIEL SPIAS BOENO PINTO</t>
  </si>
  <si>
    <t xml:space="preserve">VW - T CROSS 200 TSI - </t>
  </si>
  <si>
    <t>RESTAURAÇÃO</t>
  </si>
  <si>
    <t>REST-DRENO</t>
  </si>
  <si>
    <t>LOCALIZA DOURADOS-MS</t>
  </si>
  <si>
    <t>REST-PAV01 - RONALDO</t>
  </si>
  <si>
    <t>VW - POLO AUTOMATICO</t>
  </si>
  <si>
    <t>REST-PAV02 - VANDERLEY</t>
  </si>
  <si>
    <t>REST-RECICLAGEM</t>
  </si>
  <si>
    <t>LEANDRO MARTINS</t>
  </si>
  <si>
    <t>UNIDAS</t>
  </si>
  <si>
    <t>TZQ1H05</t>
  </si>
  <si>
    <t>FIAT ARGO MANUAL</t>
  </si>
  <si>
    <t>TIAGO GOMES DE OLIVEIRA SILVA -TST</t>
  </si>
  <si>
    <t>EMERSON DA SILVA DE ALMEIDA - TST</t>
  </si>
  <si>
    <t>MARCILIO MARTINS - TST</t>
  </si>
  <si>
    <t xml:space="preserve"> MONTANA -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</si>
</sst>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R$&quot;\ #,##0.00;[Red]\-&quot;R$&quot;\ #,##0.00"/>
    <numFmt numFmtId="44" formatCode="_-&quot;R$&quot;\ * #,##0.00_-;\-&quot;R$&quot;\ * #,##0.00_-;_-&quot;R$&quot;\ * &quot;-&quot;??_-;_-@_-"/>
    <numFmt numFmtId="43" formatCode="_-* #,##0.00_-;\-* #,##0.00_-;_-* &quot;-&quot;??_-;_-@_-"/>
    <numFmt numFmtId="165" formatCode="[$-416]mmm/yy"/>
    <numFmt numFmtId="166" formatCode="_-&quot;R$&quot;\ * #,##0.00_-;\-&quot;R$&quot;\ * #,##0.00_-;_-&quot;R$&quot;\ * &quot;-&quot;??_-;_-@"/>
    <numFmt numFmtId="167" formatCode="_-* #,##0_-;\-* #,##0_-;_-* &quot;-&quot;??_-;_-@_-"/>
  </numFmts>
  <fonts count="24" x14ac:knownFonts="1">
    <font>
      <sz val="11"/>
      <color theme="1"/>
      <name val="Aptos Narrow"/>
      <family val="2"/>
      <scheme val="minor"/>
    </font>
    <font>
      <sz val="11"/>
      <color theme="1"/>
      <name val="Aptos Narrow"/>
      <family val="2"/>
      <scheme val="minor"/>
    </font>
    <font>
      <sz val="10"/>
      <name val="Calibri"/>
    </font>
    <font>
      <b/>
      <sz val="14"/>
      <color rgb="FF002060"/>
      <name val="Open Sans"/>
      <family val="2"/>
    </font>
    <font>
      <b/>
      <sz val="10"/>
      <color rgb="FF002060"/>
      <name val="Open Sans"/>
      <family val="2"/>
    </font>
    <font>
      <b/>
      <sz val="10"/>
      <name val="Open Sans"/>
      <family val="2"/>
    </font>
    <font>
      <b/>
      <sz val="12"/>
      <color rgb="FF002060"/>
      <name val="Open Sans"/>
      <family val="2"/>
    </font>
    <font>
      <b/>
      <sz val="10"/>
      <color rgb="FFFF0000"/>
      <name val="Open Sans"/>
      <family val="2"/>
    </font>
    <font>
      <b/>
      <sz val="10"/>
      <color theme="3"/>
      <name val="Open Sans"/>
      <family val="2"/>
    </font>
    <font>
      <b/>
      <sz val="10"/>
      <color theme="1"/>
      <name val="Open Sans"/>
      <family val="2"/>
    </font>
    <font>
      <sz val="10"/>
      <color rgb="FF15428B"/>
      <name val="Open Sans"/>
      <family val="2"/>
    </font>
    <font>
      <sz val="10"/>
      <name val="Arial"/>
      <family val="2"/>
    </font>
    <font>
      <sz val="10"/>
      <name val="Calibri"/>
      <family val="2"/>
    </font>
    <font>
      <b/>
      <sz val="10"/>
      <color rgb="FF15428B"/>
      <name val="Arial"/>
      <family val="2"/>
    </font>
    <font>
      <b/>
      <sz val="10"/>
      <name val="Arial"/>
      <family val="2"/>
    </font>
    <font>
      <sz val="10"/>
      <color rgb="FF15428B"/>
      <name val="Arial"/>
      <family val="2"/>
    </font>
    <font>
      <b/>
      <sz val="10"/>
      <color rgb="FFFF0000"/>
      <name val="Arial"/>
      <family val="2"/>
    </font>
    <font>
      <sz val="10"/>
      <color rgb="FFFF0000"/>
      <name val="Arial"/>
      <family val="2"/>
    </font>
    <font>
      <b/>
      <sz val="10"/>
      <color rgb="FF15428B"/>
      <name val="Open Sans"/>
      <family val="2"/>
    </font>
    <font>
      <b/>
      <sz val="10"/>
      <name val="Calibri"/>
      <family val="2"/>
    </font>
    <font>
      <sz val="10"/>
      <color rgb="FFFF0000"/>
      <name val="Open Sans"/>
      <family val="2"/>
    </font>
    <font>
      <sz val="10"/>
      <color rgb="FFFF0000"/>
      <name val="Calibri"/>
      <family val="2"/>
    </font>
    <font>
      <sz val="10"/>
      <name val="Constantia"/>
      <family val="1"/>
    </font>
    <font>
      <sz val="10"/>
      <color rgb="FF000000"/>
      <name val="Calibri"/>
      <family val="2"/>
    </font>
  </fonts>
  <fills count="7">
    <fill>
      <patternFill patternType="none"/>
    </fill>
    <fill>
      <patternFill patternType="gray125"/>
    </fill>
    <fill>
      <patternFill patternType="solid">
        <fgColor rgb="FFDCE5F1"/>
        <bgColor rgb="FFFF0000"/>
      </patternFill>
    </fill>
    <fill>
      <patternFill patternType="solid">
        <fgColor theme="8" tint="0.79998168889431442"/>
        <bgColor rgb="FFFF0000"/>
      </patternFill>
    </fill>
    <fill>
      <patternFill patternType="solid">
        <fgColor rgb="FF92D050"/>
        <bgColor rgb="FFFF0000"/>
      </patternFill>
    </fill>
    <fill>
      <patternFill patternType="solid">
        <fgColor rgb="FF00B050"/>
        <bgColor rgb="FFFF0000"/>
      </patternFill>
    </fill>
    <fill>
      <patternFill patternType="solid">
        <fgColor rgb="FFFFFF00"/>
        <bgColor rgb="FFFF0000"/>
      </patternFill>
    </fill>
  </fills>
  <borders count="28">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medium">
        <color indexed="64"/>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thin">
        <color indexed="64"/>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style="medium">
        <color indexed="64"/>
      </left>
      <right style="medium">
        <color indexed="64"/>
      </right>
      <top style="thin">
        <color rgb="FF000000"/>
      </top>
      <bottom style="medium">
        <color indexed="64"/>
      </bottom>
      <diagonal/>
    </border>
    <border>
      <left style="thin">
        <color indexed="64"/>
      </left>
      <right/>
      <top style="medium">
        <color indexed="64"/>
      </top>
      <bottom style="medium">
        <color indexed="64"/>
      </bottom>
      <diagonal/>
    </border>
    <border>
      <left style="medium">
        <color indexed="64"/>
      </left>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bottom style="thin">
        <color rgb="FF000000"/>
      </bottom>
      <diagonal/>
    </border>
    <border>
      <left style="thin">
        <color indexed="64"/>
      </left>
      <right/>
      <top style="thin">
        <color indexed="64"/>
      </top>
      <bottom style="thin">
        <color indexed="64"/>
      </bottom>
      <diagonal/>
    </border>
    <border>
      <left style="medium">
        <color indexed="64"/>
      </left>
      <right style="thin">
        <color rgb="FF000000"/>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0" fontId="2" fillId="0" borderId="0">
      <alignment vertical="center"/>
    </xf>
    <xf numFmtId="43" fontId="12" fillId="0" borderId="0" applyFont="0" applyFill="0" applyBorder="0" applyAlignment="0" applyProtection="0"/>
  </cellStyleXfs>
  <cellXfs count="74">
    <xf numFmtId="0" fontId="0" fillId="0" borderId="0" xfId="0"/>
    <xf numFmtId="0" fontId="0" fillId="0" borderId="0" xfId="0" applyAlignment="1">
      <alignment horizontal="center"/>
    </xf>
    <xf numFmtId="4" fontId="0" fillId="0" borderId="0" xfId="0" applyNumberFormat="1" applyAlignment="1">
      <alignment horizontal="center"/>
    </xf>
    <xf numFmtId="14" fontId="0" fillId="0" borderId="0" xfId="0" applyNumberFormat="1" applyAlignment="1">
      <alignment horizontal="center"/>
    </xf>
    <xf numFmtId="3" fontId="0" fillId="0" borderId="0" xfId="0" applyNumberFormat="1" applyAlignment="1">
      <alignment horizontal="center"/>
    </xf>
    <xf numFmtId="8" fontId="0" fillId="0" borderId="0" xfId="0" applyNumberFormat="1" applyAlignment="1">
      <alignment horizontal="center"/>
    </xf>
    <xf numFmtId="16" fontId="0" fillId="0" borderId="0" xfId="0" applyNumberFormat="1" applyAlignment="1">
      <alignment horizontal="center"/>
    </xf>
    <xf numFmtId="17" fontId="0" fillId="0" borderId="0" xfId="0" applyNumberFormat="1" applyAlignment="1">
      <alignment horizontal="center"/>
    </xf>
    <xf numFmtId="44" fontId="0" fillId="0" borderId="0" xfId="0" applyNumberFormat="1"/>
    <xf numFmtId="44" fontId="0" fillId="0" borderId="0" xfId="1" applyFont="1"/>
    <xf numFmtId="0" fontId="0" fillId="0" borderId="0" xfId="1" applyNumberFormat="1" applyFont="1"/>
    <xf numFmtId="22" fontId="0" fillId="0" borderId="0" xfId="0" applyNumberFormat="1" applyAlignment="1">
      <alignment horizontal="center"/>
    </xf>
    <xf numFmtId="0" fontId="3" fillId="0" borderId="1" xfId="2" applyFont="1" applyBorder="1" applyAlignment="1">
      <alignment horizontal="center" vertical="center" wrapText="1"/>
    </xf>
    <xf numFmtId="0" fontId="4" fillId="2" borderId="2" xfId="2" applyFont="1" applyFill="1" applyBorder="1" applyAlignment="1">
      <alignment horizontal="center" vertical="center"/>
    </xf>
    <xf numFmtId="0" fontId="4" fillId="2" borderId="3" xfId="2" applyFont="1" applyFill="1" applyBorder="1" applyAlignment="1">
      <alignment horizontal="center" vertical="center"/>
    </xf>
    <xf numFmtId="0" fontId="5" fillId="3" borderId="2" xfId="2" applyFont="1" applyFill="1" applyBorder="1" applyAlignment="1">
      <alignment horizontal="center" vertical="center" wrapText="1"/>
    </xf>
    <xf numFmtId="0" fontId="5" fillId="3" borderId="3" xfId="2" applyFont="1" applyFill="1" applyBorder="1" applyAlignment="1">
      <alignment horizontal="center" vertical="center" wrapText="1"/>
    </xf>
    <xf numFmtId="165" fontId="6" fillId="4" borderId="2" xfId="2" applyNumberFormat="1" applyFont="1" applyFill="1" applyBorder="1" applyAlignment="1">
      <alignment horizontal="center" vertical="center" wrapText="1"/>
    </xf>
    <xf numFmtId="165" fontId="6" fillId="4" borderId="4" xfId="2" applyNumberFormat="1" applyFont="1" applyFill="1" applyBorder="1" applyAlignment="1">
      <alignment horizontal="center" vertical="center" wrapText="1"/>
    </xf>
    <xf numFmtId="165" fontId="6" fillId="4" borderId="3" xfId="2" applyNumberFormat="1" applyFont="1" applyFill="1" applyBorder="1" applyAlignment="1">
      <alignment horizontal="center" vertical="center" wrapText="1"/>
    </xf>
    <xf numFmtId="0" fontId="2" fillId="0" borderId="0" xfId="2">
      <alignment vertical="center"/>
    </xf>
    <xf numFmtId="0" fontId="3" fillId="0" borderId="5" xfId="2" applyFont="1" applyBorder="1" applyAlignment="1">
      <alignment horizontal="center" vertical="center" wrapText="1"/>
    </xf>
    <xf numFmtId="0" fontId="5" fillId="3" borderId="6" xfId="2" applyFont="1" applyFill="1" applyBorder="1" applyAlignment="1">
      <alignment horizontal="centerContinuous" vertical="center" wrapText="1"/>
    </xf>
    <xf numFmtId="0" fontId="5" fillId="3" borderId="7" xfId="2" applyFont="1" applyFill="1" applyBorder="1" applyAlignment="1">
      <alignment horizontal="centerContinuous" vertical="center"/>
    </xf>
    <xf numFmtId="0" fontId="4" fillId="5" borderId="8" xfId="2" applyFont="1" applyFill="1" applyBorder="1" applyAlignment="1">
      <alignment horizontal="centerContinuous" vertical="center" wrapText="1"/>
    </xf>
    <xf numFmtId="0" fontId="4" fillId="5" borderId="9" xfId="2" applyFont="1" applyFill="1" applyBorder="1" applyAlignment="1">
      <alignment horizontal="centerContinuous" vertical="center"/>
    </xf>
    <xf numFmtId="0" fontId="7" fillId="6" borderId="6" xfId="2" applyFont="1" applyFill="1" applyBorder="1" applyAlignment="1">
      <alignment horizontal="centerContinuous" vertical="center" wrapText="1"/>
    </xf>
    <xf numFmtId="0" fontId="4" fillId="2" borderId="10" xfId="2" applyFont="1" applyFill="1" applyBorder="1" applyAlignment="1">
      <alignment horizontal="centerContinuous" vertical="center" wrapText="1"/>
    </xf>
    <xf numFmtId="0" fontId="4" fillId="2" borderId="11" xfId="2" applyFont="1" applyFill="1" applyBorder="1" applyAlignment="1">
      <alignment horizontal="centerContinuous" vertical="center"/>
    </xf>
    <xf numFmtId="0" fontId="8" fillId="0" borderId="10"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3" xfId="2" applyFont="1" applyBorder="1" applyAlignment="1">
      <alignment horizontal="center" vertical="center" wrapText="1"/>
    </xf>
    <xf numFmtId="0" fontId="5" fillId="0" borderId="14" xfId="2" applyFont="1" applyBorder="1" applyAlignment="1">
      <alignment horizontal="center" vertical="center" wrapText="1"/>
    </xf>
    <xf numFmtId="0" fontId="5" fillId="0" borderId="15" xfId="2" applyFont="1" applyBorder="1" applyAlignment="1">
      <alignment horizontal="center" vertical="center" wrapText="1"/>
    </xf>
    <xf numFmtId="0" fontId="4" fillId="0" borderId="16" xfId="2" applyFont="1" applyBorder="1" applyAlignment="1">
      <alignment horizontal="center" vertical="center" wrapText="1"/>
    </xf>
    <xf numFmtId="0" fontId="4" fillId="0" borderId="17" xfId="2" applyFont="1" applyBorder="1" applyAlignment="1">
      <alignment horizontal="center" vertical="center" wrapText="1"/>
    </xf>
    <xf numFmtId="0" fontId="7" fillId="0" borderId="14" xfId="2" applyFont="1" applyBorder="1" applyAlignment="1">
      <alignment horizontal="center" vertical="center" wrapText="1"/>
    </xf>
    <xf numFmtId="0" fontId="7" fillId="0" borderId="15" xfId="2" applyFont="1" applyBorder="1" applyAlignment="1">
      <alignment horizontal="center" vertical="center" wrapText="1"/>
    </xf>
    <xf numFmtId="0" fontId="4" fillId="0" borderId="10" xfId="2" applyFont="1" applyBorder="1" applyAlignment="1">
      <alignment horizontal="center" vertical="center" wrapText="1"/>
    </xf>
    <xf numFmtId="0" fontId="4" fillId="0" borderId="18" xfId="2" applyFont="1" applyBorder="1" applyAlignment="1">
      <alignment horizontal="center" vertical="center" wrapText="1"/>
    </xf>
    <xf numFmtId="0" fontId="9" fillId="0" borderId="19" xfId="2" applyFont="1" applyBorder="1" applyAlignment="1">
      <alignment horizontal="left" vertical="center" wrapText="1"/>
    </xf>
    <xf numFmtId="0" fontId="10" fillId="0" borderId="20" xfId="2" applyFont="1" applyBorder="1" applyAlignment="1">
      <alignment horizontal="center" vertical="center" wrapText="1"/>
    </xf>
    <xf numFmtId="166" fontId="11" fillId="0" borderId="21" xfId="2" applyNumberFormat="1" applyFont="1" applyBorder="1" applyAlignment="1">
      <alignment horizontal="left" vertical="center" wrapText="1"/>
    </xf>
    <xf numFmtId="167" fontId="13" fillId="0" borderId="22" xfId="3" applyNumberFormat="1" applyFont="1" applyFill="1" applyBorder="1" applyAlignment="1">
      <alignment horizontal="right" vertical="center" wrapText="1"/>
    </xf>
    <xf numFmtId="166" fontId="11" fillId="0" borderId="23" xfId="2" applyNumberFormat="1" applyFont="1" applyBorder="1" applyAlignment="1">
      <alignment horizontal="left" vertical="center" wrapText="1"/>
    </xf>
    <xf numFmtId="167" fontId="14" fillId="0" borderId="24" xfId="3" applyNumberFormat="1" applyFont="1" applyFill="1" applyBorder="1" applyAlignment="1">
      <alignment horizontal="right" vertical="center" wrapText="1"/>
    </xf>
    <xf numFmtId="166" fontId="15" fillId="0" borderId="25" xfId="2" applyNumberFormat="1" applyFont="1" applyBorder="1" applyAlignment="1">
      <alignment horizontal="left" vertical="center" wrapText="1"/>
    </xf>
    <xf numFmtId="167" fontId="16" fillId="0" borderId="24" xfId="3" applyNumberFormat="1" applyFont="1" applyFill="1" applyBorder="1" applyAlignment="1">
      <alignment horizontal="right" vertical="center" wrapText="1"/>
    </xf>
    <xf numFmtId="166" fontId="17" fillId="0" borderId="23" xfId="2" applyNumberFormat="1" applyFont="1" applyBorder="1" applyAlignment="1">
      <alignment horizontal="left" vertical="center" wrapText="1"/>
    </xf>
    <xf numFmtId="166" fontId="15" fillId="0" borderId="26" xfId="2" applyNumberFormat="1" applyFont="1" applyBorder="1" applyAlignment="1">
      <alignment horizontal="left" vertical="center" wrapText="1"/>
    </xf>
    <xf numFmtId="0" fontId="18" fillId="0" borderId="20" xfId="2" applyFont="1" applyBorder="1" applyAlignment="1">
      <alignment horizontal="center" vertical="center" wrapText="1"/>
    </xf>
    <xf numFmtId="166" fontId="14" fillId="0" borderId="21" xfId="2" applyNumberFormat="1" applyFont="1" applyBorder="1" applyAlignment="1">
      <alignment horizontal="left" vertical="center" wrapText="1"/>
    </xf>
    <xf numFmtId="166" fontId="14" fillId="0" borderId="23" xfId="2" applyNumberFormat="1" applyFont="1" applyBorder="1" applyAlignment="1">
      <alignment horizontal="left" vertical="center" wrapText="1"/>
    </xf>
    <xf numFmtId="166" fontId="16" fillId="0" borderId="23" xfId="2" applyNumberFormat="1" applyFont="1" applyBorder="1" applyAlignment="1">
      <alignment horizontal="left" vertical="center" wrapText="1"/>
    </xf>
    <xf numFmtId="0" fontId="19" fillId="0" borderId="0" xfId="2" applyFont="1">
      <alignment vertical="center"/>
    </xf>
    <xf numFmtId="0" fontId="20" fillId="0" borderId="20" xfId="2" applyFont="1" applyBorder="1" applyAlignment="1">
      <alignment horizontal="center" vertical="center" wrapText="1"/>
    </xf>
    <xf numFmtId="166" fontId="17" fillId="0" borderId="21" xfId="2" applyNumberFormat="1" applyFont="1" applyBorder="1" applyAlignment="1">
      <alignment horizontal="left" vertical="center" wrapText="1"/>
    </xf>
    <xf numFmtId="167" fontId="16" fillId="0" borderId="22" xfId="3" applyNumberFormat="1" applyFont="1" applyFill="1" applyBorder="1" applyAlignment="1">
      <alignment horizontal="right" vertical="center" wrapText="1"/>
    </xf>
    <xf numFmtId="0" fontId="21" fillId="0" borderId="0" xfId="2" applyFont="1">
      <alignment vertical="center"/>
    </xf>
    <xf numFmtId="0" fontId="15" fillId="0" borderId="20" xfId="2" applyFont="1" applyBorder="1" applyAlignment="1">
      <alignment horizontal="center" vertical="center" wrapText="1"/>
    </xf>
    <xf numFmtId="0" fontId="22" fillId="0" borderId="0" xfId="2" applyFont="1">
      <alignment vertical="center"/>
    </xf>
    <xf numFmtId="0" fontId="2" fillId="0" borderId="0" xfId="2" applyAlignment="1">
      <alignment horizontal="center" vertical="center"/>
    </xf>
    <xf numFmtId="166" fontId="23" fillId="0" borderId="0" xfId="2" applyNumberFormat="1" applyFont="1" applyAlignment="1"/>
    <xf numFmtId="167" fontId="14" fillId="0" borderId="14" xfId="3" applyNumberFormat="1" applyFont="1" applyFill="1" applyBorder="1" applyAlignment="1">
      <alignment horizontal="right" vertical="center" wrapText="1"/>
    </xf>
    <xf numFmtId="166" fontId="11" fillId="0" borderId="15" xfId="2" applyNumberFormat="1" applyFont="1" applyBorder="1" applyAlignment="1">
      <alignment horizontal="left" vertical="center" wrapText="1"/>
    </xf>
    <xf numFmtId="167" fontId="13" fillId="0" borderId="27" xfId="3" applyNumberFormat="1" applyFont="1" applyFill="1" applyBorder="1" applyAlignment="1">
      <alignment horizontal="right" vertical="center" wrapText="1"/>
    </xf>
    <xf numFmtId="166" fontId="15" fillId="0" borderId="11" xfId="2" applyNumberFormat="1" applyFont="1" applyBorder="1" applyAlignment="1">
      <alignment horizontal="left" vertical="center" wrapText="1"/>
    </xf>
    <xf numFmtId="167" fontId="16" fillId="0" borderId="27" xfId="3" applyNumberFormat="1" applyFont="1" applyFill="1" applyBorder="1" applyAlignment="1">
      <alignment horizontal="right" vertical="center" wrapText="1"/>
    </xf>
    <xf numFmtId="166" fontId="17" fillId="0" borderId="11" xfId="2" applyNumberFormat="1" applyFont="1" applyBorder="1" applyAlignment="1">
      <alignment horizontal="left" vertical="center" wrapText="1"/>
    </xf>
    <xf numFmtId="167" fontId="13" fillId="0" borderId="10" xfId="3" applyNumberFormat="1" applyFont="1" applyFill="1" applyBorder="1" applyAlignment="1">
      <alignment horizontal="right" vertical="center" wrapText="1"/>
    </xf>
    <xf numFmtId="166" fontId="15" fillId="0" borderId="18" xfId="2" applyNumberFormat="1" applyFont="1" applyBorder="1" applyAlignment="1">
      <alignment horizontal="left" vertical="center" wrapText="1"/>
    </xf>
    <xf numFmtId="44" fontId="2" fillId="0" borderId="0" xfId="2" applyNumberFormat="1">
      <alignment vertical="center"/>
    </xf>
    <xf numFmtId="0" fontId="23" fillId="0" borderId="0" xfId="2" applyFont="1" applyAlignment="1"/>
    <xf numFmtId="44" fontId="23" fillId="0" borderId="0" xfId="2" applyNumberFormat="1" applyFont="1" applyAlignment="1"/>
  </cellXfs>
  <cellStyles count="4">
    <cellStyle name="Moeda" xfId="1" builtinId="4"/>
    <cellStyle name="Normal" xfId="0" builtinId="0"/>
    <cellStyle name="Normal 2" xfId="2" xr:uid="{792BE1F4-AD51-4AD1-AD71-8CD5CC34C7CC}"/>
    <cellStyle name="Vírgula 2" xfId="3" xr:uid="{9DE753C0-F388-4016-8EB7-EB0271EEE8C5}"/>
  </cellStyles>
  <dxfs count="112">
    <dxf>
      <numFmt numFmtId="12" formatCode="&quot;R$&quot;\ #,##0.00;[Red]\-&quot;R$&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rgb="FF15428B"/>
        <name val="Arial"/>
        <family val="2"/>
        <scheme val="none"/>
      </font>
      <numFmt numFmtId="166" formatCode="_-&quot;R$&quot;\ * #,##0.00_-;\-&quot;R$&quot;\ * #,##0.00_-;_-&quot;R$&quot;\ * &quot;-&quot;??_-;_-@"/>
      <fill>
        <patternFill patternType="none">
          <fgColor rgb="FFD8D8D8"/>
          <bgColor auto="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0"/>
        <color rgb="FF15428B"/>
        <name val="Arial"/>
        <family val="2"/>
        <scheme val="none"/>
      </font>
      <numFmt numFmtId="167" formatCode="_-* #,##0_-;\-* #,##0_-;_-* &quot;-&quot;??_-;_-@_-"/>
      <fill>
        <patternFill patternType="none">
          <fgColor rgb="FFF2F2F2"/>
          <bgColor auto="1"/>
        </patternFill>
      </fill>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Arial"/>
        <family val="2"/>
        <scheme val="none"/>
      </font>
      <numFmt numFmtId="166" formatCode="_-&quot;R$&quot;\ * #,##0.00_-;\-&quot;R$&quot;\ * #,##0.00_-;_-&quot;R$&quot;\ * &quot;-&quot;??_-;_-@"/>
      <fill>
        <patternFill patternType="none">
          <fgColor rgb="FFD8D8D8"/>
          <bgColor auto="1"/>
        </patternFill>
      </fill>
      <alignment horizontal="left" vertical="center" textRotation="0" wrapText="1" indent="0" justifyLastLine="0" shrinkToFit="0" readingOrder="0"/>
      <border diagonalUp="0" diagonalDown="0" outline="0">
        <left style="thin">
          <color rgb="FF000000"/>
        </left>
        <right style="medium">
          <color indexed="64"/>
        </right>
        <top style="thin">
          <color rgb="FF000000"/>
        </top>
        <bottom style="thin">
          <color rgb="FF000000"/>
        </bottom>
      </border>
    </dxf>
    <dxf>
      <font>
        <b/>
        <i val="0"/>
        <strike val="0"/>
        <condense val="0"/>
        <extend val="0"/>
        <outline val="0"/>
        <shadow val="0"/>
        <u val="none"/>
        <vertAlign val="baseline"/>
        <sz val="10"/>
        <color rgb="FFFF0000"/>
        <name val="Arial"/>
        <family val="2"/>
        <scheme val="none"/>
      </font>
      <numFmt numFmtId="167" formatCode="_-* #,##0_-;\-* #,##0_-;_-* &quot;-&quot;??_-;_-@_-"/>
      <fill>
        <patternFill patternType="none">
          <fgColor rgb="FFF2F2F2"/>
          <bgColor auto="1"/>
        </patternFill>
      </fill>
      <alignment horizontal="right" vertical="center" textRotation="0" wrapText="1" indent="0" justifyLastLine="0" shrinkToFit="0" readingOrder="0"/>
      <border diagonalUp="0" diagonalDown="0" outline="0">
        <left style="medium">
          <color indexed="64"/>
        </left>
        <right style="thin">
          <color rgb="FF000000"/>
        </right>
        <top style="thin">
          <color rgb="FF000000"/>
        </top>
        <bottom style="thin">
          <color rgb="FF000000"/>
        </bottom>
      </border>
    </dxf>
    <dxf>
      <font>
        <b val="0"/>
        <i val="0"/>
        <strike val="0"/>
        <condense val="0"/>
        <extend val="0"/>
        <outline val="0"/>
        <shadow val="0"/>
        <u val="none"/>
        <vertAlign val="baseline"/>
        <sz val="10"/>
        <color rgb="FF15428B"/>
        <name val="Arial"/>
        <family val="2"/>
        <scheme val="none"/>
      </font>
      <numFmt numFmtId="166" formatCode="_-&quot;R$&quot;\ * #,##0.00_-;\-&quot;R$&quot;\ * #,##0.00_-;_-&quot;R$&quot;\ * &quot;-&quot;??_-;_-@"/>
      <fill>
        <patternFill patternType="none">
          <fgColor rgb="FFD8D8D8"/>
          <bgColor auto="1"/>
        </patternFill>
      </fill>
      <alignment horizontal="left" vertical="center" textRotation="0" wrapText="1" indent="0" justifyLastLine="0" shrinkToFit="0" readingOrder="0"/>
      <border diagonalUp="0" diagonalDown="0" outline="0">
        <left style="thin">
          <color rgb="FF000000"/>
        </left>
        <right style="medium">
          <color indexed="64"/>
        </right>
        <top/>
        <bottom style="thin">
          <color rgb="FF000000"/>
        </bottom>
      </border>
    </dxf>
    <dxf>
      <font>
        <b/>
        <i val="0"/>
        <strike val="0"/>
        <condense val="0"/>
        <extend val="0"/>
        <outline val="0"/>
        <shadow val="0"/>
        <u val="none"/>
        <vertAlign val="baseline"/>
        <sz val="10"/>
        <color auto="1"/>
        <name val="Arial"/>
        <family val="2"/>
        <scheme val="none"/>
      </font>
      <numFmt numFmtId="167" formatCode="_-* #,##0_-;\-* #,##0_-;_-* &quot;-&quot;??_-;_-@_-"/>
      <fill>
        <patternFill patternType="none">
          <fgColor rgb="FFF2F2F2"/>
          <bgColor auto="1"/>
        </patternFill>
      </fill>
      <alignment horizontal="right" vertical="center" textRotation="0" wrapText="1" indent="0" justifyLastLine="0" shrinkToFit="0" readingOrder="0"/>
      <border diagonalUp="0" diagonalDown="0" outline="0">
        <left style="medium">
          <color indexed="64"/>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family val="2"/>
        <scheme val="none"/>
      </font>
      <numFmt numFmtId="166" formatCode="_-&quot;R$&quot;\ * #,##0.00_-;\-&quot;R$&quot;\ * #,##0.00_-;_-&quot;R$&quot;\ * &quot;-&quot;??_-;_-@"/>
      <fill>
        <patternFill patternType="none">
          <fgColor rgb="FFD8D8D8"/>
          <bgColor auto="1"/>
        </patternFill>
      </fill>
      <alignment horizontal="left" vertical="center" textRotation="0" wrapText="1" indent="0" justifyLastLine="0" shrinkToFit="0" readingOrder="0"/>
      <border diagonalUp="0" diagonalDown="0" outline="0">
        <left style="thin">
          <color rgb="FF000000"/>
        </left>
        <right style="medium">
          <color indexed="64"/>
        </right>
        <top style="thin">
          <color rgb="FF000000"/>
        </top>
        <bottom style="thin">
          <color rgb="FF000000"/>
        </bottom>
      </border>
    </dxf>
    <dxf>
      <font>
        <b/>
        <i val="0"/>
        <strike val="0"/>
        <condense val="0"/>
        <extend val="0"/>
        <outline val="0"/>
        <shadow val="0"/>
        <u val="none"/>
        <vertAlign val="baseline"/>
        <sz val="10"/>
        <color rgb="FF15428B"/>
        <name val="Arial"/>
        <family val="2"/>
        <scheme val="none"/>
      </font>
      <numFmt numFmtId="167" formatCode="_-* #,##0_-;\-* #,##0_-;_-* &quot;-&quot;??_-;_-@_-"/>
      <fill>
        <patternFill patternType="none">
          <fgColor rgb="FFF2F2F2"/>
          <bgColor auto="1"/>
        </patternFill>
      </fill>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6" formatCode="_-&quot;R$&quot;\ * #,##0.00_-;\-&quot;R$&quot;\ * #,##0.00_-;_-&quot;R$&quot;\ * &quot;-&quot;??_-;_-@"/>
      <fill>
        <patternFill patternType="none">
          <fgColor rgb="FFF2F2F2"/>
          <bgColor auto="1"/>
        </patternFill>
      </fill>
      <alignment horizontal="left"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0"/>
        <color rgb="FF15428B"/>
        <name val="Open Sans"/>
        <family val="2"/>
        <scheme val="none"/>
      </font>
      <fill>
        <patternFill patternType="none">
          <fgColor rgb="FFF2F2F2"/>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rgb="FF000000"/>
        </top>
        <bottom style="thin">
          <color rgb="FF000000"/>
        </bottom>
      </border>
    </dxf>
    <dxf>
      <font>
        <b/>
        <i val="0"/>
        <strike val="0"/>
        <condense val="0"/>
        <extend val="0"/>
        <outline val="0"/>
        <shadow val="0"/>
        <u val="none"/>
        <vertAlign val="baseline"/>
        <sz val="10"/>
        <color theme="1"/>
        <name val="Open Sans"/>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top style="thin">
          <color rgb="FF000000"/>
        </top>
        <bottom style="thin">
          <color rgb="FF000000"/>
        </bottom>
      </border>
    </dxf>
    <dxf>
      <border outline="0">
        <bottom style="medium">
          <color indexed="64"/>
        </bottom>
      </border>
    </dxf>
    <dxf>
      <border outline="0">
        <right style="medium">
          <color indexed="64"/>
        </right>
      </border>
    </dxf>
    <dxf>
      <fill>
        <patternFill patternType="none">
          <bgColor auto="1"/>
        </patternFill>
      </fill>
    </dxf>
    <dxf>
      <fill>
        <patternFill patternType="none">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dd/mm/yyyy\ hh:mm"/>
      <alignment horizontal="center" vertical="bottom" textRotation="0" wrapText="0" indent="0" justifyLastLine="0" shrinkToFit="0" readingOrder="0"/>
    </dxf>
    <dxf>
      <numFmt numFmtId="27" formatCode="dd/mm/yyyy\ hh:mm"/>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34" formatCode="_-&quot;R$&quot;\ * #,##0.00_-;\-&quot;R$&quot;\ * #,##0.00_-;_-&quot;R$&quot;\ *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2" formatCode="&quot;R$&quot;\ #,##0.00;[Red]\-&quot;R$&quot;\ #,##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4178</xdr:colOff>
      <xdr:row>0</xdr:row>
      <xdr:rowOff>45720</xdr:rowOff>
    </xdr:from>
    <xdr:ext cx="1639966" cy="451143"/>
    <xdr:pic>
      <xdr:nvPicPr>
        <xdr:cNvPr id="2" name="image1.png" descr=" ">
          <a:extLst>
            <a:ext uri="{FF2B5EF4-FFF2-40B4-BE49-F238E27FC236}">
              <a16:creationId xmlns:a16="http://schemas.microsoft.com/office/drawing/2014/main" id="{80C65B08-7E64-4F84-892A-39E9F4B4391D}"/>
            </a:ext>
          </a:extLst>
        </xdr:cNvPr>
        <xdr:cNvPicPr>
          <a:picLocks noChangeAspect="1"/>
        </xdr:cNvPicPr>
      </xdr:nvPicPr>
      <xdr:blipFill>
        <a:blip xmlns:r="http://schemas.openxmlformats.org/officeDocument/2006/relationships" r:embed="rId1"/>
        <a:stretch>
          <a:fillRect/>
        </a:stretch>
      </xdr:blipFill>
      <xdr:spPr>
        <a:xfrm>
          <a:off x="4178" y="45720"/>
          <a:ext cx="1639966" cy="451143"/>
        </a:xfrm>
        <a:prstGeom prst="rect">
          <a:avLst/>
        </a:prstGeom>
        <a:noFill/>
        <a:ln>
          <a:noFill/>
        </a:ln>
        <a:effec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83478-75A0-4EC7-B1D5-6EF998E4CF7C}" name="Tabela1" displayName="Tabela1" ref="A1:Q254" totalsRowCount="1" headerRowDxfId="111" dataDxfId="110">
  <autoFilter ref="A1:Q253" xr:uid="{41583478-75A0-4EC7-B1D5-6EF998E4CF7C}">
    <filterColumn colId="1">
      <filters blank="1">
        <filter val="ATIVO"/>
        <filter val="RESERVADO"/>
      </filters>
    </filterColumn>
  </autoFilter>
  <sortState xmlns:xlrd2="http://schemas.microsoft.com/office/spreadsheetml/2017/richdata2" ref="A2:Q253">
    <sortCondition ref="E1:E253"/>
  </sortState>
  <tableColumns count="17">
    <tableColumn id="1" xr3:uid="{EBA3E86F-4B41-451E-B51B-81D780DD7B44}" name="PREFIXO" dataDxfId="109" totalsRowDxfId="108"/>
    <tableColumn id="2" xr3:uid="{1BD6465C-BBEB-4388-9778-7A9AFD3AD734}" name="SITUAÇÃO" dataDxfId="107" totalsRowDxfId="106"/>
    <tableColumn id="3" xr3:uid="{2C1BCAEF-ED00-4AF1-B651-DC549154E671}" name="STATUS" dataDxfId="105" totalsRowDxfId="104"/>
    <tableColumn id="4" xr3:uid="{B42BA6B4-D52A-4B59-8972-61035A661EF4}" name="EQUIPE" dataDxfId="103" totalsRowDxfId="102"/>
    <tableColumn id="5" xr3:uid="{7F81D676-A926-405F-B1F0-E5525C0AA5AD}" name="CLASSE OPERACIONAL" dataDxfId="101" totalsRowDxfId="100"/>
    <tableColumn id="6" xr3:uid="{4DE005AC-16D1-4081-B68B-90324B27F2D6}" name="MARCA" dataDxfId="99" totalsRowDxfId="98"/>
    <tableColumn id="7" xr3:uid="{A29B18AD-B9CB-46BD-BCF4-7E19AE270725}" name="MOD." dataDxfId="97" totalsRowDxfId="96"/>
    <tableColumn id="8" xr3:uid="{E1E55909-0663-4975-BB38-E143B835EA2C}" name="ANO" dataDxfId="95" totalsRowDxfId="94"/>
    <tableColumn id="9" xr3:uid="{08EC42AA-DE43-4EC2-8EA6-E918B606CDD4}" name="CHASSI/SERIE" dataDxfId="93" totalsRowDxfId="92"/>
    <tableColumn id="10" xr3:uid="{FB2E0C33-BD75-4271-8782-88F5E49B5A28}" name="PLACA" dataDxfId="91" totalsRowDxfId="90"/>
    <tableColumn id="11" xr3:uid="{4D6C9BE0-13E3-4647-867E-86242C072A72}" name="LOCADOR" totalsRowFunction="count" dataDxfId="89" totalsRowDxfId="88"/>
    <tableColumn id="12" xr3:uid="{DA04986C-891B-470D-9CB8-FF9366060D6A}" name="CONTRATO" dataDxfId="87" totalsRowDxfId="86"/>
    <tableColumn id="13" xr3:uid="{904FD435-8381-42BC-85AA-016632129F22}" name="VALOR" totalsRowFunction="sum" dataDxfId="85" totalsRowDxfId="84"/>
    <tableColumn id="14" xr3:uid="{3BD42952-B15E-4446-89CC-1A5C22259C5F}" name="10000502TNB007768" dataDxfId="83" totalsRowDxfId="82"/>
    <tableColumn id="15" xr3:uid="{620FB869-668E-473A-BBAF-2783442A7205}" name="DATA MOB." dataDxfId="81" totalsRowDxfId="80"/>
    <tableColumn id="16" xr3:uid="{09DA559A-2BF0-4573-867B-B59CEEFC1B6C}" name="DATA ENTRADA" dataDxfId="79" totalsRowDxfId="78"/>
    <tableColumn id="17" xr3:uid="{9AB4AD45-D262-48EB-AC5B-F18122F2CD8B}" name="DESMOB." dataDxfId="77" totalsRow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4026B1-BA38-4A08-B259-11005E2D5930}" name="Tabela2" displayName="Tabela2" ref="A1:P3928" totalsRowShown="0" headerRowDxfId="59" dataDxfId="58">
  <autoFilter ref="A1:P3928" xr:uid="{F24026B1-BA38-4A08-B259-11005E2D5930}"/>
  <sortState xmlns:xlrd2="http://schemas.microsoft.com/office/spreadsheetml/2017/richdata2" ref="A2:P3928">
    <sortCondition ref="A1:A3928"/>
  </sortState>
  <tableColumns count="16">
    <tableColumn id="1" xr3:uid="{1F55388F-B52A-473C-B5F4-D3081C5E4280}" name="DATA NF" dataDxfId="75"/>
    <tableColumn id="2" xr3:uid="{A22E7C72-B41D-45F7-A07C-7FE3CB406FB7}" name="N° NF" dataDxfId="74"/>
    <tableColumn id="3" xr3:uid="{89E0C993-5046-46DA-A4ED-E02AD7D1A265}" name="Valor" dataDxfId="73"/>
    <tableColumn id="4" xr3:uid="{8931872A-D7F6-40C1-B96D-A15F43141AD3}" name="CNPJ" dataDxfId="72"/>
    <tableColumn id="5" xr3:uid="{3FFCB894-E92A-4CF6-80B3-9777C331E910}" name="Fornecedor" dataDxfId="71"/>
    <tableColumn id="6" xr3:uid="{70821253-3235-409C-9016-93BAC2786A2E}" name="Aplicação" dataDxfId="70"/>
    <tableColumn id="7" xr3:uid="{93E0479C-2862-439A-BCA3-51EC4E9AB1E0}" name="Classe Manut." dataDxfId="69"/>
    <tableColumn id="8" xr3:uid="{A914E695-C849-47D4-A764-404A11BCB6AC}" name="Vencimento" dataDxfId="68"/>
    <tableColumn id="9" xr3:uid="{5D02E1F6-8D1D-43B7-8684-55866060BD46}" name="Custo (Desconto medição)" dataDxfId="67"/>
    <tableColumn id="10" xr3:uid="{445233E4-6A43-4BD1-A397-A021B0502D14}" name="Grupo Aplicação" dataDxfId="66"/>
    <tableColumn id="11" xr3:uid="{E437663C-2E14-4653-86AA-DD2FF8A3088B}" name="Equipe" dataDxfId="65"/>
    <tableColumn id="12" xr3:uid="{E65F5960-5D9B-429C-B7D0-95232E5621EC}" name="Obs." dataDxfId="64"/>
    <tableColumn id="13" xr3:uid="{2A1E4F59-EBB4-4D2F-9DA0-93E2E78623A4}" name="Adm" dataDxfId="63"/>
    <tableColumn id="14" xr3:uid="{D498B08B-A80F-468C-A155-C515BA747FF6}" name="Locadora" dataDxfId="62"/>
    <tableColumn id="15" xr3:uid="{7C9740AF-77FE-447F-9BB6-E6FC273D47CB}" name="Grupo Fornecedor" dataDxfId="61"/>
    <tableColumn id="16" xr3:uid="{52B2F33D-8AB3-42DC-B359-58F08E27C8D9}" name="Conf"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F15DD2-A00F-4C8F-8291-7AB1AD36502D}" name="Tabela5" displayName="Tabela5" ref="A1:AO708" totalsRowCount="1">
  <autoFilter ref="A1:AO707" xr:uid="{EDF15DD2-A00F-4C8F-8291-7AB1AD36502D}"/>
  <tableColumns count="41">
    <tableColumn id="1" xr3:uid="{5E322BF0-542F-49AD-8A9E-3587A892EF22}" name="CODIGO TRANSACAO"/>
    <tableColumn id="2" xr3:uid="{66B951EA-E5BF-4EC3-BA79-0A725125CAD1}" name="FORMA DE PAGAMENTO"/>
    <tableColumn id="3" xr3:uid="{04C735BB-1A5C-4534-8FB8-4FB472094651}" name="CODIGO CLIENTE"/>
    <tableColumn id="4" xr3:uid="{37BC39FA-9ACA-40A1-A1A6-359F12E431C2}" name="NOME REDUZIDO"/>
    <tableColumn id="5" xr3:uid="{4F298F41-8732-4D71-B715-166919A75AC1}" name="DATA TRANSACAO"/>
    <tableColumn id="6" xr3:uid="{B42D1A36-6DB6-4BF8-AD46-3D54B74D7530}" name="PLACA"/>
    <tableColumn id="7" xr3:uid="{B8F4B0C6-2E6E-4373-87A5-37C996C84BB2}" name="TIPO FROTA"/>
    <tableColumn id="8" xr3:uid="{FCB18B02-3578-4CDB-B56F-F51229813CC4}" name="MODELO VEICULO"/>
    <tableColumn id="9" xr3:uid="{B050E86C-0D86-4193-A4E1-546A051F2BDD}" name="NUMERO FROTA"/>
    <tableColumn id="10" xr3:uid="{E434FF1B-FF24-49A3-AE69-B98D46CE3311}" name="ANO"/>
    <tableColumn id="11" xr3:uid="{F12AB8C8-8F9F-4558-B9D0-4DF9FD1D5BE9}" name="MATRICULA"/>
    <tableColumn id="12" xr3:uid="{278D088F-2C07-4CED-858A-34ADAC81B401}" name="NOME MOTORISTA"/>
    <tableColumn id="13" xr3:uid="{68264286-6B20-4560-A2D5-3B84E374D63E}" name="SERVICO"/>
    <tableColumn id="14" xr3:uid="{111BB166-E429-4B13-A7D2-B9A961D1B829}" name="TIPO COMBUSTIVEL" totalsRowFunction="count" dataDxfId="54" totalsRowDxfId="57"/>
    <tableColumn id="15" xr3:uid="{6964D8D9-4586-4F35-827D-7CAB0777F88A}" name="LITROS" totalsRowFunction="sum" totalsRowDxfId="55" totalsRowCellStyle="Moeda"/>
    <tableColumn id="16" xr3:uid="{0D2A11F2-FFE8-4D1A-A12E-7A6FA48469BD}" name="VL/LITRO" totalsRowFunction="average"/>
    <tableColumn id="17" xr3:uid="{149476E5-5A24-4717-BAF1-BB8E67BDAE00}" name="HODOMETRO OU HORIMETRO"/>
    <tableColumn id="18" xr3:uid="{04EAD929-0BF9-4A73-BF95-616617195F38}" name="KM RODADOS OU HORAS TRABALHADAS"/>
    <tableColumn id="19" xr3:uid="{32EAB98D-4010-41CF-953D-6833C5B03542}" name="KM/LITRO OU LITROS/HORA"/>
    <tableColumn id="20" xr3:uid="{4DAD44A4-4D8A-4B5B-BE12-56810938BDDF}" name="VALOR EMISSAO" totalsRowFunction="sum" dataDxfId="56" totalsRowCellStyle="Moeda"/>
    <tableColumn id="21" xr3:uid="{87ABA195-0CD3-4B9A-8919-5E456D12A873}" name="CODIGO ESTABELECIMENTO"/>
    <tableColumn id="22" xr3:uid="{115E342A-FA6F-4177-B27B-588E28BBC33E}" name="NOME ESTABELECIMENTO"/>
    <tableColumn id="23" xr3:uid="{F2C85DCD-750E-4367-B42C-2C183DDDEC13}" name="TIPO ESTABELECIMENTO"/>
    <tableColumn id="24" xr3:uid="{637DA31C-DF06-413F-90A3-302B29CA38B5}" name="ENDERECO"/>
    <tableColumn id="25" xr3:uid="{EDC1FC79-0BA7-4FAE-8CFD-7E3CDA917763}" name="BAIRRO"/>
    <tableColumn id="26" xr3:uid="{82C98BD3-F688-41DB-9C8A-F060ED60F2F8}" name="CIDADE"/>
    <tableColumn id="27" xr3:uid="{29563D35-3CC5-4475-9D3E-5380AB8597F8}" name="UF"/>
    <tableColumn id="28" xr3:uid="{B4879835-9BF5-477D-8B6B-A0F90402406E}" name="INFORMACAO ADIDIONAL 1"/>
    <tableColumn id="29" xr3:uid="{4411FA6A-6220-4C13-ADA8-ACF506BBA355}" name="INFORMACAO ADIDIONAL 2"/>
    <tableColumn id="30" xr3:uid="{5F5D17B2-193A-4662-BF22-C3D6F8D42638}" name="INFORMACAO ADIDIONAL 3"/>
    <tableColumn id="31" xr3:uid="{10704993-AD58-4C72-A38C-DAAB193883FF}" name="INFORMACAO ADIDIONAL 4"/>
    <tableColumn id="32" xr3:uid="{68BF0298-6FB1-4275-A522-7712EFA0AF14}" name="INFORMACAO ADIDIONAL 5"/>
    <tableColumn id="33" xr3:uid="{F06EB105-E049-4C14-85FF-0B880D63A38E}" name="FORMA TRANSACAO"/>
    <tableColumn id="34" xr3:uid="{7E4D017D-6AF4-4BB4-975C-E595F0C9337E}" name="CODIGO LIBERACAO RESTRICAO"/>
    <tableColumn id="35" xr3:uid="{1C9800B4-3DE2-4609-BC41-B85C62B17436}" name="SERIE POS"/>
    <tableColumn id="36" xr3:uid="{A7CEF986-59B2-40E5-805E-462EFCB281F7}" name="NUMERO CARTAO"/>
    <tableColumn id="37" xr3:uid="{46FA7384-6230-4331-8355-89DA3D7F2377}" name="FAMILIA VEICULO"/>
    <tableColumn id="38" xr3:uid="{BF5D9D8D-B83F-44B4-8E7E-91B49910913C}" name="GRUPO RESTRICAO"/>
    <tableColumn id="39" xr3:uid="{1D28C7F7-24A2-46B6-AC3A-8075E840CFCF}" name="CODIGO EMISSORA"/>
    <tableColumn id="40" xr3:uid="{3A4D9A88-BA0B-4E9F-9E38-04AC8B6DD3FC}" name="RESPONSAVEL"/>
    <tableColumn id="41" xr3:uid="{E22B669E-E907-4B9D-BD49-329AC52E7386}" name="TIPO ENTRADA HODOMETR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A85776-0C97-42F2-83C2-34EC777829FB}" name="Tabela6" displayName="Tabela6" ref="A1:J52" totalsRowCount="1" headerRowDxfId="33" dataDxfId="31" totalsRowDxfId="32">
  <autoFilter ref="A1:J51" xr:uid="{0CA85776-0C97-42F2-83C2-34EC777829FB}"/>
  <tableColumns count="10">
    <tableColumn id="1" xr3:uid="{3EB2CCEB-281D-4683-BAE3-08E0910A1C39}" name="Fornecedor" totalsRowFunction="count" dataDxfId="53" totalsRowDxfId="52"/>
    <tableColumn id="2" xr3:uid="{A825B1F7-9224-4C7C-87C7-B929094A73B1}" name="Data / Hora" dataDxfId="51" totalsRowDxfId="50"/>
    <tableColumn id="3" xr3:uid="{7C1454AF-2CA9-4AEB-8229-6BF63A2F723E}" name="Documento" dataDxfId="49" totalsRowDxfId="48"/>
    <tableColumn id="4" xr3:uid="{41DA73D5-39D6-4D81-87CE-7D858781CFA2}" name="Série" dataDxfId="47" totalsRowDxfId="46"/>
    <tableColumn id="5" xr3:uid="{D01C5F3C-6D67-474A-8A20-3388D50EB343}" name="Vl Total NF" totalsRowFunction="sum" dataDxfId="45" totalsRowDxfId="44"/>
    <tableColumn id="6" xr3:uid="{4629F593-C967-4730-B78A-ED31CE50F4FC}" name="Pto" dataDxfId="43" totalsRowDxfId="42"/>
    <tableColumn id="7" xr3:uid="{F56A98C6-F08C-4272-8D43-CB7BAD3994AB}" name="Comb.@Lubri." dataDxfId="41" totalsRowDxfId="40"/>
    <tableColumn id="8" xr3:uid="{C22809C9-D693-43C7-AAA1-B633139E8F14}" name="Tanq." dataDxfId="39" totalsRowDxfId="38"/>
    <tableColumn id="9" xr3:uid="{368C9BF0-49E5-4981-ABD6-ED0F03E10A7A}" name="Quantidade" totalsRowFunction="sum" dataDxfId="37" totalsRowDxfId="36"/>
    <tableColumn id="10" xr3:uid="{A0852CEB-7F80-482C-9730-95FE68C12D87}" name="Valor Unit." totalsRowFunction="average" dataDxfId="35" totalsRowDxfId="3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4305D2-BCA2-4D2C-BCAE-A45E4E3B83F2}" name="Tabela18" displayName="Tabela18" ref="A3:K159" totalsRowShown="0" headerRowDxfId="30" dataDxfId="29" headerRowBorderDxfId="27" tableBorderDxfId="28">
  <autoFilter ref="A3:K159" xr:uid="{1F0DB50B-46D1-4107-86E8-CB3256BDA87D}"/>
  <sortState xmlns:xlrd2="http://schemas.microsoft.com/office/spreadsheetml/2017/richdata2" ref="A4:K159">
    <sortCondition ref="A3:A159"/>
  </sortState>
  <tableColumns count="11">
    <tableColumn id="1" xr3:uid="{18CA048B-630A-48A1-99D8-B017BBCF2173}" name="Descrição do item " dataDxfId="26"/>
    <tableColumn id="2" xr3:uid="{E243B5EC-4EE0-45E7-8336-A6B69757AD72}" name="Unidade" dataDxfId="25"/>
    <tableColumn id="3" xr3:uid="{F5E490ED-22EF-4E81-AD33-0A14FA628778}" name="Valor  Unit." dataDxfId="24"/>
    <tableColumn id="4" xr3:uid="{EEAB0EC3-0121-4E8A-B7DC-2EA068F895E5}" name="Qtde._x000a_de Saldo" dataDxfId="23" dataCellStyle="Vírgula"/>
    <tableColumn id="5" xr3:uid="{77D4B2AA-2718-4EED-BC39-5C764E719490}" name="Valor Total_x000a_de Saldo" dataDxfId="22"/>
    <tableColumn id="6" xr3:uid="{1B980393-9F4F-41FE-A8E5-0D85BF6D3A60}" name="Qtde._x000a_Entrada" dataDxfId="21" dataCellStyle="Vírgula"/>
    <tableColumn id="7" xr3:uid="{D97693F4-75F4-49EE-907D-00938FED86AE}" name="Valor Entrada" dataDxfId="20"/>
    <tableColumn id="8" xr3:uid="{ECEF9835-1655-4FFF-A2DB-D5BC30AFCEBB}" name="Qtde._x000a_Aplicada" dataDxfId="19" dataCellStyle="Vírgula"/>
    <tableColumn id="9" xr3:uid="{12E93017-14EC-4F40-B16C-8C31CEE66FB8}" name="Valor Saída" dataDxfId="18"/>
    <tableColumn id="10" xr3:uid="{67E5C7D8-2351-4CDE-BA78-7F6617AB238C}" name="Qtde._x000a_Final" dataDxfId="17" dataCellStyle="Vírgula"/>
    <tableColumn id="11" xr3:uid="{67451762-CDAB-4191-9F09-AEE1DCBF1057}" name="Valor Final" dataDxfId="1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2A0C6D-8733-488A-8BAC-03A5B59015ED}" name="Tabela8" displayName="Tabela8" ref="A1:O1547" totalsRowCount="1">
  <autoFilter ref="A1:O1546" xr:uid="{412A0C6D-8733-488A-8BAC-03A5B59015ED}"/>
  <tableColumns count="15">
    <tableColumn id="1" xr3:uid="{B6149387-E330-4AE0-BA5D-7589C2ABF4D0}" name="Espécie"/>
    <tableColumn id="2" xr3:uid="{941E976B-137D-466A-8739-425E4E73295C}" name="Cód."/>
    <tableColumn id="3" xr3:uid="{1F502B49-E6B3-4518-BB50-C0CA9349463A}" name="Empresa/Terceiro"/>
    <tableColumn id="4" xr3:uid="{AB3F0D20-BE50-4713-B72F-196E5BF1D2C5}" name="Cód.2" totalsRowFunction="count"/>
    <tableColumn id="5" xr3:uid="{70EB96C6-F884-42A6-9BC1-0504F5E7BEA7}" name="Equipamento"/>
    <tableColumn id="6" xr3:uid="{5B4B9491-1D90-4D91-B8CA-ADE73F10A994}" name="Data Hora"/>
    <tableColumn id="7" xr3:uid="{AFA3E104-F1DA-4018-80B4-0E323291DCC7}" name="Cód.3"/>
    <tableColumn id="8" xr3:uid="{D5391779-B6F8-43EC-A89C-31F0A6FDDB01}" name="Ponto"/>
    <tableColumn id="9" xr3:uid="{B115C0B0-210A-4CA1-9C0F-9232F25A4A02}" name="Material"/>
    <tableColumn id="10" xr3:uid="{7404FD50-5B21-4A53-A508-99F66D35801F}" name="Quantidade" totalsRowFunction="sum"/>
    <tableColumn id="11" xr3:uid="{5AEB8A6D-5AA7-46CF-98F3-E36190301A7A}" name="Valor"/>
    <tableColumn id="12" xr3:uid="{19B72745-9DD6-4736-B007-7DA612882DA6}" name="Medição@Anterior"/>
    <tableColumn id="13" xr3:uid="{6EE5C013-5B07-4486-B4B2-F8A93027F606}" name="Medição@Atual"/>
    <tableColumn id="14" xr3:uid="{2EF4A4C6-B61E-4B00-B6FF-7F63074C17ED}" name="Uso"/>
    <tableColumn id="15" xr3:uid="{5D7F0833-3BCB-450E-B300-2D2645B337B3}" name="Consum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80D0735-A7AF-481A-BCCC-55E75AC73469}" name="Tabela9" displayName="Tabela9" ref="A1:G51" totalsRowCount="1" headerRowDxfId="8" dataDxfId="7">
  <autoFilter ref="A1:G50" xr:uid="{B80D0735-A7AF-481A-BCCC-55E75AC73469}"/>
  <tableColumns count="7">
    <tableColumn id="1" xr3:uid="{3BBEF34A-2116-4482-908B-A24B2C1DE2D8}" name="LOCADORA" totalsRowFunction="count" dataDxfId="15" totalsRowDxfId="6"/>
    <tableColumn id="2" xr3:uid="{6851AAE1-99DF-459B-B0C4-E44B4B5F910C}" name="CONTATO" dataDxfId="14" totalsRowDxfId="5"/>
    <tableColumn id="3" xr3:uid="{FFD09CE3-5503-48F3-A7E6-020EF8657515}" name=" LOCAÇÃO MÊS" totalsRowFunction="sum" dataDxfId="13" totalsRowDxfId="0"/>
    <tableColumn id="4" xr3:uid="{D7E0D867-CCA3-4E9E-9587-8FB71F57C649}" name="PLACA" dataDxfId="12" totalsRowDxfId="4"/>
    <tableColumn id="5" xr3:uid="{C475F090-4FD6-4270-94A8-31D0AD8ED819}" name="MODELO" dataDxfId="11" totalsRowDxfId="3"/>
    <tableColumn id="6" xr3:uid="{178937ED-D12B-42ED-B528-00A7A9BDDCAE}" name="SETOR" dataDxfId="10" totalsRowDxfId="2"/>
    <tableColumn id="7" xr3:uid="{6D3E9611-4D5D-4DBA-BC64-F7F289DBA19D}" name="RESPONSÁVEL" dataDxfId="9" totalsRowDxfId="1"/>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2CEF-4DB8-4BDE-9D63-EE6598DF49D3}">
  <dimension ref="A1:Q254"/>
  <sheetViews>
    <sheetView tabSelected="1" topLeftCell="C71" workbookViewId="0">
      <selection activeCell="M117" sqref="M117"/>
    </sheetView>
  </sheetViews>
  <sheetFormatPr defaultRowHeight="15" x14ac:dyDescent="0.25"/>
  <cols>
    <col min="1" max="1" width="12.7109375" style="1" bestFit="1" customWidth="1"/>
    <col min="2" max="2" width="12.42578125" style="1" bestFit="1" customWidth="1"/>
    <col min="3" max="3" width="15.42578125" style="1" bestFit="1" customWidth="1"/>
    <col min="4" max="4" width="26.140625" style="1" bestFit="1" customWidth="1"/>
    <col min="5" max="5" width="35.7109375" style="1" bestFit="1" customWidth="1"/>
    <col min="6" max="6" width="20.140625" style="1" bestFit="1" customWidth="1"/>
    <col min="7" max="7" width="22.7109375" style="1" bestFit="1" customWidth="1"/>
    <col min="8" max="8" width="7.28515625" style="1" bestFit="1" customWidth="1"/>
    <col min="9" max="9" width="24.140625" style="1" bestFit="1" customWidth="1"/>
    <col min="10" max="10" width="12.7109375" style="1" bestFit="1" customWidth="1"/>
    <col min="11" max="11" width="50.140625" style="1" bestFit="1" customWidth="1"/>
    <col min="12" max="12" width="13.42578125" style="1" bestFit="1" customWidth="1"/>
    <col min="13" max="13" width="11.7109375" style="1" bestFit="1" customWidth="1"/>
    <col min="14" max="14" width="21.140625" style="1" bestFit="1" customWidth="1"/>
    <col min="15" max="15" width="13.140625" style="1" bestFit="1" customWidth="1"/>
    <col min="16" max="16" width="17.140625" style="1" bestFit="1" customWidth="1"/>
    <col min="17" max="17" width="18.5703125" style="1"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1" t="s">
        <v>43</v>
      </c>
      <c r="B2" s="1" t="s">
        <v>18</v>
      </c>
      <c r="C2" s="1" t="s">
        <v>44</v>
      </c>
      <c r="D2" s="1" t="s">
        <v>45</v>
      </c>
      <c r="E2" s="1" t="s">
        <v>46</v>
      </c>
      <c r="F2" s="1" t="s">
        <v>47</v>
      </c>
      <c r="G2" s="1" t="s">
        <v>48</v>
      </c>
      <c r="H2" s="1">
        <v>2022</v>
      </c>
      <c r="I2" s="1" t="s">
        <v>49</v>
      </c>
      <c r="J2" s="1" t="s">
        <v>43</v>
      </c>
      <c r="K2" s="1" t="s">
        <v>50</v>
      </c>
      <c r="L2" s="1" t="s">
        <v>26</v>
      </c>
      <c r="M2" s="2">
        <v>12000</v>
      </c>
      <c r="O2" s="3">
        <v>46043</v>
      </c>
      <c r="P2" s="3">
        <v>46044</v>
      </c>
    </row>
    <row r="3" spans="1:17" hidden="1" x14ac:dyDescent="0.25">
      <c r="A3" s="1" t="s">
        <v>27</v>
      </c>
      <c r="B3" s="1" t="s">
        <v>28</v>
      </c>
      <c r="C3" s="1" t="s">
        <v>19</v>
      </c>
      <c r="D3" s="1" t="s">
        <v>20</v>
      </c>
      <c r="E3" s="1" t="s">
        <v>29</v>
      </c>
      <c r="F3" s="1" t="s">
        <v>27</v>
      </c>
      <c r="G3" s="1" t="s">
        <v>30</v>
      </c>
      <c r="H3" s="1">
        <v>2022</v>
      </c>
      <c r="I3" s="1" t="s">
        <v>24</v>
      </c>
      <c r="J3" s="1" t="s">
        <v>27</v>
      </c>
      <c r="K3" s="1" t="s">
        <v>31</v>
      </c>
      <c r="L3" s="1" t="s">
        <v>26</v>
      </c>
      <c r="M3" s="2">
        <v>2000</v>
      </c>
      <c r="N3" s="1" t="s">
        <v>26</v>
      </c>
      <c r="O3" s="3">
        <v>45862</v>
      </c>
      <c r="P3" s="3">
        <v>45862</v>
      </c>
      <c r="Q3" s="3">
        <v>46045</v>
      </c>
    </row>
    <row r="4" spans="1:17" hidden="1" x14ac:dyDescent="0.25">
      <c r="A4" s="1" t="s">
        <v>32</v>
      </c>
      <c r="B4" s="1" t="s">
        <v>28</v>
      </c>
      <c r="C4" s="1" t="s">
        <v>19</v>
      </c>
      <c r="D4" s="1" t="s">
        <v>20</v>
      </c>
      <c r="E4" s="1" t="s">
        <v>33</v>
      </c>
      <c r="F4" s="1" t="s">
        <v>34</v>
      </c>
      <c r="G4" s="1" t="s">
        <v>35</v>
      </c>
      <c r="H4" s="1">
        <v>2023</v>
      </c>
      <c r="I4" s="1">
        <v>2129192</v>
      </c>
      <c r="J4" s="1" t="s">
        <v>32</v>
      </c>
      <c r="K4" s="1" t="s">
        <v>25</v>
      </c>
      <c r="L4" s="1" t="s">
        <v>36</v>
      </c>
      <c r="M4" s="2">
        <v>15300</v>
      </c>
      <c r="N4" s="1" t="s">
        <v>26</v>
      </c>
      <c r="O4" s="3">
        <v>45867</v>
      </c>
      <c r="P4" s="3">
        <v>45862</v>
      </c>
      <c r="Q4" s="3">
        <v>46097</v>
      </c>
    </row>
    <row r="5" spans="1:17" hidden="1" x14ac:dyDescent="0.25">
      <c r="A5" s="1" t="s">
        <v>37</v>
      </c>
      <c r="B5" s="1" t="s">
        <v>28</v>
      </c>
      <c r="C5" s="1" t="s">
        <v>19</v>
      </c>
      <c r="D5" s="1" t="s">
        <v>20</v>
      </c>
      <c r="E5" s="1" t="s">
        <v>33</v>
      </c>
      <c r="F5" s="1" t="s">
        <v>38</v>
      </c>
      <c r="G5" s="1" t="s">
        <v>39</v>
      </c>
      <c r="H5" s="1">
        <v>2022</v>
      </c>
      <c r="I5" s="1" t="s">
        <v>40</v>
      </c>
      <c r="J5" s="1" t="s">
        <v>41</v>
      </c>
      <c r="K5" s="1" t="s">
        <v>25</v>
      </c>
      <c r="L5" s="1" t="s">
        <v>42</v>
      </c>
      <c r="M5" s="2">
        <v>6220</v>
      </c>
      <c r="O5" s="3">
        <v>45889</v>
      </c>
      <c r="P5" s="3">
        <v>45889</v>
      </c>
      <c r="Q5" s="3">
        <v>45910</v>
      </c>
    </row>
    <row r="6" spans="1:17" x14ac:dyDescent="0.25">
      <c r="A6" s="1" t="s">
        <v>116</v>
      </c>
      <c r="B6" s="1" t="s">
        <v>18</v>
      </c>
      <c r="C6" s="1" t="s">
        <v>44</v>
      </c>
      <c r="D6" s="1" t="s">
        <v>52</v>
      </c>
      <c r="E6" s="1" t="s">
        <v>46</v>
      </c>
      <c r="F6" s="1" t="s">
        <v>117</v>
      </c>
      <c r="G6" s="1" t="s">
        <v>118</v>
      </c>
      <c r="H6" s="1">
        <v>2026</v>
      </c>
      <c r="I6" s="1" t="s">
        <v>119</v>
      </c>
      <c r="J6" s="1" t="s">
        <v>116</v>
      </c>
      <c r="K6" s="1" t="s">
        <v>120</v>
      </c>
      <c r="L6" s="1" t="s">
        <v>26</v>
      </c>
      <c r="M6" s="2">
        <v>13000</v>
      </c>
      <c r="O6" s="3">
        <v>46093</v>
      </c>
      <c r="P6" s="3">
        <v>46088</v>
      </c>
    </row>
    <row r="7" spans="1:17" hidden="1" x14ac:dyDescent="0.25">
      <c r="A7" s="1" t="s">
        <v>51</v>
      </c>
      <c r="B7" s="1" t="s">
        <v>28</v>
      </c>
      <c r="C7" s="1" t="s">
        <v>19</v>
      </c>
      <c r="D7" s="1" t="s">
        <v>52</v>
      </c>
      <c r="E7" s="1" t="s">
        <v>53</v>
      </c>
      <c r="F7" s="1" t="s">
        <v>47</v>
      </c>
      <c r="G7" s="1" t="s">
        <v>54</v>
      </c>
      <c r="H7" s="1">
        <v>2010</v>
      </c>
      <c r="I7" s="1" t="s">
        <v>55</v>
      </c>
      <c r="J7" s="1" t="s">
        <v>56</v>
      </c>
      <c r="K7" s="1" t="s">
        <v>57</v>
      </c>
      <c r="L7" s="1" t="s">
        <v>26</v>
      </c>
      <c r="M7" s="2">
        <v>9500</v>
      </c>
      <c r="O7" s="3">
        <v>45905</v>
      </c>
      <c r="P7" s="3">
        <v>45906</v>
      </c>
      <c r="Q7" s="3">
        <v>46011</v>
      </c>
    </row>
    <row r="8" spans="1:17" hidden="1" x14ac:dyDescent="0.25">
      <c r="A8" s="1" t="s">
        <v>58</v>
      </c>
      <c r="B8" s="1" t="s">
        <v>28</v>
      </c>
      <c r="C8" s="1" t="s">
        <v>19</v>
      </c>
      <c r="D8" s="1" t="s">
        <v>45</v>
      </c>
      <c r="E8" s="1" t="s">
        <v>59</v>
      </c>
      <c r="F8" s="1" t="s">
        <v>60</v>
      </c>
      <c r="G8" s="1" t="s">
        <v>61</v>
      </c>
      <c r="H8" s="1">
        <v>2024</v>
      </c>
      <c r="I8" s="1" t="s">
        <v>62</v>
      </c>
      <c r="J8" s="1" t="s">
        <v>63</v>
      </c>
      <c r="K8" s="1" t="s">
        <v>64</v>
      </c>
      <c r="L8" s="1" t="s">
        <v>26</v>
      </c>
      <c r="M8" s="2">
        <v>27000</v>
      </c>
      <c r="O8" s="3">
        <v>46121</v>
      </c>
      <c r="P8" s="3">
        <v>46120</v>
      </c>
      <c r="Q8" s="3">
        <v>46192</v>
      </c>
    </row>
    <row r="9" spans="1:17" hidden="1" x14ac:dyDescent="0.25">
      <c r="A9" s="1" t="s">
        <v>65</v>
      </c>
      <c r="B9" s="1" t="s">
        <v>28</v>
      </c>
      <c r="C9" s="1" t="s">
        <v>19</v>
      </c>
      <c r="D9" s="1" t="s">
        <v>66</v>
      </c>
      <c r="E9" s="1" t="s">
        <v>67</v>
      </c>
      <c r="F9" s="1" t="s">
        <v>68</v>
      </c>
      <c r="G9" s="1" t="s">
        <v>69</v>
      </c>
      <c r="H9" s="1">
        <v>2005</v>
      </c>
      <c r="I9" s="1" t="s">
        <v>70</v>
      </c>
      <c r="J9" s="1" t="s">
        <v>68</v>
      </c>
      <c r="K9" s="1" t="s">
        <v>57</v>
      </c>
      <c r="L9" s="1" t="s">
        <v>26</v>
      </c>
      <c r="M9" s="2">
        <v>14000</v>
      </c>
      <c r="O9" s="3">
        <v>46102</v>
      </c>
      <c r="P9" s="3">
        <v>46102</v>
      </c>
      <c r="Q9" s="3">
        <v>46162</v>
      </c>
    </row>
    <row r="10" spans="1:17" x14ac:dyDescent="0.25">
      <c r="A10" s="1" t="s">
        <v>314</v>
      </c>
      <c r="B10" s="1" t="s">
        <v>18</v>
      </c>
      <c r="C10" s="1" t="s">
        <v>44</v>
      </c>
      <c r="D10" s="1" t="s">
        <v>315</v>
      </c>
      <c r="E10" s="1" t="s">
        <v>46</v>
      </c>
      <c r="F10" s="1" t="s">
        <v>117</v>
      </c>
      <c r="G10" s="1" t="s">
        <v>316</v>
      </c>
      <c r="H10" s="1">
        <v>2015</v>
      </c>
      <c r="I10" s="1" t="s">
        <v>317</v>
      </c>
      <c r="J10" s="1" t="s">
        <v>314</v>
      </c>
      <c r="K10" s="1" t="s">
        <v>75</v>
      </c>
      <c r="L10" s="1" t="s">
        <v>26</v>
      </c>
      <c r="M10" s="2">
        <v>12000</v>
      </c>
      <c r="O10" s="3">
        <v>46122</v>
      </c>
      <c r="P10" s="3">
        <v>46122</v>
      </c>
    </row>
    <row r="11" spans="1:17" x14ac:dyDescent="0.25">
      <c r="A11" s="1" t="s">
        <v>732</v>
      </c>
      <c r="B11" s="1" t="s">
        <v>18</v>
      </c>
      <c r="C11" s="1" t="s">
        <v>44</v>
      </c>
      <c r="D11" s="1" t="s">
        <v>340</v>
      </c>
      <c r="E11" s="1" t="s">
        <v>733</v>
      </c>
      <c r="F11" s="1" t="s">
        <v>167</v>
      </c>
      <c r="G11" s="1" t="s">
        <v>734</v>
      </c>
      <c r="H11" s="1">
        <v>2012</v>
      </c>
      <c r="I11" s="1" t="s">
        <v>735</v>
      </c>
      <c r="J11" s="1" t="s">
        <v>732</v>
      </c>
      <c r="K11" s="1" t="s">
        <v>115</v>
      </c>
      <c r="L11" s="1" t="s">
        <v>26</v>
      </c>
      <c r="M11" s="2">
        <v>28000</v>
      </c>
      <c r="O11" s="3">
        <v>46007</v>
      </c>
      <c r="P11" s="3">
        <v>46007</v>
      </c>
    </row>
    <row r="12" spans="1:17" x14ac:dyDescent="0.25">
      <c r="A12" s="1" t="s">
        <v>121</v>
      </c>
      <c r="B12" s="1" t="s">
        <v>18</v>
      </c>
      <c r="C12" s="1" t="s">
        <v>44</v>
      </c>
      <c r="D12" s="1" t="s">
        <v>52</v>
      </c>
      <c r="E12" s="1" t="s">
        <v>122</v>
      </c>
      <c r="F12" s="1" t="s">
        <v>47</v>
      </c>
      <c r="G12" s="1" t="s">
        <v>48</v>
      </c>
      <c r="H12" s="1">
        <v>2022</v>
      </c>
      <c r="I12" s="1" t="s">
        <v>123</v>
      </c>
      <c r="J12" s="1" t="s">
        <v>124</v>
      </c>
      <c r="K12" s="1" t="s">
        <v>50</v>
      </c>
      <c r="L12" s="1" t="s">
        <v>26</v>
      </c>
      <c r="M12" s="2">
        <v>12000</v>
      </c>
      <c r="O12" s="3">
        <v>46093</v>
      </c>
      <c r="P12" s="3">
        <v>46089</v>
      </c>
    </row>
    <row r="13" spans="1:17" x14ac:dyDescent="0.25">
      <c r="A13" s="1" t="s">
        <v>318</v>
      </c>
      <c r="B13" s="1" t="s">
        <v>18</v>
      </c>
      <c r="C13" s="1" t="s">
        <v>44</v>
      </c>
      <c r="D13" s="1" t="s">
        <v>315</v>
      </c>
      <c r="E13" s="1" t="s">
        <v>122</v>
      </c>
      <c r="F13" s="1" t="s">
        <v>47</v>
      </c>
      <c r="G13" s="1" t="s">
        <v>319</v>
      </c>
      <c r="H13" s="1">
        <v>2026</v>
      </c>
      <c r="I13" s="1" t="s">
        <v>320</v>
      </c>
      <c r="J13" s="1" t="s">
        <v>321</v>
      </c>
      <c r="K13" s="1" t="s">
        <v>82</v>
      </c>
      <c r="L13" s="1" t="s">
        <v>26</v>
      </c>
      <c r="M13" s="2">
        <v>16500</v>
      </c>
      <c r="O13" s="3">
        <v>46111</v>
      </c>
      <c r="P13" s="3">
        <v>46111</v>
      </c>
    </row>
    <row r="14" spans="1:17" x14ac:dyDescent="0.25">
      <c r="A14" s="1" t="s">
        <v>419</v>
      </c>
      <c r="B14" s="1" t="s">
        <v>18</v>
      </c>
      <c r="C14" s="1" t="s">
        <v>44</v>
      </c>
      <c r="D14" s="1" t="s">
        <v>308</v>
      </c>
      <c r="E14" s="1" t="s">
        <v>122</v>
      </c>
      <c r="F14" s="1" t="s">
        <v>186</v>
      </c>
      <c r="G14" s="1" t="s">
        <v>420</v>
      </c>
      <c r="H14" s="1">
        <v>2023</v>
      </c>
      <c r="I14" s="1" t="s">
        <v>421</v>
      </c>
      <c r="J14" s="1" t="s">
        <v>419</v>
      </c>
      <c r="K14" s="1" t="s">
        <v>98</v>
      </c>
      <c r="L14" s="1" t="s">
        <v>26</v>
      </c>
      <c r="M14" s="2">
        <v>18000</v>
      </c>
      <c r="O14" s="3">
        <v>45927</v>
      </c>
      <c r="P14" s="3">
        <v>45922</v>
      </c>
    </row>
    <row r="15" spans="1:17" hidden="1" x14ac:dyDescent="0.25">
      <c r="A15" s="1" t="s">
        <v>99</v>
      </c>
      <c r="B15" s="1" t="s">
        <v>28</v>
      </c>
      <c r="C15" s="1" t="s">
        <v>19</v>
      </c>
      <c r="D15" s="1" t="s">
        <v>100</v>
      </c>
      <c r="E15" s="1" t="s">
        <v>89</v>
      </c>
      <c r="F15" s="1" t="s">
        <v>73</v>
      </c>
      <c r="G15" s="1" t="s">
        <v>101</v>
      </c>
      <c r="H15" s="1">
        <v>2013</v>
      </c>
      <c r="I15" s="1" t="s">
        <v>102</v>
      </c>
      <c r="J15" s="1" t="s">
        <v>99</v>
      </c>
      <c r="K15" s="1" t="s">
        <v>103</v>
      </c>
      <c r="L15" s="1" t="s">
        <v>26</v>
      </c>
      <c r="M15" s="2">
        <v>15000</v>
      </c>
      <c r="O15" s="3">
        <v>45877</v>
      </c>
      <c r="P15" s="3">
        <v>45874</v>
      </c>
      <c r="Q15" s="3">
        <v>45914</v>
      </c>
    </row>
    <row r="16" spans="1:17" hidden="1" x14ac:dyDescent="0.25">
      <c r="A16" s="1" t="s">
        <v>104</v>
      </c>
      <c r="B16" s="1" t="s">
        <v>28</v>
      </c>
      <c r="C16" s="1" t="s">
        <v>19</v>
      </c>
      <c r="D16" s="1" t="s">
        <v>105</v>
      </c>
      <c r="E16" s="1" t="s">
        <v>106</v>
      </c>
      <c r="F16" s="1" t="s">
        <v>107</v>
      </c>
      <c r="G16" s="1" t="s">
        <v>108</v>
      </c>
      <c r="H16" s="1">
        <v>2006</v>
      </c>
      <c r="I16" s="1" t="s">
        <v>24</v>
      </c>
      <c r="K16" s="1" t="s">
        <v>109</v>
      </c>
      <c r="L16" s="1" t="s">
        <v>26</v>
      </c>
      <c r="M16" s="2">
        <v>35000</v>
      </c>
      <c r="O16" s="3">
        <v>46118</v>
      </c>
      <c r="P16" s="3">
        <v>46118</v>
      </c>
    </row>
    <row r="17" spans="1:17" hidden="1" x14ac:dyDescent="0.25">
      <c r="A17" s="1" t="s">
        <v>110</v>
      </c>
      <c r="B17" s="1" t="s">
        <v>28</v>
      </c>
      <c r="C17" s="1" t="s">
        <v>19</v>
      </c>
      <c r="D17" s="1" t="s">
        <v>105</v>
      </c>
      <c r="E17" s="1" t="s">
        <v>111</v>
      </c>
      <c r="F17" s="1" t="s">
        <v>112</v>
      </c>
      <c r="G17" s="1" t="s">
        <v>113</v>
      </c>
      <c r="H17" s="1">
        <v>2008</v>
      </c>
      <c r="I17" s="1" t="s">
        <v>114</v>
      </c>
      <c r="J17" s="1" t="s">
        <v>110</v>
      </c>
      <c r="K17" s="1" t="s">
        <v>115</v>
      </c>
      <c r="L17" s="1" t="s">
        <v>26</v>
      </c>
      <c r="M17" s="2">
        <v>15000</v>
      </c>
      <c r="O17" s="3">
        <v>45884</v>
      </c>
      <c r="P17" s="3">
        <v>45884</v>
      </c>
    </row>
    <row r="18" spans="1:17" x14ac:dyDescent="0.25">
      <c r="A18" s="1" t="s">
        <v>509</v>
      </c>
      <c r="B18" s="1" t="s">
        <v>18</v>
      </c>
      <c r="C18" s="1" t="s">
        <v>44</v>
      </c>
      <c r="D18" s="1" t="s">
        <v>487</v>
      </c>
      <c r="E18" s="1" t="s">
        <v>122</v>
      </c>
      <c r="F18" s="1" t="s">
        <v>510</v>
      </c>
      <c r="G18" s="4">
        <v>11180</v>
      </c>
      <c r="H18" s="1">
        <v>2027</v>
      </c>
      <c r="I18" s="1" t="s">
        <v>511</v>
      </c>
      <c r="J18" s="1" t="s">
        <v>509</v>
      </c>
      <c r="K18" s="1" t="s">
        <v>512</v>
      </c>
      <c r="L18" s="1" t="s">
        <v>26</v>
      </c>
      <c r="M18" s="2">
        <v>13000</v>
      </c>
      <c r="O18" s="3">
        <v>45802</v>
      </c>
      <c r="P18" s="3">
        <v>46167</v>
      </c>
    </row>
    <row r="19" spans="1:17" x14ac:dyDescent="0.25">
      <c r="A19" s="1" t="s">
        <v>513</v>
      </c>
      <c r="B19" s="1" t="s">
        <v>18</v>
      </c>
      <c r="C19" s="1" t="s">
        <v>44</v>
      </c>
      <c r="D19" s="1" t="s">
        <v>487</v>
      </c>
      <c r="E19" s="1" t="s">
        <v>122</v>
      </c>
      <c r="F19" s="1" t="s">
        <v>186</v>
      </c>
      <c r="G19" s="1" t="s">
        <v>514</v>
      </c>
      <c r="H19" s="1">
        <v>2026</v>
      </c>
      <c r="I19" s="1" t="s">
        <v>515</v>
      </c>
      <c r="J19" s="1" t="s">
        <v>513</v>
      </c>
      <c r="K19" s="1" t="s">
        <v>98</v>
      </c>
      <c r="L19" s="1" t="s">
        <v>26</v>
      </c>
      <c r="M19" s="2">
        <v>15000</v>
      </c>
      <c r="O19" s="3">
        <v>46090</v>
      </c>
      <c r="P19" s="3">
        <v>46078</v>
      </c>
    </row>
    <row r="20" spans="1:17" hidden="1" x14ac:dyDescent="0.25">
      <c r="A20" s="1" t="s">
        <v>83</v>
      </c>
      <c r="B20" s="1" t="s">
        <v>28</v>
      </c>
      <c r="C20" s="1" t="s">
        <v>19</v>
      </c>
      <c r="D20" s="1" t="s">
        <v>52</v>
      </c>
      <c r="E20" s="1" t="s">
        <v>84</v>
      </c>
      <c r="F20" s="1" t="s">
        <v>125</v>
      </c>
      <c r="G20" s="1" t="s">
        <v>85</v>
      </c>
      <c r="H20" s="1">
        <v>2016</v>
      </c>
      <c r="I20" s="1" t="s">
        <v>86</v>
      </c>
      <c r="J20" s="1" t="s">
        <v>126</v>
      </c>
      <c r="K20" s="1" t="s">
        <v>57</v>
      </c>
      <c r="L20" s="1" t="s">
        <v>26</v>
      </c>
      <c r="M20" s="2">
        <v>14000</v>
      </c>
      <c r="N20" s="1" t="s">
        <v>127</v>
      </c>
      <c r="O20" s="3">
        <v>45840</v>
      </c>
      <c r="P20" s="3">
        <v>45840</v>
      </c>
      <c r="Q20" s="3">
        <v>45868</v>
      </c>
    </row>
    <row r="21" spans="1:17" hidden="1" x14ac:dyDescent="0.25">
      <c r="A21" s="1" t="s">
        <v>128</v>
      </c>
      <c r="B21" s="1" t="s">
        <v>28</v>
      </c>
      <c r="C21" s="1" t="s">
        <v>19</v>
      </c>
      <c r="D21" s="1" t="s">
        <v>52</v>
      </c>
      <c r="E21" s="1" t="s">
        <v>129</v>
      </c>
      <c r="F21" s="1" t="s">
        <v>90</v>
      </c>
      <c r="G21" s="1" t="s">
        <v>130</v>
      </c>
      <c r="H21" s="1">
        <v>2021</v>
      </c>
      <c r="I21" s="1" t="s">
        <v>131</v>
      </c>
      <c r="J21" s="1" t="s">
        <v>132</v>
      </c>
      <c r="K21" s="1" t="s">
        <v>93</v>
      </c>
      <c r="L21" s="1" t="s">
        <v>26</v>
      </c>
      <c r="M21" s="2">
        <v>28000</v>
      </c>
      <c r="O21" s="3">
        <v>45908</v>
      </c>
      <c r="P21" s="3">
        <v>45902</v>
      </c>
      <c r="Q21" s="3">
        <v>45983</v>
      </c>
    </row>
    <row r="22" spans="1:17" x14ac:dyDescent="0.25">
      <c r="A22" s="1" t="s">
        <v>545</v>
      </c>
      <c r="B22" s="1" t="s">
        <v>18</v>
      </c>
      <c r="C22" s="1" t="s">
        <v>44</v>
      </c>
      <c r="D22" s="1" t="s">
        <v>148</v>
      </c>
      <c r="E22" s="1" t="s">
        <v>122</v>
      </c>
      <c r="F22" s="1" t="s">
        <v>186</v>
      </c>
      <c r="H22" s="1">
        <v>2026</v>
      </c>
      <c r="I22" s="1" t="s">
        <v>546</v>
      </c>
      <c r="J22" s="1" t="s">
        <v>545</v>
      </c>
      <c r="K22" s="1" t="s">
        <v>98</v>
      </c>
      <c r="L22" s="1" t="s">
        <v>26</v>
      </c>
      <c r="M22" s="2">
        <v>15000</v>
      </c>
      <c r="O22" s="3">
        <v>46091</v>
      </c>
      <c r="P22" s="3">
        <v>46090</v>
      </c>
    </row>
    <row r="23" spans="1:17" x14ac:dyDescent="0.25">
      <c r="A23" s="1" t="s">
        <v>639</v>
      </c>
      <c r="B23" s="1" t="s">
        <v>18</v>
      </c>
      <c r="C23" s="1" t="s">
        <v>44</v>
      </c>
      <c r="D23" s="1" t="s">
        <v>640</v>
      </c>
      <c r="E23" s="1" t="s">
        <v>122</v>
      </c>
      <c r="F23" s="1" t="s">
        <v>47</v>
      </c>
      <c r="G23" s="1" t="s">
        <v>641</v>
      </c>
      <c r="H23" s="1">
        <v>2020</v>
      </c>
      <c r="I23" s="1" t="s">
        <v>642</v>
      </c>
      <c r="J23" s="1" t="s">
        <v>639</v>
      </c>
      <c r="K23" s="1" t="s">
        <v>98</v>
      </c>
      <c r="L23" s="1" t="s">
        <v>26</v>
      </c>
      <c r="M23" s="2">
        <v>14000</v>
      </c>
      <c r="N23" s="1" t="s">
        <v>127</v>
      </c>
      <c r="O23" s="3">
        <v>45835</v>
      </c>
      <c r="P23" s="3">
        <v>45834</v>
      </c>
    </row>
    <row r="24" spans="1:17" x14ac:dyDescent="0.25">
      <c r="A24" s="1" t="s">
        <v>654</v>
      </c>
      <c r="B24" s="1" t="s">
        <v>18</v>
      </c>
      <c r="C24" s="1" t="s">
        <v>44</v>
      </c>
      <c r="D24" s="1" t="s">
        <v>202</v>
      </c>
      <c r="E24" s="1" t="s">
        <v>122</v>
      </c>
      <c r="F24" s="1" t="s">
        <v>167</v>
      </c>
      <c r="G24" s="4">
        <v>6170</v>
      </c>
      <c r="H24" s="1">
        <v>2024</v>
      </c>
      <c r="I24" s="1" t="s">
        <v>655</v>
      </c>
      <c r="J24" s="1" t="s">
        <v>656</v>
      </c>
      <c r="K24" s="1" t="s">
        <v>657</v>
      </c>
      <c r="L24" s="1" t="s">
        <v>26</v>
      </c>
      <c r="M24" s="2">
        <v>13000</v>
      </c>
      <c r="O24" s="3">
        <v>46054</v>
      </c>
      <c r="P24" s="3">
        <v>46054</v>
      </c>
    </row>
    <row r="25" spans="1:17" x14ac:dyDescent="0.25">
      <c r="A25" s="1" t="s">
        <v>83</v>
      </c>
      <c r="B25" s="1" t="s">
        <v>18</v>
      </c>
      <c r="C25" s="1" t="s">
        <v>44</v>
      </c>
      <c r="D25" s="1" t="s">
        <v>52</v>
      </c>
      <c r="E25" s="1" t="s">
        <v>84</v>
      </c>
      <c r="F25" s="1" t="s">
        <v>47</v>
      </c>
      <c r="G25" s="1" t="s">
        <v>85</v>
      </c>
      <c r="H25" s="1">
        <v>2016</v>
      </c>
      <c r="I25" s="1" t="s">
        <v>86</v>
      </c>
      <c r="J25" s="1" t="s">
        <v>87</v>
      </c>
      <c r="K25" s="1" t="s">
        <v>57</v>
      </c>
      <c r="L25" s="1" t="s">
        <v>26</v>
      </c>
      <c r="M25" s="2">
        <v>14000</v>
      </c>
      <c r="O25" s="3">
        <v>46093</v>
      </c>
      <c r="P25" s="3">
        <v>45903</v>
      </c>
    </row>
    <row r="26" spans="1:17" x14ac:dyDescent="0.25">
      <c r="A26" s="1" t="s">
        <v>259</v>
      </c>
      <c r="B26" s="1" t="s">
        <v>18</v>
      </c>
      <c r="C26" s="1" t="s">
        <v>44</v>
      </c>
      <c r="D26" s="1" t="s">
        <v>260</v>
      </c>
      <c r="E26" s="1" t="s">
        <v>111</v>
      </c>
      <c r="F26" s="1" t="s">
        <v>167</v>
      </c>
      <c r="G26" s="1" t="s">
        <v>261</v>
      </c>
      <c r="H26" s="1">
        <v>2021</v>
      </c>
      <c r="I26" s="1" t="s">
        <v>262</v>
      </c>
      <c r="J26" s="1" t="s">
        <v>263</v>
      </c>
      <c r="K26" s="1" t="s">
        <v>264</v>
      </c>
      <c r="L26" s="1" t="s">
        <v>26</v>
      </c>
      <c r="M26" s="2">
        <v>13148</v>
      </c>
      <c r="O26" s="3">
        <v>45916</v>
      </c>
      <c r="P26" s="3">
        <v>45916</v>
      </c>
    </row>
    <row r="27" spans="1:17" hidden="1" x14ac:dyDescent="0.25">
      <c r="A27" s="1" t="s">
        <v>157</v>
      </c>
      <c r="B27" s="1" t="s">
        <v>28</v>
      </c>
      <c r="C27" s="1" t="s">
        <v>19</v>
      </c>
      <c r="D27" s="1" t="s">
        <v>52</v>
      </c>
      <c r="E27" s="1" t="s">
        <v>111</v>
      </c>
      <c r="F27" s="1" t="s">
        <v>60</v>
      </c>
      <c r="G27" s="1" t="s">
        <v>158</v>
      </c>
      <c r="H27" s="1">
        <v>2012</v>
      </c>
      <c r="I27" s="1" t="s">
        <v>159</v>
      </c>
      <c r="J27" s="1" t="s">
        <v>160</v>
      </c>
      <c r="K27" s="1" t="s">
        <v>161</v>
      </c>
      <c r="L27" s="1" t="s">
        <v>26</v>
      </c>
      <c r="M27" s="2">
        <v>17000</v>
      </c>
      <c r="O27" s="3">
        <v>45908</v>
      </c>
      <c r="P27" s="3">
        <v>45908</v>
      </c>
      <c r="Q27" s="3">
        <v>46011</v>
      </c>
    </row>
    <row r="28" spans="1:17" hidden="1" x14ac:dyDescent="0.25">
      <c r="A28" s="1" t="s">
        <v>162</v>
      </c>
      <c r="B28" s="1" t="s">
        <v>28</v>
      </c>
      <c r="C28" s="1" t="s">
        <v>19</v>
      </c>
      <c r="D28" s="1" t="s">
        <v>52</v>
      </c>
      <c r="E28" s="1" t="s">
        <v>111</v>
      </c>
      <c r="F28" s="1" t="s">
        <v>60</v>
      </c>
      <c r="G28" s="1" t="s">
        <v>158</v>
      </c>
      <c r="H28" s="1">
        <v>2013</v>
      </c>
      <c r="I28" s="1" t="s">
        <v>163</v>
      </c>
      <c r="J28" s="1" t="s">
        <v>164</v>
      </c>
      <c r="K28" s="1" t="s">
        <v>165</v>
      </c>
      <c r="L28" s="1" t="s">
        <v>26</v>
      </c>
      <c r="M28" s="2">
        <v>17000</v>
      </c>
      <c r="O28" s="3">
        <v>45908</v>
      </c>
      <c r="P28" s="3">
        <v>45908</v>
      </c>
      <c r="Q28" s="3">
        <v>46011</v>
      </c>
    </row>
    <row r="29" spans="1:17" hidden="1" x14ac:dyDescent="0.25">
      <c r="A29" s="1" t="s">
        <v>166</v>
      </c>
      <c r="B29" s="1" t="s">
        <v>28</v>
      </c>
      <c r="C29" s="1" t="s">
        <v>19</v>
      </c>
      <c r="D29" s="1" t="s">
        <v>52</v>
      </c>
      <c r="E29" s="1" t="s">
        <v>111</v>
      </c>
      <c r="F29" s="1" t="s">
        <v>167</v>
      </c>
      <c r="G29" s="4">
        <v>24250</v>
      </c>
      <c r="H29" s="1">
        <v>2010</v>
      </c>
      <c r="I29" s="1" t="s">
        <v>168</v>
      </c>
      <c r="J29" s="1" t="s">
        <v>169</v>
      </c>
      <c r="K29" s="1" t="s">
        <v>170</v>
      </c>
      <c r="L29" s="1" t="s">
        <v>26</v>
      </c>
      <c r="M29" s="2">
        <v>17000</v>
      </c>
      <c r="O29" s="3">
        <v>45908</v>
      </c>
      <c r="P29" s="3">
        <v>45908</v>
      </c>
      <c r="Q29" s="3">
        <v>46011</v>
      </c>
    </row>
    <row r="30" spans="1:17" x14ac:dyDescent="0.25">
      <c r="A30" s="1" t="s">
        <v>265</v>
      </c>
      <c r="B30" s="1" t="s">
        <v>18</v>
      </c>
      <c r="C30" s="1" t="s">
        <v>44</v>
      </c>
      <c r="D30" s="1" t="s">
        <v>260</v>
      </c>
      <c r="E30" s="1" t="s">
        <v>111</v>
      </c>
      <c r="F30" s="1" t="s">
        <v>167</v>
      </c>
      <c r="G30" s="1" t="s">
        <v>261</v>
      </c>
      <c r="H30" s="1">
        <v>2021</v>
      </c>
      <c r="I30" s="1" t="s">
        <v>266</v>
      </c>
      <c r="J30" s="1" t="s">
        <v>267</v>
      </c>
      <c r="K30" s="1" t="s">
        <v>264</v>
      </c>
      <c r="L30" s="1" t="s">
        <v>26</v>
      </c>
      <c r="M30" s="2">
        <v>13148</v>
      </c>
      <c r="O30" s="3">
        <v>46032</v>
      </c>
      <c r="P30" s="3">
        <v>46032</v>
      </c>
    </row>
    <row r="31" spans="1:17" hidden="1" x14ac:dyDescent="0.25">
      <c r="A31" s="1" t="s">
        <v>176</v>
      </c>
      <c r="B31" s="1" t="s">
        <v>28</v>
      </c>
      <c r="C31" s="1" t="s">
        <v>19</v>
      </c>
      <c r="D31" s="1" t="s">
        <v>52</v>
      </c>
      <c r="E31" s="1" t="s">
        <v>177</v>
      </c>
      <c r="F31" s="1" t="s">
        <v>178</v>
      </c>
      <c r="G31" s="1" t="s">
        <v>179</v>
      </c>
      <c r="H31" s="1">
        <v>2022</v>
      </c>
      <c r="I31" s="1" t="s">
        <v>180</v>
      </c>
      <c r="J31" s="1" t="s">
        <v>176</v>
      </c>
      <c r="K31" s="1" t="s">
        <v>181</v>
      </c>
      <c r="L31" s="1" t="s">
        <v>26</v>
      </c>
      <c r="M31" s="2">
        <v>1200</v>
      </c>
      <c r="N31" s="1" t="s">
        <v>26</v>
      </c>
      <c r="O31" s="3">
        <v>45917</v>
      </c>
      <c r="P31" s="3">
        <v>45917</v>
      </c>
    </row>
    <row r="32" spans="1:17" x14ac:dyDescent="0.25">
      <c r="A32" s="1" t="s">
        <v>268</v>
      </c>
      <c r="B32" s="1" t="s">
        <v>18</v>
      </c>
      <c r="C32" s="1" t="s">
        <v>44</v>
      </c>
      <c r="D32" s="1" t="s">
        <v>260</v>
      </c>
      <c r="E32" s="1" t="s">
        <v>111</v>
      </c>
      <c r="F32" s="1" t="s">
        <v>167</v>
      </c>
      <c r="G32" s="1" t="s">
        <v>261</v>
      </c>
      <c r="H32" s="1">
        <v>2021</v>
      </c>
      <c r="I32" s="1" t="s">
        <v>269</v>
      </c>
      <c r="J32" s="1" t="s">
        <v>270</v>
      </c>
      <c r="K32" s="1" t="s">
        <v>264</v>
      </c>
      <c r="L32" s="1" t="s">
        <v>26</v>
      </c>
      <c r="M32" s="2">
        <v>13148</v>
      </c>
      <c r="O32" s="3">
        <v>45990</v>
      </c>
      <c r="P32" s="3">
        <v>45990</v>
      </c>
    </row>
    <row r="33" spans="1:17" hidden="1" x14ac:dyDescent="0.25">
      <c r="A33" s="1" t="s">
        <v>185</v>
      </c>
      <c r="B33" s="1" t="s">
        <v>28</v>
      </c>
      <c r="C33" s="1" t="s">
        <v>19</v>
      </c>
      <c r="D33" s="1" t="s">
        <v>52</v>
      </c>
      <c r="E33" s="1" t="s">
        <v>144</v>
      </c>
      <c r="F33" s="1" t="s">
        <v>186</v>
      </c>
      <c r="G33" s="1" t="s">
        <v>187</v>
      </c>
      <c r="H33" s="1">
        <v>2025</v>
      </c>
      <c r="I33" s="1" t="s">
        <v>188</v>
      </c>
      <c r="J33" s="1" t="s">
        <v>189</v>
      </c>
      <c r="K33" s="1" t="s">
        <v>190</v>
      </c>
      <c r="L33" s="1" t="s">
        <v>26</v>
      </c>
      <c r="M33" s="2">
        <v>23000</v>
      </c>
      <c r="O33" s="3">
        <v>45916</v>
      </c>
      <c r="P33" s="3">
        <v>45916</v>
      </c>
      <c r="Q33" s="3">
        <v>46011</v>
      </c>
    </row>
    <row r="34" spans="1:17" hidden="1" x14ac:dyDescent="0.25">
      <c r="A34" s="1" t="s">
        <v>191</v>
      </c>
      <c r="B34" s="1" t="s">
        <v>28</v>
      </c>
      <c r="C34" s="1" t="s">
        <v>19</v>
      </c>
      <c r="D34" s="1" t="s">
        <v>52</v>
      </c>
      <c r="E34" s="1" t="s">
        <v>144</v>
      </c>
      <c r="F34" s="1" t="s">
        <v>192</v>
      </c>
      <c r="G34" s="1" t="s">
        <v>193</v>
      </c>
      <c r="H34" s="1">
        <v>2013</v>
      </c>
      <c r="I34" s="1" t="s">
        <v>194</v>
      </c>
      <c r="J34" s="1" t="s">
        <v>195</v>
      </c>
      <c r="K34" s="1" t="s">
        <v>190</v>
      </c>
      <c r="L34" s="1" t="s">
        <v>26</v>
      </c>
      <c r="M34" s="2">
        <v>23000</v>
      </c>
      <c r="O34" s="3">
        <v>45904</v>
      </c>
      <c r="P34" s="3">
        <v>45904</v>
      </c>
      <c r="Q34" s="3">
        <v>45947</v>
      </c>
    </row>
    <row r="35" spans="1:17" hidden="1" x14ac:dyDescent="0.25">
      <c r="A35" s="1" t="s">
        <v>196</v>
      </c>
      <c r="B35" s="1" t="s">
        <v>28</v>
      </c>
      <c r="C35" s="1" t="s">
        <v>19</v>
      </c>
      <c r="D35" s="1" t="s">
        <v>52</v>
      </c>
      <c r="E35" s="1" t="s">
        <v>197</v>
      </c>
      <c r="F35" s="1" t="s">
        <v>198</v>
      </c>
      <c r="G35" s="1" t="s">
        <v>24</v>
      </c>
      <c r="H35" s="1" t="s">
        <v>24</v>
      </c>
      <c r="I35" s="1" t="s">
        <v>24</v>
      </c>
      <c r="J35" s="1" t="s">
        <v>24</v>
      </c>
      <c r="K35" s="1" t="s">
        <v>93</v>
      </c>
      <c r="L35" s="1" t="s">
        <v>26</v>
      </c>
      <c r="M35" s="2">
        <v>7000</v>
      </c>
      <c r="O35" s="3">
        <v>45927</v>
      </c>
      <c r="P35" s="3">
        <v>45921</v>
      </c>
    </row>
    <row r="36" spans="1:17" x14ac:dyDescent="0.25">
      <c r="A36" s="1" t="s">
        <v>271</v>
      </c>
      <c r="B36" s="1" t="s">
        <v>18</v>
      </c>
      <c r="C36" s="1" t="s">
        <v>44</v>
      </c>
      <c r="D36" s="1" t="s">
        <v>260</v>
      </c>
      <c r="E36" s="1" t="s">
        <v>111</v>
      </c>
      <c r="F36" s="1" t="s">
        <v>167</v>
      </c>
      <c r="G36" s="1" t="s">
        <v>261</v>
      </c>
      <c r="H36" s="1">
        <v>2021</v>
      </c>
      <c r="I36" s="1" t="s">
        <v>272</v>
      </c>
      <c r="J36" s="1" t="s">
        <v>273</v>
      </c>
      <c r="K36" s="1" t="s">
        <v>264</v>
      </c>
      <c r="L36" s="1" t="s">
        <v>26</v>
      </c>
      <c r="M36" s="2">
        <v>13148</v>
      </c>
      <c r="O36" s="3">
        <v>46042</v>
      </c>
      <c r="P36" s="3">
        <v>46042</v>
      </c>
    </row>
    <row r="37" spans="1:17" x14ac:dyDescent="0.25">
      <c r="A37" s="1" t="s">
        <v>274</v>
      </c>
      <c r="B37" s="1" t="s">
        <v>18</v>
      </c>
      <c r="C37" s="1" t="s">
        <v>44</v>
      </c>
      <c r="D37" s="1" t="s">
        <v>260</v>
      </c>
      <c r="E37" s="1" t="s">
        <v>111</v>
      </c>
      <c r="F37" s="1" t="s">
        <v>167</v>
      </c>
      <c r="G37" s="1" t="s">
        <v>261</v>
      </c>
      <c r="H37" s="1">
        <v>2021</v>
      </c>
      <c r="I37" s="1" t="s">
        <v>275</v>
      </c>
      <c r="J37" s="1" t="s">
        <v>276</v>
      </c>
      <c r="K37" s="1" t="s">
        <v>264</v>
      </c>
      <c r="L37" s="1" t="s">
        <v>26</v>
      </c>
      <c r="M37" s="2">
        <v>13148</v>
      </c>
      <c r="O37" s="3">
        <v>45989</v>
      </c>
      <c r="P37" s="3">
        <v>45989</v>
      </c>
    </row>
    <row r="38" spans="1:17" x14ac:dyDescent="0.25">
      <c r="A38" s="1" t="s">
        <v>277</v>
      </c>
      <c r="B38" s="1" t="s">
        <v>18</v>
      </c>
      <c r="C38" s="1" t="s">
        <v>44</v>
      </c>
      <c r="D38" s="1" t="s">
        <v>260</v>
      </c>
      <c r="E38" s="1" t="s">
        <v>111</v>
      </c>
      <c r="F38" s="1" t="s">
        <v>167</v>
      </c>
      <c r="G38" s="1" t="s">
        <v>261</v>
      </c>
      <c r="H38" s="1">
        <v>2021</v>
      </c>
      <c r="I38" s="1" t="s">
        <v>278</v>
      </c>
      <c r="J38" s="1" t="s">
        <v>279</v>
      </c>
      <c r="K38" s="1" t="s">
        <v>264</v>
      </c>
      <c r="L38" s="1" t="s">
        <v>26</v>
      </c>
      <c r="M38" s="2">
        <v>13148</v>
      </c>
      <c r="O38" s="3">
        <v>46032</v>
      </c>
      <c r="P38" s="3">
        <v>46032</v>
      </c>
    </row>
    <row r="39" spans="1:17" x14ac:dyDescent="0.25">
      <c r="A39" s="1" t="s">
        <v>280</v>
      </c>
      <c r="B39" s="1" t="s">
        <v>18</v>
      </c>
      <c r="C39" s="1" t="s">
        <v>44</v>
      </c>
      <c r="D39" s="1" t="s">
        <v>260</v>
      </c>
      <c r="E39" s="1" t="s">
        <v>111</v>
      </c>
      <c r="F39" s="1" t="s">
        <v>167</v>
      </c>
      <c r="G39" s="1" t="s">
        <v>261</v>
      </c>
      <c r="H39" s="1">
        <v>2021</v>
      </c>
      <c r="I39" s="1" t="s">
        <v>281</v>
      </c>
      <c r="J39" s="1" t="s">
        <v>282</v>
      </c>
      <c r="K39" s="1" t="s">
        <v>264</v>
      </c>
      <c r="L39" s="1" t="s">
        <v>26</v>
      </c>
      <c r="M39" s="2">
        <v>13148</v>
      </c>
      <c r="O39" s="3">
        <v>46032</v>
      </c>
      <c r="P39" s="3">
        <v>46043</v>
      </c>
    </row>
    <row r="40" spans="1:17" hidden="1" x14ac:dyDescent="0.25">
      <c r="A40" s="1" t="s">
        <v>182</v>
      </c>
      <c r="B40" s="1" t="s">
        <v>28</v>
      </c>
      <c r="C40" s="1" t="s">
        <v>19</v>
      </c>
      <c r="D40" s="1" t="s">
        <v>52</v>
      </c>
      <c r="E40" s="1" t="s">
        <v>172</v>
      </c>
      <c r="F40" s="1" t="s">
        <v>90</v>
      </c>
      <c r="G40" s="1" t="s">
        <v>183</v>
      </c>
      <c r="H40" s="1">
        <v>2024</v>
      </c>
      <c r="I40" s="1" t="s">
        <v>184</v>
      </c>
      <c r="J40" s="1" t="s">
        <v>217</v>
      </c>
      <c r="K40" s="1" t="s">
        <v>93</v>
      </c>
      <c r="L40" s="1" t="s">
        <v>26</v>
      </c>
      <c r="M40" s="2">
        <v>28000</v>
      </c>
      <c r="O40" s="3">
        <v>45908</v>
      </c>
      <c r="P40" s="3">
        <v>45902</v>
      </c>
      <c r="Q40" s="3">
        <v>46011</v>
      </c>
    </row>
    <row r="41" spans="1:17" hidden="1" x14ac:dyDescent="0.25">
      <c r="A41" s="1" t="s">
        <v>199</v>
      </c>
      <c r="B41" s="1" t="s">
        <v>28</v>
      </c>
      <c r="C41" s="1" t="s">
        <v>19</v>
      </c>
      <c r="D41" s="1" t="s">
        <v>52</v>
      </c>
      <c r="E41" s="1" t="s">
        <v>172</v>
      </c>
      <c r="F41" s="1" t="s">
        <v>90</v>
      </c>
      <c r="G41" s="1" t="s">
        <v>173</v>
      </c>
      <c r="H41" s="1">
        <v>2025</v>
      </c>
      <c r="I41" s="1" t="s">
        <v>200</v>
      </c>
      <c r="J41" s="1" t="s">
        <v>199</v>
      </c>
      <c r="K41" s="1" t="s">
        <v>175</v>
      </c>
      <c r="L41" s="1" t="s">
        <v>26</v>
      </c>
      <c r="M41" s="2">
        <v>13000</v>
      </c>
      <c r="O41" s="3">
        <v>45968</v>
      </c>
      <c r="P41" s="3">
        <v>45968</v>
      </c>
      <c r="Q41" s="3">
        <v>46011</v>
      </c>
    </row>
    <row r="42" spans="1:17" hidden="1" x14ac:dyDescent="0.25">
      <c r="A42" s="1" t="s">
        <v>218</v>
      </c>
      <c r="B42" s="1" t="s">
        <v>28</v>
      </c>
      <c r="C42" s="1" t="s">
        <v>19</v>
      </c>
      <c r="D42" s="1" t="s">
        <v>52</v>
      </c>
      <c r="E42" s="1" t="s">
        <v>96</v>
      </c>
      <c r="F42" s="1" t="s">
        <v>73</v>
      </c>
      <c r="G42" s="1" t="s">
        <v>219</v>
      </c>
      <c r="H42" s="1">
        <v>2021</v>
      </c>
      <c r="I42" s="1" t="s">
        <v>220</v>
      </c>
      <c r="J42" s="1" t="s">
        <v>218</v>
      </c>
      <c r="K42" s="1" t="s">
        <v>221</v>
      </c>
      <c r="L42" s="1" t="s">
        <v>26</v>
      </c>
      <c r="M42" s="2">
        <v>14000</v>
      </c>
      <c r="N42" s="1" t="s">
        <v>76</v>
      </c>
      <c r="O42" s="3">
        <v>45861</v>
      </c>
      <c r="P42" s="3">
        <v>45845</v>
      </c>
      <c r="Q42" s="3">
        <v>46232</v>
      </c>
    </row>
    <row r="43" spans="1:17" hidden="1" x14ac:dyDescent="0.25">
      <c r="A43" s="1" t="s">
        <v>222</v>
      </c>
      <c r="B43" s="1" t="s">
        <v>28</v>
      </c>
      <c r="C43" s="1" t="s">
        <v>19</v>
      </c>
      <c r="D43" s="1" t="s">
        <v>52</v>
      </c>
      <c r="E43" s="1" t="s">
        <v>96</v>
      </c>
      <c r="F43" s="1" t="s">
        <v>223</v>
      </c>
      <c r="G43" s="1" t="s">
        <v>224</v>
      </c>
      <c r="H43" s="1">
        <v>2023</v>
      </c>
      <c r="I43" s="1" t="s">
        <v>225</v>
      </c>
      <c r="J43" s="1" t="s">
        <v>222</v>
      </c>
      <c r="K43" s="1" t="s">
        <v>93</v>
      </c>
      <c r="L43" s="1" t="s">
        <v>26</v>
      </c>
      <c r="M43" s="2">
        <v>12000</v>
      </c>
      <c r="O43" s="3">
        <v>46093</v>
      </c>
      <c r="P43" s="3">
        <v>45902</v>
      </c>
      <c r="Q43" s="3">
        <v>46146</v>
      </c>
    </row>
    <row r="44" spans="1:17" x14ac:dyDescent="0.25">
      <c r="A44" s="1" t="s">
        <v>283</v>
      </c>
      <c r="B44" s="1" t="s">
        <v>18</v>
      </c>
      <c r="C44" s="1" t="s">
        <v>44</v>
      </c>
      <c r="D44" s="1" t="s">
        <v>260</v>
      </c>
      <c r="E44" s="1" t="s">
        <v>111</v>
      </c>
      <c r="F44" s="1" t="s">
        <v>167</v>
      </c>
      <c r="G44" s="1" t="s">
        <v>261</v>
      </c>
      <c r="H44" s="1">
        <v>2021</v>
      </c>
      <c r="I44" s="1" t="s">
        <v>284</v>
      </c>
      <c r="J44" s="1" t="s">
        <v>285</v>
      </c>
      <c r="K44" s="1" t="s">
        <v>264</v>
      </c>
      <c r="L44" s="1" t="s">
        <v>26</v>
      </c>
      <c r="M44" s="2">
        <v>13148</v>
      </c>
      <c r="O44" s="3">
        <v>46032</v>
      </c>
      <c r="P44" s="3">
        <v>46032</v>
      </c>
    </row>
    <row r="45" spans="1:17" hidden="1" x14ac:dyDescent="0.25">
      <c r="A45" s="1" t="s">
        <v>229</v>
      </c>
      <c r="B45" s="1" t="s">
        <v>28</v>
      </c>
      <c r="C45" s="1" t="s">
        <v>19</v>
      </c>
      <c r="D45" s="1" t="s">
        <v>52</v>
      </c>
      <c r="E45" s="1" t="s">
        <v>230</v>
      </c>
      <c r="F45" s="1" t="s">
        <v>73</v>
      </c>
      <c r="G45" s="1" t="s">
        <v>231</v>
      </c>
      <c r="H45" s="1">
        <v>2024</v>
      </c>
      <c r="I45" s="1" t="s">
        <v>232</v>
      </c>
      <c r="J45" s="1" t="s">
        <v>229</v>
      </c>
      <c r="K45" s="1" t="s">
        <v>233</v>
      </c>
      <c r="L45" s="1" t="s">
        <v>26</v>
      </c>
      <c r="M45" s="2">
        <v>11000</v>
      </c>
      <c r="O45" s="3">
        <v>46093</v>
      </c>
      <c r="P45" s="3">
        <v>45902</v>
      </c>
      <c r="Q45" s="3">
        <v>46170</v>
      </c>
    </row>
    <row r="46" spans="1:17" hidden="1" x14ac:dyDescent="0.25">
      <c r="A46" s="1" t="s">
        <v>234</v>
      </c>
      <c r="B46" s="1" t="s">
        <v>28</v>
      </c>
      <c r="C46" s="1" t="s">
        <v>19</v>
      </c>
      <c r="D46" s="1" t="s">
        <v>52</v>
      </c>
      <c r="E46" s="1" t="s">
        <v>230</v>
      </c>
      <c r="F46" s="1" t="s">
        <v>235</v>
      </c>
      <c r="G46" s="1" t="s">
        <v>236</v>
      </c>
      <c r="H46" s="1">
        <v>2013</v>
      </c>
      <c r="I46" s="1">
        <v>101582481287</v>
      </c>
      <c r="J46" s="1" t="s">
        <v>234</v>
      </c>
      <c r="K46" s="1" t="s">
        <v>237</v>
      </c>
      <c r="L46" s="1" t="s">
        <v>26</v>
      </c>
      <c r="M46" s="1">
        <v>0</v>
      </c>
      <c r="O46" s="3">
        <v>46113</v>
      </c>
      <c r="P46" s="3">
        <v>46113</v>
      </c>
      <c r="Q46" s="3">
        <v>46126</v>
      </c>
    </row>
    <row r="47" spans="1:17" hidden="1" x14ac:dyDescent="0.25">
      <c r="A47" s="1" t="s">
        <v>238</v>
      </c>
      <c r="B47" s="1" t="s">
        <v>28</v>
      </c>
      <c r="C47" s="1" t="s">
        <v>19</v>
      </c>
      <c r="D47" s="1" t="s">
        <v>52</v>
      </c>
      <c r="E47" s="1" t="s">
        <v>207</v>
      </c>
      <c r="F47" s="1" t="s">
        <v>239</v>
      </c>
      <c r="G47" s="1" t="s">
        <v>240</v>
      </c>
      <c r="H47" s="1">
        <v>2024</v>
      </c>
      <c r="I47" s="1" t="s">
        <v>241</v>
      </c>
      <c r="J47" s="1" t="s">
        <v>238</v>
      </c>
      <c r="K47" s="1" t="s">
        <v>190</v>
      </c>
      <c r="L47" s="1" t="s">
        <v>26</v>
      </c>
      <c r="M47" s="1">
        <v>0</v>
      </c>
      <c r="N47" s="1" t="s">
        <v>127</v>
      </c>
      <c r="O47" s="3">
        <v>45904</v>
      </c>
      <c r="P47" s="3">
        <v>45904</v>
      </c>
      <c r="Q47" s="3">
        <v>45947</v>
      </c>
    </row>
    <row r="48" spans="1:17" hidden="1" x14ac:dyDescent="0.25">
      <c r="A48" s="1" t="s">
        <v>213</v>
      </c>
      <c r="B48" s="1" t="s">
        <v>28</v>
      </c>
      <c r="C48" s="1" t="s">
        <v>242</v>
      </c>
      <c r="D48" s="1" t="s">
        <v>52</v>
      </c>
      <c r="E48" s="1" t="s">
        <v>214</v>
      </c>
      <c r="F48" s="1" t="s">
        <v>215</v>
      </c>
      <c r="G48" s="1" t="s">
        <v>216</v>
      </c>
      <c r="H48" s="1">
        <v>2021</v>
      </c>
      <c r="I48" s="1" t="s">
        <v>213</v>
      </c>
      <c r="J48" s="1" t="s">
        <v>213</v>
      </c>
      <c r="K48" s="1" t="s">
        <v>93</v>
      </c>
      <c r="L48" s="1" t="s">
        <v>26</v>
      </c>
      <c r="M48" s="2">
        <v>12000</v>
      </c>
      <c r="O48" s="3">
        <v>46093</v>
      </c>
      <c r="P48" s="3">
        <v>45902</v>
      </c>
      <c r="Q48" s="3">
        <v>46011</v>
      </c>
    </row>
    <row r="49" spans="1:17" hidden="1" x14ac:dyDescent="0.25">
      <c r="A49" s="1" t="s">
        <v>243</v>
      </c>
      <c r="B49" s="1" t="s">
        <v>28</v>
      </c>
      <c r="C49" s="1" t="s">
        <v>19</v>
      </c>
      <c r="D49" s="1" t="s">
        <v>52</v>
      </c>
      <c r="E49" s="1" t="s">
        <v>214</v>
      </c>
      <c r="F49" s="1" t="s">
        <v>215</v>
      </c>
      <c r="G49" s="1" t="s">
        <v>244</v>
      </c>
      <c r="H49" s="1">
        <v>2025</v>
      </c>
      <c r="I49" s="1">
        <v>45408525</v>
      </c>
      <c r="J49" s="1" t="s">
        <v>243</v>
      </c>
      <c r="K49" s="1" t="s">
        <v>93</v>
      </c>
      <c r="L49" s="1" t="s">
        <v>26</v>
      </c>
      <c r="M49" s="2">
        <v>7000</v>
      </c>
      <c r="O49" s="3">
        <v>45968</v>
      </c>
      <c r="P49" s="3">
        <v>45968</v>
      </c>
      <c r="Q49" s="3">
        <v>46126</v>
      </c>
    </row>
    <row r="50" spans="1:17" hidden="1" x14ac:dyDescent="0.25">
      <c r="A50" s="1" t="s">
        <v>245</v>
      </c>
      <c r="B50" s="1" t="s">
        <v>28</v>
      </c>
      <c r="C50" s="1" t="s">
        <v>19</v>
      </c>
      <c r="D50" s="1" t="s">
        <v>202</v>
      </c>
      <c r="E50" s="1" t="s">
        <v>246</v>
      </c>
      <c r="F50" s="1" t="s">
        <v>47</v>
      </c>
      <c r="G50" s="1" t="s">
        <v>247</v>
      </c>
      <c r="H50" s="1">
        <v>2008</v>
      </c>
      <c r="I50" s="1" t="s">
        <v>248</v>
      </c>
      <c r="J50" s="1" t="s">
        <v>249</v>
      </c>
      <c r="K50" s="1" t="s">
        <v>57</v>
      </c>
      <c r="L50" s="1" t="s">
        <v>26</v>
      </c>
      <c r="M50" s="2">
        <v>10500</v>
      </c>
      <c r="N50" s="1" t="s">
        <v>76</v>
      </c>
      <c r="O50" s="3">
        <v>45912</v>
      </c>
      <c r="P50" s="3">
        <v>45846</v>
      </c>
      <c r="Q50" s="3">
        <v>46146</v>
      </c>
    </row>
    <row r="51" spans="1:17" x14ac:dyDescent="0.25">
      <c r="A51" s="1" t="s">
        <v>286</v>
      </c>
      <c r="B51" s="1" t="s">
        <v>18</v>
      </c>
      <c r="C51" s="1" t="s">
        <v>44</v>
      </c>
      <c r="D51" s="1" t="s">
        <v>260</v>
      </c>
      <c r="E51" s="1" t="s">
        <v>111</v>
      </c>
      <c r="F51" s="1" t="s">
        <v>167</v>
      </c>
      <c r="G51" s="1" t="s">
        <v>261</v>
      </c>
      <c r="H51" s="1">
        <v>2021</v>
      </c>
      <c r="I51" s="1" t="s">
        <v>287</v>
      </c>
      <c r="J51" s="1" t="s">
        <v>288</v>
      </c>
      <c r="K51" s="1" t="s">
        <v>264</v>
      </c>
      <c r="L51" s="1" t="s">
        <v>26</v>
      </c>
      <c r="M51" s="2">
        <v>13148</v>
      </c>
      <c r="O51" s="3">
        <v>46032</v>
      </c>
      <c r="P51" s="3">
        <v>46038</v>
      </c>
    </row>
    <row r="52" spans="1:17" x14ac:dyDescent="0.25">
      <c r="A52" s="1" t="s">
        <v>289</v>
      </c>
      <c r="B52" s="1" t="s">
        <v>18</v>
      </c>
      <c r="C52" s="1" t="s">
        <v>44</v>
      </c>
      <c r="D52" s="1" t="s">
        <v>260</v>
      </c>
      <c r="E52" s="1" t="s">
        <v>111</v>
      </c>
      <c r="F52" s="1" t="s">
        <v>167</v>
      </c>
      <c r="G52" s="1" t="s">
        <v>261</v>
      </c>
      <c r="H52" s="1">
        <v>2021</v>
      </c>
      <c r="I52" s="1" t="s">
        <v>290</v>
      </c>
      <c r="J52" s="1" t="s">
        <v>291</v>
      </c>
      <c r="K52" s="1" t="s">
        <v>264</v>
      </c>
      <c r="L52" s="1" t="s">
        <v>26</v>
      </c>
      <c r="M52" s="2">
        <v>13148</v>
      </c>
      <c r="O52" s="3">
        <v>45990</v>
      </c>
      <c r="P52" s="3">
        <v>45990</v>
      </c>
    </row>
    <row r="53" spans="1:17" x14ac:dyDescent="0.25">
      <c r="A53" s="1" t="s">
        <v>292</v>
      </c>
      <c r="B53" s="1" t="s">
        <v>18</v>
      </c>
      <c r="C53" s="1" t="s">
        <v>44</v>
      </c>
      <c r="D53" s="1" t="s">
        <v>260</v>
      </c>
      <c r="E53" s="1" t="s">
        <v>111</v>
      </c>
      <c r="F53" s="1" t="s">
        <v>167</v>
      </c>
      <c r="G53" s="1" t="s">
        <v>261</v>
      </c>
      <c r="H53" s="1">
        <v>2021</v>
      </c>
      <c r="I53" s="1" t="s">
        <v>293</v>
      </c>
      <c r="J53" s="1" t="s">
        <v>294</v>
      </c>
      <c r="K53" s="1" t="s">
        <v>264</v>
      </c>
      <c r="L53" s="1" t="s">
        <v>26</v>
      </c>
      <c r="M53" s="2">
        <v>13148</v>
      </c>
      <c r="O53" s="3">
        <v>46032</v>
      </c>
      <c r="P53" s="3">
        <v>46036</v>
      </c>
    </row>
    <row r="54" spans="1:17" x14ac:dyDescent="0.25">
      <c r="A54" s="1" t="s">
        <v>295</v>
      </c>
      <c r="B54" s="1" t="s">
        <v>18</v>
      </c>
      <c r="C54" s="1" t="s">
        <v>44</v>
      </c>
      <c r="D54" s="1" t="s">
        <v>260</v>
      </c>
      <c r="E54" s="1" t="s">
        <v>111</v>
      </c>
      <c r="F54" s="1" t="s">
        <v>167</v>
      </c>
      <c r="G54" s="1" t="s">
        <v>261</v>
      </c>
      <c r="H54" s="1">
        <v>2021</v>
      </c>
      <c r="I54" s="1" t="s">
        <v>296</v>
      </c>
      <c r="J54" s="1" t="s">
        <v>297</v>
      </c>
      <c r="K54" s="1" t="s">
        <v>264</v>
      </c>
      <c r="L54" s="1" t="s">
        <v>26</v>
      </c>
      <c r="M54" s="2">
        <v>13148</v>
      </c>
      <c r="O54" s="3">
        <v>46032</v>
      </c>
      <c r="P54" s="3">
        <v>46038</v>
      </c>
    </row>
    <row r="55" spans="1:17" x14ac:dyDescent="0.25">
      <c r="A55" s="1" t="s">
        <v>298</v>
      </c>
      <c r="B55" s="1" t="s">
        <v>18</v>
      </c>
      <c r="C55" s="1" t="s">
        <v>44</v>
      </c>
      <c r="D55" s="1" t="s">
        <v>260</v>
      </c>
      <c r="E55" s="1" t="s">
        <v>111</v>
      </c>
      <c r="F55" s="1" t="s">
        <v>167</v>
      </c>
      <c r="G55" s="1" t="s">
        <v>261</v>
      </c>
      <c r="H55" s="1">
        <v>2021</v>
      </c>
      <c r="I55" s="1" t="s">
        <v>299</v>
      </c>
      <c r="J55" s="1" t="s">
        <v>300</v>
      </c>
      <c r="K55" s="1" t="s">
        <v>264</v>
      </c>
      <c r="L55" s="1" t="s">
        <v>26</v>
      </c>
      <c r="M55" s="2">
        <v>13148</v>
      </c>
      <c r="O55" s="3">
        <v>46042</v>
      </c>
      <c r="P55" s="3">
        <v>46042</v>
      </c>
    </row>
    <row r="56" spans="1:17" x14ac:dyDescent="0.25">
      <c r="A56" s="1" t="s">
        <v>301</v>
      </c>
      <c r="B56" s="1" t="s">
        <v>18</v>
      </c>
      <c r="C56" s="1" t="s">
        <v>44</v>
      </c>
      <c r="D56" s="1" t="s">
        <v>260</v>
      </c>
      <c r="E56" s="1" t="s">
        <v>111</v>
      </c>
      <c r="F56" s="1" t="s">
        <v>167</v>
      </c>
      <c r="G56" s="1" t="s">
        <v>261</v>
      </c>
      <c r="H56" s="1">
        <v>2021</v>
      </c>
      <c r="I56" s="1" t="s">
        <v>302</v>
      </c>
      <c r="J56" s="1" t="s">
        <v>303</v>
      </c>
      <c r="K56" s="1" t="s">
        <v>264</v>
      </c>
      <c r="L56" s="1" t="s">
        <v>26</v>
      </c>
      <c r="M56" s="2">
        <v>13148</v>
      </c>
      <c r="O56" s="3">
        <v>46042</v>
      </c>
      <c r="P56" s="3">
        <v>46042</v>
      </c>
    </row>
    <row r="57" spans="1:17" x14ac:dyDescent="0.25">
      <c r="A57" s="1" t="s">
        <v>133</v>
      </c>
      <c r="B57" s="1" t="s">
        <v>18</v>
      </c>
      <c r="C57" s="1" t="s">
        <v>44</v>
      </c>
      <c r="D57" s="1" t="s">
        <v>134</v>
      </c>
      <c r="E57" s="1" t="s">
        <v>59</v>
      </c>
      <c r="F57" s="1" t="s">
        <v>117</v>
      </c>
      <c r="G57" s="1">
        <v>2730</v>
      </c>
      <c r="H57" s="1">
        <v>2026</v>
      </c>
      <c r="I57" s="1" t="s">
        <v>135</v>
      </c>
      <c r="J57" s="1" t="s">
        <v>136</v>
      </c>
      <c r="K57" s="1" t="s">
        <v>57</v>
      </c>
      <c r="L57" s="1" t="s">
        <v>26</v>
      </c>
      <c r="M57" s="2">
        <v>25000</v>
      </c>
      <c r="O57" s="3">
        <v>46154</v>
      </c>
      <c r="P57" s="3">
        <v>46152</v>
      </c>
    </row>
    <row r="58" spans="1:17" x14ac:dyDescent="0.25">
      <c r="A58" s="1" t="s">
        <v>137</v>
      </c>
      <c r="B58" s="1" t="s">
        <v>18</v>
      </c>
      <c r="C58" s="1" t="s">
        <v>44</v>
      </c>
      <c r="D58" s="1" t="s">
        <v>134</v>
      </c>
      <c r="E58" s="1" t="s">
        <v>138</v>
      </c>
      <c r="F58" s="1" t="s">
        <v>139</v>
      </c>
      <c r="G58" s="1" t="s">
        <v>140</v>
      </c>
      <c r="H58" s="1">
        <v>2026</v>
      </c>
      <c r="I58" s="1" t="s">
        <v>141</v>
      </c>
      <c r="J58" s="1" t="s">
        <v>142</v>
      </c>
      <c r="K58" s="1" t="s">
        <v>57</v>
      </c>
      <c r="L58" s="1" t="s">
        <v>26</v>
      </c>
      <c r="M58" s="2">
        <v>35000</v>
      </c>
      <c r="O58" s="3">
        <v>46181</v>
      </c>
      <c r="P58" s="3">
        <v>46181</v>
      </c>
      <c r="Q58" s="3">
        <v>46213</v>
      </c>
    </row>
    <row r="59" spans="1:17" x14ac:dyDescent="0.25">
      <c r="A59" s="1" t="s">
        <v>422</v>
      </c>
      <c r="B59" s="1" t="s">
        <v>18</v>
      </c>
      <c r="C59" s="1" t="s">
        <v>44</v>
      </c>
      <c r="D59" s="1" t="s">
        <v>308</v>
      </c>
      <c r="E59" s="1" t="s">
        <v>423</v>
      </c>
      <c r="F59" s="1" t="s">
        <v>47</v>
      </c>
      <c r="G59" s="1" t="s">
        <v>424</v>
      </c>
      <c r="H59" s="1">
        <v>2013</v>
      </c>
      <c r="I59" s="1" t="s">
        <v>425</v>
      </c>
      <c r="J59" s="1" t="s">
        <v>422</v>
      </c>
      <c r="K59" s="1" t="s">
        <v>75</v>
      </c>
      <c r="L59" s="1" t="s">
        <v>26</v>
      </c>
      <c r="M59" s="2">
        <v>12000</v>
      </c>
      <c r="O59" s="3">
        <v>45927</v>
      </c>
      <c r="P59" s="3">
        <v>45920</v>
      </c>
    </row>
    <row r="60" spans="1:17" x14ac:dyDescent="0.25">
      <c r="A60" s="1" t="s">
        <v>147</v>
      </c>
      <c r="B60" s="1" t="s">
        <v>18</v>
      </c>
      <c r="C60" s="1" t="s">
        <v>44</v>
      </c>
      <c r="D60" s="1" t="s">
        <v>148</v>
      </c>
      <c r="E60" s="1" t="s">
        <v>149</v>
      </c>
      <c r="F60" s="1" t="s">
        <v>117</v>
      </c>
      <c r="G60" s="1" t="s">
        <v>150</v>
      </c>
      <c r="H60" s="1">
        <v>2025</v>
      </c>
      <c r="I60" s="1" t="s">
        <v>151</v>
      </c>
      <c r="J60" s="1" t="s">
        <v>152</v>
      </c>
      <c r="K60" s="1" t="s">
        <v>57</v>
      </c>
      <c r="L60" s="1" t="s">
        <v>26</v>
      </c>
      <c r="M60" s="2">
        <v>35000</v>
      </c>
      <c r="O60" s="3">
        <v>46097</v>
      </c>
      <c r="P60" s="3">
        <v>46095</v>
      </c>
    </row>
    <row r="61" spans="1:17" x14ac:dyDescent="0.25">
      <c r="A61" s="1" t="s">
        <v>201</v>
      </c>
      <c r="B61" s="1" t="s">
        <v>18</v>
      </c>
      <c r="C61" s="1" t="s">
        <v>44</v>
      </c>
      <c r="D61" s="1" t="s">
        <v>202</v>
      </c>
      <c r="E61" s="1" t="s">
        <v>149</v>
      </c>
      <c r="F61" s="1" t="s">
        <v>117</v>
      </c>
      <c r="G61" s="1" t="s">
        <v>203</v>
      </c>
      <c r="H61" s="1">
        <v>2016</v>
      </c>
      <c r="I61" s="1" t="s">
        <v>204</v>
      </c>
      <c r="J61" s="1" t="s">
        <v>205</v>
      </c>
      <c r="K61" s="1" t="s">
        <v>57</v>
      </c>
      <c r="L61" s="1" t="s">
        <v>26</v>
      </c>
      <c r="M61" s="2">
        <v>35000</v>
      </c>
      <c r="O61" s="3">
        <v>45985</v>
      </c>
      <c r="P61" s="3">
        <v>45983</v>
      </c>
    </row>
    <row r="62" spans="1:17" x14ac:dyDescent="0.25">
      <c r="A62" s="1" t="s">
        <v>255</v>
      </c>
      <c r="B62" s="1" t="s">
        <v>18</v>
      </c>
      <c r="C62" s="1" t="s">
        <v>44</v>
      </c>
      <c r="D62" s="1" t="s">
        <v>202</v>
      </c>
      <c r="E62" s="1" t="s">
        <v>246</v>
      </c>
      <c r="F62" s="1" t="s">
        <v>117</v>
      </c>
      <c r="G62" s="1" t="s">
        <v>256</v>
      </c>
      <c r="H62" s="1">
        <v>2010</v>
      </c>
      <c r="I62" s="1" t="s">
        <v>257</v>
      </c>
      <c r="J62" s="1" t="s">
        <v>258</v>
      </c>
      <c r="K62" s="1" t="s">
        <v>57</v>
      </c>
      <c r="L62" s="1" t="s">
        <v>26</v>
      </c>
      <c r="M62" s="2">
        <v>14000</v>
      </c>
      <c r="O62" s="3">
        <v>45987</v>
      </c>
      <c r="P62" s="3">
        <v>45987</v>
      </c>
    </row>
    <row r="63" spans="1:17" x14ac:dyDescent="0.25">
      <c r="A63" s="1" t="s">
        <v>322</v>
      </c>
      <c r="B63" s="1" t="s">
        <v>18</v>
      </c>
      <c r="C63" s="1" t="s">
        <v>44</v>
      </c>
      <c r="D63" s="1" t="s">
        <v>315</v>
      </c>
      <c r="E63" s="1" t="s">
        <v>246</v>
      </c>
      <c r="F63" s="1" t="s">
        <v>323</v>
      </c>
      <c r="G63" s="1" t="s">
        <v>310</v>
      </c>
      <c r="H63" s="1">
        <v>2021</v>
      </c>
      <c r="I63" s="1" t="s">
        <v>324</v>
      </c>
      <c r="J63" s="1" t="s">
        <v>322</v>
      </c>
      <c r="K63" s="1" t="s">
        <v>325</v>
      </c>
      <c r="L63" s="1" t="s">
        <v>26</v>
      </c>
      <c r="M63" s="2">
        <v>30000</v>
      </c>
      <c r="O63" s="3">
        <v>46123</v>
      </c>
      <c r="P63" s="3">
        <v>46110</v>
      </c>
    </row>
    <row r="64" spans="1:17" x14ac:dyDescent="0.25">
      <c r="A64" s="1" t="s">
        <v>426</v>
      </c>
      <c r="B64" s="1" t="s">
        <v>18</v>
      </c>
      <c r="C64" s="1" t="s">
        <v>44</v>
      </c>
      <c r="D64" s="1" t="s">
        <v>308</v>
      </c>
      <c r="E64" s="1" t="s">
        <v>246</v>
      </c>
      <c r="F64" s="1" t="s">
        <v>186</v>
      </c>
      <c r="G64" s="1" t="s">
        <v>427</v>
      </c>
      <c r="H64" s="1">
        <v>2025</v>
      </c>
      <c r="I64" s="1" t="s">
        <v>428</v>
      </c>
      <c r="J64" s="1" t="s">
        <v>426</v>
      </c>
      <c r="K64" s="1" t="s">
        <v>429</v>
      </c>
      <c r="L64" s="1" t="s">
        <v>26</v>
      </c>
      <c r="M64" s="2">
        <v>27000</v>
      </c>
      <c r="O64" s="3">
        <v>45927</v>
      </c>
      <c r="P64" s="3">
        <v>45917</v>
      </c>
    </row>
    <row r="65" spans="1:17" x14ac:dyDescent="0.25">
      <c r="A65" s="1" t="s">
        <v>550</v>
      </c>
      <c r="B65" s="1" t="s">
        <v>18</v>
      </c>
      <c r="C65" s="1" t="s">
        <v>44</v>
      </c>
      <c r="D65" s="1" t="s">
        <v>148</v>
      </c>
      <c r="E65" s="1" t="s">
        <v>246</v>
      </c>
      <c r="F65" s="1" t="s">
        <v>323</v>
      </c>
      <c r="G65" s="1" t="s">
        <v>310</v>
      </c>
      <c r="H65" s="1">
        <v>2021</v>
      </c>
      <c r="I65" s="1" t="s">
        <v>551</v>
      </c>
      <c r="J65" s="1" t="s">
        <v>550</v>
      </c>
      <c r="K65" s="1" t="s">
        <v>552</v>
      </c>
      <c r="L65" s="1" t="s">
        <v>26</v>
      </c>
      <c r="M65" s="2">
        <v>27000</v>
      </c>
      <c r="O65" s="3">
        <v>46093</v>
      </c>
      <c r="P65" s="3">
        <v>46084</v>
      </c>
    </row>
    <row r="66" spans="1:17" x14ac:dyDescent="0.25">
      <c r="A66" s="1" t="s">
        <v>250</v>
      </c>
      <c r="B66" s="1" t="s">
        <v>18</v>
      </c>
      <c r="C66" s="1" t="s">
        <v>44</v>
      </c>
      <c r="D66" s="1" t="s">
        <v>66</v>
      </c>
      <c r="E66" s="1" t="s">
        <v>251</v>
      </c>
      <c r="F66" s="1" t="s">
        <v>167</v>
      </c>
      <c r="G66" s="1" t="s">
        <v>252</v>
      </c>
      <c r="H66" s="1">
        <v>2024</v>
      </c>
      <c r="I66" s="1" t="s">
        <v>253</v>
      </c>
      <c r="J66" s="1" t="s">
        <v>250</v>
      </c>
      <c r="K66" s="1" t="s">
        <v>254</v>
      </c>
      <c r="L66" s="1" t="s">
        <v>26</v>
      </c>
      <c r="M66" s="2">
        <v>30000</v>
      </c>
      <c r="O66" s="3">
        <v>46088</v>
      </c>
      <c r="P66" s="3">
        <v>46089</v>
      </c>
    </row>
    <row r="67" spans="1:17" x14ac:dyDescent="0.25">
      <c r="A67" s="1" t="s">
        <v>304</v>
      </c>
      <c r="B67" s="1" t="s">
        <v>18</v>
      </c>
      <c r="C67" s="1" t="s">
        <v>44</v>
      </c>
      <c r="D67" s="1" t="s">
        <v>66</v>
      </c>
      <c r="E67" s="1" t="s">
        <v>251</v>
      </c>
      <c r="F67" s="1" t="s">
        <v>47</v>
      </c>
      <c r="G67" s="1" t="s">
        <v>85</v>
      </c>
      <c r="H67" s="1">
        <v>2024</v>
      </c>
      <c r="I67" s="1" t="s">
        <v>305</v>
      </c>
      <c r="J67" s="1" t="s">
        <v>306</v>
      </c>
      <c r="K67" s="1" t="s">
        <v>57</v>
      </c>
      <c r="L67" s="1" t="s">
        <v>26</v>
      </c>
      <c r="M67" s="2">
        <v>12500</v>
      </c>
      <c r="O67" s="3">
        <v>45847</v>
      </c>
      <c r="P67" s="3">
        <v>45842</v>
      </c>
    </row>
    <row r="68" spans="1:17" x14ac:dyDescent="0.25">
      <c r="A68" s="1" t="s">
        <v>307</v>
      </c>
      <c r="B68" s="1" t="s">
        <v>18</v>
      </c>
      <c r="C68" s="1" t="s">
        <v>44</v>
      </c>
      <c r="D68" s="1" t="s">
        <v>308</v>
      </c>
      <c r="E68" s="1" t="s">
        <v>309</v>
      </c>
      <c r="F68" s="1" t="s">
        <v>47</v>
      </c>
      <c r="G68" s="1" t="s">
        <v>310</v>
      </c>
      <c r="H68" s="1">
        <v>2022</v>
      </c>
      <c r="I68" s="1" t="s">
        <v>311</v>
      </c>
      <c r="J68" s="1" t="s">
        <v>312</v>
      </c>
      <c r="K68" s="1" t="s">
        <v>57</v>
      </c>
      <c r="L68" s="1" t="s">
        <v>26</v>
      </c>
      <c r="M68" s="2">
        <v>14000</v>
      </c>
      <c r="N68" s="1" t="s">
        <v>313</v>
      </c>
      <c r="O68" s="3">
        <v>45927</v>
      </c>
      <c r="P68" s="3">
        <v>45919</v>
      </c>
    </row>
    <row r="69" spans="1:17" x14ac:dyDescent="0.25">
      <c r="A69" s="1" t="s">
        <v>326</v>
      </c>
      <c r="B69" s="1" t="s">
        <v>18</v>
      </c>
      <c r="C69" s="1" t="s">
        <v>44</v>
      </c>
      <c r="D69" s="1" t="s">
        <v>315</v>
      </c>
      <c r="E69" s="1" t="s">
        <v>309</v>
      </c>
      <c r="F69" s="1" t="s">
        <v>60</v>
      </c>
      <c r="G69" s="1" t="s">
        <v>327</v>
      </c>
      <c r="H69" s="1">
        <v>2020</v>
      </c>
      <c r="I69" s="1" t="s">
        <v>328</v>
      </c>
      <c r="J69" s="1" t="s">
        <v>326</v>
      </c>
      <c r="K69" s="1" t="s">
        <v>329</v>
      </c>
      <c r="L69" s="1" t="s">
        <v>26</v>
      </c>
      <c r="M69" s="2">
        <v>16000</v>
      </c>
      <c r="O69" s="3">
        <v>46123</v>
      </c>
      <c r="P69" s="3">
        <v>46123</v>
      </c>
    </row>
    <row r="70" spans="1:17" x14ac:dyDescent="0.25">
      <c r="A70" s="1" t="s">
        <v>330</v>
      </c>
      <c r="B70" s="1" t="s">
        <v>18</v>
      </c>
      <c r="C70" s="1" t="s">
        <v>44</v>
      </c>
      <c r="D70" s="1" t="s">
        <v>148</v>
      </c>
      <c r="E70" s="1" t="s">
        <v>309</v>
      </c>
      <c r="F70" s="1" t="s">
        <v>117</v>
      </c>
      <c r="G70" s="1" t="s">
        <v>331</v>
      </c>
      <c r="H70" s="1">
        <v>2025</v>
      </c>
      <c r="I70" s="1" t="s">
        <v>332</v>
      </c>
      <c r="J70" s="1" t="s">
        <v>333</v>
      </c>
      <c r="K70" s="1" t="s">
        <v>57</v>
      </c>
      <c r="L70" s="1" t="s">
        <v>26</v>
      </c>
      <c r="M70" s="2">
        <v>17000</v>
      </c>
      <c r="O70" s="3">
        <v>46049</v>
      </c>
      <c r="P70" s="3">
        <v>45986</v>
      </c>
    </row>
    <row r="71" spans="1:17" x14ac:dyDescent="0.25">
      <c r="A71" s="1" t="s">
        <v>339</v>
      </c>
      <c r="B71" s="1" t="s">
        <v>18</v>
      </c>
      <c r="C71" s="1" t="s">
        <v>44</v>
      </c>
      <c r="D71" s="1" t="s">
        <v>340</v>
      </c>
      <c r="E71" s="1" t="s">
        <v>309</v>
      </c>
      <c r="G71" s="1" t="s">
        <v>203</v>
      </c>
      <c r="H71" s="1">
        <v>2020</v>
      </c>
      <c r="I71" s="1" t="s">
        <v>341</v>
      </c>
      <c r="J71" s="1" t="s">
        <v>342</v>
      </c>
      <c r="K71" s="1" t="s">
        <v>57</v>
      </c>
      <c r="L71" s="1" t="s">
        <v>26</v>
      </c>
      <c r="M71" s="2">
        <v>17000</v>
      </c>
      <c r="O71" s="3">
        <v>45971</v>
      </c>
      <c r="P71" s="3">
        <v>45963</v>
      </c>
    </row>
    <row r="72" spans="1:17" x14ac:dyDescent="0.25">
      <c r="A72" s="1" t="s">
        <v>400</v>
      </c>
      <c r="B72" s="1" t="s">
        <v>18</v>
      </c>
      <c r="C72" s="1" t="s">
        <v>44</v>
      </c>
      <c r="D72" s="1" t="s">
        <v>340</v>
      </c>
      <c r="E72" s="1" t="s">
        <v>309</v>
      </c>
      <c r="F72" s="1" t="s">
        <v>47</v>
      </c>
      <c r="G72" s="1" t="s">
        <v>401</v>
      </c>
      <c r="H72" s="1">
        <v>2024</v>
      </c>
      <c r="I72" s="1" t="s">
        <v>402</v>
      </c>
      <c r="J72" s="1" t="s">
        <v>403</v>
      </c>
      <c r="K72" s="1" t="s">
        <v>57</v>
      </c>
      <c r="L72" s="1" t="s">
        <v>26</v>
      </c>
      <c r="M72" s="2">
        <v>17000</v>
      </c>
      <c r="N72" s="1" t="s">
        <v>76</v>
      </c>
      <c r="O72" s="3">
        <v>45861</v>
      </c>
      <c r="P72" s="3">
        <v>45843</v>
      </c>
    </row>
    <row r="73" spans="1:17" x14ac:dyDescent="0.25">
      <c r="A73" s="1" t="s">
        <v>410</v>
      </c>
      <c r="B73" s="1" t="s">
        <v>18</v>
      </c>
      <c r="C73" s="1" t="s">
        <v>44</v>
      </c>
      <c r="D73" s="1" t="s">
        <v>340</v>
      </c>
      <c r="E73" s="1" t="s">
        <v>309</v>
      </c>
      <c r="F73" s="1" t="s">
        <v>117</v>
      </c>
      <c r="G73" s="1">
        <v>1718</v>
      </c>
      <c r="H73" s="1">
        <v>2010</v>
      </c>
      <c r="I73" s="1" t="s">
        <v>411</v>
      </c>
      <c r="J73" s="1" t="s">
        <v>410</v>
      </c>
      <c r="K73" s="1" t="s">
        <v>57</v>
      </c>
      <c r="L73" s="1" t="s">
        <v>26</v>
      </c>
      <c r="M73" s="2">
        <v>14000</v>
      </c>
      <c r="O73" s="3">
        <v>46235</v>
      </c>
      <c r="P73" s="3">
        <v>46235</v>
      </c>
    </row>
    <row r="74" spans="1:17" x14ac:dyDescent="0.25">
      <c r="A74" s="1" t="s">
        <v>723</v>
      </c>
      <c r="B74" s="1" t="s">
        <v>18</v>
      </c>
      <c r="C74" s="1" t="s">
        <v>44</v>
      </c>
      <c r="D74" s="1" t="s">
        <v>659</v>
      </c>
      <c r="E74" s="1" t="s">
        <v>309</v>
      </c>
      <c r="F74" s="1" t="s">
        <v>47</v>
      </c>
      <c r="G74" s="1" t="s">
        <v>865</v>
      </c>
      <c r="H74" s="1">
        <v>2008</v>
      </c>
      <c r="I74" s="1" t="s">
        <v>866</v>
      </c>
      <c r="J74" s="1" t="s">
        <v>723</v>
      </c>
      <c r="K74" s="1" t="s">
        <v>726</v>
      </c>
      <c r="L74" s="1" t="s">
        <v>26</v>
      </c>
      <c r="M74" s="2">
        <v>17000</v>
      </c>
      <c r="N74" s="1" t="s">
        <v>76</v>
      </c>
      <c r="O74" s="3">
        <v>46108</v>
      </c>
      <c r="P74" s="3">
        <v>46108</v>
      </c>
    </row>
    <row r="75" spans="1:17" x14ac:dyDescent="0.25">
      <c r="A75" s="1" t="s">
        <v>430</v>
      </c>
      <c r="B75" s="1" t="s">
        <v>18</v>
      </c>
      <c r="C75" s="1" t="s">
        <v>44</v>
      </c>
      <c r="D75" s="1" t="s">
        <v>45</v>
      </c>
      <c r="E75" s="1" t="s">
        <v>431</v>
      </c>
      <c r="F75" s="1" t="s">
        <v>47</v>
      </c>
      <c r="G75" s="4">
        <v>1719</v>
      </c>
      <c r="H75" s="1">
        <v>2012</v>
      </c>
      <c r="I75" s="1" t="s">
        <v>432</v>
      </c>
      <c r="J75" s="1" t="s">
        <v>433</v>
      </c>
      <c r="K75" s="1" t="s">
        <v>57</v>
      </c>
      <c r="L75" s="1" t="s">
        <v>26</v>
      </c>
      <c r="M75" s="2">
        <v>13000</v>
      </c>
      <c r="N75" s="1" t="s">
        <v>76</v>
      </c>
      <c r="O75" s="3">
        <v>45838</v>
      </c>
      <c r="P75" s="3">
        <v>45838</v>
      </c>
    </row>
    <row r="76" spans="1:17" hidden="1" x14ac:dyDescent="0.25">
      <c r="A76" s="1" t="s">
        <v>343</v>
      </c>
      <c r="B76" s="1" t="s">
        <v>28</v>
      </c>
      <c r="C76" s="1" t="s">
        <v>19</v>
      </c>
      <c r="D76" s="1" t="s">
        <v>315</v>
      </c>
      <c r="E76" s="1" t="s">
        <v>177</v>
      </c>
      <c r="F76" s="1" t="s">
        <v>344</v>
      </c>
      <c r="G76" s="1" t="s">
        <v>345</v>
      </c>
      <c r="H76" s="1">
        <v>2025</v>
      </c>
      <c r="I76" s="1" t="s">
        <v>346</v>
      </c>
      <c r="J76" s="1" t="s">
        <v>343</v>
      </c>
      <c r="K76" s="1" t="s">
        <v>181</v>
      </c>
      <c r="L76" s="1" t="s">
        <v>26</v>
      </c>
      <c r="M76" s="2">
        <v>1200</v>
      </c>
      <c r="O76" s="3">
        <v>46122</v>
      </c>
      <c r="P76" s="3">
        <v>46122</v>
      </c>
      <c r="Q76" s="3">
        <v>46199</v>
      </c>
    </row>
    <row r="77" spans="1:17" hidden="1" x14ac:dyDescent="0.25">
      <c r="A77" s="1" t="s">
        <v>347</v>
      </c>
      <c r="B77" s="1" t="s">
        <v>28</v>
      </c>
      <c r="C77" s="1" t="s">
        <v>19</v>
      </c>
      <c r="D77" s="1" t="s">
        <v>315</v>
      </c>
      <c r="E77" s="1" t="s">
        <v>144</v>
      </c>
      <c r="F77" s="1" t="s">
        <v>117</v>
      </c>
      <c r="G77" s="1" t="s">
        <v>348</v>
      </c>
      <c r="H77" s="1">
        <v>2013</v>
      </c>
      <c r="I77" s="1" t="s">
        <v>349</v>
      </c>
      <c r="J77" s="1" t="s">
        <v>347</v>
      </c>
      <c r="K77" s="1" t="s">
        <v>75</v>
      </c>
      <c r="L77" s="1" t="s">
        <v>26</v>
      </c>
      <c r="M77" s="2">
        <v>15000</v>
      </c>
      <c r="O77" s="3">
        <v>46124</v>
      </c>
      <c r="P77" s="3">
        <v>46123</v>
      </c>
      <c r="Q77" s="3">
        <v>46184</v>
      </c>
    </row>
    <row r="78" spans="1:17" x14ac:dyDescent="0.25">
      <c r="A78" s="1" t="s">
        <v>434</v>
      </c>
      <c r="B78" s="1" t="s">
        <v>18</v>
      </c>
      <c r="C78" s="1" t="s">
        <v>44</v>
      </c>
      <c r="D78" s="1" t="s">
        <v>340</v>
      </c>
      <c r="E78" s="1" t="s">
        <v>431</v>
      </c>
      <c r="F78" s="1" t="s">
        <v>117</v>
      </c>
      <c r="G78" s="1" t="s">
        <v>435</v>
      </c>
      <c r="H78" s="1">
        <v>2024</v>
      </c>
      <c r="I78" s="1" t="s">
        <v>135</v>
      </c>
      <c r="J78" s="1" t="s">
        <v>436</v>
      </c>
      <c r="K78" s="1" t="s">
        <v>57</v>
      </c>
      <c r="L78" s="1" t="s">
        <v>26</v>
      </c>
      <c r="M78" s="2">
        <v>25000</v>
      </c>
      <c r="O78" s="3">
        <v>46141</v>
      </c>
      <c r="P78" s="3">
        <v>46141</v>
      </c>
    </row>
    <row r="79" spans="1:17" hidden="1" x14ac:dyDescent="0.25">
      <c r="A79" s="1" t="s">
        <v>185</v>
      </c>
      <c r="B79" s="1" t="s">
        <v>28</v>
      </c>
      <c r="C79" s="1" t="s">
        <v>19</v>
      </c>
      <c r="D79" s="1" t="s">
        <v>315</v>
      </c>
      <c r="E79" s="1" t="s">
        <v>144</v>
      </c>
      <c r="F79" s="1" t="s">
        <v>186</v>
      </c>
      <c r="G79" s="1" t="s">
        <v>187</v>
      </c>
      <c r="H79" s="1">
        <v>2025</v>
      </c>
      <c r="I79" s="1" t="s">
        <v>188</v>
      </c>
      <c r="J79" s="1" t="s">
        <v>353</v>
      </c>
      <c r="K79" s="1" t="s">
        <v>190</v>
      </c>
      <c r="L79" s="1" t="s">
        <v>26</v>
      </c>
      <c r="M79" s="2">
        <v>23000</v>
      </c>
      <c r="O79" s="3">
        <v>46093</v>
      </c>
      <c r="P79" s="3">
        <v>46090</v>
      </c>
      <c r="Q79" s="3">
        <v>46155</v>
      </c>
    </row>
    <row r="80" spans="1:17" x14ac:dyDescent="0.25">
      <c r="A80" s="1" t="s">
        <v>516</v>
      </c>
      <c r="B80" s="1" t="s">
        <v>18</v>
      </c>
      <c r="C80" s="1" t="s">
        <v>44</v>
      </c>
      <c r="D80" s="1" t="s">
        <v>487</v>
      </c>
      <c r="E80" s="1" t="s">
        <v>517</v>
      </c>
      <c r="F80" s="1" t="s">
        <v>47</v>
      </c>
      <c r="G80" s="1" t="s">
        <v>518</v>
      </c>
      <c r="H80" s="1">
        <v>2013</v>
      </c>
      <c r="I80" s="1" t="s">
        <v>519</v>
      </c>
      <c r="J80" s="1" t="s">
        <v>516</v>
      </c>
      <c r="K80" s="1" t="s">
        <v>520</v>
      </c>
      <c r="L80" s="1" t="s">
        <v>26</v>
      </c>
      <c r="M80" s="2">
        <v>10000</v>
      </c>
      <c r="O80" s="3">
        <v>45870</v>
      </c>
      <c r="P80" s="3">
        <v>45870</v>
      </c>
    </row>
    <row r="81" spans="1:17" hidden="1" x14ac:dyDescent="0.25">
      <c r="A81" s="1" t="s">
        <v>360</v>
      </c>
      <c r="B81" s="1" t="s">
        <v>28</v>
      </c>
      <c r="C81" s="1" t="s">
        <v>19</v>
      </c>
      <c r="D81" s="1" t="s">
        <v>315</v>
      </c>
      <c r="E81" s="1" t="s">
        <v>335</v>
      </c>
      <c r="F81" s="1" t="s">
        <v>338</v>
      </c>
      <c r="G81" s="1" t="s">
        <v>361</v>
      </c>
      <c r="H81" s="1">
        <v>2011</v>
      </c>
      <c r="J81" s="1" t="s">
        <v>360</v>
      </c>
      <c r="K81" s="1" t="s">
        <v>338</v>
      </c>
      <c r="L81" s="1" t="s">
        <v>26</v>
      </c>
      <c r="M81" s="2">
        <v>7200</v>
      </c>
      <c r="O81" s="3">
        <v>46108</v>
      </c>
      <c r="P81" s="3">
        <v>46103</v>
      </c>
      <c r="Q81" s="3">
        <v>46182</v>
      </c>
    </row>
    <row r="82" spans="1:17" x14ac:dyDescent="0.25">
      <c r="A82" s="1" t="s">
        <v>521</v>
      </c>
      <c r="B82" s="1" t="s">
        <v>18</v>
      </c>
      <c r="C82" s="1" t="s">
        <v>44</v>
      </c>
      <c r="D82" s="1" t="s">
        <v>487</v>
      </c>
      <c r="E82" s="1" t="s">
        <v>517</v>
      </c>
      <c r="F82" s="1" t="s">
        <v>522</v>
      </c>
      <c r="G82" s="1" t="s">
        <v>523</v>
      </c>
      <c r="H82" s="1">
        <v>2014</v>
      </c>
      <c r="I82" s="1" t="s">
        <v>524</v>
      </c>
      <c r="J82" s="1" t="s">
        <v>521</v>
      </c>
      <c r="K82" s="1" t="s">
        <v>525</v>
      </c>
      <c r="L82" s="1" t="s">
        <v>36</v>
      </c>
      <c r="M82" s="2">
        <v>9000</v>
      </c>
      <c r="O82" s="3">
        <v>46084</v>
      </c>
      <c r="P82" s="3">
        <v>46075</v>
      </c>
    </row>
    <row r="83" spans="1:17" hidden="1" x14ac:dyDescent="0.25">
      <c r="A83" s="1" t="s">
        <v>366</v>
      </c>
      <c r="B83" s="1" t="s">
        <v>28</v>
      </c>
      <c r="C83" s="1" t="s">
        <v>19</v>
      </c>
      <c r="D83" s="1" t="s">
        <v>315</v>
      </c>
      <c r="E83" s="1" t="s">
        <v>367</v>
      </c>
      <c r="F83" s="1" t="s">
        <v>368</v>
      </c>
      <c r="G83" s="1" t="s">
        <v>369</v>
      </c>
      <c r="H83" s="1">
        <v>2025</v>
      </c>
      <c r="I83" s="1">
        <v>9130020</v>
      </c>
      <c r="J83" s="1" t="s">
        <v>366</v>
      </c>
      <c r="K83" s="1" t="s">
        <v>370</v>
      </c>
      <c r="L83" s="1" t="s">
        <v>26</v>
      </c>
      <c r="M83" s="1">
        <v>0</v>
      </c>
      <c r="O83" s="3">
        <v>46121</v>
      </c>
      <c r="P83" s="3">
        <v>46121</v>
      </c>
      <c r="Q83" s="3">
        <v>46181</v>
      </c>
    </row>
    <row r="84" spans="1:17" x14ac:dyDescent="0.25">
      <c r="A84" s="1" t="s">
        <v>558</v>
      </c>
      <c r="B84" s="1" t="s">
        <v>18</v>
      </c>
      <c r="C84" s="1" t="s">
        <v>44</v>
      </c>
      <c r="D84" s="1" t="s">
        <v>148</v>
      </c>
      <c r="E84" s="1" t="s">
        <v>559</v>
      </c>
      <c r="F84" s="1" t="s">
        <v>560</v>
      </c>
      <c r="G84" s="1" t="s">
        <v>561</v>
      </c>
      <c r="H84" s="1">
        <v>1991</v>
      </c>
      <c r="I84" s="1" t="s">
        <v>562</v>
      </c>
      <c r="J84" s="1" t="s">
        <v>558</v>
      </c>
      <c r="K84" s="1" t="s">
        <v>563</v>
      </c>
      <c r="L84" s="1" t="s">
        <v>26</v>
      </c>
      <c r="M84" s="2">
        <v>18500</v>
      </c>
      <c r="O84" s="3">
        <v>46090</v>
      </c>
      <c r="P84" s="3">
        <v>46090</v>
      </c>
    </row>
    <row r="85" spans="1:17" x14ac:dyDescent="0.25">
      <c r="A85" s="1" t="s">
        <v>643</v>
      </c>
      <c r="B85" s="1" t="s">
        <v>18</v>
      </c>
      <c r="C85" s="1" t="s">
        <v>44</v>
      </c>
      <c r="D85" s="1" t="s">
        <v>202</v>
      </c>
      <c r="E85" s="1" t="s">
        <v>559</v>
      </c>
      <c r="F85" s="1" t="s">
        <v>644</v>
      </c>
      <c r="G85" s="1" t="s">
        <v>645</v>
      </c>
      <c r="H85" s="1">
        <v>1978</v>
      </c>
      <c r="J85" s="1" t="s">
        <v>643</v>
      </c>
      <c r="K85" s="1" t="s">
        <v>646</v>
      </c>
      <c r="L85" s="1" t="s">
        <v>26</v>
      </c>
      <c r="M85" s="2">
        <v>13500</v>
      </c>
      <c r="O85" s="3">
        <v>45910</v>
      </c>
      <c r="P85" s="3">
        <v>45910</v>
      </c>
    </row>
    <row r="86" spans="1:17" x14ac:dyDescent="0.25">
      <c r="A86" s="1" t="s">
        <v>757</v>
      </c>
      <c r="B86" s="1" t="s">
        <v>18</v>
      </c>
      <c r="C86" s="1" t="s">
        <v>44</v>
      </c>
      <c r="D86" s="1" t="s">
        <v>340</v>
      </c>
      <c r="E86" s="1" t="s">
        <v>559</v>
      </c>
      <c r="F86" s="1" t="s">
        <v>758</v>
      </c>
      <c r="G86" s="1" t="s">
        <v>758</v>
      </c>
      <c r="H86" s="1">
        <v>1977</v>
      </c>
      <c r="I86" s="1">
        <v>37084</v>
      </c>
      <c r="J86" s="1" t="s">
        <v>757</v>
      </c>
      <c r="K86" s="1" t="s">
        <v>646</v>
      </c>
      <c r="L86" s="1" t="s">
        <v>26</v>
      </c>
      <c r="M86" s="2">
        <v>12000</v>
      </c>
      <c r="O86" s="3">
        <v>45981</v>
      </c>
      <c r="P86" s="3">
        <v>45981</v>
      </c>
      <c r="Q86" s="1" t="s">
        <v>352</v>
      </c>
    </row>
    <row r="87" spans="1:17" x14ac:dyDescent="0.25">
      <c r="A87" s="1" t="s">
        <v>441</v>
      </c>
      <c r="B87" s="1" t="s">
        <v>18</v>
      </c>
      <c r="C87" s="1" t="s">
        <v>44</v>
      </c>
      <c r="D87" s="1" t="s">
        <v>45</v>
      </c>
      <c r="E87" s="1" t="s">
        <v>177</v>
      </c>
      <c r="F87" s="1" t="s">
        <v>442</v>
      </c>
      <c r="G87" s="1" t="s">
        <v>345</v>
      </c>
      <c r="H87" s="1">
        <v>2025</v>
      </c>
      <c r="I87" s="1" t="s">
        <v>443</v>
      </c>
      <c r="J87" s="1" t="s">
        <v>444</v>
      </c>
      <c r="K87" s="1" t="s">
        <v>57</v>
      </c>
      <c r="L87" s="1" t="s">
        <v>26</v>
      </c>
      <c r="M87" s="1">
        <v>0</v>
      </c>
      <c r="O87" s="3">
        <v>45880</v>
      </c>
      <c r="P87" s="3">
        <v>45878</v>
      </c>
    </row>
    <row r="88" spans="1:17" x14ac:dyDescent="0.25">
      <c r="A88" s="1" t="s">
        <v>465</v>
      </c>
      <c r="B88" s="1" t="s">
        <v>18</v>
      </c>
      <c r="C88" s="1" t="s">
        <v>44</v>
      </c>
      <c r="D88" s="1" t="s">
        <v>52</v>
      </c>
      <c r="E88" s="1" t="s">
        <v>177</v>
      </c>
      <c r="F88" s="1" t="s">
        <v>466</v>
      </c>
      <c r="G88" s="1" t="s">
        <v>467</v>
      </c>
      <c r="H88" s="1">
        <v>2025</v>
      </c>
      <c r="I88" s="1" t="s">
        <v>468</v>
      </c>
      <c r="J88" s="1" t="s">
        <v>469</v>
      </c>
      <c r="K88" s="1" t="s">
        <v>57</v>
      </c>
      <c r="L88" s="1" t="s">
        <v>26</v>
      </c>
      <c r="M88" s="1">
        <v>0</v>
      </c>
      <c r="O88" s="3">
        <v>46093</v>
      </c>
      <c r="P88" s="3">
        <v>45926</v>
      </c>
    </row>
    <row r="89" spans="1:17" hidden="1" x14ac:dyDescent="0.25">
      <c r="A89" s="1" t="s">
        <v>392</v>
      </c>
      <c r="B89" s="1" t="s">
        <v>28</v>
      </c>
      <c r="C89" s="1" t="s">
        <v>242</v>
      </c>
      <c r="D89" s="1" t="s">
        <v>315</v>
      </c>
      <c r="E89" s="1" t="s">
        <v>172</v>
      </c>
      <c r="F89" s="1" t="s">
        <v>90</v>
      </c>
      <c r="G89" s="1" t="s">
        <v>393</v>
      </c>
      <c r="H89" s="1">
        <v>2021</v>
      </c>
      <c r="I89" s="1" t="s">
        <v>394</v>
      </c>
      <c r="J89" s="1" t="s">
        <v>395</v>
      </c>
      <c r="K89" s="1" t="s">
        <v>93</v>
      </c>
      <c r="L89" s="1" t="s">
        <v>26</v>
      </c>
      <c r="M89" s="2">
        <v>17000</v>
      </c>
      <c r="O89" s="3">
        <v>45908</v>
      </c>
      <c r="P89" s="3">
        <v>45902</v>
      </c>
      <c r="Q89" s="3">
        <v>46122</v>
      </c>
    </row>
    <row r="90" spans="1:17" x14ac:dyDescent="0.25">
      <c r="A90" s="1" t="s">
        <v>473</v>
      </c>
      <c r="B90" s="1" t="s">
        <v>18</v>
      </c>
      <c r="C90" s="1" t="s">
        <v>44</v>
      </c>
      <c r="D90" s="1" t="s">
        <v>315</v>
      </c>
      <c r="E90" s="1" t="s">
        <v>177</v>
      </c>
      <c r="F90" s="1" t="s">
        <v>466</v>
      </c>
      <c r="G90" s="1" t="s">
        <v>467</v>
      </c>
      <c r="H90" s="1">
        <v>2026</v>
      </c>
      <c r="I90" s="1" t="s">
        <v>474</v>
      </c>
      <c r="J90" s="1" t="s">
        <v>473</v>
      </c>
      <c r="K90" s="1" t="s">
        <v>57</v>
      </c>
      <c r="L90" s="1" t="s">
        <v>26</v>
      </c>
      <c r="M90" s="1">
        <v>0</v>
      </c>
      <c r="O90" s="3">
        <v>46184</v>
      </c>
      <c r="P90" s="3">
        <v>46184</v>
      </c>
    </row>
    <row r="91" spans="1:17" x14ac:dyDescent="0.25">
      <c r="A91" s="1" t="s">
        <v>475</v>
      </c>
      <c r="B91" s="1" t="s">
        <v>18</v>
      </c>
      <c r="C91" s="1" t="s">
        <v>44</v>
      </c>
      <c r="D91" s="1" t="s">
        <v>308</v>
      </c>
      <c r="E91" s="1" t="s">
        <v>177</v>
      </c>
      <c r="F91" s="1" t="s">
        <v>442</v>
      </c>
      <c r="G91" s="1" t="s">
        <v>345</v>
      </c>
      <c r="H91" s="1">
        <v>2025</v>
      </c>
      <c r="I91" s="1" t="s">
        <v>476</v>
      </c>
      <c r="J91" s="1" t="s">
        <v>477</v>
      </c>
      <c r="K91" s="1" t="s">
        <v>57</v>
      </c>
      <c r="L91" s="1" t="s">
        <v>26</v>
      </c>
      <c r="M91" s="1">
        <v>0</v>
      </c>
      <c r="O91" s="3">
        <v>45880</v>
      </c>
      <c r="P91" s="3">
        <v>45878</v>
      </c>
    </row>
    <row r="92" spans="1:17" x14ac:dyDescent="0.25">
      <c r="A92" s="1" t="s">
        <v>486</v>
      </c>
      <c r="B92" s="1" t="s">
        <v>18</v>
      </c>
      <c r="C92" s="1" t="s">
        <v>44</v>
      </c>
      <c r="D92" s="1" t="s">
        <v>487</v>
      </c>
      <c r="E92" s="1" t="s">
        <v>177</v>
      </c>
      <c r="F92" s="1" t="s">
        <v>466</v>
      </c>
      <c r="G92" s="1" t="s">
        <v>467</v>
      </c>
      <c r="H92" s="1">
        <v>2021</v>
      </c>
      <c r="I92" s="1" t="s">
        <v>488</v>
      </c>
      <c r="J92" s="1" t="s">
        <v>489</v>
      </c>
      <c r="K92" s="1" t="s">
        <v>57</v>
      </c>
      <c r="L92" s="1" t="s">
        <v>26</v>
      </c>
      <c r="M92" s="1">
        <v>0</v>
      </c>
      <c r="O92" s="3">
        <v>45927</v>
      </c>
      <c r="P92" s="3">
        <v>45926</v>
      </c>
    </row>
    <row r="93" spans="1:17" x14ac:dyDescent="0.25">
      <c r="A93" s="1" t="s">
        <v>507</v>
      </c>
      <c r="B93" s="1" t="s">
        <v>18</v>
      </c>
      <c r="C93" s="1" t="s">
        <v>44</v>
      </c>
      <c r="D93" s="1" t="s">
        <v>487</v>
      </c>
      <c r="E93" s="1" t="s">
        <v>177</v>
      </c>
      <c r="F93" s="1" t="s">
        <v>466</v>
      </c>
      <c r="G93" s="1" t="s">
        <v>467</v>
      </c>
      <c r="H93" s="1">
        <v>2026</v>
      </c>
      <c r="I93" s="1" t="s">
        <v>508</v>
      </c>
      <c r="J93" s="1" t="s">
        <v>507</v>
      </c>
      <c r="K93" s="1" t="s">
        <v>57</v>
      </c>
      <c r="L93" s="1" t="s">
        <v>26</v>
      </c>
      <c r="M93" s="1">
        <v>0</v>
      </c>
      <c r="O93" s="3">
        <v>46184</v>
      </c>
      <c r="P93" s="3">
        <v>46184</v>
      </c>
    </row>
    <row r="94" spans="1:17" hidden="1" x14ac:dyDescent="0.25">
      <c r="A94" s="1" t="s">
        <v>412</v>
      </c>
      <c r="B94" s="1" t="s">
        <v>28</v>
      </c>
      <c r="C94" s="1" t="s">
        <v>19</v>
      </c>
      <c r="D94" s="1" t="s">
        <v>315</v>
      </c>
      <c r="E94" s="1" t="s">
        <v>207</v>
      </c>
      <c r="F94" s="1" t="s">
        <v>413</v>
      </c>
      <c r="G94" s="1" t="s">
        <v>414</v>
      </c>
      <c r="H94" s="1">
        <v>2020</v>
      </c>
      <c r="I94" s="1" t="s">
        <v>415</v>
      </c>
      <c r="J94" s="1" t="s">
        <v>412</v>
      </c>
      <c r="K94" s="1" t="s">
        <v>190</v>
      </c>
      <c r="L94" s="1" t="s">
        <v>26</v>
      </c>
      <c r="M94" s="1">
        <v>0</v>
      </c>
      <c r="O94" s="3">
        <v>46093</v>
      </c>
      <c r="P94" s="3">
        <v>45916</v>
      </c>
      <c r="Q94" s="3">
        <v>46155</v>
      </c>
    </row>
    <row r="95" spans="1:17" x14ac:dyDescent="0.25">
      <c r="A95" s="1" t="s">
        <v>537</v>
      </c>
      <c r="B95" s="1" t="s">
        <v>18</v>
      </c>
      <c r="C95" s="1" t="s">
        <v>44</v>
      </c>
      <c r="D95" s="1" t="s">
        <v>487</v>
      </c>
      <c r="E95" s="1" t="s">
        <v>177</v>
      </c>
      <c r="F95" s="1" t="s">
        <v>466</v>
      </c>
      <c r="G95" s="1" t="s">
        <v>467</v>
      </c>
      <c r="H95" s="1">
        <v>2025</v>
      </c>
      <c r="I95" s="1" t="s">
        <v>538</v>
      </c>
      <c r="J95" s="1" t="s">
        <v>537</v>
      </c>
      <c r="K95" s="1" t="s">
        <v>440</v>
      </c>
      <c r="L95" s="1" t="s">
        <v>26</v>
      </c>
      <c r="M95" s="1">
        <v>600</v>
      </c>
      <c r="O95" s="3">
        <v>45927</v>
      </c>
      <c r="P95" s="3">
        <v>45926</v>
      </c>
    </row>
    <row r="96" spans="1:17" x14ac:dyDescent="0.25">
      <c r="A96" s="1" t="s">
        <v>564</v>
      </c>
      <c r="B96" s="1" t="s">
        <v>18</v>
      </c>
      <c r="C96" s="1" t="s">
        <v>44</v>
      </c>
      <c r="D96" s="1" t="s">
        <v>148</v>
      </c>
      <c r="E96" s="1" t="s">
        <v>177</v>
      </c>
      <c r="F96" s="1" t="s">
        <v>466</v>
      </c>
      <c r="G96" s="1" t="s">
        <v>467</v>
      </c>
      <c r="H96" s="1">
        <v>2025</v>
      </c>
      <c r="I96" s="1" t="s">
        <v>565</v>
      </c>
      <c r="J96" s="1" t="s">
        <v>564</v>
      </c>
      <c r="K96" s="1" t="s">
        <v>440</v>
      </c>
      <c r="L96" s="1" t="s">
        <v>26</v>
      </c>
      <c r="M96" s="1">
        <v>600</v>
      </c>
      <c r="O96" s="3">
        <v>45927</v>
      </c>
      <c r="P96" s="3">
        <v>45926</v>
      </c>
    </row>
    <row r="97" spans="1:17" x14ac:dyDescent="0.25">
      <c r="A97" s="1" t="s">
        <v>143</v>
      </c>
      <c r="B97" s="1" t="s">
        <v>18</v>
      </c>
      <c r="C97" s="1" t="s">
        <v>44</v>
      </c>
      <c r="D97" s="1" t="s">
        <v>52</v>
      </c>
      <c r="E97" s="1" t="s">
        <v>144</v>
      </c>
      <c r="F97" s="1" t="s">
        <v>47</v>
      </c>
      <c r="G97" s="1" t="s">
        <v>145</v>
      </c>
      <c r="H97" s="1">
        <v>2012</v>
      </c>
      <c r="I97" s="1" t="s">
        <v>146</v>
      </c>
      <c r="J97" s="1" t="s">
        <v>143</v>
      </c>
      <c r="K97" s="1" t="s">
        <v>75</v>
      </c>
      <c r="L97" s="1" t="s">
        <v>26</v>
      </c>
      <c r="M97" s="2">
        <v>24000</v>
      </c>
      <c r="N97" s="1" t="s">
        <v>127</v>
      </c>
      <c r="O97" s="3">
        <v>46108</v>
      </c>
      <c r="P97" s="3">
        <v>46103</v>
      </c>
    </row>
    <row r="98" spans="1:17" x14ac:dyDescent="0.25">
      <c r="A98" s="1" t="s">
        <v>416</v>
      </c>
      <c r="B98" s="1" t="s">
        <v>18</v>
      </c>
      <c r="C98" s="1" t="s">
        <v>44</v>
      </c>
      <c r="D98" s="1" t="s">
        <v>308</v>
      </c>
      <c r="E98" s="1" t="s">
        <v>144</v>
      </c>
      <c r="F98" s="1" t="s">
        <v>47</v>
      </c>
      <c r="G98" s="1">
        <v>2544</v>
      </c>
      <c r="H98" s="1">
        <v>2012</v>
      </c>
      <c r="I98" s="1" t="s">
        <v>417</v>
      </c>
      <c r="J98" s="1" t="s">
        <v>416</v>
      </c>
      <c r="K98" s="1" t="s">
        <v>75</v>
      </c>
      <c r="L98" s="1" t="s">
        <v>26</v>
      </c>
      <c r="M98" s="2">
        <v>15000</v>
      </c>
      <c r="O98" s="3">
        <v>46184</v>
      </c>
      <c r="P98" s="3">
        <v>46184</v>
      </c>
    </row>
    <row r="99" spans="1:17" x14ac:dyDescent="0.25">
      <c r="A99" s="1" t="s">
        <v>437</v>
      </c>
      <c r="B99" s="1" t="s">
        <v>18</v>
      </c>
      <c r="C99" s="1" t="s">
        <v>44</v>
      </c>
      <c r="D99" s="1" t="s">
        <v>308</v>
      </c>
      <c r="E99" s="1" t="s">
        <v>144</v>
      </c>
      <c r="F99" s="1" t="s">
        <v>47</v>
      </c>
      <c r="G99" s="1" t="s">
        <v>438</v>
      </c>
      <c r="H99" s="1">
        <v>2019</v>
      </c>
      <c r="I99" s="1" t="s">
        <v>439</v>
      </c>
      <c r="J99" s="1" t="s">
        <v>437</v>
      </c>
      <c r="K99" s="1" t="s">
        <v>440</v>
      </c>
      <c r="L99" s="1" t="s">
        <v>26</v>
      </c>
      <c r="M99" s="2">
        <v>21000</v>
      </c>
      <c r="O99" s="3">
        <v>45937</v>
      </c>
      <c r="P99" s="3">
        <v>45937</v>
      </c>
    </row>
    <row r="100" spans="1:17" x14ac:dyDescent="0.25">
      <c r="A100" s="1" t="s">
        <v>533</v>
      </c>
      <c r="B100" s="1" t="s">
        <v>18</v>
      </c>
      <c r="C100" s="1" t="s">
        <v>44</v>
      </c>
      <c r="D100" s="1" t="s">
        <v>308</v>
      </c>
      <c r="E100" s="1" t="s">
        <v>144</v>
      </c>
      <c r="F100" s="1" t="s">
        <v>47</v>
      </c>
      <c r="G100" s="1" t="s">
        <v>534</v>
      </c>
      <c r="H100" s="1">
        <v>2016</v>
      </c>
      <c r="I100" s="1" t="s">
        <v>535</v>
      </c>
      <c r="J100" s="1" t="s">
        <v>536</v>
      </c>
      <c r="K100" s="1" t="s">
        <v>57</v>
      </c>
      <c r="L100" s="1" t="s">
        <v>26</v>
      </c>
      <c r="M100" s="2">
        <v>14000</v>
      </c>
      <c r="O100" s="3">
        <v>45916</v>
      </c>
      <c r="P100" s="3">
        <v>45918</v>
      </c>
    </row>
    <row r="101" spans="1:17" x14ac:dyDescent="0.25">
      <c r="A101" s="1" t="s">
        <v>566</v>
      </c>
      <c r="B101" s="1" t="s">
        <v>18</v>
      </c>
      <c r="C101" s="1" t="s">
        <v>44</v>
      </c>
      <c r="D101" s="1" t="s">
        <v>148</v>
      </c>
      <c r="E101" s="1" t="s">
        <v>144</v>
      </c>
      <c r="F101" s="1" t="s">
        <v>47</v>
      </c>
      <c r="G101" s="1" t="s">
        <v>438</v>
      </c>
      <c r="H101" s="1">
        <v>2012</v>
      </c>
      <c r="I101" s="1" t="s">
        <v>567</v>
      </c>
      <c r="J101" s="1" t="s">
        <v>566</v>
      </c>
      <c r="K101" s="1" t="s">
        <v>440</v>
      </c>
      <c r="L101" s="1" t="s">
        <v>26</v>
      </c>
      <c r="M101" s="2">
        <v>22000</v>
      </c>
      <c r="N101" s="1" t="s">
        <v>127</v>
      </c>
      <c r="O101" s="3">
        <v>46080</v>
      </c>
      <c r="P101" s="3">
        <v>46090</v>
      </c>
    </row>
    <row r="102" spans="1:17" x14ac:dyDescent="0.25">
      <c r="A102" s="1" t="s">
        <v>568</v>
      </c>
      <c r="B102" s="1" t="s">
        <v>18</v>
      </c>
      <c r="C102" s="1" t="s">
        <v>44</v>
      </c>
      <c r="D102" s="1" t="s">
        <v>148</v>
      </c>
      <c r="E102" s="1" t="s">
        <v>144</v>
      </c>
      <c r="F102" s="1" t="s">
        <v>117</v>
      </c>
      <c r="G102" s="1" t="s">
        <v>569</v>
      </c>
      <c r="H102" s="1">
        <v>2020</v>
      </c>
      <c r="I102" s="1" t="s">
        <v>570</v>
      </c>
      <c r="J102" s="1" t="s">
        <v>571</v>
      </c>
      <c r="K102" s="1" t="s">
        <v>440</v>
      </c>
      <c r="L102" s="1" t="s">
        <v>26</v>
      </c>
      <c r="M102" s="2">
        <v>15000</v>
      </c>
      <c r="O102" s="3">
        <v>46086</v>
      </c>
      <c r="P102" s="3">
        <v>46086</v>
      </c>
    </row>
    <row r="103" spans="1:17" x14ac:dyDescent="0.25">
      <c r="A103" s="1" t="s">
        <v>572</v>
      </c>
      <c r="B103" s="1" t="s">
        <v>18</v>
      </c>
      <c r="C103" s="1" t="s">
        <v>44</v>
      </c>
      <c r="D103" s="1" t="s">
        <v>148</v>
      </c>
      <c r="E103" s="1" t="s">
        <v>144</v>
      </c>
      <c r="F103" s="1" t="s">
        <v>192</v>
      </c>
      <c r="G103" s="1" t="s">
        <v>193</v>
      </c>
      <c r="H103" s="1">
        <v>2014</v>
      </c>
      <c r="I103" s="1" t="s">
        <v>573</v>
      </c>
      <c r="J103" s="1" t="s">
        <v>572</v>
      </c>
      <c r="K103" s="1" t="s">
        <v>574</v>
      </c>
      <c r="L103" s="1" t="s">
        <v>26</v>
      </c>
      <c r="M103" s="2">
        <v>30000</v>
      </c>
      <c r="O103" s="3">
        <v>46092</v>
      </c>
      <c r="P103" s="3">
        <v>46092</v>
      </c>
    </row>
    <row r="104" spans="1:17" x14ac:dyDescent="0.25">
      <c r="A104" s="1" t="s">
        <v>759</v>
      </c>
      <c r="B104" s="1" t="s">
        <v>18</v>
      </c>
      <c r="C104" s="1" t="s">
        <v>44</v>
      </c>
      <c r="D104" s="1" t="s">
        <v>340</v>
      </c>
      <c r="E104" s="1" t="s">
        <v>144</v>
      </c>
      <c r="F104" s="1" t="s">
        <v>47</v>
      </c>
      <c r="G104" s="1" t="s">
        <v>760</v>
      </c>
      <c r="H104" s="1">
        <v>2012</v>
      </c>
      <c r="I104" s="1" t="s">
        <v>567</v>
      </c>
      <c r="J104" s="1" t="s">
        <v>759</v>
      </c>
      <c r="K104" s="1" t="s">
        <v>75</v>
      </c>
      <c r="L104" s="1" t="s">
        <v>26</v>
      </c>
      <c r="M104" s="2">
        <v>24000</v>
      </c>
      <c r="N104" s="1" t="s">
        <v>127</v>
      </c>
      <c r="O104" s="3">
        <v>45843</v>
      </c>
      <c r="P104" s="3">
        <v>45840</v>
      </c>
    </row>
    <row r="105" spans="1:17" x14ac:dyDescent="0.25">
      <c r="A105" s="1" t="s">
        <v>761</v>
      </c>
      <c r="B105" s="1" t="s">
        <v>18</v>
      </c>
      <c r="C105" s="1" t="s">
        <v>44</v>
      </c>
      <c r="D105" s="1" t="s">
        <v>340</v>
      </c>
      <c r="E105" s="1" t="s">
        <v>144</v>
      </c>
      <c r="F105" s="1" t="s">
        <v>47</v>
      </c>
      <c r="G105" s="1" t="s">
        <v>438</v>
      </c>
      <c r="H105" s="1">
        <v>2018</v>
      </c>
      <c r="I105" s="1" t="s">
        <v>762</v>
      </c>
      <c r="J105" s="1" t="s">
        <v>761</v>
      </c>
      <c r="K105" s="1" t="s">
        <v>115</v>
      </c>
      <c r="L105" s="1" t="s">
        <v>26</v>
      </c>
      <c r="M105" s="2">
        <v>22000</v>
      </c>
      <c r="N105" s="1" t="s">
        <v>127</v>
      </c>
      <c r="O105" s="3">
        <v>46079</v>
      </c>
      <c r="P105" s="3">
        <v>46081</v>
      </c>
    </row>
    <row r="106" spans="1:17" x14ac:dyDescent="0.25">
      <c r="A106" s="1" t="s">
        <v>334</v>
      </c>
      <c r="B106" s="1" t="s">
        <v>18</v>
      </c>
      <c r="C106" s="1" t="s">
        <v>44</v>
      </c>
      <c r="D106" s="1" t="s">
        <v>315</v>
      </c>
      <c r="E106" s="1" t="s">
        <v>335</v>
      </c>
      <c r="F106" s="1" t="s">
        <v>336</v>
      </c>
      <c r="G106" s="1" t="s">
        <v>337</v>
      </c>
      <c r="H106" s="1">
        <v>2011</v>
      </c>
      <c r="I106" s="1">
        <v>13704</v>
      </c>
      <c r="J106" s="1" t="s">
        <v>334</v>
      </c>
      <c r="K106" s="1" t="s">
        <v>338</v>
      </c>
      <c r="L106" s="1" t="s">
        <v>26</v>
      </c>
      <c r="M106" s="2">
        <v>7000</v>
      </c>
      <c r="O106" s="3">
        <v>46196</v>
      </c>
      <c r="P106" s="3">
        <v>46196</v>
      </c>
    </row>
    <row r="107" spans="1:17" x14ac:dyDescent="0.25">
      <c r="A107" s="1" t="s">
        <v>445</v>
      </c>
      <c r="B107" s="1" t="s">
        <v>18</v>
      </c>
      <c r="C107" s="1" t="s">
        <v>44</v>
      </c>
      <c r="D107" s="1" t="s">
        <v>308</v>
      </c>
      <c r="E107" s="1" t="s">
        <v>335</v>
      </c>
      <c r="F107" s="1" t="s">
        <v>336</v>
      </c>
      <c r="G107" s="1" t="s">
        <v>361</v>
      </c>
      <c r="H107" s="1">
        <v>2011</v>
      </c>
      <c r="I107" s="1" t="s">
        <v>446</v>
      </c>
      <c r="J107" s="1" t="s">
        <v>445</v>
      </c>
      <c r="K107" s="1" t="s">
        <v>338</v>
      </c>
      <c r="L107" s="1" t="s">
        <v>26</v>
      </c>
      <c r="M107" s="2">
        <v>7000</v>
      </c>
      <c r="O107" s="3">
        <v>45927</v>
      </c>
      <c r="P107" s="3">
        <v>45920</v>
      </c>
    </row>
    <row r="108" spans="1:17" hidden="1" x14ac:dyDescent="0.25">
      <c r="A108" s="1" t="s">
        <v>17</v>
      </c>
      <c r="B108" s="1" t="s">
        <v>28</v>
      </c>
      <c r="C108" s="1" t="s">
        <v>19</v>
      </c>
      <c r="D108" s="1" t="s">
        <v>20</v>
      </c>
      <c r="E108" s="1" t="s">
        <v>21</v>
      </c>
      <c r="F108" s="1" t="s">
        <v>22</v>
      </c>
      <c r="G108" s="1" t="s">
        <v>23</v>
      </c>
      <c r="H108" s="1">
        <v>2022</v>
      </c>
      <c r="I108" s="1" t="s">
        <v>24</v>
      </c>
      <c r="J108" s="1" t="s">
        <v>17</v>
      </c>
      <c r="K108" s="1" t="s">
        <v>25</v>
      </c>
      <c r="L108" s="1" t="s">
        <v>26</v>
      </c>
      <c r="M108" s="2">
        <v>1200</v>
      </c>
      <c r="N108" s="1" t="s">
        <v>26</v>
      </c>
      <c r="O108" s="3">
        <v>45847</v>
      </c>
      <c r="P108" s="3">
        <v>45847</v>
      </c>
      <c r="Q108" s="3">
        <v>45971</v>
      </c>
    </row>
    <row r="109" spans="1:17" x14ac:dyDescent="0.25">
      <c r="A109" s="1" t="s">
        <v>898</v>
      </c>
      <c r="B109" s="1" t="s">
        <v>18</v>
      </c>
      <c r="C109" s="1" t="s">
        <v>44</v>
      </c>
      <c r="D109" s="1" t="s">
        <v>671</v>
      </c>
      <c r="E109" s="1" t="s">
        <v>21</v>
      </c>
      <c r="F109" s="1" t="s">
        <v>27</v>
      </c>
      <c r="G109" s="1" t="s">
        <v>899</v>
      </c>
      <c r="H109" s="1">
        <v>2026</v>
      </c>
      <c r="I109" s="1" t="s">
        <v>24</v>
      </c>
      <c r="J109" s="1" t="s">
        <v>898</v>
      </c>
      <c r="K109" s="1" t="s">
        <v>31</v>
      </c>
      <c r="L109" s="1" t="s">
        <v>26</v>
      </c>
      <c r="M109" s="2">
        <v>1100</v>
      </c>
      <c r="O109" s="3">
        <v>46063</v>
      </c>
      <c r="P109" s="3">
        <v>46063</v>
      </c>
    </row>
    <row r="110" spans="1:17" x14ac:dyDescent="0.25">
      <c r="A110" s="1">
        <v>100041</v>
      </c>
      <c r="B110" s="1" t="s">
        <v>18</v>
      </c>
      <c r="C110" s="1" t="s">
        <v>44</v>
      </c>
      <c r="D110" s="1" t="s">
        <v>148</v>
      </c>
      <c r="E110" s="1" t="s">
        <v>540</v>
      </c>
      <c r="F110" s="1" t="s">
        <v>541</v>
      </c>
      <c r="G110" s="1" t="s">
        <v>542</v>
      </c>
      <c r="H110" s="1">
        <v>2025</v>
      </c>
      <c r="I110" s="1">
        <v>606</v>
      </c>
      <c r="J110" s="1">
        <v>100041</v>
      </c>
      <c r="K110" s="1" t="s">
        <v>57</v>
      </c>
      <c r="L110" s="1" t="s">
        <v>26</v>
      </c>
      <c r="M110" s="1">
        <v>0</v>
      </c>
      <c r="O110" s="3">
        <v>45912</v>
      </c>
      <c r="P110" s="3">
        <v>45912</v>
      </c>
      <c r="Q110" s="1" t="s">
        <v>352</v>
      </c>
    </row>
    <row r="111" spans="1:17" x14ac:dyDescent="0.25">
      <c r="A111" s="1">
        <v>100141</v>
      </c>
      <c r="B111" s="1" t="s">
        <v>543</v>
      </c>
      <c r="C111" s="1" t="s">
        <v>44</v>
      </c>
      <c r="D111" s="1" t="s">
        <v>202</v>
      </c>
      <c r="E111" s="1" t="s">
        <v>540</v>
      </c>
      <c r="F111" s="1" t="s">
        <v>541</v>
      </c>
      <c r="G111" s="1" t="s">
        <v>544</v>
      </c>
      <c r="H111" s="1">
        <v>2026</v>
      </c>
      <c r="I111" s="1">
        <v>617</v>
      </c>
      <c r="J111" s="1">
        <v>100141</v>
      </c>
      <c r="K111" s="1" t="s">
        <v>57</v>
      </c>
      <c r="L111" s="1" t="s">
        <v>26</v>
      </c>
      <c r="M111" s="1">
        <v>0</v>
      </c>
      <c r="O111" s="3">
        <v>46108</v>
      </c>
      <c r="P111" s="3">
        <v>46105</v>
      </c>
    </row>
    <row r="112" spans="1:17" hidden="1" x14ac:dyDescent="0.25">
      <c r="A112" s="1">
        <v>57947</v>
      </c>
      <c r="B112" s="1" t="s">
        <v>28</v>
      </c>
      <c r="C112" s="1" t="s">
        <v>19</v>
      </c>
      <c r="D112" s="1" t="s">
        <v>308</v>
      </c>
      <c r="E112" s="1" t="s">
        <v>470</v>
      </c>
      <c r="F112" s="1" t="s">
        <v>471</v>
      </c>
      <c r="G112" s="1" t="s">
        <v>472</v>
      </c>
      <c r="H112" s="1">
        <v>2022</v>
      </c>
      <c r="I112" s="1">
        <v>57947</v>
      </c>
      <c r="J112" s="1" t="s">
        <v>24</v>
      </c>
      <c r="K112" s="1" t="s">
        <v>338</v>
      </c>
      <c r="L112" s="1" t="s">
        <v>26</v>
      </c>
      <c r="M112" s="1">
        <v>300</v>
      </c>
      <c r="O112" s="3">
        <v>45927</v>
      </c>
      <c r="P112" s="3">
        <v>45918</v>
      </c>
    </row>
    <row r="113" spans="1:17" x14ac:dyDescent="0.25">
      <c r="A113" s="1" t="s">
        <v>71</v>
      </c>
      <c r="B113" s="1" t="s">
        <v>18</v>
      </c>
      <c r="C113" s="1" t="s">
        <v>44</v>
      </c>
      <c r="D113" s="1" t="s">
        <v>45</v>
      </c>
      <c r="E113" s="1" t="s">
        <v>72</v>
      </c>
      <c r="F113" s="1" t="s">
        <v>73</v>
      </c>
      <c r="G113" s="1">
        <v>316</v>
      </c>
      <c r="H113" s="1">
        <v>2022</v>
      </c>
      <c r="I113" s="1" t="s">
        <v>74</v>
      </c>
      <c r="J113" s="1" t="s">
        <v>71</v>
      </c>
      <c r="K113" s="1" t="s">
        <v>75</v>
      </c>
      <c r="L113" s="1" t="s">
        <v>26</v>
      </c>
      <c r="M113" s="2">
        <v>20000</v>
      </c>
      <c r="N113" s="1" t="s">
        <v>76</v>
      </c>
      <c r="O113" s="3">
        <v>45883</v>
      </c>
      <c r="P113" s="3">
        <v>45840</v>
      </c>
    </row>
    <row r="114" spans="1:17" x14ac:dyDescent="0.25">
      <c r="A114" s="1" t="s">
        <v>769</v>
      </c>
      <c r="B114" s="1" t="s">
        <v>18</v>
      </c>
      <c r="C114" s="1" t="s">
        <v>44</v>
      </c>
      <c r="D114" s="1" t="s">
        <v>340</v>
      </c>
      <c r="E114" s="1" t="s">
        <v>72</v>
      </c>
      <c r="F114" s="1" t="s">
        <v>680</v>
      </c>
      <c r="G114" s="1" t="s">
        <v>770</v>
      </c>
      <c r="H114" s="1">
        <v>2021</v>
      </c>
      <c r="I114" s="1" t="s">
        <v>771</v>
      </c>
      <c r="J114" s="1" t="s">
        <v>769</v>
      </c>
      <c r="K114" s="1" t="s">
        <v>772</v>
      </c>
      <c r="L114" s="1" t="s">
        <v>26</v>
      </c>
      <c r="M114" s="2">
        <v>24000</v>
      </c>
      <c r="O114" s="3">
        <v>46226</v>
      </c>
    </row>
    <row r="115" spans="1:17" x14ac:dyDescent="0.25">
      <c r="A115" s="1" t="s">
        <v>547</v>
      </c>
      <c r="B115" s="1" t="s">
        <v>18</v>
      </c>
      <c r="C115" s="1" t="s">
        <v>44</v>
      </c>
      <c r="D115" s="1" t="s">
        <v>340</v>
      </c>
      <c r="E115" s="1" t="s">
        <v>548</v>
      </c>
      <c r="F115" s="1" t="s">
        <v>73</v>
      </c>
      <c r="G115" s="1">
        <v>336</v>
      </c>
      <c r="H115" s="1">
        <v>2021</v>
      </c>
      <c r="I115" s="1" t="s">
        <v>549</v>
      </c>
      <c r="J115" s="1" t="s">
        <v>547</v>
      </c>
      <c r="K115" s="1" t="s">
        <v>57</v>
      </c>
      <c r="L115" s="1" t="s">
        <v>26</v>
      </c>
      <c r="M115" s="2">
        <v>35000</v>
      </c>
      <c r="O115" s="3">
        <v>46093</v>
      </c>
      <c r="P115" s="3">
        <v>46034</v>
      </c>
    </row>
    <row r="116" spans="1:17" hidden="1" x14ac:dyDescent="0.25">
      <c r="A116" s="1" t="s">
        <v>483</v>
      </c>
      <c r="B116" s="1" t="s">
        <v>28</v>
      </c>
      <c r="C116" s="1" t="s">
        <v>19</v>
      </c>
      <c r="D116" s="1" t="s">
        <v>308</v>
      </c>
      <c r="E116" s="1" t="s">
        <v>389</v>
      </c>
      <c r="F116" s="1" t="s">
        <v>73</v>
      </c>
      <c r="G116" s="1" t="s">
        <v>390</v>
      </c>
      <c r="H116" s="1">
        <v>2022</v>
      </c>
      <c r="I116" s="1" t="s">
        <v>484</v>
      </c>
      <c r="J116" s="1" t="s">
        <v>485</v>
      </c>
      <c r="K116" s="1" t="s">
        <v>383</v>
      </c>
      <c r="L116" s="1" t="s">
        <v>26</v>
      </c>
      <c r="M116" s="2">
        <v>20000</v>
      </c>
      <c r="O116" s="3">
        <v>45927</v>
      </c>
      <c r="P116" s="3">
        <v>45919</v>
      </c>
      <c r="Q116" s="3">
        <v>46226</v>
      </c>
    </row>
    <row r="117" spans="1:17" x14ac:dyDescent="0.25">
      <c r="A117" s="1" t="s">
        <v>679</v>
      </c>
      <c r="B117" s="1" t="s">
        <v>18</v>
      </c>
      <c r="C117" s="1" t="s">
        <v>44</v>
      </c>
      <c r="D117" s="1" t="s">
        <v>202</v>
      </c>
      <c r="E117" s="1" t="s">
        <v>548</v>
      </c>
      <c r="F117" s="1" t="s">
        <v>680</v>
      </c>
      <c r="G117" s="1" t="s">
        <v>681</v>
      </c>
      <c r="H117" s="1">
        <v>2026</v>
      </c>
      <c r="I117" s="1" t="s">
        <v>682</v>
      </c>
      <c r="J117" s="1" t="s">
        <v>679</v>
      </c>
      <c r="K117" s="1" t="s">
        <v>75</v>
      </c>
      <c r="L117" s="1" t="s">
        <v>26</v>
      </c>
      <c r="M117" s="2">
        <v>24000</v>
      </c>
      <c r="O117" s="3">
        <v>46163</v>
      </c>
      <c r="P117" s="3">
        <v>46163</v>
      </c>
    </row>
    <row r="118" spans="1:17" hidden="1" x14ac:dyDescent="0.25">
      <c r="A118" s="1">
        <v>1012</v>
      </c>
      <c r="B118" s="1" t="s">
        <v>28</v>
      </c>
      <c r="C118" s="1" t="s">
        <v>19</v>
      </c>
      <c r="D118" s="1" t="s">
        <v>308</v>
      </c>
      <c r="E118" s="1" t="s">
        <v>490</v>
      </c>
      <c r="F118" s="1" t="s">
        <v>491</v>
      </c>
      <c r="G118" s="1" t="s">
        <v>492</v>
      </c>
      <c r="H118" s="1">
        <v>2022</v>
      </c>
      <c r="I118" s="1">
        <v>1012</v>
      </c>
      <c r="J118" s="1" t="s">
        <v>24</v>
      </c>
      <c r="K118" s="1" t="s">
        <v>338</v>
      </c>
      <c r="L118" s="1" t="s">
        <v>26</v>
      </c>
      <c r="M118" s="1">
        <v>380</v>
      </c>
      <c r="O118" s="3">
        <v>45927</v>
      </c>
      <c r="P118" s="3">
        <v>45918</v>
      </c>
    </row>
    <row r="119" spans="1:17" hidden="1" x14ac:dyDescent="0.25">
      <c r="A119" s="1">
        <v>1038</v>
      </c>
      <c r="B119" s="1" t="s">
        <v>28</v>
      </c>
      <c r="C119" s="1" t="s">
        <v>19</v>
      </c>
      <c r="D119" s="1" t="s">
        <v>308</v>
      </c>
      <c r="E119" s="1" t="s">
        <v>490</v>
      </c>
      <c r="F119" s="1" t="s">
        <v>491</v>
      </c>
      <c r="G119" s="1" t="s">
        <v>492</v>
      </c>
      <c r="H119" s="1">
        <v>2022</v>
      </c>
      <c r="I119" s="1">
        <v>1038</v>
      </c>
      <c r="J119" s="1" t="s">
        <v>24</v>
      </c>
      <c r="K119" s="1" t="s">
        <v>338</v>
      </c>
      <c r="L119" s="1" t="s">
        <v>26</v>
      </c>
      <c r="M119" s="1">
        <v>380</v>
      </c>
      <c r="O119" s="3">
        <v>45927</v>
      </c>
      <c r="P119" s="3">
        <v>45918</v>
      </c>
    </row>
    <row r="120" spans="1:17" x14ac:dyDescent="0.25">
      <c r="A120" s="1" t="s">
        <v>741</v>
      </c>
      <c r="B120" s="1" t="s">
        <v>18</v>
      </c>
      <c r="C120" s="1" t="s">
        <v>44</v>
      </c>
      <c r="D120" s="1" t="s">
        <v>340</v>
      </c>
      <c r="E120" s="1" t="s">
        <v>548</v>
      </c>
      <c r="F120" s="1" t="s">
        <v>742</v>
      </c>
      <c r="G120" s="1" t="s">
        <v>743</v>
      </c>
      <c r="H120" s="1">
        <v>2026</v>
      </c>
      <c r="I120" s="1" t="s">
        <v>744</v>
      </c>
      <c r="J120" s="1" t="s">
        <v>741</v>
      </c>
      <c r="K120" s="1" t="s">
        <v>228</v>
      </c>
      <c r="L120" s="1" t="s">
        <v>26</v>
      </c>
      <c r="M120" s="2">
        <v>22300</v>
      </c>
      <c r="O120" s="3">
        <v>46209</v>
      </c>
      <c r="P120" s="3">
        <v>46137</v>
      </c>
    </row>
    <row r="121" spans="1:17" x14ac:dyDescent="0.25">
      <c r="A121" s="1" t="s">
        <v>553</v>
      </c>
      <c r="B121" s="1" t="s">
        <v>18</v>
      </c>
      <c r="C121" s="1" t="s">
        <v>44</v>
      </c>
      <c r="D121" s="1" t="s">
        <v>202</v>
      </c>
      <c r="E121" s="1" t="s">
        <v>554</v>
      </c>
      <c r="F121" s="1" t="s">
        <v>555</v>
      </c>
      <c r="G121" s="1" t="s">
        <v>556</v>
      </c>
      <c r="H121" s="1">
        <v>2025</v>
      </c>
      <c r="I121" s="1" t="s">
        <v>557</v>
      </c>
      <c r="J121" s="1" t="s">
        <v>553</v>
      </c>
      <c r="K121" s="1" t="s">
        <v>57</v>
      </c>
      <c r="L121" s="1" t="s">
        <v>26</v>
      </c>
      <c r="M121" s="2">
        <v>42000</v>
      </c>
      <c r="O121" s="3">
        <v>46199</v>
      </c>
      <c r="P121" s="3">
        <v>45926</v>
      </c>
      <c r="Q121" s="3">
        <v>46143</v>
      </c>
    </row>
    <row r="122" spans="1:17" x14ac:dyDescent="0.25">
      <c r="A122" s="1" t="s">
        <v>447</v>
      </c>
      <c r="B122" s="1" t="s">
        <v>18</v>
      </c>
      <c r="C122" s="1" t="s">
        <v>44</v>
      </c>
      <c r="D122" s="1" t="s">
        <v>308</v>
      </c>
      <c r="E122" s="1" t="s">
        <v>367</v>
      </c>
      <c r="F122" s="1" t="s">
        <v>368</v>
      </c>
      <c r="G122" s="1" t="s">
        <v>448</v>
      </c>
      <c r="H122" s="1">
        <v>2024</v>
      </c>
      <c r="I122" s="1" t="s">
        <v>449</v>
      </c>
      <c r="J122" s="1" t="s">
        <v>447</v>
      </c>
      <c r="K122" s="1" t="s">
        <v>450</v>
      </c>
      <c r="L122" s="1" t="s">
        <v>26</v>
      </c>
      <c r="M122" s="2">
        <v>172000</v>
      </c>
      <c r="O122" s="3">
        <v>45927</v>
      </c>
      <c r="P122" s="3">
        <v>45923</v>
      </c>
    </row>
    <row r="123" spans="1:17" hidden="1" x14ac:dyDescent="0.25">
      <c r="A123" s="1" t="s">
        <v>504</v>
      </c>
      <c r="B123" s="1" t="s">
        <v>28</v>
      </c>
      <c r="C123" s="1" t="s">
        <v>19</v>
      </c>
      <c r="D123" s="1" t="s">
        <v>308</v>
      </c>
      <c r="E123" s="1" t="s">
        <v>405</v>
      </c>
      <c r="F123" s="1" t="s">
        <v>505</v>
      </c>
      <c r="G123" s="1" t="s">
        <v>504</v>
      </c>
      <c r="H123" s="1">
        <v>2024</v>
      </c>
      <c r="J123" s="1" t="s">
        <v>504</v>
      </c>
      <c r="K123" s="1" t="s">
        <v>506</v>
      </c>
      <c r="L123" s="1" t="s">
        <v>26</v>
      </c>
      <c r="M123" s="2">
        <v>3000</v>
      </c>
      <c r="O123" s="3">
        <v>45918</v>
      </c>
      <c r="P123" s="3">
        <v>45918</v>
      </c>
      <c r="Q123" s="3">
        <v>46128</v>
      </c>
    </row>
    <row r="124" spans="1:17" x14ac:dyDescent="0.25">
      <c r="A124" s="1" t="s">
        <v>575</v>
      </c>
      <c r="B124" s="1" t="s">
        <v>18</v>
      </c>
      <c r="C124" s="1" t="s">
        <v>44</v>
      </c>
      <c r="D124" s="1" t="s">
        <v>315</v>
      </c>
      <c r="E124" s="1" t="s">
        <v>367</v>
      </c>
      <c r="F124" s="1" t="s">
        <v>368</v>
      </c>
      <c r="G124" s="1" t="s">
        <v>576</v>
      </c>
      <c r="H124" s="1">
        <v>2026</v>
      </c>
      <c r="I124" s="1" t="s">
        <v>577</v>
      </c>
      <c r="J124" s="1" t="s">
        <v>575</v>
      </c>
      <c r="K124" s="1" t="s">
        <v>57</v>
      </c>
      <c r="L124" s="1" t="s">
        <v>26</v>
      </c>
      <c r="M124" s="2">
        <v>115000</v>
      </c>
      <c r="O124" s="3">
        <v>46181</v>
      </c>
      <c r="P124" s="3">
        <v>46181</v>
      </c>
    </row>
    <row r="125" spans="1:17" hidden="1" x14ac:dyDescent="0.25">
      <c r="A125" s="1" t="s">
        <v>903</v>
      </c>
      <c r="B125" s="1" t="s">
        <v>28</v>
      </c>
      <c r="C125" s="1" t="s">
        <v>19</v>
      </c>
      <c r="D125" s="1" t="s">
        <v>671</v>
      </c>
      <c r="E125" s="1" t="s">
        <v>872</v>
      </c>
      <c r="F125" s="1" t="s">
        <v>73</v>
      </c>
      <c r="G125" s="1" t="s">
        <v>904</v>
      </c>
      <c r="H125" s="1">
        <v>2022</v>
      </c>
      <c r="I125" s="1" t="s">
        <v>905</v>
      </c>
      <c r="J125" s="1" t="s">
        <v>903</v>
      </c>
      <c r="K125" s="1" t="s">
        <v>767</v>
      </c>
      <c r="L125" s="1" t="s">
        <v>26</v>
      </c>
      <c r="M125" s="2">
        <v>13700</v>
      </c>
      <c r="O125" s="3">
        <v>46092</v>
      </c>
      <c r="P125" s="3">
        <v>46092</v>
      </c>
      <c r="Q125" s="3">
        <v>46240</v>
      </c>
    </row>
    <row r="126" spans="1:17" x14ac:dyDescent="0.25">
      <c r="A126" s="1" t="s">
        <v>350</v>
      </c>
      <c r="B126" s="1" t="s">
        <v>18</v>
      </c>
      <c r="C126" s="1" t="s">
        <v>44</v>
      </c>
      <c r="D126" s="1" t="s">
        <v>315</v>
      </c>
      <c r="E126" s="1" t="s">
        <v>351</v>
      </c>
      <c r="F126" s="1" t="s">
        <v>90</v>
      </c>
      <c r="G126" s="1">
        <v>40</v>
      </c>
      <c r="H126" s="1">
        <v>2022</v>
      </c>
      <c r="I126" s="1">
        <v>0</v>
      </c>
      <c r="J126" s="1" t="s">
        <v>350</v>
      </c>
      <c r="K126" s="1" t="s">
        <v>233</v>
      </c>
      <c r="L126" s="1" t="s">
        <v>26</v>
      </c>
      <c r="M126" s="2">
        <v>8000</v>
      </c>
      <c r="O126" s="3">
        <v>46111</v>
      </c>
      <c r="P126" s="3">
        <v>46111</v>
      </c>
    </row>
    <row r="127" spans="1:17" x14ac:dyDescent="0.25">
      <c r="A127" s="1" t="s">
        <v>350</v>
      </c>
      <c r="B127" s="1" t="s">
        <v>18</v>
      </c>
      <c r="C127" s="1" t="s">
        <v>44</v>
      </c>
      <c r="D127" s="1" t="s">
        <v>308</v>
      </c>
      <c r="E127" s="1" t="s">
        <v>351</v>
      </c>
      <c r="F127" s="1" t="s">
        <v>90</v>
      </c>
      <c r="G127" s="1">
        <v>40</v>
      </c>
      <c r="H127" s="1">
        <v>2022</v>
      </c>
      <c r="I127" s="1">
        <v>231614039</v>
      </c>
      <c r="J127" s="1" t="s">
        <v>350</v>
      </c>
      <c r="K127" s="1" t="s">
        <v>93</v>
      </c>
      <c r="L127" s="1" t="s">
        <v>26</v>
      </c>
      <c r="M127" s="2">
        <v>9000</v>
      </c>
      <c r="O127" s="3">
        <v>45927</v>
      </c>
      <c r="P127" s="3">
        <v>45927</v>
      </c>
      <c r="Q127" s="1" t="s">
        <v>352</v>
      </c>
    </row>
    <row r="128" spans="1:17" x14ac:dyDescent="0.25">
      <c r="A128" s="1" t="s">
        <v>354</v>
      </c>
      <c r="B128" s="1" t="s">
        <v>18</v>
      </c>
      <c r="C128" s="1" t="s">
        <v>44</v>
      </c>
      <c r="D128" s="1" t="s">
        <v>315</v>
      </c>
      <c r="E128" s="1" t="s">
        <v>355</v>
      </c>
      <c r="F128" s="1" t="s">
        <v>356</v>
      </c>
      <c r="G128" s="1" t="s">
        <v>357</v>
      </c>
      <c r="H128" s="1">
        <v>2025</v>
      </c>
      <c r="I128" s="1">
        <v>5008385605</v>
      </c>
      <c r="J128" s="1" t="s">
        <v>24</v>
      </c>
      <c r="K128" s="1" t="s">
        <v>358</v>
      </c>
      <c r="L128" s="1" t="s">
        <v>26</v>
      </c>
      <c r="M128" s="2">
        <v>3000</v>
      </c>
      <c r="O128" s="3">
        <v>45927</v>
      </c>
      <c r="P128" s="3">
        <v>45927</v>
      </c>
      <c r="Q128" s="1" t="s">
        <v>359</v>
      </c>
    </row>
    <row r="129" spans="1:17" hidden="1" x14ac:dyDescent="0.25">
      <c r="A129" s="1" t="s">
        <v>526</v>
      </c>
      <c r="B129" s="1" t="s">
        <v>28</v>
      </c>
      <c r="C129" s="1" t="s">
        <v>19</v>
      </c>
      <c r="D129" s="1" t="s">
        <v>487</v>
      </c>
      <c r="E129" s="1" t="s">
        <v>517</v>
      </c>
      <c r="F129" s="1" t="s">
        <v>112</v>
      </c>
      <c r="G129" s="1" t="s">
        <v>527</v>
      </c>
      <c r="H129" s="1">
        <v>2013</v>
      </c>
      <c r="I129" s="1" t="s">
        <v>528</v>
      </c>
      <c r="J129" s="1" t="s">
        <v>529</v>
      </c>
      <c r="K129" s="1" t="s">
        <v>520</v>
      </c>
      <c r="L129" s="1" t="s">
        <v>26</v>
      </c>
      <c r="M129" s="2">
        <v>10000</v>
      </c>
      <c r="N129" s="1" t="s">
        <v>127</v>
      </c>
      <c r="P129" s="3">
        <v>45842</v>
      </c>
      <c r="Q129" s="3">
        <v>45870</v>
      </c>
    </row>
    <row r="130" spans="1:17" hidden="1" x14ac:dyDescent="0.25">
      <c r="A130" s="1" t="s">
        <v>530</v>
      </c>
      <c r="B130" s="1" t="s">
        <v>28</v>
      </c>
      <c r="C130" s="1" t="s">
        <v>19</v>
      </c>
      <c r="D130" s="1" t="s">
        <v>487</v>
      </c>
      <c r="E130" s="1" t="s">
        <v>517</v>
      </c>
      <c r="F130" s="1" t="s">
        <v>510</v>
      </c>
      <c r="G130" s="1" t="s">
        <v>531</v>
      </c>
      <c r="H130" s="1">
        <v>2008</v>
      </c>
      <c r="I130" s="1" t="s">
        <v>532</v>
      </c>
      <c r="J130" s="1" t="s">
        <v>530</v>
      </c>
      <c r="K130" s="1" t="s">
        <v>120</v>
      </c>
      <c r="L130" s="1" t="s">
        <v>26</v>
      </c>
      <c r="M130" s="2">
        <v>9000</v>
      </c>
      <c r="P130" s="3">
        <v>46112</v>
      </c>
      <c r="Q130" s="3">
        <v>46128</v>
      </c>
    </row>
    <row r="131" spans="1:17" x14ac:dyDescent="0.25">
      <c r="A131" s="1" t="s">
        <v>77</v>
      </c>
      <c r="B131" s="1" t="s">
        <v>18</v>
      </c>
      <c r="C131" s="1" t="s">
        <v>44</v>
      </c>
      <c r="D131" s="1" t="s">
        <v>45</v>
      </c>
      <c r="E131" s="1" t="s">
        <v>78</v>
      </c>
      <c r="F131" s="1" t="s">
        <v>79</v>
      </c>
      <c r="G131" s="1" t="s">
        <v>80</v>
      </c>
      <c r="H131" s="1">
        <v>2023</v>
      </c>
      <c r="I131" s="1" t="s">
        <v>81</v>
      </c>
      <c r="J131" s="1" t="s">
        <v>77</v>
      </c>
      <c r="K131" s="1" t="s">
        <v>82</v>
      </c>
      <c r="L131" s="1" t="s">
        <v>26</v>
      </c>
      <c r="M131" s="2">
        <v>18000</v>
      </c>
      <c r="O131" s="3">
        <v>46142</v>
      </c>
      <c r="P131" s="3">
        <v>46141</v>
      </c>
    </row>
    <row r="132" spans="1:17" x14ac:dyDescent="0.25">
      <c r="A132" s="1" t="s">
        <v>153</v>
      </c>
      <c r="B132" s="1" t="s">
        <v>18</v>
      </c>
      <c r="C132" s="1" t="s">
        <v>44</v>
      </c>
      <c r="D132" s="1" t="s">
        <v>52</v>
      </c>
      <c r="E132" s="1" t="s">
        <v>78</v>
      </c>
      <c r="F132" s="1" t="s">
        <v>79</v>
      </c>
      <c r="G132" s="1" t="s">
        <v>154</v>
      </c>
      <c r="H132" s="1">
        <v>2023</v>
      </c>
      <c r="I132" s="1" t="s">
        <v>155</v>
      </c>
      <c r="J132" s="1" t="s">
        <v>156</v>
      </c>
      <c r="K132" s="1" t="s">
        <v>82</v>
      </c>
      <c r="L132" s="1" t="s">
        <v>26</v>
      </c>
      <c r="M132" s="2">
        <v>18000</v>
      </c>
      <c r="O132" s="3">
        <v>46093</v>
      </c>
      <c r="P132" s="3">
        <v>45902</v>
      </c>
    </row>
    <row r="133" spans="1:17" hidden="1" x14ac:dyDescent="0.25">
      <c r="A133" s="1" t="s">
        <v>539</v>
      </c>
      <c r="B133" s="1" t="s">
        <v>28</v>
      </c>
      <c r="C133" s="1" t="s">
        <v>19</v>
      </c>
      <c r="D133" s="1" t="s">
        <v>487</v>
      </c>
      <c r="E133" s="1" t="s">
        <v>177</v>
      </c>
      <c r="F133" s="1" t="s">
        <v>344</v>
      </c>
      <c r="G133" s="1" t="s">
        <v>345</v>
      </c>
      <c r="H133" s="1">
        <v>2021</v>
      </c>
      <c r="I133" s="1" t="s">
        <v>180</v>
      </c>
      <c r="J133" s="1" t="s">
        <v>539</v>
      </c>
      <c r="K133" s="1" t="s">
        <v>181</v>
      </c>
      <c r="L133" s="1" t="s">
        <v>26</v>
      </c>
      <c r="M133" s="2">
        <v>1200</v>
      </c>
      <c r="O133" s="3">
        <v>46126</v>
      </c>
      <c r="P133" s="3">
        <v>46122</v>
      </c>
      <c r="Q133" s="3">
        <v>46199</v>
      </c>
    </row>
    <row r="134" spans="1:17" x14ac:dyDescent="0.25">
      <c r="A134" s="1" t="s">
        <v>362</v>
      </c>
      <c r="B134" s="1" t="s">
        <v>18</v>
      </c>
      <c r="C134" s="1" t="s">
        <v>44</v>
      </c>
      <c r="D134" s="1" t="s">
        <v>315</v>
      </c>
      <c r="E134" s="1" t="s">
        <v>78</v>
      </c>
      <c r="F134" s="1" t="s">
        <v>79</v>
      </c>
      <c r="G134" s="1" t="s">
        <v>363</v>
      </c>
      <c r="H134" s="1">
        <v>2017</v>
      </c>
      <c r="I134" s="1" t="s">
        <v>364</v>
      </c>
      <c r="J134" s="1" t="s">
        <v>362</v>
      </c>
      <c r="K134" s="1" t="s">
        <v>365</v>
      </c>
      <c r="L134" s="1" t="s">
        <v>26</v>
      </c>
      <c r="M134" s="2">
        <v>17000</v>
      </c>
      <c r="O134" s="3">
        <v>46108</v>
      </c>
      <c r="P134" s="3">
        <v>46108</v>
      </c>
    </row>
    <row r="135" spans="1:17" x14ac:dyDescent="0.25">
      <c r="A135" s="1" t="s">
        <v>451</v>
      </c>
      <c r="B135" s="1" t="s">
        <v>18</v>
      </c>
      <c r="C135" s="1" t="s">
        <v>44</v>
      </c>
      <c r="D135" s="1" t="s">
        <v>308</v>
      </c>
      <c r="E135" s="1" t="s">
        <v>78</v>
      </c>
      <c r="F135" s="1" t="s">
        <v>79</v>
      </c>
      <c r="G135" s="1" t="s">
        <v>154</v>
      </c>
      <c r="H135" s="1">
        <v>2020</v>
      </c>
      <c r="I135" s="1" t="s">
        <v>452</v>
      </c>
      <c r="J135" s="1" t="s">
        <v>451</v>
      </c>
      <c r="K135" s="1" t="s">
        <v>212</v>
      </c>
      <c r="L135" s="1" t="s">
        <v>26</v>
      </c>
      <c r="M135" s="2">
        <v>17000</v>
      </c>
      <c r="N135" s="1" t="s">
        <v>127</v>
      </c>
      <c r="O135" s="3">
        <v>45868</v>
      </c>
      <c r="P135" s="3">
        <v>45834</v>
      </c>
    </row>
    <row r="136" spans="1:17" x14ac:dyDescent="0.25">
      <c r="A136" s="1" t="s">
        <v>578</v>
      </c>
      <c r="B136" s="1" t="s">
        <v>18</v>
      </c>
      <c r="C136" s="1" t="s">
        <v>44</v>
      </c>
      <c r="D136" s="1" t="s">
        <v>148</v>
      </c>
      <c r="E136" s="1" t="s">
        <v>78</v>
      </c>
      <c r="F136" s="1" t="s">
        <v>79</v>
      </c>
      <c r="G136" s="1" t="s">
        <v>363</v>
      </c>
      <c r="H136" s="1">
        <v>2015</v>
      </c>
      <c r="I136" s="1" t="s">
        <v>579</v>
      </c>
      <c r="J136" s="1" t="s">
        <v>578</v>
      </c>
      <c r="K136" s="1" t="s">
        <v>580</v>
      </c>
      <c r="L136" s="1" t="s">
        <v>26</v>
      </c>
      <c r="M136" s="2">
        <v>17000</v>
      </c>
      <c r="O136" s="3">
        <v>46090</v>
      </c>
      <c r="P136" s="3">
        <v>46077</v>
      </c>
    </row>
    <row r="137" spans="1:17" x14ac:dyDescent="0.25">
      <c r="A137" s="1" t="s">
        <v>581</v>
      </c>
      <c r="B137" s="1" t="s">
        <v>18</v>
      </c>
      <c r="C137" s="1" t="s">
        <v>44</v>
      </c>
      <c r="D137" s="1" t="s">
        <v>148</v>
      </c>
      <c r="E137" s="1" t="s">
        <v>78</v>
      </c>
      <c r="F137" s="1" t="s">
        <v>79</v>
      </c>
      <c r="G137" s="1" t="s">
        <v>582</v>
      </c>
      <c r="H137" s="1">
        <v>2017</v>
      </c>
      <c r="I137" s="1" t="s">
        <v>583</v>
      </c>
      <c r="J137" s="1" t="s">
        <v>584</v>
      </c>
      <c r="K137" s="1" t="s">
        <v>585</v>
      </c>
      <c r="L137" s="1" t="s">
        <v>26</v>
      </c>
      <c r="M137" s="2">
        <v>17000</v>
      </c>
      <c r="O137" s="3">
        <v>46204</v>
      </c>
      <c r="P137" s="1" t="s">
        <v>586</v>
      </c>
    </row>
    <row r="138" spans="1:17" x14ac:dyDescent="0.25">
      <c r="A138" s="1" t="s">
        <v>683</v>
      </c>
      <c r="B138" s="1" t="s">
        <v>18</v>
      </c>
      <c r="C138" s="1" t="s">
        <v>44</v>
      </c>
      <c r="D138" s="1" t="s">
        <v>202</v>
      </c>
      <c r="E138" s="1" t="s">
        <v>78</v>
      </c>
      <c r="F138" s="1" t="s">
        <v>79</v>
      </c>
      <c r="G138" s="1" t="s">
        <v>684</v>
      </c>
      <c r="H138" s="1">
        <v>2015</v>
      </c>
      <c r="I138" s="1" t="s">
        <v>685</v>
      </c>
      <c r="J138" s="1" t="s">
        <v>683</v>
      </c>
      <c r="K138" s="1" t="s">
        <v>75</v>
      </c>
      <c r="L138" s="1" t="s">
        <v>26</v>
      </c>
      <c r="M138" s="2">
        <v>17000</v>
      </c>
      <c r="O138" s="3">
        <v>45927</v>
      </c>
      <c r="P138" s="3">
        <v>45923</v>
      </c>
    </row>
    <row r="139" spans="1:17" x14ac:dyDescent="0.25">
      <c r="A139" s="1" t="s">
        <v>775</v>
      </c>
      <c r="B139" s="1" t="s">
        <v>18</v>
      </c>
      <c r="C139" s="1" t="s">
        <v>44</v>
      </c>
      <c r="D139" s="1" t="s">
        <v>340</v>
      </c>
      <c r="E139" s="1" t="s">
        <v>78</v>
      </c>
      <c r="F139" s="1" t="s">
        <v>79</v>
      </c>
      <c r="G139" s="1" t="s">
        <v>154</v>
      </c>
      <c r="H139" s="1">
        <v>2015</v>
      </c>
      <c r="I139" s="1" t="s">
        <v>776</v>
      </c>
      <c r="J139" s="1" t="s">
        <v>777</v>
      </c>
      <c r="K139" s="1" t="s">
        <v>580</v>
      </c>
      <c r="L139" s="1" t="s">
        <v>26</v>
      </c>
      <c r="M139" s="2">
        <v>27200</v>
      </c>
      <c r="O139" s="3">
        <v>45904</v>
      </c>
      <c r="P139" s="3">
        <v>45903</v>
      </c>
    </row>
    <row r="140" spans="1:17" x14ac:dyDescent="0.25">
      <c r="A140" s="1" t="s">
        <v>171</v>
      </c>
      <c r="B140" s="1" t="s">
        <v>18</v>
      </c>
      <c r="C140" s="1" t="s">
        <v>44</v>
      </c>
      <c r="D140" s="1" t="s">
        <v>52</v>
      </c>
      <c r="E140" s="1" t="s">
        <v>172</v>
      </c>
      <c r="F140" s="1" t="s">
        <v>90</v>
      </c>
      <c r="G140" s="1" t="s">
        <v>173</v>
      </c>
      <c r="H140" s="1">
        <v>2024</v>
      </c>
      <c r="I140" s="1" t="s">
        <v>174</v>
      </c>
      <c r="J140" s="1" t="s">
        <v>171</v>
      </c>
      <c r="K140" s="1" t="s">
        <v>175</v>
      </c>
      <c r="L140" s="1" t="s">
        <v>26</v>
      </c>
      <c r="M140" s="2">
        <v>14000</v>
      </c>
      <c r="O140" s="3">
        <v>46093</v>
      </c>
      <c r="P140" s="3">
        <v>46086</v>
      </c>
    </row>
    <row r="141" spans="1:17" x14ac:dyDescent="0.25">
      <c r="A141" s="1" t="s">
        <v>182</v>
      </c>
      <c r="B141" s="1" t="s">
        <v>18</v>
      </c>
      <c r="C141" s="1" t="s">
        <v>44</v>
      </c>
      <c r="D141" s="1" t="s">
        <v>52</v>
      </c>
      <c r="E141" s="1" t="s">
        <v>172</v>
      </c>
      <c r="F141" s="1" t="s">
        <v>90</v>
      </c>
      <c r="G141" s="1" t="s">
        <v>183</v>
      </c>
      <c r="H141" s="1">
        <v>2024</v>
      </c>
      <c r="I141" s="1" t="s">
        <v>184</v>
      </c>
      <c r="J141" s="1" t="s">
        <v>182</v>
      </c>
      <c r="K141" s="1" t="s">
        <v>93</v>
      </c>
      <c r="L141" s="1" t="s">
        <v>26</v>
      </c>
      <c r="M141" s="2">
        <v>28000</v>
      </c>
      <c r="O141" s="3">
        <v>46093</v>
      </c>
      <c r="P141" s="3">
        <v>46089</v>
      </c>
    </row>
    <row r="142" spans="1:17" x14ac:dyDescent="0.25">
      <c r="A142" s="1" t="s">
        <v>199</v>
      </c>
      <c r="B142" s="1" t="s">
        <v>18</v>
      </c>
      <c r="C142" s="1" t="s">
        <v>44</v>
      </c>
      <c r="D142" s="1" t="s">
        <v>52</v>
      </c>
      <c r="E142" s="1" t="s">
        <v>172</v>
      </c>
      <c r="F142" s="1" t="s">
        <v>90</v>
      </c>
      <c r="G142" s="1" t="s">
        <v>173</v>
      </c>
      <c r="H142" s="1">
        <v>2025</v>
      </c>
      <c r="I142" s="1" t="s">
        <v>200</v>
      </c>
      <c r="J142" s="1" t="s">
        <v>199</v>
      </c>
      <c r="K142" s="1" t="s">
        <v>175</v>
      </c>
      <c r="L142" s="1" t="s">
        <v>26</v>
      </c>
      <c r="M142" s="2">
        <v>13000</v>
      </c>
      <c r="O142" s="3">
        <v>46093</v>
      </c>
      <c r="P142" s="3">
        <v>46089</v>
      </c>
    </row>
    <row r="143" spans="1:17" x14ac:dyDescent="0.25">
      <c r="A143" s="1" t="s">
        <v>371</v>
      </c>
      <c r="B143" s="1" t="s">
        <v>18</v>
      </c>
      <c r="C143" s="1" t="s">
        <v>44</v>
      </c>
      <c r="D143" s="1" t="s">
        <v>315</v>
      </c>
      <c r="E143" s="1" t="s">
        <v>172</v>
      </c>
      <c r="F143" s="1" t="s">
        <v>372</v>
      </c>
      <c r="G143" s="1" t="s">
        <v>373</v>
      </c>
      <c r="H143" s="1">
        <v>2025</v>
      </c>
      <c r="I143" s="1" t="s">
        <v>373</v>
      </c>
      <c r="J143" s="1" t="s">
        <v>371</v>
      </c>
      <c r="K143" s="1" t="s">
        <v>374</v>
      </c>
      <c r="L143" s="1" t="s">
        <v>26</v>
      </c>
      <c r="M143" s="2">
        <v>17000</v>
      </c>
      <c r="O143" s="3">
        <v>46119</v>
      </c>
      <c r="P143" s="3">
        <v>46119</v>
      </c>
    </row>
    <row r="144" spans="1:17" x14ac:dyDescent="0.25">
      <c r="A144" s="1" t="s">
        <v>375</v>
      </c>
      <c r="B144" s="1" t="s">
        <v>18</v>
      </c>
      <c r="C144" s="1" t="s">
        <v>44</v>
      </c>
      <c r="D144" s="1" t="s">
        <v>315</v>
      </c>
      <c r="E144" s="1" t="s">
        <v>172</v>
      </c>
      <c r="F144" s="1" t="s">
        <v>90</v>
      </c>
      <c r="G144" s="1" t="s">
        <v>376</v>
      </c>
      <c r="H144" s="1">
        <v>2024</v>
      </c>
      <c r="I144" s="1" t="s">
        <v>377</v>
      </c>
      <c r="J144" s="1" t="s">
        <v>375</v>
      </c>
      <c r="K144" s="1" t="s">
        <v>378</v>
      </c>
      <c r="L144" s="1" t="s">
        <v>26</v>
      </c>
      <c r="M144" s="2">
        <v>13500</v>
      </c>
      <c r="O144" s="3">
        <v>46108</v>
      </c>
      <c r="P144" s="3">
        <v>46102</v>
      </c>
    </row>
    <row r="145" spans="1:17" x14ac:dyDescent="0.25">
      <c r="A145" s="1" t="s">
        <v>453</v>
      </c>
      <c r="B145" s="1" t="s">
        <v>18</v>
      </c>
      <c r="C145" s="1" t="s">
        <v>44</v>
      </c>
      <c r="D145" s="1" t="s">
        <v>308</v>
      </c>
      <c r="E145" s="1" t="s">
        <v>172</v>
      </c>
      <c r="F145" s="1" t="s">
        <v>90</v>
      </c>
      <c r="G145" s="1" t="s">
        <v>393</v>
      </c>
      <c r="H145" s="1">
        <v>2024</v>
      </c>
      <c r="I145" s="1" t="s">
        <v>454</v>
      </c>
      <c r="J145" s="1" t="s">
        <v>453</v>
      </c>
      <c r="K145" s="1" t="s">
        <v>455</v>
      </c>
      <c r="L145" s="1" t="s">
        <v>26</v>
      </c>
      <c r="M145" s="1" t="s">
        <v>456</v>
      </c>
      <c r="O145" s="3">
        <v>45927</v>
      </c>
      <c r="P145" s="3">
        <v>45912</v>
      </c>
    </row>
    <row r="146" spans="1:17" x14ac:dyDescent="0.25">
      <c r="A146" s="1" t="s">
        <v>457</v>
      </c>
      <c r="B146" s="1" t="s">
        <v>18</v>
      </c>
      <c r="C146" s="1" t="s">
        <v>44</v>
      </c>
      <c r="D146" s="1" t="s">
        <v>308</v>
      </c>
      <c r="E146" s="1" t="s">
        <v>172</v>
      </c>
      <c r="F146" s="1" t="s">
        <v>90</v>
      </c>
      <c r="G146" s="1" t="s">
        <v>393</v>
      </c>
      <c r="H146" s="1">
        <v>2025</v>
      </c>
      <c r="I146" s="1" t="s">
        <v>458</v>
      </c>
      <c r="J146" s="1" t="s">
        <v>457</v>
      </c>
      <c r="K146" s="1" t="s">
        <v>358</v>
      </c>
      <c r="L146" s="1" t="s">
        <v>26</v>
      </c>
      <c r="M146" s="1" t="s">
        <v>459</v>
      </c>
      <c r="O146" s="3">
        <v>45927</v>
      </c>
      <c r="P146" s="3">
        <v>45912</v>
      </c>
    </row>
    <row r="147" spans="1:17" x14ac:dyDescent="0.25">
      <c r="A147" s="1" t="s">
        <v>588</v>
      </c>
      <c r="B147" s="1" t="s">
        <v>18</v>
      </c>
      <c r="C147" s="1" t="s">
        <v>44</v>
      </c>
      <c r="D147" s="1" t="s">
        <v>148</v>
      </c>
      <c r="E147" s="1" t="s">
        <v>172</v>
      </c>
      <c r="F147" s="1" t="s">
        <v>90</v>
      </c>
      <c r="G147" s="1" t="s">
        <v>589</v>
      </c>
      <c r="H147" s="1">
        <v>2021</v>
      </c>
      <c r="I147" s="1" t="s">
        <v>590</v>
      </c>
      <c r="J147" s="1" t="s">
        <v>588</v>
      </c>
      <c r="K147" s="1" t="s">
        <v>93</v>
      </c>
      <c r="L147" s="1" t="s">
        <v>26</v>
      </c>
      <c r="M147" s="2">
        <v>17000</v>
      </c>
      <c r="O147" s="3">
        <v>46108</v>
      </c>
      <c r="P147" s="3">
        <v>46098</v>
      </c>
    </row>
    <row r="148" spans="1:17" hidden="1" x14ac:dyDescent="0.25">
      <c r="A148" s="1" t="s">
        <v>587</v>
      </c>
      <c r="B148" s="1" t="s">
        <v>28</v>
      </c>
      <c r="C148" s="1" t="s">
        <v>19</v>
      </c>
      <c r="D148" s="1" t="s">
        <v>148</v>
      </c>
      <c r="E148" s="1" t="s">
        <v>540</v>
      </c>
      <c r="F148" s="1" t="s">
        <v>541</v>
      </c>
      <c r="G148" s="1" t="s">
        <v>542</v>
      </c>
      <c r="H148" s="1">
        <v>2025</v>
      </c>
      <c r="I148" s="1">
        <v>413</v>
      </c>
      <c r="J148" s="1" t="s">
        <v>587</v>
      </c>
      <c r="K148" s="1" t="s">
        <v>120</v>
      </c>
      <c r="L148" s="1" t="s">
        <v>26</v>
      </c>
      <c r="M148" s="2">
        <v>7000</v>
      </c>
      <c r="O148" s="3">
        <v>46090</v>
      </c>
      <c r="P148" s="3">
        <v>46089</v>
      </c>
      <c r="Q148" s="3">
        <v>46102</v>
      </c>
    </row>
    <row r="149" spans="1:17" x14ac:dyDescent="0.25">
      <c r="A149" s="1" t="s">
        <v>88</v>
      </c>
      <c r="B149" s="1" t="s">
        <v>18</v>
      </c>
      <c r="C149" s="1" t="s">
        <v>44</v>
      </c>
      <c r="D149" s="1" t="s">
        <v>45</v>
      </c>
      <c r="E149" s="1" t="s">
        <v>89</v>
      </c>
      <c r="F149" s="1" t="s">
        <v>90</v>
      </c>
      <c r="G149" s="1" t="s">
        <v>91</v>
      </c>
      <c r="H149" s="1">
        <v>2025</v>
      </c>
      <c r="I149" s="1" t="s">
        <v>92</v>
      </c>
      <c r="J149" s="1" t="s">
        <v>88</v>
      </c>
      <c r="K149" s="1" t="s">
        <v>93</v>
      </c>
      <c r="L149" s="1" t="s">
        <v>26</v>
      </c>
      <c r="M149" s="1" t="s">
        <v>94</v>
      </c>
      <c r="O149" s="3">
        <v>45914</v>
      </c>
      <c r="P149" s="3">
        <v>45914</v>
      </c>
    </row>
    <row r="150" spans="1:17" hidden="1" x14ac:dyDescent="0.25">
      <c r="A150" s="1" t="s">
        <v>591</v>
      </c>
      <c r="B150" s="1" t="s">
        <v>28</v>
      </c>
      <c r="C150" s="1" t="s">
        <v>19</v>
      </c>
      <c r="D150" s="1" t="s">
        <v>487</v>
      </c>
      <c r="E150" s="1" t="s">
        <v>367</v>
      </c>
      <c r="F150" s="1" t="s">
        <v>368</v>
      </c>
      <c r="G150" s="1" t="s">
        <v>592</v>
      </c>
      <c r="H150" s="1">
        <v>2023</v>
      </c>
      <c r="I150" s="1" t="s">
        <v>593</v>
      </c>
      <c r="J150" s="1" t="s">
        <v>591</v>
      </c>
      <c r="K150" s="1" t="s">
        <v>57</v>
      </c>
      <c r="L150" s="1" t="s">
        <v>26</v>
      </c>
      <c r="M150" s="2">
        <v>45000</v>
      </c>
      <c r="O150" s="3">
        <v>46064</v>
      </c>
      <c r="P150" s="3">
        <v>46034</v>
      </c>
      <c r="Q150" s="3">
        <v>46054</v>
      </c>
    </row>
    <row r="151" spans="1:17" hidden="1" x14ac:dyDescent="0.25">
      <c r="A151" s="1" t="s">
        <v>594</v>
      </c>
      <c r="B151" s="1" t="s">
        <v>28</v>
      </c>
      <c r="C151" s="1" t="s">
        <v>19</v>
      </c>
      <c r="D151" s="1" t="s">
        <v>340</v>
      </c>
      <c r="E151" s="1" t="s">
        <v>367</v>
      </c>
      <c r="F151" s="1" t="s">
        <v>368</v>
      </c>
      <c r="G151" s="1" t="s">
        <v>595</v>
      </c>
      <c r="H151" s="1">
        <v>2014</v>
      </c>
      <c r="I151" s="1">
        <v>11100101</v>
      </c>
      <c r="J151" s="1" t="s">
        <v>594</v>
      </c>
      <c r="K151" s="1" t="s">
        <v>57</v>
      </c>
      <c r="L151" s="1" t="s">
        <v>26</v>
      </c>
      <c r="M151" s="2">
        <v>45000</v>
      </c>
      <c r="N151" s="1" t="s">
        <v>26</v>
      </c>
      <c r="O151" s="3">
        <v>45891</v>
      </c>
      <c r="P151" s="3">
        <v>45862</v>
      </c>
      <c r="Q151" s="3">
        <v>45925</v>
      </c>
    </row>
    <row r="152" spans="1:17" x14ac:dyDescent="0.25">
      <c r="A152" s="1" t="s">
        <v>596</v>
      </c>
      <c r="B152" s="1" t="s">
        <v>18</v>
      </c>
      <c r="C152" s="1" t="s">
        <v>44</v>
      </c>
      <c r="D152" s="1" t="s">
        <v>45</v>
      </c>
      <c r="E152" s="1" t="s">
        <v>89</v>
      </c>
      <c r="F152" s="1" t="s">
        <v>215</v>
      </c>
      <c r="G152" s="1" t="s">
        <v>597</v>
      </c>
      <c r="H152" s="1">
        <v>2026</v>
      </c>
      <c r="I152" s="1" t="s">
        <v>598</v>
      </c>
      <c r="J152" s="1" t="s">
        <v>596</v>
      </c>
      <c r="K152" s="1" t="s">
        <v>57</v>
      </c>
      <c r="L152" s="1" t="s">
        <v>26</v>
      </c>
      <c r="M152" s="2">
        <v>10000</v>
      </c>
      <c r="O152" s="3">
        <v>46064</v>
      </c>
      <c r="P152" s="3">
        <v>46064</v>
      </c>
    </row>
    <row r="153" spans="1:17" x14ac:dyDescent="0.25">
      <c r="A153" s="1" t="s">
        <v>599</v>
      </c>
      <c r="B153" s="1" t="s">
        <v>18</v>
      </c>
      <c r="C153" s="1" t="s">
        <v>44</v>
      </c>
      <c r="D153" s="1" t="s">
        <v>148</v>
      </c>
      <c r="E153" s="1" t="s">
        <v>600</v>
      </c>
      <c r="F153" s="1" t="s">
        <v>73</v>
      </c>
      <c r="G153" s="1" t="s">
        <v>601</v>
      </c>
      <c r="H153" s="1">
        <v>2011</v>
      </c>
      <c r="I153" s="1" t="s">
        <v>602</v>
      </c>
      <c r="J153" s="1" t="s">
        <v>599</v>
      </c>
      <c r="K153" s="1" t="s">
        <v>57</v>
      </c>
      <c r="L153" s="1" t="s">
        <v>26</v>
      </c>
      <c r="M153" s="2">
        <v>20000</v>
      </c>
      <c r="O153" s="3">
        <v>45909</v>
      </c>
      <c r="P153" s="3">
        <v>45904</v>
      </c>
    </row>
    <row r="154" spans="1:17" x14ac:dyDescent="0.25">
      <c r="A154" s="1" t="s">
        <v>609</v>
      </c>
      <c r="B154" s="1" t="s">
        <v>18</v>
      </c>
      <c r="C154" s="1" t="s">
        <v>44</v>
      </c>
      <c r="D154" s="1" t="s">
        <v>202</v>
      </c>
      <c r="E154" s="1" t="s">
        <v>600</v>
      </c>
      <c r="F154" s="1" t="s">
        <v>73</v>
      </c>
      <c r="G154" s="1">
        <v>140</v>
      </c>
      <c r="H154" s="1">
        <v>2025</v>
      </c>
      <c r="I154" s="1" t="s">
        <v>610</v>
      </c>
      <c r="J154" s="1" t="s">
        <v>609</v>
      </c>
      <c r="K154" s="1" t="s">
        <v>57</v>
      </c>
      <c r="L154" s="1" t="s">
        <v>26</v>
      </c>
      <c r="M154" s="2">
        <v>23000</v>
      </c>
      <c r="O154" s="3">
        <v>46069</v>
      </c>
      <c r="P154" s="3">
        <v>46069</v>
      </c>
    </row>
    <row r="155" spans="1:17" x14ac:dyDescent="0.25">
      <c r="A155" s="1" t="s">
        <v>647</v>
      </c>
      <c r="B155" s="1" t="s">
        <v>18</v>
      </c>
      <c r="C155" s="1" t="s">
        <v>44</v>
      </c>
      <c r="D155" s="1" t="s">
        <v>340</v>
      </c>
      <c r="E155" s="1" t="s">
        <v>600</v>
      </c>
      <c r="F155" s="1" t="s">
        <v>73</v>
      </c>
      <c r="G155" s="1" t="s">
        <v>648</v>
      </c>
      <c r="H155" s="1">
        <v>2025</v>
      </c>
      <c r="I155" s="1" t="s">
        <v>649</v>
      </c>
      <c r="J155" s="1" t="s">
        <v>647</v>
      </c>
      <c r="K155" s="1" t="s">
        <v>57</v>
      </c>
      <c r="L155" s="1" t="s">
        <v>26</v>
      </c>
      <c r="M155" s="2">
        <v>23000</v>
      </c>
      <c r="N155" s="1" t="s">
        <v>26</v>
      </c>
      <c r="O155" s="3">
        <v>45859</v>
      </c>
      <c r="P155" s="3">
        <v>45858</v>
      </c>
    </row>
    <row r="156" spans="1:17" x14ac:dyDescent="0.25">
      <c r="A156" s="1" t="s">
        <v>650</v>
      </c>
      <c r="B156" s="1" t="s">
        <v>18</v>
      </c>
      <c r="C156" s="1" t="s">
        <v>44</v>
      </c>
      <c r="D156" s="1" t="s">
        <v>340</v>
      </c>
      <c r="E156" s="1" t="s">
        <v>600</v>
      </c>
      <c r="F156" s="1" t="s">
        <v>73</v>
      </c>
      <c r="G156" s="1" t="s">
        <v>648</v>
      </c>
      <c r="H156" s="1">
        <v>2021</v>
      </c>
      <c r="I156" s="1" t="s">
        <v>651</v>
      </c>
      <c r="J156" s="1" t="s">
        <v>650</v>
      </c>
      <c r="K156" s="1" t="s">
        <v>57</v>
      </c>
      <c r="L156" s="1" t="s">
        <v>26</v>
      </c>
      <c r="M156" s="2">
        <v>23000</v>
      </c>
      <c r="N156" s="1" t="s">
        <v>127</v>
      </c>
      <c r="O156" s="3">
        <v>45842</v>
      </c>
      <c r="P156" s="3">
        <v>45840</v>
      </c>
    </row>
    <row r="157" spans="1:17" x14ac:dyDescent="0.25">
      <c r="A157" s="1" t="s">
        <v>652</v>
      </c>
      <c r="B157" s="1" t="s">
        <v>18</v>
      </c>
      <c r="C157" s="1" t="s">
        <v>44</v>
      </c>
      <c r="D157" s="1" t="s">
        <v>340</v>
      </c>
      <c r="E157" s="1" t="s">
        <v>600</v>
      </c>
      <c r="F157" s="1" t="s">
        <v>73</v>
      </c>
      <c r="G157" s="1">
        <v>140</v>
      </c>
      <c r="H157" s="1">
        <v>2026</v>
      </c>
      <c r="I157" s="1" t="s">
        <v>653</v>
      </c>
      <c r="J157" s="1" t="s">
        <v>652</v>
      </c>
      <c r="K157" s="1" t="s">
        <v>57</v>
      </c>
      <c r="L157" s="1" t="s">
        <v>26</v>
      </c>
      <c r="M157" s="2">
        <v>23000</v>
      </c>
      <c r="P157" s="3">
        <v>46193</v>
      </c>
    </row>
    <row r="158" spans="1:17" hidden="1" x14ac:dyDescent="0.25">
      <c r="A158" s="1" t="s">
        <v>614</v>
      </c>
      <c r="B158" s="1" t="s">
        <v>28</v>
      </c>
      <c r="C158" s="1" t="s">
        <v>19</v>
      </c>
      <c r="D158" s="1" t="s">
        <v>148</v>
      </c>
      <c r="E158" s="1" t="s">
        <v>604</v>
      </c>
      <c r="F158" s="1" t="s">
        <v>73</v>
      </c>
      <c r="G158" s="1" t="s">
        <v>615</v>
      </c>
      <c r="H158" s="1">
        <v>2025</v>
      </c>
      <c r="I158" s="1" t="s">
        <v>616</v>
      </c>
      <c r="J158" s="1" t="s">
        <v>617</v>
      </c>
      <c r="K158" s="1" t="s">
        <v>618</v>
      </c>
      <c r="L158" s="1" t="s">
        <v>26</v>
      </c>
      <c r="M158" s="2">
        <v>22000</v>
      </c>
      <c r="O158" s="3">
        <v>46094</v>
      </c>
      <c r="P158" s="3">
        <v>46094</v>
      </c>
      <c r="Q158" s="3">
        <v>46170</v>
      </c>
    </row>
    <row r="159" spans="1:17" hidden="1" x14ac:dyDescent="0.25">
      <c r="A159" s="1" t="s">
        <v>619</v>
      </c>
      <c r="B159" s="1" t="s">
        <v>28</v>
      </c>
      <c r="C159" s="1" t="s">
        <v>19</v>
      </c>
      <c r="D159" s="1" t="s">
        <v>148</v>
      </c>
      <c r="E159" s="1" t="s">
        <v>604</v>
      </c>
      <c r="F159" s="1" t="s">
        <v>620</v>
      </c>
      <c r="G159" s="1" t="s">
        <v>621</v>
      </c>
      <c r="H159" s="1">
        <v>2024</v>
      </c>
      <c r="I159" s="1" t="s">
        <v>622</v>
      </c>
      <c r="J159" s="1" t="s">
        <v>619</v>
      </c>
      <c r="K159" s="1" t="s">
        <v>383</v>
      </c>
      <c r="L159" s="1" t="s">
        <v>26</v>
      </c>
      <c r="M159" s="2">
        <v>35000</v>
      </c>
      <c r="N159" s="1" t="s">
        <v>76</v>
      </c>
      <c r="O159" s="3">
        <v>46093</v>
      </c>
      <c r="P159" s="3">
        <v>45846</v>
      </c>
      <c r="Q159" s="3">
        <v>46163</v>
      </c>
    </row>
    <row r="160" spans="1:17" hidden="1" x14ac:dyDescent="0.25">
      <c r="A160" s="1" t="s">
        <v>623</v>
      </c>
      <c r="B160" s="1" t="s">
        <v>28</v>
      </c>
      <c r="C160" s="1" t="s">
        <v>19</v>
      </c>
      <c r="D160" s="1" t="s">
        <v>148</v>
      </c>
      <c r="E160" s="1" t="s">
        <v>604</v>
      </c>
      <c r="F160" s="1" t="s">
        <v>620</v>
      </c>
      <c r="G160" s="1" t="s">
        <v>621</v>
      </c>
      <c r="H160" s="1">
        <v>2024</v>
      </c>
      <c r="I160" s="1" t="s">
        <v>624</v>
      </c>
      <c r="J160" s="1" t="s">
        <v>623</v>
      </c>
      <c r="K160" s="1" t="s">
        <v>383</v>
      </c>
      <c r="L160" s="1" t="s">
        <v>26</v>
      </c>
      <c r="M160" s="2">
        <v>35000</v>
      </c>
      <c r="O160" s="3">
        <v>45847</v>
      </c>
      <c r="P160" s="3">
        <v>45847</v>
      </c>
      <c r="Q160" s="3">
        <v>46163</v>
      </c>
    </row>
    <row r="161" spans="1:17" x14ac:dyDescent="0.25">
      <c r="A161" s="1" t="s">
        <v>658</v>
      </c>
      <c r="B161" s="1" t="s">
        <v>18</v>
      </c>
      <c r="C161" s="1" t="s">
        <v>44</v>
      </c>
      <c r="D161" s="1" t="s">
        <v>659</v>
      </c>
      <c r="E161" s="1" t="s">
        <v>660</v>
      </c>
      <c r="F161" s="1" t="s">
        <v>60</v>
      </c>
      <c r="G161" s="1" t="s">
        <v>661</v>
      </c>
      <c r="H161" s="1">
        <v>2025</v>
      </c>
      <c r="I161" s="1" t="s">
        <v>662</v>
      </c>
      <c r="J161" s="1" t="s">
        <v>658</v>
      </c>
      <c r="K161" s="1" t="s">
        <v>57</v>
      </c>
      <c r="L161" s="1" t="s">
        <v>26</v>
      </c>
      <c r="M161" s="2">
        <v>20000</v>
      </c>
      <c r="O161" s="3">
        <v>46049</v>
      </c>
      <c r="P161" s="3">
        <v>46044</v>
      </c>
    </row>
    <row r="162" spans="1:17" hidden="1" x14ac:dyDescent="0.25">
      <c r="A162" s="1" t="s">
        <v>629</v>
      </c>
      <c r="B162" s="1" t="s">
        <v>28</v>
      </c>
      <c r="C162" s="1" t="s">
        <v>19</v>
      </c>
      <c r="D162" s="1" t="s">
        <v>148</v>
      </c>
      <c r="E162" s="1" t="s">
        <v>405</v>
      </c>
      <c r="F162" s="1" t="s">
        <v>630</v>
      </c>
      <c r="G162" s="1" t="s">
        <v>631</v>
      </c>
      <c r="H162" s="1">
        <v>1996</v>
      </c>
      <c r="I162" s="1" t="s">
        <v>632</v>
      </c>
      <c r="J162" s="1" t="s">
        <v>629</v>
      </c>
      <c r="K162" s="1" t="s">
        <v>633</v>
      </c>
      <c r="L162" s="1" t="s">
        <v>26</v>
      </c>
      <c r="M162" s="1">
        <v>0</v>
      </c>
      <c r="O162" s="3">
        <v>46086</v>
      </c>
      <c r="P162" s="3">
        <v>46086</v>
      </c>
      <c r="Q162" s="1" t="s">
        <v>634</v>
      </c>
    </row>
    <row r="163" spans="1:17" hidden="1" x14ac:dyDescent="0.25">
      <c r="A163" s="1" t="s">
        <v>635</v>
      </c>
      <c r="B163" s="1" t="s">
        <v>28</v>
      </c>
      <c r="C163" s="1" t="s">
        <v>19</v>
      </c>
      <c r="D163" s="1" t="s">
        <v>636</v>
      </c>
      <c r="E163" s="1" t="s">
        <v>149</v>
      </c>
      <c r="F163" s="1" t="s">
        <v>112</v>
      </c>
      <c r="G163" s="1" t="s">
        <v>637</v>
      </c>
      <c r="H163" s="1">
        <v>2005</v>
      </c>
      <c r="I163" s="1" t="s">
        <v>638</v>
      </c>
      <c r="J163" s="1" t="s">
        <v>635</v>
      </c>
      <c r="K163" s="1" t="s">
        <v>429</v>
      </c>
      <c r="L163" s="1" t="s">
        <v>26</v>
      </c>
      <c r="M163" s="2">
        <v>58600</v>
      </c>
      <c r="O163" s="3">
        <v>45924</v>
      </c>
      <c r="P163" s="3">
        <v>45924</v>
      </c>
      <c r="Q163" s="3">
        <v>45995</v>
      </c>
    </row>
    <row r="164" spans="1:17" x14ac:dyDescent="0.25">
      <c r="A164" s="1" t="s">
        <v>670</v>
      </c>
      <c r="B164" s="1" t="s">
        <v>18</v>
      </c>
      <c r="C164" s="1" t="s">
        <v>44</v>
      </c>
      <c r="D164" s="1" t="s">
        <v>671</v>
      </c>
      <c r="E164" s="1" t="s">
        <v>660</v>
      </c>
      <c r="F164" s="1" t="s">
        <v>60</v>
      </c>
      <c r="G164" s="1" t="s">
        <v>672</v>
      </c>
      <c r="H164" s="1">
        <v>2022</v>
      </c>
      <c r="I164" s="1" t="s">
        <v>673</v>
      </c>
      <c r="J164" s="1" t="s">
        <v>670</v>
      </c>
      <c r="K164" s="1" t="s">
        <v>57</v>
      </c>
      <c r="L164" s="1" t="s">
        <v>26</v>
      </c>
      <c r="M164" s="2">
        <v>20000</v>
      </c>
      <c r="O164" s="3">
        <v>45914</v>
      </c>
      <c r="P164" s="3">
        <v>45912</v>
      </c>
    </row>
    <row r="165" spans="1:17" hidden="1" x14ac:dyDescent="0.25">
      <c r="A165" s="1" t="s">
        <v>121</v>
      </c>
      <c r="B165" s="1" t="s">
        <v>28</v>
      </c>
      <c r="C165" s="1" t="s">
        <v>19</v>
      </c>
      <c r="D165" s="1" t="s">
        <v>640</v>
      </c>
      <c r="E165" s="1" t="s">
        <v>122</v>
      </c>
      <c r="F165" s="1" t="s">
        <v>47</v>
      </c>
      <c r="G165" s="1" t="s">
        <v>48</v>
      </c>
      <c r="H165" s="1">
        <v>2022</v>
      </c>
      <c r="I165" s="1" t="s">
        <v>123</v>
      </c>
      <c r="J165" s="1" t="s">
        <v>124</v>
      </c>
      <c r="K165" s="1" t="s">
        <v>50</v>
      </c>
      <c r="L165" s="1" t="s">
        <v>26</v>
      </c>
      <c r="M165" s="2">
        <v>12000</v>
      </c>
      <c r="O165" s="3">
        <v>45902</v>
      </c>
      <c r="P165" s="3">
        <v>45902</v>
      </c>
      <c r="Q165" s="3">
        <v>46011</v>
      </c>
    </row>
    <row r="166" spans="1:17" hidden="1" x14ac:dyDescent="0.25">
      <c r="A166" s="1" t="s">
        <v>176</v>
      </c>
      <c r="B166" s="1" t="s">
        <v>28</v>
      </c>
      <c r="C166" s="1" t="s">
        <v>19</v>
      </c>
      <c r="D166" s="1" t="s">
        <v>640</v>
      </c>
      <c r="E166" s="1" t="s">
        <v>177</v>
      </c>
      <c r="F166" s="1" t="s">
        <v>178</v>
      </c>
      <c r="G166" s="1" t="s">
        <v>179</v>
      </c>
      <c r="H166" s="1">
        <v>2022</v>
      </c>
      <c r="J166" s="1" t="s">
        <v>176</v>
      </c>
      <c r="K166" s="1" t="s">
        <v>181</v>
      </c>
      <c r="L166" s="1" t="s">
        <v>26</v>
      </c>
      <c r="M166" s="2">
        <v>1200</v>
      </c>
      <c r="N166" s="1" t="s">
        <v>26</v>
      </c>
      <c r="O166" s="3">
        <v>45853</v>
      </c>
      <c r="P166" s="3">
        <v>45853</v>
      </c>
      <c r="Q166" s="3">
        <v>45883</v>
      </c>
    </row>
    <row r="167" spans="1:17" x14ac:dyDescent="0.25">
      <c r="A167" s="1" t="s">
        <v>891</v>
      </c>
      <c r="B167" s="1" t="s">
        <v>18</v>
      </c>
      <c r="C167" s="1" t="s">
        <v>44</v>
      </c>
      <c r="D167" s="1" t="s">
        <v>134</v>
      </c>
      <c r="E167" s="1" t="s">
        <v>660</v>
      </c>
      <c r="F167" s="1" t="s">
        <v>892</v>
      </c>
      <c r="G167" s="1" t="s">
        <v>893</v>
      </c>
      <c r="I167" s="1" t="s">
        <v>894</v>
      </c>
      <c r="J167" s="1" t="s">
        <v>891</v>
      </c>
      <c r="K167" s="1" t="s">
        <v>895</v>
      </c>
      <c r="L167" s="1" t="s">
        <v>26</v>
      </c>
      <c r="M167" s="2">
        <v>22000</v>
      </c>
      <c r="O167" s="3">
        <v>46224</v>
      </c>
      <c r="P167" s="3">
        <v>46224</v>
      </c>
    </row>
    <row r="168" spans="1:17" x14ac:dyDescent="0.25">
      <c r="A168" s="1" t="s">
        <v>674</v>
      </c>
      <c r="B168" s="1" t="s">
        <v>18</v>
      </c>
      <c r="C168" s="1" t="s">
        <v>44</v>
      </c>
      <c r="D168" s="1" t="s">
        <v>148</v>
      </c>
      <c r="E168" s="1" t="s">
        <v>675</v>
      </c>
      <c r="F168" s="1" t="s">
        <v>368</v>
      </c>
      <c r="G168" s="1" t="s">
        <v>676</v>
      </c>
      <c r="H168" s="1">
        <v>2026</v>
      </c>
      <c r="I168" s="1" t="s">
        <v>677</v>
      </c>
      <c r="J168" s="1" t="s">
        <v>678</v>
      </c>
      <c r="K168" s="1" t="s">
        <v>57</v>
      </c>
      <c r="L168" s="1" t="s">
        <v>26</v>
      </c>
      <c r="M168" s="2">
        <v>120000</v>
      </c>
      <c r="O168" s="3">
        <v>46105</v>
      </c>
      <c r="P168" s="3">
        <v>46069</v>
      </c>
    </row>
    <row r="169" spans="1:17" x14ac:dyDescent="0.25">
      <c r="A169" s="1" t="s">
        <v>95</v>
      </c>
      <c r="B169" s="1" t="s">
        <v>18</v>
      </c>
      <c r="C169" s="1" t="s">
        <v>44</v>
      </c>
      <c r="D169" s="1" t="s">
        <v>45</v>
      </c>
      <c r="E169" s="1" t="s">
        <v>96</v>
      </c>
      <c r="F169" s="1" t="s">
        <v>73</v>
      </c>
      <c r="G169" s="1">
        <v>416</v>
      </c>
      <c r="H169" s="1">
        <v>2022</v>
      </c>
      <c r="I169" s="1" t="s">
        <v>97</v>
      </c>
      <c r="J169" s="1" t="s">
        <v>95</v>
      </c>
      <c r="K169" s="1" t="s">
        <v>98</v>
      </c>
      <c r="L169" s="1" t="s">
        <v>26</v>
      </c>
      <c r="M169" s="2">
        <v>14000</v>
      </c>
      <c r="O169" s="3">
        <v>46107</v>
      </c>
      <c r="P169" s="3">
        <v>46092</v>
      </c>
    </row>
    <row r="170" spans="1:17" x14ac:dyDescent="0.25">
      <c r="A170" s="1" t="s">
        <v>226</v>
      </c>
      <c r="B170" s="1" t="s">
        <v>18</v>
      </c>
      <c r="C170" s="1" t="s">
        <v>44</v>
      </c>
      <c r="D170" s="1" t="s">
        <v>52</v>
      </c>
      <c r="E170" s="1" t="s">
        <v>96</v>
      </c>
      <c r="F170" s="1" t="s">
        <v>73</v>
      </c>
      <c r="G170" s="1">
        <v>416</v>
      </c>
      <c r="H170" s="1">
        <v>2026</v>
      </c>
      <c r="I170" s="1" t="s">
        <v>227</v>
      </c>
      <c r="J170" s="1" t="s">
        <v>226</v>
      </c>
      <c r="K170" s="1" t="s">
        <v>228</v>
      </c>
      <c r="L170" s="1" t="s">
        <v>26</v>
      </c>
      <c r="M170" s="2">
        <v>13000</v>
      </c>
      <c r="O170" s="3">
        <v>46137</v>
      </c>
      <c r="P170" s="3">
        <v>46143</v>
      </c>
    </row>
    <row r="171" spans="1:17" x14ac:dyDescent="0.25">
      <c r="A171" s="1" t="s">
        <v>460</v>
      </c>
      <c r="B171" s="1" t="s">
        <v>18</v>
      </c>
      <c r="C171" s="1" t="s">
        <v>44</v>
      </c>
      <c r="D171" s="1" t="s">
        <v>308</v>
      </c>
      <c r="E171" s="1" t="s">
        <v>96</v>
      </c>
      <c r="F171" s="1" t="s">
        <v>461</v>
      </c>
      <c r="G171" s="1" t="s">
        <v>462</v>
      </c>
      <c r="H171" s="1">
        <v>2022</v>
      </c>
      <c r="I171" s="1" t="s">
        <v>463</v>
      </c>
      <c r="J171" s="1" t="s">
        <v>464</v>
      </c>
      <c r="K171" s="1" t="s">
        <v>440</v>
      </c>
      <c r="L171" s="1" t="s">
        <v>26</v>
      </c>
      <c r="M171" s="2">
        <v>12000</v>
      </c>
      <c r="O171" s="3">
        <v>45920</v>
      </c>
      <c r="P171" s="3">
        <v>45919</v>
      </c>
    </row>
    <row r="172" spans="1:17" x14ac:dyDescent="0.25">
      <c r="A172" s="1" t="s">
        <v>896</v>
      </c>
      <c r="B172" s="1" t="s">
        <v>18</v>
      </c>
      <c r="C172" s="1" t="s">
        <v>44</v>
      </c>
      <c r="D172" s="1" t="s">
        <v>134</v>
      </c>
      <c r="E172" s="1" t="s">
        <v>96</v>
      </c>
      <c r="F172" s="1" t="s">
        <v>73</v>
      </c>
      <c r="G172" s="1">
        <v>416</v>
      </c>
      <c r="H172" s="1">
        <v>2022</v>
      </c>
      <c r="I172" s="1" t="s">
        <v>897</v>
      </c>
      <c r="J172" s="1" t="s">
        <v>896</v>
      </c>
      <c r="K172" s="1" t="s">
        <v>233</v>
      </c>
      <c r="L172" s="1" t="s">
        <v>26</v>
      </c>
      <c r="M172" s="2">
        <v>13000</v>
      </c>
      <c r="O172" s="3">
        <v>46193</v>
      </c>
      <c r="P172" s="3">
        <v>46193</v>
      </c>
    </row>
    <row r="173" spans="1:17" hidden="1" x14ac:dyDescent="0.25">
      <c r="A173" s="1" t="s">
        <v>663</v>
      </c>
      <c r="B173" s="1" t="s">
        <v>28</v>
      </c>
      <c r="C173" s="1" t="s">
        <v>19</v>
      </c>
      <c r="D173" s="1" t="s">
        <v>202</v>
      </c>
      <c r="E173" s="1" t="s">
        <v>78</v>
      </c>
      <c r="F173" s="1" t="s">
        <v>79</v>
      </c>
      <c r="G173" s="1" t="s">
        <v>664</v>
      </c>
      <c r="H173" s="1">
        <v>2007</v>
      </c>
      <c r="I173" s="1" t="s">
        <v>665</v>
      </c>
      <c r="J173" s="1" t="s">
        <v>663</v>
      </c>
      <c r="K173" s="1" t="s">
        <v>666</v>
      </c>
      <c r="L173" s="1" t="s">
        <v>26</v>
      </c>
      <c r="M173" s="2">
        <v>17000</v>
      </c>
      <c r="O173" s="3">
        <v>46108</v>
      </c>
      <c r="P173" s="3">
        <v>46098</v>
      </c>
      <c r="Q173" s="3">
        <v>46157</v>
      </c>
    </row>
    <row r="174" spans="1:17" hidden="1" x14ac:dyDescent="0.25">
      <c r="A174" s="1" t="s">
        <v>667</v>
      </c>
      <c r="B174" s="1" t="s">
        <v>28</v>
      </c>
      <c r="C174" s="1" t="s">
        <v>19</v>
      </c>
      <c r="D174" s="1" t="s">
        <v>202</v>
      </c>
      <c r="E174" s="1" t="s">
        <v>604</v>
      </c>
      <c r="F174" s="1" t="s">
        <v>555</v>
      </c>
      <c r="G174" s="1" t="s">
        <v>555</v>
      </c>
      <c r="H174" s="1">
        <v>2023</v>
      </c>
      <c r="I174" s="1">
        <v>21030471</v>
      </c>
      <c r="J174" s="1" t="s">
        <v>667</v>
      </c>
      <c r="K174" s="1" t="s">
        <v>668</v>
      </c>
      <c r="L174" s="1" t="s">
        <v>26</v>
      </c>
      <c r="M174" s="2">
        <v>19000</v>
      </c>
      <c r="N174" s="1" t="s">
        <v>76</v>
      </c>
      <c r="O174" s="3">
        <v>46090</v>
      </c>
      <c r="P174" s="3">
        <v>46079</v>
      </c>
      <c r="Q174" s="3">
        <v>46142</v>
      </c>
    </row>
    <row r="175" spans="1:17" hidden="1" x14ac:dyDescent="0.25">
      <c r="A175" s="1" t="s">
        <v>669</v>
      </c>
      <c r="B175" s="1" t="s">
        <v>28</v>
      </c>
      <c r="C175" s="1" t="s">
        <v>19</v>
      </c>
      <c r="D175" s="1" t="s">
        <v>202</v>
      </c>
      <c r="E175" s="1" t="s">
        <v>604</v>
      </c>
      <c r="F175" s="1" t="s">
        <v>555</v>
      </c>
      <c r="G175" s="1" t="s">
        <v>555</v>
      </c>
      <c r="H175" s="1">
        <v>2023</v>
      </c>
      <c r="I175" s="1">
        <v>19111041</v>
      </c>
      <c r="J175" s="1" t="s">
        <v>669</v>
      </c>
      <c r="K175" s="1" t="s">
        <v>237</v>
      </c>
      <c r="L175" s="1" t="s">
        <v>26</v>
      </c>
      <c r="M175" s="2">
        <v>19000</v>
      </c>
      <c r="N175" s="1" t="s">
        <v>76</v>
      </c>
      <c r="O175" s="3">
        <v>46090</v>
      </c>
      <c r="P175" s="3">
        <v>46079</v>
      </c>
      <c r="Q175" s="3">
        <v>46123</v>
      </c>
    </row>
    <row r="176" spans="1:17" x14ac:dyDescent="0.25">
      <c r="A176" s="1" t="s">
        <v>686</v>
      </c>
      <c r="B176" s="1" t="s">
        <v>18</v>
      </c>
      <c r="C176" s="1" t="s">
        <v>44</v>
      </c>
      <c r="D176" s="1" t="s">
        <v>52</v>
      </c>
      <c r="E176" s="1" t="s">
        <v>230</v>
      </c>
      <c r="F176" s="1" t="s">
        <v>73</v>
      </c>
      <c r="G176" s="1" t="s">
        <v>231</v>
      </c>
      <c r="H176" s="1">
        <v>2021</v>
      </c>
      <c r="I176" s="1" t="s">
        <v>687</v>
      </c>
      <c r="J176" s="1" t="s">
        <v>231</v>
      </c>
      <c r="K176" s="1" t="s">
        <v>57</v>
      </c>
      <c r="L176" s="1" t="s">
        <v>26</v>
      </c>
      <c r="M176" s="2">
        <v>9000</v>
      </c>
      <c r="O176" s="3">
        <v>45981</v>
      </c>
      <c r="P176" s="3">
        <v>45969</v>
      </c>
      <c r="Q176" s="3"/>
    </row>
    <row r="177" spans="1:17" x14ac:dyDescent="0.25">
      <c r="A177" s="1" t="s">
        <v>603</v>
      </c>
      <c r="B177" s="1" t="s">
        <v>18</v>
      </c>
      <c r="C177" s="1" t="s">
        <v>44</v>
      </c>
      <c r="D177" s="1" t="s">
        <v>148</v>
      </c>
      <c r="E177" s="1" t="s">
        <v>604</v>
      </c>
      <c r="F177" s="1" t="s">
        <v>397</v>
      </c>
      <c r="G177" s="1" t="s">
        <v>605</v>
      </c>
      <c r="H177" s="1">
        <v>2024</v>
      </c>
      <c r="I177" s="1" t="s">
        <v>606</v>
      </c>
      <c r="J177" s="1" t="s">
        <v>603</v>
      </c>
      <c r="K177" s="1" t="s">
        <v>358</v>
      </c>
      <c r="L177" s="1" t="s">
        <v>26</v>
      </c>
      <c r="M177" s="2">
        <v>18000</v>
      </c>
      <c r="O177" s="3">
        <v>46150</v>
      </c>
      <c r="P177" s="3">
        <v>46147</v>
      </c>
    </row>
    <row r="178" spans="1:17" x14ac:dyDescent="0.25">
      <c r="A178" s="1" t="s">
        <v>688</v>
      </c>
      <c r="B178" s="1" t="s">
        <v>18</v>
      </c>
      <c r="C178" s="1" t="s">
        <v>44</v>
      </c>
      <c r="D178" s="1" t="s">
        <v>202</v>
      </c>
      <c r="E178" s="1" t="s">
        <v>604</v>
      </c>
      <c r="F178" s="1" t="s">
        <v>689</v>
      </c>
      <c r="G178" s="1" t="s">
        <v>690</v>
      </c>
      <c r="I178" s="1" t="s">
        <v>691</v>
      </c>
      <c r="J178" s="1" t="s">
        <v>688</v>
      </c>
      <c r="K178" s="1" t="s">
        <v>692</v>
      </c>
      <c r="L178" s="1" t="s">
        <v>26</v>
      </c>
      <c r="M178" s="2">
        <v>20000</v>
      </c>
      <c r="N178" s="1" t="s">
        <v>76</v>
      </c>
      <c r="O178" s="3">
        <v>46116</v>
      </c>
      <c r="P178" s="3">
        <v>46116</v>
      </c>
    </row>
    <row r="179" spans="1:17" x14ac:dyDescent="0.25">
      <c r="A179" s="1" t="s">
        <v>693</v>
      </c>
      <c r="B179" s="1" t="s">
        <v>18</v>
      </c>
      <c r="C179" s="1" t="s">
        <v>44</v>
      </c>
      <c r="D179" s="1" t="s">
        <v>202</v>
      </c>
      <c r="E179" s="1" t="s">
        <v>604</v>
      </c>
      <c r="F179" s="1" t="s">
        <v>694</v>
      </c>
      <c r="G179" s="1" t="s">
        <v>695</v>
      </c>
      <c r="H179" s="1">
        <v>2022</v>
      </c>
      <c r="I179" s="1" t="s">
        <v>696</v>
      </c>
      <c r="J179" s="1" t="s">
        <v>693</v>
      </c>
      <c r="K179" s="1" t="s">
        <v>383</v>
      </c>
      <c r="L179" s="1" t="s">
        <v>26</v>
      </c>
      <c r="M179" s="2">
        <v>20000</v>
      </c>
      <c r="N179" s="1" t="s">
        <v>76</v>
      </c>
      <c r="O179" s="3">
        <v>45846</v>
      </c>
      <c r="P179" s="3">
        <v>45834</v>
      </c>
      <c r="Q179" s="3"/>
    </row>
    <row r="180" spans="1:17" x14ac:dyDescent="0.25">
      <c r="A180" s="1" t="s">
        <v>697</v>
      </c>
      <c r="B180" s="1" t="s">
        <v>18</v>
      </c>
      <c r="C180" s="1" t="s">
        <v>44</v>
      </c>
      <c r="D180" s="1" t="s">
        <v>202</v>
      </c>
      <c r="E180" s="1" t="s">
        <v>604</v>
      </c>
      <c r="F180" s="1" t="s">
        <v>698</v>
      </c>
      <c r="G180" s="1" t="s">
        <v>699</v>
      </c>
      <c r="H180" s="1">
        <v>2023</v>
      </c>
      <c r="I180" s="1" t="s">
        <v>700</v>
      </c>
      <c r="J180" s="1" t="s">
        <v>697</v>
      </c>
      <c r="K180" s="1" t="s">
        <v>383</v>
      </c>
      <c r="L180" s="1" t="s">
        <v>26</v>
      </c>
      <c r="M180" s="2">
        <v>20000</v>
      </c>
      <c r="N180" s="1" t="s">
        <v>76</v>
      </c>
      <c r="O180" s="3">
        <v>45860</v>
      </c>
      <c r="P180" s="3">
        <v>45846</v>
      </c>
      <c r="Q180" s="3"/>
    </row>
    <row r="181" spans="1:17" x14ac:dyDescent="0.25">
      <c r="A181" s="1" t="s">
        <v>701</v>
      </c>
      <c r="B181" s="1" t="s">
        <v>18</v>
      </c>
      <c r="C181" s="1" t="s">
        <v>44</v>
      </c>
      <c r="D181" s="1" t="s">
        <v>148</v>
      </c>
      <c r="E181" s="1" t="s">
        <v>604</v>
      </c>
      <c r="F181" s="1" t="s">
        <v>386</v>
      </c>
      <c r="G181" s="1" t="s">
        <v>702</v>
      </c>
      <c r="H181" s="1">
        <v>2026</v>
      </c>
      <c r="I181" s="1" t="s">
        <v>703</v>
      </c>
      <c r="J181" s="1" t="s">
        <v>701</v>
      </c>
      <c r="K181" s="1" t="s">
        <v>57</v>
      </c>
      <c r="L181" s="1" t="s">
        <v>26</v>
      </c>
      <c r="M181" s="2">
        <v>30000</v>
      </c>
      <c r="O181" s="3">
        <v>46162</v>
      </c>
      <c r="P181" s="3">
        <v>46158</v>
      </c>
    </row>
    <row r="182" spans="1:17" x14ac:dyDescent="0.25">
      <c r="A182" s="1" t="s">
        <v>704</v>
      </c>
      <c r="B182" s="1" t="s">
        <v>18</v>
      </c>
      <c r="C182" s="1" t="s">
        <v>44</v>
      </c>
      <c r="D182" s="1" t="s">
        <v>148</v>
      </c>
      <c r="E182" s="1" t="s">
        <v>604</v>
      </c>
      <c r="F182" s="1" t="s">
        <v>386</v>
      </c>
      <c r="G182" s="1" t="s">
        <v>702</v>
      </c>
      <c r="H182" s="1">
        <v>2026</v>
      </c>
      <c r="I182" s="1" t="s">
        <v>705</v>
      </c>
      <c r="J182" s="1" t="s">
        <v>704</v>
      </c>
      <c r="K182" s="1" t="s">
        <v>57</v>
      </c>
      <c r="L182" s="1" t="s">
        <v>26</v>
      </c>
      <c r="M182" s="2">
        <v>30000</v>
      </c>
      <c r="O182" s="3">
        <v>46162</v>
      </c>
      <c r="P182" s="3">
        <v>46158</v>
      </c>
    </row>
    <row r="183" spans="1:17" x14ac:dyDescent="0.25">
      <c r="A183" s="1" t="s">
        <v>706</v>
      </c>
      <c r="B183" s="1" t="s">
        <v>18</v>
      </c>
      <c r="C183" s="1" t="s">
        <v>44</v>
      </c>
      <c r="D183" s="1" t="s">
        <v>340</v>
      </c>
      <c r="E183" s="1" t="s">
        <v>604</v>
      </c>
      <c r="F183" s="1" t="s">
        <v>386</v>
      </c>
      <c r="G183" s="1" t="s">
        <v>707</v>
      </c>
      <c r="H183" s="1">
        <v>2025</v>
      </c>
      <c r="I183" s="1" t="s">
        <v>708</v>
      </c>
      <c r="J183" s="1" t="s">
        <v>709</v>
      </c>
      <c r="K183" s="1" t="s">
        <v>57</v>
      </c>
      <c r="L183" s="1" t="s">
        <v>26</v>
      </c>
      <c r="M183" s="2">
        <v>12000</v>
      </c>
      <c r="O183" s="3">
        <v>46090</v>
      </c>
      <c r="P183" s="3">
        <v>46089</v>
      </c>
    </row>
    <row r="184" spans="1:17" x14ac:dyDescent="0.25">
      <c r="A184" s="1" t="s">
        <v>379</v>
      </c>
      <c r="B184" s="1" t="s">
        <v>18</v>
      </c>
      <c r="C184" s="1" t="s">
        <v>44</v>
      </c>
      <c r="D184" s="1" t="s">
        <v>315</v>
      </c>
      <c r="E184" s="1" t="s">
        <v>380</v>
      </c>
      <c r="F184" s="1" t="s">
        <v>73</v>
      </c>
      <c r="G184" s="1" t="s">
        <v>381</v>
      </c>
      <c r="H184" s="1">
        <v>2023</v>
      </c>
      <c r="I184" s="1" t="s">
        <v>382</v>
      </c>
      <c r="J184" s="1" t="s">
        <v>379</v>
      </c>
      <c r="K184" s="1" t="s">
        <v>383</v>
      </c>
      <c r="L184" s="1" t="s">
        <v>26</v>
      </c>
      <c r="M184" s="2">
        <v>30000</v>
      </c>
      <c r="O184" s="3">
        <v>46126</v>
      </c>
      <c r="P184" s="1" t="s">
        <v>384</v>
      </c>
    </row>
    <row r="185" spans="1:17" x14ac:dyDescent="0.25">
      <c r="A185" s="1" t="s">
        <v>385</v>
      </c>
      <c r="B185" s="1" t="s">
        <v>18</v>
      </c>
      <c r="C185" s="1" t="s">
        <v>44</v>
      </c>
      <c r="D185" s="1" t="s">
        <v>315</v>
      </c>
      <c r="E185" s="1" t="s">
        <v>380</v>
      </c>
      <c r="F185" s="1" t="s">
        <v>386</v>
      </c>
      <c r="G185" s="1" t="s">
        <v>387</v>
      </c>
      <c r="H185" s="1">
        <v>2022</v>
      </c>
      <c r="I185" s="1" t="s">
        <v>13</v>
      </c>
      <c r="J185" s="1" t="s">
        <v>385</v>
      </c>
      <c r="K185" s="1" t="s">
        <v>383</v>
      </c>
      <c r="L185" s="1" t="s">
        <v>26</v>
      </c>
      <c r="M185" s="2">
        <v>30000</v>
      </c>
      <c r="O185" s="3">
        <v>46126</v>
      </c>
      <c r="P185" s="3">
        <v>46102</v>
      </c>
    </row>
    <row r="186" spans="1:17" x14ac:dyDescent="0.25">
      <c r="A186" s="1" t="s">
        <v>607</v>
      </c>
      <c r="B186" s="1" t="s">
        <v>18</v>
      </c>
      <c r="C186" s="1" t="s">
        <v>44</v>
      </c>
      <c r="D186" s="1" t="s">
        <v>148</v>
      </c>
      <c r="E186" s="1" t="s">
        <v>380</v>
      </c>
      <c r="F186" s="1" t="s">
        <v>73</v>
      </c>
      <c r="G186" s="1" t="s">
        <v>381</v>
      </c>
      <c r="H186" s="1">
        <v>2022</v>
      </c>
      <c r="I186" s="1" t="s">
        <v>608</v>
      </c>
      <c r="J186" s="1" t="s">
        <v>607</v>
      </c>
      <c r="K186" s="1" t="s">
        <v>450</v>
      </c>
      <c r="L186" s="1" t="s">
        <v>26</v>
      </c>
      <c r="M186" s="2">
        <v>22500</v>
      </c>
      <c r="O186" s="3">
        <v>46067</v>
      </c>
      <c r="P186" s="3">
        <v>46067</v>
      </c>
    </row>
    <row r="187" spans="1:17" hidden="1" x14ac:dyDescent="0.25">
      <c r="A187" s="1" t="s">
        <v>710</v>
      </c>
      <c r="B187" s="1" t="s">
        <v>28</v>
      </c>
      <c r="C187" s="1" t="s">
        <v>19</v>
      </c>
      <c r="D187" s="1" t="s">
        <v>340</v>
      </c>
      <c r="E187" s="1" t="s">
        <v>111</v>
      </c>
      <c r="F187" s="1" t="s">
        <v>47</v>
      </c>
      <c r="G187" s="1">
        <v>3131</v>
      </c>
      <c r="H187" s="1">
        <v>2022</v>
      </c>
      <c r="I187" s="1" t="s">
        <v>711</v>
      </c>
      <c r="J187" s="1" t="s">
        <v>710</v>
      </c>
      <c r="K187" s="1" t="s">
        <v>712</v>
      </c>
      <c r="L187" s="1" t="s">
        <v>26</v>
      </c>
      <c r="M187" s="2">
        <v>23000</v>
      </c>
      <c r="N187" s="1" t="s">
        <v>76</v>
      </c>
      <c r="O187" s="3">
        <v>45843</v>
      </c>
      <c r="P187" s="3">
        <v>45839</v>
      </c>
      <c r="Q187" s="3">
        <v>46056</v>
      </c>
    </row>
    <row r="188" spans="1:17" hidden="1" x14ac:dyDescent="0.25">
      <c r="A188" s="1" t="s">
        <v>713</v>
      </c>
      <c r="B188" s="1" t="s">
        <v>28</v>
      </c>
      <c r="C188" s="1" t="s">
        <v>19</v>
      </c>
      <c r="D188" s="1" t="s">
        <v>340</v>
      </c>
      <c r="E188" s="1" t="s">
        <v>111</v>
      </c>
      <c r="F188" s="1" t="s">
        <v>47</v>
      </c>
      <c r="G188" s="1">
        <v>3131</v>
      </c>
      <c r="H188" s="1">
        <v>2022</v>
      </c>
      <c r="I188" s="1" t="s">
        <v>714</v>
      </c>
      <c r="J188" s="1" t="s">
        <v>713</v>
      </c>
      <c r="K188" s="1" t="s">
        <v>712</v>
      </c>
      <c r="L188" s="1" t="s">
        <v>26</v>
      </c>
      <c r="M188" s="2">
        <v>23000</v>
      </c>
      <c r="N188" s="1" t="s">
        <v>76</v>
      </c>
      <c r="O188" s="3">
        <v>45843</v>
      </c>
      <c r="P188" s="3">
        <v>45839</v>
      </c>
      <c r="Q188" s="3">
        <v>46056</v>
      </c>
    </row>
    <row r="189" spans="1:17" hidden="1" x14ac:dyDescent="0.25">
      <c r="A189" s="1" t="s">
        <v>715</v>
      </c>
      <c r="B189" s="1" t="s">
        <v>28</v>
      </c>
      <c r="C189" s="1" t="s">
        <v>19</v>
      </c>
      <c r="D189" s="1" t="s">
        <v>340</v>
      </c>
      <c r="E189" s="1" t="s">
        <v>111</v>
      </c>
      <c r="F189" s="1" t="s">
        <v>47</v>
      </c>
      <c r="G189" s="1">
        <v>3131</v>
      </c>
      <c r="H189" s="1">
        <v>2022</v>
      </c>
      <c r="I189" s="1" t="s">
        <v>716</v>
      </c>
      <c r="J189" s="1" t="s">
        <v>715</v>
      </c>
      <c r="K189" s="1" t="s">
        <v>712</v>
      </c>
      <c r="L189" s="1" t="s">
        <v>26</v>
      </c>
      <c r="M189" s="2">
        <v>23000</v>
      </c>
      <c r="N189" s="1" t="s">
        <v>76</v>
      </c>
      <c r="O189" s="3">
        <v>45843</v>
      </c>
      <c r="P189" s="3">
        <v>45839</v>
      </c>
      <c r="Q189" s="3">
        <v>46056</v>
      </c>
    </row>
    <row r="190" spans="1:17" hidden="1" x14ac:dyDescent="0.25">
      <c r="A190" s="1" t="s">
        <v>717</v>
      </c>
      <c r="B190" s="1" t="s">
        <v>28</v>
      </c>
      <c r="C190" s="1" t="s">
        <v>19</v>
      </c>
      <c r="D190" s="1" t="s">
        <v>340</v>
      </c>
      <c r="E190" s="1" t="s">
        <v>111</v>
      </c>
      <c r="F190" s="1" t="s">
        <v>47</v>
      </c>
      <c r="G190" s="1">
        <v>3131</v>
      </c>
      <c r="H190" s="1">
        <v>2022</v>
      </c>
      <c r="I190" s="1" t="s">
        <v>718</v>
      </c>
      <c r="J190" s="1" t="s">
        <v>717</v>
      </c>
      <c r="K190" s="1" t="s">
        <v>712</v>
      </c>
      <c r="L190" s="1" t="s">
        <v>26</v>
      </c>
      <c r="M190" s="2">
        <v>23000</v>
      </c>
      <c r="N190" s="1" t="s">
        <v>76</v>
      </c>
      <c r="O190" s="3">
        <v>45843</v>
      </c>
      <c r="P190" s="3">
        <v>45839</v>
      </c>
      <c r="Q190" s="3">
        <v>46056</v>
      </c>
    </row>
    <row r="191" spans="1:17" hidden="1" x14ac:dyDescent="0.25">
      <c r="A191" s="1" t="s">
        <v>719</v>
      </c>
      <c r="B191" s="1" t="s">
        <v>28</v>
      </c>
      <c r="C191" s="1" t="s">
        <v>19</v>
      </c>
      <c r="D191" s="1" t="s">
        <v>340</v>
      </c>
      <c r="E191" s="1" t="s">
        <v>111</v>
      </c>
      <c r="F191" s="1" t="s">
        <v>47</v>
      </c>
      <c r="G191" s="1">
        <v>3131</v>
      </c>
      <c r="H191" s="1">
        <v>2022</v>
      </c>
      <c r="I191" s="1" t="s">
        <v>720</v>
      </c>
      <c r="J191" s="1" t="s">
        <v>719</v>
      </c>
      <c r="K191" s="1" t="s">
        <v>712</v>
      </c>
      <c r="L191" s="1" t="s">
        <v>26</v>
      </c>
      <c r="M191" s="2">
        <v>23000</v>
      </c>
      <c r="N191" s="1" t="s">
        <v>76</v>
      </c>
      <c r="O191" s="3">
        <v>45843</v>
      </c>
      <c r="P191" s="3">
        <v>45839</v>
      </c>
      <c r="Q191" s="3">
        <v>46056</v>
      </c>
    </row>
    <row r="192" spans="1:17" hidden="1" x14ac:dyDescent="0.25">
      <c r="A192" s="1" t="s">
        <v>721</v>
      </c>
      <c r="B192" s="1" t="s">
        <v>28</v>
      </c>
      <c r="C192" s="1" t="s">
        <v>19</v>
      </c>
      <c r="D192" s="1" t="s">
        <v>340</v>
      </c>
      <c r="E192" s="1" t="s">
        <v>111</v>
      </c>
      <c r="F192" s="1" t="s">
        <v>47</v>
      </c>
      <c r="G192" s="1">
        <v>3131</v>
      </c>
      <c r="H192" s="1">
        <v>2022</v>
      </c>
      <c r="I192" s="1" t="s">
        <v>722</v>
      </c>
      <c r="J192" s="1" t="s">
        <v>721</v>
      </c>
      <c r="K192" s="1" t="s">
        <v>712</v>
      </c>
      <c r="L192" s="1" t="s">
        <v>26</v>
      </c>
      <c r="M192" s="2">
        <v>23000</v>
      </c>
      <c r="N192" s="1" t="s">
        <v>76</v>
      </c>
      <c r="O192" s="3">
        <v>45843</v>
      </c>
      <c r="P192" s="3">
        <v>45839</v>
      </c>
      <c r="Q192" s="3">
        <v>46056</v>
      </c>
    </row>
    <row r="193" spans="1:17" hidden="1" x14ac:dyDescent="0.25">
      <c r="A193" s="1" t="s">
        <v>723</v>
      </c>
      <c r="B193" s="1" t="s">
        <v>28</v>
      </c>
      <c r="C193" s="1" t="s">
        <v>19</v>
      </c>
      <c r="D193" s="1" t="s">
        <v>340</v>
      </c>
      <c r="E193" s="1" t="s">
        <v>309</v>
      </c>
      <c r="F193" s="1" t="s">
        <v>47</v>
      </c>
      <c r="G193" s="1" t="s">
        <v>724</v>
      </c>
      <c r="H193" s="1">
        <v>2008</v>
      </c>
      <c r="I193" s="1" t="s">
        <v>725</v>
      </c>
      <c r="J193" s="1" t="s">
        <v>723</v>
      </c>
      <c r="K193" s="1" t="s">
        <v>726</v>
      </c>
      <c r="L193" s="1" t="s">
        <v>26</v>
      </c>
      <c r="M193" s="2">
        <v>17000</v>
      </c>
      <c r="N193" s="1" t="s">
        <v>76</v>
      </c>
      <c r="O193" s="3">
        <v>45843</v>
      </c>
      <c r="P193" s="3">
        <v>45838</v>
      </c>
      <c r="Q193" s="3">
        <v>45971</v>
      </c>
    </row>
    <row r="194" spans="1:17" x14ac:dyDescent="0.25">
      <c r="A194" s="1" t="s">
        <v>727</v>
      </c>
      <c r="B194" s="1" t="s">
        <v>18</v>
      </c>
      <c r="C194" s="1" t="s">
        <v>44</v>
      </c>
      <c r="D194" s="1" t="s">
        <v>308</v>
      </c>
      <c r="E194" s="1" t="s">
        <v>380</v>
      </c>
      <c r="F194" s="1" t="s">
        <v>386</v>
      </c>
      <c r="G194" s="1" t="s">
        <v>387</v>
      </c>
      <c r="H194" s="1">
        <v>2024</v>
      </c>
      <c r="I194" s="1" t="s">
        <v>728</v>
      </c>
      <c r="J194" s="1" t="s">
        <v>727</v>
      </c>
      <c r="K194" s="1" t="s">
        <v>57</v>
      </c>
      <c r="L194" s="1" t="s">
        <v>26</v>
      </c>
      <c r="M194" s="2">
        <v>20000</v>
      </c>
      <c r="O194" s="3">
        <v>45916</v>
      </c>
      <c r="P194" s="3">
        <v>45906</v>
      </c>
    </row>
    <row r="195" spans="1:17" hidden="1" x14ac:dyDescent="0.25">
      <c r="A195" s="1" t="s">
        <v>729</v>
      </c>
      <c r="B195" s="1" t="s">
        <v>28</v>
      </c>
      <c r="C195" s="1" t="s">
        <v>19</v>
      </c>
      <c r="D195" s="1" t="s">
        <v>340</v>
      </c>
      <c r="E195" s="1" t="s">
        <v>177</v>
      </c>
      <c r="F195" s="1" t="s">
        <v>178</v>
      </c>
      <c r="G195" s="1" t="s">
        <v>179</v>
      </c>
      <c r="H195" s="1">
        <v>2025</v>
      </c>
      <c r="I195" s="1" t="s">
        <v>730</v>
      </c>
      <c r="J195" s="1" t="s">
        <v>729</v>
      </c>
      <c r="K195" s="1" t="s">
        <v>181</v>
      </c>
      <c r="L195" s="1" t="s">
        <v>26</v>
      </c>
      <c r="M195" s="2">
        <v>1200</v>
      </c>
      <c r="O195" s="3">
        <v>45853</v>
      </c>
      <c r="P195" s="3">
        <v>45883</v>
      </c>
    </row>
    <row r="196" spans="1:17" hidden="1" x14ac:dyDescent="0.25">
      <c r="A196" s="1" t="s">
        <v>731</v>
      </c>
      <c r="B196" s="1" t="s">
        <v>28</v>
      </c>
      <c r="C196" s="1" t="s">
        <v>19</v>
      </c>
      <c r="D196" s="1" t="s">
        <v>340</v>
      </c>
      <c r="E196" s="1" t="s">
        <v>177</v>
      </c>
      <c r="F196" s="1" t="s">
        <v>178</v>
      </c>
      <c r="G196" s="1" t="s">
        <v>179</v>
      </c>
      <c r="H196" s="1">
        <v>2024</v>
      </c>
      <c r="I196" s="1" t="s">
        <v>730</v>
      </c>
      <c r="J196" s="1" t="s">
        <v>731</v>
      </c>
      <c r="K196" s="1" t="s">
        <v>181</v>
      </c>
      <c r="L196" s="1" t="s">
        <v>26</v>
      </c>
      <c r="M196" s="2">
        <v>1200</v>
      </c>
      <c r="O196" s="3">
        <v>45917</v>
      </c>
      <c r="P196" s="3">
        <v>45917</v>
      </c>
    </row>
    <row r="197" spans="1:17" x14ac:dyDescent="0.25">
      <c r="A197" s="1" t="s">
        <v>736</v>
      </c>
      <c r="B197" s="1" t="s">
        <v>18</v>
      </c>
      <c r="C197" s="1" t="s">
        <v>44</v>
      </c>
      <c r="D197" s="1" t="s">
        <v>308</v>
      </c>
      <c r="E197" s="1" t="s">
        <v>380</v>
      </c>
      <c r="F197" s="1" t="s">
        <v>386</v>
      </c>
      <c r="G197" s="1" t="s">
        <v>387</v>
      </c>
      <c r="H197" s="1">
        <v>2023</v>
      </c>
      <c r="I197" s="1" t="s">
        <v>737</v>
      </c>
      <c r="J197" s="1" t="s">
        <v>736</v>
      </c>
      <c r="K197" s="1" t="s">
        <v>57</v>
      </c>
      <c r="L197" s="1" t="s">
        <v>26</v>
      </c>
      <c r="M197" s="2">
        <v>20000</v>
      </c>
      <c r="O197" s="3">
        <v>45927</v>
      </c>
      <c r="P197" s="3">
        <v>45917</v>
      </c>
    </row>
    <row r="198" spans="1:17" x14ac:dyDescent="0.25">
      <c r="A198" s="1" t="s">
        <v>755</v>
      </c>
      <c r="B198" s="1" t="s">
        <v>18</v>
      </c>
      <c r="C198" s="1" t="s">
        <v>44</v>
      </c>
      <c r="D198" s="1" t="s">
        <v>202</v>
      </c>
      <c r="E198" s="1" t="s">
        <v>380</v>
      </c>
      <c r="F198" s="1" t="s">
        <v>235</v>
      </c>
      <c r="G198" s="1" t="s">
        <v>756</v>
      </c>
      <c r="H198" s="1">
        <v>2016</v>
      </c>
      <c r="I198" s="1">
        <v>86100283</v>
      </c>
      <c r="J198" s="1" t="s">
        <v>755</v>
      </c>
      <c r="K198" s="1" t="s">
        <v>57</v>
      </c>
      <c r="L198" s="1" t="s">
        <v>26</v>
      </c>
      <c r="M198" s="2">
        <v>17000</v>
      </c>
      <c r="N198" s="1" t="s">
        <v>26</v>
      </c>
      <c r="O198" s="3">
        <v>46112</v>
      </c>
      <c r="P198" s="3">
        <v>46112</v>
      </c>
    </row>
    <row r="199" spans="1:17" hidden="1" x14ac:dyDescent="0.25">
      <c r="A199" s="1" t="s">
        <v>738</v>
      </c>
      <c r="B199" s="1" t="s">
        <v>28</v>
      </c>
      <c r="C199" s="1" t="s">
        <v>19</v>
      </c>
      <c r="D199" s="1" t="s">
        <v>340</v>
      </c>
      <c r="E199" s="1" t="s">
        <v>548</v>
      </c>
      <c r="F199" s="1" t="s">
        <v>555</v>
      </c>
      <c r="G199" s="1" t="s">
        <v>739</v>
      </c>
      <c r="H199" s="1">
        <v>2022</v>
      </c>
      <c r="I199" s="1" t="s">
        <v>740</v>
      </c>
      <c r="J199" s="1" t="s">
        <v>738</v>
      </c>
      <c r="K199" s="1" t="s">
        <v>228</v>
      </c>
      <c r="L199" s="1" t="s">
        <v>26</v>
      </c>
      <c r="M199" s="2">
        <v>19000</v>
      </c>
      <c r="O199" s="3">
        <v>46160</v>
      </c>
      <c r="P199" s="3">
        <v>46160</v>
      </c>
      <c r="Q199" s="3">
        <v>46232</v>
      </c>
    </row>
    <row r="200" spans="1:17" hidden="1" x14ac:dyDescent="0.25">
      <c r="A200" s="1" t="s">
        <v>741</v>
      </c>
      <c r="B200" s="1" t="s">
        <v>28</v>
      </c>
      <c r="C200" s="1" t="s">
        <v>19</v>
      </c>
      <c r="D200" s="1" t="s">
        <v>340</v>
      </c>
      <c r="E200" s="1" t="s">
        <v>548</v>
      </c>
      <c r="F200" s="1" t="s">
        <v>742</v>
      </c>
      <c r="G200" s="1" t="s">
        <v>743</v>
      </c>
      <c r="H200" s="1">
        <v>2026</v>
      </c>
      <c r="I200" s="1" t="s">
        <v>744</v>
      </c>
      <c r="J200" s="1" t="s">
        <v>741</v>
      </c>
      <c r="K200" s="1" t="s">
        <v>228</v>
      </c>
      <c r="L200" s="1" t="s">
        <v>26</v>
      </c>
      <c r="M200" s="2">
        <v>22300</v>
      </c>
      <c r="O200" s="3">
        <v>46137</v>
      </c>
      <c r="P200" s="3">
        <v>46137</v>
      </c>
    </row>
    <row r="201" spans="1:17" hidden="1" x14ac:dyDescent="0.25">
      <c r="A201" s="1" t="s">
        <v>745</v>
      </c>
      <c r="B201" s="1" t="s">
        <v>28</v>
      </c>
      <c r="C201" s="1" t="s">
        <v>19</v>
      </c>
      <c r="D201" s="1" t="s">
        <v>340</v>
      </c>
      <c r="E201" s="1" t="s">
        <v>548</v>
      </c>
      <c r="F201" s="1" t="s">
        <v>680</v>
      </c>
      <c r="G201" s="1" t="s">
        <v>746</v>
      </c>
      <c r="H201" s="1">
        <v>2021</v>
      </c>
      <c r="I201" s="1" t="s">
        <v>747</v>
      </c>
      <c r="J201" s="1" t="s">
        <v>745</v>
      </c>
      <c r="K201" s="1" t="s">
        <v>50</v>
      </c>
      <c r="L201" s="1" t="s">
        <v>26</v>
      </c>
      <c r="M201" s="2">
        <v>37000</v>
      </c>
      <c r="N201" s="1" t="s">
        <v>76</v>
      </c>
      <c r="O201" s="3">
        <v>45856</v>
      </c>
      <c r="P201" s="3">
        <v>45840</v>
      </c>
      <c r="Q201" s="3">
        <v>46147</v>
      </c>
    </row>
    <row r="202" spans="1:17" hidden="1" x14ac:dyDescent="0.25">
      <c r="A202" s="1" t="s">
        <v>748</v>
      </c>
      <c r="B202" s="1" t="s">
        <v>28</v>
      </c>
      <c r="C202" s="1" t="s">
        <v>19</v>
      </c>
      <c r="D202" s="1" t="s">
        <v>340</v>
      </c>
      <c r="E202" s="1" t="s">
        <v>548</v>
      </c>
      <c r="F202" s="1" t="s">
        <v>73</v>
      </c>
      <c r="G202" s="1">
        <v>320</v>
      </c>
      <c r="H202" s="1">
        <v>2021</v>
      </c>
      <c r="I202" s="1" t="s">
        <v>749</v>
      </c>
      <c r="J202" s="1" t="s">
        <v>748</v>
      </c>
      <c r="K202" s="1" t="s">
        <v>75</v>
      </c>
      <c r="L202" s="1" t="s">
        <v>26</v>
      </c>
      <c r="M202" s="2">
        <v>24000</v>
      </c>
      <c r="N202" s="1" t="s">
        <v>76</v>
      </c>
      <c r="O202" s="3">
        <v>45843</v>
      </c>
      <c r="P202" s="3">
        <v>45834</v>
      </c>
      <c r="Q202" s="3">
        <v>46165</v>
      </c>
    </row>
    <row r="203" spans="1:17" hidden="1" x14ac:dyDescent="0.25">
      <c r="A203" s="1" t="s">
        <v>750</v>
      </c>
      <c r="B203" s="1" t="s">
        <v>28</v>
      </c>
      <c r="C203" s="1" t="s">
        <v>19</v>
      </c>
      <c r="D203" s="1" t="s">
        <v>340</v>
      </c>
      <c r="E203" s="1" t="s">
        <v>548</v>
      </c>
      <c r="F203" s="1" t="s">
        <v>60</v>
      </c>
      <c r="G203" s="1" t="s">
        <v>751</v>
      </c>
      <c r="H203" s="1">
        <v>2010</v>
      </c>
      <c r="I203" s="1">
        <v>14615190</v>
      </c>
      <c r="J203" s="1" t="s">
        <v>750</v>
      </c>
      <c r="K203" s="1" t="s">
        <v>752</v>
      </c>
      <c r="L203" s="1" t="s">
        <v>26</v>
      </c>
      <c r="M203" s="2">
        <v>19000</v>
      </c>
      <c r="O203" s="3">
        <v>45972</v>
      </c>
      <c r="P203" s="3">
        <v>45972</v>
      </c>
    </row>
    <row r="204" spans="1:17" hidden="1" x14ac:dyDescent="0.25">
      <c r="A204" s="1" t="s">
        <v>753</v>
      </c>
      <c r="B204" s="1" t="s">
        <v>28</v>
      </c>
      <c r="C204" s="1" t="s">
        <v>242</v>
      </c>
      <c r="D204" s="1" t="s">
        <v>202</v>
      </c>
      <c r="E204" s="1" t="s">
        <v>380</v>
      </c>
      <c r="F204" s="1" t="s">
        <v>235</v>
      </c>
      <c r="G204" s="1" t="s">
        <v>754</v>
      </c>
      <c r="H204" s="1">
        <v>2016</v>
      </c>
      <c r="I204" s="1">
        <v>861538201360</v>
      </c>
      <c r="J204" s="1" t="s">
        <v>753</v>
      </c>
      <c r="K204" s="1" t="s">
        <v>57</v>
      </c>
      <c r="L204" s="1" t="s">
        <v>26</v>
      </c>
      <c r="M204" s="2">
        <v>17000</v>
      </c>
      <c r="N204" s="1" t="s">
        <v>26</v>
      </c>
      <c r="O204" s="3">
        <v>45862</v>
      </c>
      <c r="P204" s="3">
        <v>45854</v>
      </c>
      <c r="Q204" s="3">
        <v>46156</v>
      </c>
    </row>
    <row r="205" spans="1:17" x14ac:dyDescent="0.25">
      <c r="A205" s="1" t="s">
        <v>753</v>
      </c>
      <c r="B205" s="1" t="s">
        <v>18</v>
      </c>
      <c r="C205" s="1" t="s">
        <v>44</v>
      </c>
      <c r="D205" s="1" t="s">
        <v>340</v>
      </c>
      <c r="E205" s="1" t="s">
        <v>380</v>
      </c>
      <c r="F205" s="1" t="s">
        <v>235</v>
      </c>
      <c r="G205" s="1" t="s">
        <v>754</v>
      </c>
      <c r="H205" s="1">
        <v>2016</v>
      </c>
      <c r="I205" s="1">
        <v>861538201360</v>
      </c>
      <c r="J205" s="1" t="s">
        <v>753</v>
      </c>
      <c r="K205" s="1" t="s">
        <v>57</v>
      </c>
      <c r="L205" s="1" t="s">
        <v>26</v>
      </c>
      <c r="M205" s="2">
        <v>17000</v>
      </c>
      <c r="N205" s="1" t="s">
        <v>26</v>
      </c>
      <c r="O205" s="3">
        <v>46181</v>
      </c>
    </row>
    <row r="206" spans="1:17" x14ac:dyDescent="0.25">
      <c r="A206" s="1" t="s">
        <v>388</v>
      </c>
      <c r="B206" s="1" t="s">
        <v>18</v>
      </c>
      <c r="C206" s="1" t="s">
        <v>44</v>
      </c>
      <c r="D206" s="1" t="s">
        <v>315</v>
      </c>
      <c r="E206" s="1" t="s">
        <v>389</v>
      </c>
      <c r="F206" s="1" t="s">
        <v>73</v>
      </c>
      <c r="G206" s="1" t="s">
        <v>390</v>
      </c>
      <c r="H206" s="1">
        <v>2022</v>
      </c>
      <c r="I206" s="1" t="s">
        <v>391</v>
      </c>
      <c r="J206" s="1" t="s">
        <v>388</v>
      </c>
      <c r="K206" s="1" t="s">
        <v>383</v>
      </c>
      <c r="L206" s="1" t="s">
        <v>26</v>
      </c>
      <c r="M206" s="2">
        <v>20000</v>
      </c>
      <c r="O206" s="3">
        <v>46126</v>
      </c>
      <c r="P206" s="3">
        <v>46103</v>
      </c>
    </row>
    <row r="207" spans="1:17" x14ac:dyDescent="0.25">
      <c r="A207" s="1" t="s">
        <v>396</v>
      </c>
      <c r="B207" s="1" t="s">
        <v>18</v>
      </c>
      <c r="C207" s="1" t="s">
        <v>44</v>
      </c>
      <c r="D207" s="1" t="s">
        <v>315</v>
      </c>
      <c r="E207" s="1" t="s">
        <v>389</v>
      </c>
      <c r="F207" s="1" t="s">
        <v>397</v>
      </c>
      <c r="G207" s="1" t="s">
        <v>398</v>
      </c>
      <c r="H207" s="1">
        <v>2024</v>
      </c>
      <c r="I207" s="1" t="s">
        <v>399</v>
      </c>
      <c r="J207" s="1" t="s">
        <v>396</v>
      </c>
      <c r="K207" s="1" t="s">
        <v>383</v>
      </c>
      <c r="L207" s="1" t="s">
        <v>26</v>
      </c>
      <c r="M207" s="2">
        <v>22000</v>
      </c>
      <c r="O207" s="3">
        <v>46123</v>
      </c>
      <c r="P207" s="3">
        <v>46123</v>
      </c>
    </row>
    <row r="208" spans="1:17" x14ac:dyDescent="0.25">
      <c r="A208" s="1" t="s">
        <v>418</v>
      </c>
      <c r="B208" s="1" t="s">
        <v>18</v>
      </c>
      <c r="C208" s="1" t="s">
        <v>44</v>
      </c>
      <c r="D208" s="1" t="s">
        <v>308</v>
      </c>
      <c r="E208" s="1" t="s">
        <v>389</v>
      </c>
      <c r="F208" s="1" t="s">
        <v>73</v>
      </c>
      <c r="G208" s="1" t="s">
        <v>390</v>
      </c>
      <c r="H208" s="1">
        <v>2022</v>
      </c>
      <c r="I208" s="1">
        <v>231</v>
      </c>
      <c r="J208" s="1" t="s">
        <v>418</v>
      </c>
      <c r="K208" s="1" t="s">
        <v>383</v>
      </c>
      <c r="L208" s="1" t="s">
        <v>26</v>
      </c>
      <c r="M208" s="2">
        <v>20000</v>
      </c>
      <c r="O208" s="3">
        <v>46221</v>
      </c>
      <c r="P208" s="3">
        <v>46221</v>
      </c>
    </row>
    <row r="209" spans="1:17" x14ac:dyDescent="0.25">
      <c r="A209" s="1" t="s">
        <v>773</v>
      </c>
      <c r="B209" s="1" t="s">
        <v>18</v>
      </c>
      <c r="C209" s="1" t="s">
        <v>44</v>
      </c>
      <c r="D209" s="1" t="s">
        <v>308</v>
      </c>
      <c r="E209" s="1" t="s">
        <v>389</v>
      </c>
      <c r="F209" s="1" t="s">
        <v>397</v>
      </c>
      <c r="G209" s="1" t="s">
        <v>398</v>
      </c>
      <c r="H209" s="1">
        <v>2024</v>
      </c>
      <c r="I209" s="1" t="s">
        <v>774</v>
      </c>
      <c r="J209" s="1" t="s">
        <v>773</v>
      </c>
      <c r="K209" s="1" t="s">
        <v>57</v>
      </c>
      <c r="L209" s="1" t="s">
        <v>26</v>
      </c>
      <c r="M209" s="2">
        <v>14000</v>
      </c>
      <c r="O209" s="3">
        <v>45916</v>
      </c>
      <c r="P209" s="3">
        <v>45910</v>
      </c>
    </row>
    <row r="210" spans="1:17" hidden="1" x14ac:dyDescent="0.25">
      <c r="A210" s="1" t="s">
        <v>763</v>
      </c>
      <c r="B210" s="1" t="s">
        <v>28</v>
      </c>
      <c r="C210" s="1" t="s">
        <v>19</v>
      </c>
      <c r="D210" s="1" t="s">
        <v>340</v>
      </c>
      <c r="E210" s="1" t="s">
        <v>600</v>
      </c>
      <c r="F210" s="1" t="s">
        <v>73</v>
      </c>
      <c r="G210" s="1" t="s">
        <v>764</v>
      </c>
      <c r="H210" s="1">
        <v>2022</v>
      </c>
      <c r="I210" s="1" t="s">
        <v>765</v>
      </c>
      <c r="J210" s="1" t="s">
        <v>766</v>
      </c>
      <c r="K210" s="1" t="s">
        <v>767</v>
      </c>
      <c r="L210" s="1" t="s">
        <v>26</v>
      </c>
      <c r="M210" s="1">
        <v>0</v>
      </c>
      <c r="O210" s="1" t="s">
        <v>768</v>
      </c>
      <c r="P210" s="3">
        <v>46143</v>
      </c>
      <c r="Q210" s="3">
        <v>46134</v>
      </c>
    </row>
    <row r="211" spans="1:17" x14ac:dyDescent="0.25">
      <c r="A211" s="1" t="s">
        <v>787</v>
      </c>
      <c r="B211" s="1" t="s">
        <v>18</v>
      </c>
      <c r="C211" s="1" t="s">
        <v>44</v>
      </c>
      <c r="D211" s="1" t="s">
        <v>148</v>
      </c>
      <c r="E211" s="1" t="s">
        <v>389</v>
      </c>
      <c r="F211" s="1" t="s">
        <v>386</v>
      </c>
      <c r="G211" s="1" t="s">
        <v>788</v>
      </c>
      <c r="H211" s="1">
        <v>2020</v>
      </c>
      <c r="I211" s="1" t="s">
        <v>789</v>
      </c>
      <c r="J211" s="1" t="s">
        <v>787</v>
      </c>
      <c r="K211" s="1" t="s">
        <v>57</v>
      </c>
      <c r="L211" s="1" t="s">
        <v>26</v>
      </c>
      <c r="M211" s="2">
        <v>14000</v>
      </c>
      <c r="O211" s="3">
        <v>46062</v>
      </c>
      <c r="P211" s="3">
        <v>46062</v>
      </c>
    </row>
    <row r="212" spans="1:17" x14ac:dyDescent="0.25">
      <c r="A212" s="1" t="s">
        <v>206</v>
      </c>
      <c r="B212" s="1" t="s">
        <v>18</v>
      </c>
      <c r="C212" s="1" t="s">
        <v>44</v>
      </c>
      <c r="D212" s="1" t="s">
        <v>52</v>
      </c>
      <c r="E212" s="1" t="s">
        <v>207</v>
      </c>
      <c r="F212" s="1" t="s">
        <v>208</v>
      </c>
      <c r="G212" s="1" t="s">
        <v>209</v>
      </c>
      <c r="H212" s="1">
        <v>2023</v>
      </c>
      <c r="I212" s="1" t="s">
        <v>210</v>
      </c>
      <c r="J212" s="1" t="s">
        <v>211</v>
      </c>
      <c r="K212" s="1" t="s">
        <v>212</v>
      </c>
      <c r="L212" s="1" t="s">
        <v>26</v>
      </c>
      <c r="M212" s="1">
        <v>0</v>
      </c>
      <c r="O212" s="3">
        <v>46108</v>
      </c>
      <c r="P212" s="3">
        <v>46103</v>
      </c>
    </row>
    <row r="213" spans="1:17" x14ac:dyDescent="0.25">
      <c r="A213" s="1" t="s">
        <v>478</v>
      </c>
      <c r="B213" s="1" t="s">
        <v>18</v>
      </c>
      <c r="C213" s="1" t="s">
        <v>44</v>
      </c>
      <c r="D213" s="1" t="s">
        <v>308</v>
      </c>
      <c r="E213" s="1" t="s">
        <v>207</v>
      </c>
      <c r="F213" s="1" t="s">
        <v>479</v>
      </c>
      <c r="G213" s="1" t="s">
        <v>480</v>
      </c>
      <c r="H213" s="1">
        <v>2021</v>
      </c>
      <c r="I213" s="1" t="s">
        <v>481</v>
      </c>
      <c r="J213" s="1" t="s">
        <v>482</v>
      </c>
      <c r="K213" s="1" t="s">
        <v>440</v>
      </c>
      <c r="L213" s="1" t="s">
        <v>26</v>
      </c>
      <c r="M213" s="1">
        <v>0</v>
      </c>
      <c r="O213" s="3">
        <v>45937</v>
      </c>
      <c r="P213" s="3">
        <v>45937</v>
      </c>
    </row>
    <row r="214" spans="1:17" x14ac:dyDescent="0.25">
      <c r="A214" s="1" t="s">
        <v>611</v>
      </c>
      <c r="B214" s="1" t="s">
        <v>18</v>
      </c>
      <c r="C214" s="1" t="s">
        <v>44</v>
      </c>
      <c r="D214" s="1" t="s">
        <v>148</v>
      </c>
      <c r="E214" s="1" t="s">
        <v>207</v>
      </c>
      <c r="F214" s="1" t="s">
        <v>479</v>
      </c>
      <c r="G214" s="1" t="s">
        <v>612</v>
      </c>
      <c r="H214" s="1">
        <v>2026</v>
      </c>
      <c r="I214" s="1" t="s">
        <v>613</v>
      </c>
      <c r="J214" s="1" t="s">
        <v>611</v>
      </c>
      <c r="K214" s="1" t="s">
        <v>440</v>
      </c>
      <c r="L214" s="1" t="s">
        <v>26</v>
      </c>
      <c r="M214" s="1">
        <v>0</v>
      </c>
      <c r="O214" s="3">
        <v>46080</v>
      </c>
      <c r="P214" s="3">
        <v>46090</v>
      </c>
    </row>
    <row r="215" spans="1:17" hidden="1" x14ac:dyDescent="0.25">
      <c r="A215" s="1" t="s">
        <v>778</v>
      </c>
      <c r="B215" s="1" t="s">
        <v>28</v>
      </c>
      <c r="C215" s="1" t="s">
        <v>19</v>
      </c>
      <c r="D215" s="1" t="s">
        <v>340</v>
      </c>
      <c r="E215" s="1" t="s">
        <v>779</v>
      </c>
      <c r="F215" s="1" t="s">
        <v>780</v>
      </c>
      <c r="G215" s="1" t="s">
        <v>781</v>
      </c>
      <c r="H215" s="1">
        <v>2024</v>
      </c>
      <c r="I215" s="1" t="s">
        <v>782</v>
      </c>
      <c r="J215" s="1" t="s">
        <v>778</v>
      </c>
      <c r="K215" s="1" t="s">
        <v>783</v>
      </c>
      <c r="L215" s="1" t="s">
        <v>26</v>
      </c>
      <c r="M215" s="2">
        <v>27200</v>
      </c>
      <c r="N215" s="1" t="s">
        <v>127</v>
      </c>
      <c r="O215" s="3">
        <v>45842</v>
      </c>
      <c r="P215" s="3">
        <v>45840</v>
      </c>
      <c r="Q215" s="3">
        <v>45905</v>
      </c>
    </row>
    <row r="216" spans="1:17" hidden="1" x14ac:dyDescent="0.25">
      <c r="A216" s="1" t="s">
        <v>784</v>
      </c>
      <c r="B216" s="1" t="s">
        <v>28</v>
      </c>
      <c r="C216" s="1" t="s">
        <v>19</v>
      </c>
      <c r="D216" s="1" t="s">
        <v>340</v>
      </c>
      <c r="E216" s="1" t="s">
        <v>604</v>
      </c>
      <c r="F216" s="1" t="s">
        <v>555</v>
      </c>
      <c r="G216" s="1" t="s">
        <v>555</v>
      </c>
      <c r="H216" s="1">
        <v>2023</v>
      </c>
      <c r="I216" s="1">
        <v>19111004</v>
      </c>
      <c r="J216" s="1" t="s">
        <v>784</v>
      </c>
      <c r="K216" s="1" t="s">
        <v>237</v>
      </c>
      <c r="L216" s="1" t="s">
        <v>26</v>
      </c>
      <c r="M216" s="2">
        <v>19000</v>
      </c>
      <c r="N216" s="1" t="s">
        <v>76</v>
      </c>
      <c r="O216" s="3">
        <v>46090</v>
      </c>
      <c r="P216" s="3">
        <v>46079</v>
      </c>
      <c r="Q216" s="3">
        <v>46142</v>
      </c>
    </row>
    <row r="217" spans="1:17" hidden="1" x14ac:dyDescent="0.25">
      <c r="A217" s="1" t="s">
        <v>785</v>
      </c>
      <c r="B217" s="1" t="s">
        <v>28</v>
      </c>
      <c r="C217" s="1" t="s">
        <v>19</v>
      </c>
      <c r="D217" s="1" t="s">
        <v>340</v>
      </c>
      <c r="E217" s="1" t="s">
        <v>604</v>
      </c>
      <c r="F217" s="1" t="s">
        <v>73</v>
      </c>
      <c r="G217" s="1" t="s">
        <v>615</v>
      </c>
      <c r="H217" s="1">
        <v>2022</v>
      </c>
      <c r="I217" s="1" t="s">
        <v>786</v>
      </c>
      <c r="J217" s="1" t="s">
        <v>785</v>
      </c>
      <c r="K217" s="1" t="s">
        <v>450</v>
      </c>
      <c r="L217" s="1" t="s">
        <v>26</v>
      </c>
      <c r="M217" s="2">
        <v>17000</v>
      </c>
      <c r="O217" s="3">
        <v>46121</v>
      </c>
      <c r="P217" s="3">
        <v>46121</v>
      </c>
      <c r="Q217" s="3">
        <v>46157</v>
      </c>
    </row>
    <row r="218" spans="1:17" x14ac:dyDescent="0.25">
      <c r="A218" s="1" t="s">
        <v>790</v>
      </c>
      <c r="B218" s="1" t="s">
        <v>18</v>
      </c>
      <c r="C218" s="1" t="s">
        <v>44</v>
      </c>
      <c r="D218" s="1" t="s">
        <v>315</v>
      </c>
      <c r="E218" s="1" t="s">
        <v>207</v>
      </c>
      <c r="F218" s="1" t="s">
        <v>791</v>
      </c>
      <c r="G218" s="1" t="s">
        <v>792</v>
      </c>
      <c r="H218" s="1">
        <v>2026</v>
      </c>
      <c r="I218" s="1" t="s">
        <v>793</v>
      </c>
      <c r="J218" s="1" t="s">
        <v>790</v>
      </c>
      <c r="K218" s="1" t="s">
        <v>57</v>
      </c>
      <c r="L218" s="1" t="s">
        <v>26</v>
      </c>
      <c r="M218" s="2">
        <v>3000</v>
      </c>
      <c r="O218" s="3">
        <v>45960</v>
      </c>
      <c r="P218" s="3">
        <v>45960</v>
      </c>
    </row>
    <row r="219" spans="1:17" x14ac:dyDescent="0.25">
      <c r="A219" s="1" t="s">
        <v>794</v>
      </c>
      <c r="B219" s="1" t="s">
        <v>18</v>
      </c>
      <c r="C219" s="1" t="s">
        <v>44</v>
      </c>
      <c r="D219" s="1" t="s">
        <v>308</v>
      </c>
      <c r="E219" s="1" t="s">
        <v>207</v>
      </c>
      <c r="F219" s="1" t="s">
        <v>795</v>
      </c>
      <c r="G219" s="1" t="s">
        <v>796</v>
      </c>
      <c r="H219" s="1">
        <v>2017</v>
      </c>
      <c r="I219" s="1" t="s">
        <v>797</v>
      </c>
      <c r="J219" s="1" t="s">
        <v>798</v>
      </c>
      <c r="K219" s="1" t="s">
        <v>57</v>
      </c>
      <c r="L219" s="1" t="s">
        <v>26</v>
      </c>
      <c r="M219" s="2">
        <v>4000</v>
      </c>
      <c r="O219" s="3">
        <v>45916</v>
      </c>
      <c r="P219" s="3">
        <v>45918</v>
      </c>
    </row>
    <row r="220" spans="1:17" x14ac:dyDescent="0.25">
      <c r="A220" s="1" t="s">
        <v>809</v>
      </c>
      <c r="B220" s="1" t="s">
        <v>18</v>
      </c>
      <c r="C220" s="1" t="s">
        <v>44</v>
      </c>
      <c r="D220" s="1" t="s">
        <v>340</v>
      </c>
      <c r="E220" s="1" t="s">
        <v>207</v>
      </c>
      <c r="F220" s="1" t="s">
        <v>795</v>
      </c>
      <c r="G220" s="1" t="s">
        <v>810</v>
      </c>
      <c r="H220" s="1">
        <v>2018</v>
      </c>
      <c r="I220" s="1" t="s">
        <v>811</v>
      </c>
      <c r="J220" s="1" t="s">
        <v>809</v>
      </c>
      <c r="K220" s="1" t="s">
        <v>212</v>
      </c>
      <c r="L220" s="1" t="s">
        <v>26</v>
      </c>
      <c r="M220" s="1">
        <v>0</v>
      </c>
      <c r="N220" s="1" t="s">
        <v>127</v>
      </c>
      <c r="O220" s="3">
        <v>45843</v>
      </c>
      <c r="P220" s="3">
        <v>45840</v>
      </c>
    </row>
    <row r="221" spans="1:17" x14ac:dyDescent="0.25">
      <c r="A221" s="1" t="s">
        <v>812</v>
      </c>
      <c r="B221" s="1" t="s">
        <v>18</v>
      </c>
      <c r="C221" s="1" t="s">
        <v>44</v>
      </c>
      <c r="D221" s="1" t="s">
        <v>340</v>
      </c>
      <c r="E221" s="1" t="s">
        <v>207</v>
      </c>
      <c r="F221" s="1" t="s">
        <v>813</v>
      </c>
      <c r="G221" s="1" t="s">
        <v>814</v>
      </c>
      <c r="H221" s="1">
        <v>2021</v>
      </c>
      <c r="I221" s="1" t="s">
        <v>815</v>
      </c>
      <c r="J221" s="1" t="s">
        <v>812</v>
      </c>
      <c r="L221" s="1" t="s">
        <v>26</v>
      </c>
      <c r="M221" s="1">
        <v>0</v>
      </c>
      <c r="O221" s="3">
        <v>46079</v>
      </c>
      <c r="P221" s="3">
        <v>46081</v>
      </c>
    </row>
    <row r="222" spans="1:17" x14ac:dyDescent="0.25">
      <c r="A222" s="1" t="s">
        <v>404</v>
      </c>
      <c r="B222" s="1" t="s">
        <v>18</v>
      </c>
      <c r="C222" s="1" t="s">
        <v>44</v>
      </c>
      <c r="D222" s="1" t="s">
        <v>315</v>
      </c>
      <c r="E222" s="1" t="s">
        <v>405</v>
      </c>
      <c r="F222" s="1" t="s">
        <v>406</v>
      </c>
      <c r="G222" s="1" t="s">
        <v>407</v>
      </c>
      <c r="H222" s="1">
        <v>2007</v>
      </c>
      <c r="I222" s="1" t="s">
        <v>408</v>
      </c>
      <c r="J222" s="1" t="s">
        <v>409</v>
      </c>
      <c r="K222" s="1" t="s">
        <v>75</v>
      </c>
      <c r="L222" s="1" t="s">
        <v>26</v>
      </c>
      <c r="M222" s="2">
        <v>3000</v>
      </c>
      <c r="O222" s="3">
        <v>46006</v>
      </c>
      <c r="P222" s="3">
        <v>46003</v>
      </c>
    </row>
    <row r="223" spans="1:17" x14ac:dyDescent="0.25">
      <c r="A223" s="1" t="s">
        <v>493</v>
      </c>
      <c r="B223" s="1" t="s">
        <v>18</v>
      </c>
      <c r="C223" s="1" t="s">
        <v>44</v>
      </c>
      <c r="D223" s="1" t="s">
        <v>308</v>
      </c>
      <c r="E223" s="1" t="s">
        <v>405</v>
      </c>
      <c r="F223" s="1" t="s">
        <v>494</v>
      </c>
      <c r="G223" s="1" t="s">
        <v>495</v>
      </c>
      <c r="H223" s="1">
        <v>2009</v>
      </c>
      <c r="I223" s="1" t="s">
        <v>496</v>
      </c>
      <c r="J223" s="1" t="s">
        <v>493</v>
      </c>
      <c r="K223" s="1" t="s">
        <v>497</v>
      </c>
      <c r="L223" s="1" t="s">
        <v>26</v>
      </c>
      <c r="M223" s="2">
        <v>7000</v>
      </c>
      <c r="O223" s="3">
        <v>46077</v>
      </c>
      <c r="P223" s="3">
        <v>46065</v>
      </c>
    </row>
    <row r="224" spans="1:17" x14ac:dyDescent="0.25">
      <c r="A224" s="1" t="s">
        <v>625</v>
      </c>
      <c r="B224" s="1" t="s">
        <v>18</v>
      </c>
      <c r="C224" s="1" t="s">
        <v>44</v>
      </c>
      <c r="D224" s="1" t="s">
        <v>148</v>
      </c>
      <c r="E224" s="1" t="s">
        <v>405</v>
      </c>
      <c r="F224" s="1" t="s">
        <v>413</v>
      </c>
      <c r="G224" s="1" t="s">
        <v>626</v>
      </c>
      <c r="H224" s="1">
        <v>2014</v>
      </c>
      <c r="I224" s="1" t="s">
        <v>627</v>
      </c>
      <c r="J224" s="1" t="s">
        <v>625</v>
      </c>
      <c r="K224" s="1" t="s">
        <v>628</v>
      </c>
      <c r="L224" s="1" t="s">
        <v>26</v>
      </c>
      <c r="M224" s="2">
        <v>7000</v>
      </c>
      <c r="O224" s="3">
        <v>46090</v>
      </c>
      <c r="P224" s="3">
        <v>46077</v>
      </c>
    </row>
    <row r="225" spans="1:17" x14ac:dyDescent="0.25">
      <c r="A225" s="1" t="s">
        <v>799</v>
      </c>
      <c r="B225" s="1" t="s">
        <v>18</v>
      </c>
      <c r="C225" s="1" t="s">
        <v>44</v>
      </c>
      <c r="D225" s="1" t="s">
        <v>202</v>
      </c>
      <c r="E225" s="1" t="s">
        <v>405</v>
      </c>
      <c r="F225" s="1" t="s">
        <v>800</v>
      </c>
      <c r="G225" s="1" t="s">
        <v>801</v>
      </c>
      <c r="H225" s="1">
        <v>2009</v>
      </c>
      <c r="I225" s="1" t="s">
        <v>802</v>
      </c>
      <c r="J225" s="1" t="s">
        <v>803</v>
      </c>
      <c r="K225" s="1" t="s">
        <v>57</v>
      </c>
      <c r="L225" s="1" t="s">
        <v>26</v>
      </c>
      <c r="M225" s="2">
        <v>3000</v>
      </c>
      <c r="O225" s="3">
        <v>45912</v>
      </c>
      <c r="P225" s="3">
        <v>45871</v>
      </c>
      <c r="Q225" s="3"/>
    </row>
    <row r="226" spans="1:17" x14ac:dyDescent="0.25">
      <c r="A226" s="1" t="s">
        <v>804</v>
      </c>
      <c r="B226" s="1" t="s">
        <v>18</v>
      </c>
      <c r="C226" s="1" t="s">
        <v>44</v>
      </c>
      <c r="D226" s="1" t="s">
        <v>202</v>
      </c>
      <c r="E226" s="1" t="s">
        <v>405</v>
      </c>
      <c r="F226" s="1" t="s">
        <v>805</v>
      </c>
      <c r="G226" s="1" t="s">
        <v>806</v>
      </c>
      <c r="H226" s="1">
        <v>2009</v>
      </c>
      <c r="I226" s="1" t="s">
        <v>807</v>
      </c>
      <c r="J226" s="1" t="s">
        <v>808</v>
      </c>
      <c r="K226" s="1" t="s">
        <v>57</v>
      </c>
      <c r="L226" s="1" t="s">
        <v>26</v>
      </c>
      <c r="M226" s="2">
        <v>3000</v>
      </c>
      <c r="O226" s="3">
        <v>45960</v>
      </c>
      <c r="P226" s="3">
        <v>45960</v>
      </c>
      <c r="Q226" s="3"/>
    </row>
    <row r="227" spans="1:17" x14ac:dyDescent="0.25">
      <c r="A227" s="1" t="s">
        <v>816</v>
      </c>
      <c r="B227" s="1" t="s">
        <v>18</v>
      </c>
      <c r="C227" s="1" t="s">
        <v>44</v>
      </c>
      <c r="D227" s="1" t="s">
        <v>817</v>
      </c>
      <c r="E227" s="1" t="s">
        <v>818</v>
      </c>
      <c r="F227" s="1" t="s">
        <v>819</v>
      </c>
      <c r="G227" s="1" t="s">
        <v>820</v>
      </c>
      <c r="H227" s="1">
        <v>1989</v>
      </c>
      <c r="I227" s="1">
        <v>289</v>
      </c>
      <c r="J227" s="1" t="s">
        <v>821</v>
      </c>
      <c r="K227" s="1" t="s">
        <v>57</v>
      </c>
      <c r="L227" s="1" t="s">
        <v>26</v>
      </c>
      <c r="M227" s="1">
        <v>0</v>
      </c>
      <c r="O227" s="3">
        <v>45964</v>
      </c>
      <c r="P227" s="3">
        <v>46329</v>
      </c>
    </row>
    <row r="228" spans="1:17" hidden="1" x14ac:dyDescent="0.25">
      <c r="A228" s="1" t="s">
        <v>833</v>
      </c>
      <c r="B228" s="1" t="s">
        <v>28</v>
      </c>
      <c r="C228" s="1" t="s">
        <v>19</v>
      </c>
      <c r="D228" s="1" t="s">
        <v>340</v>
      </c>
      <c r="E228" s="1" t="s">
        <v>823</v>
      </c>
      <c r="F228" s="1" t="s">
        <v>73</v>
      </c>
      <c r="G228" s="1" t="s">
        <v>834</v>
      </c>
      <c r="H228" s="1">
        <v>2022</v>
      </c>
      <c r="I228" s="1" t="s">
        <v>835</v>
      </c>
      <c r="J228" s="1" t="s">
        <v>833</v>
      </c>
      <c r="K228" s="1" t="s">
        <v>836</v>
      </c>
      <c r="L228" s="1" t="s">
        <v>26</v>
      </c>
      <c r="M228" s="2">
        <v>35500</v>
      </c>
      <c r="N228" s="1" t="s">
        <v>76</v>
      </c>
      <c r="O228" s="3">
        <v>45847</v>
      </c>
      <c r="P228" s="3">
        <v>45835</v>
      </c>
      <c r="Q228" s="3">
        <v>45933</v>
      </c>
    </row>
    <row r="229" spans="1:17" hidden="1" x14ac:dyDescent="0.25">
      <c r="A229" s="1" t="s">
        <v>837</v>
      </c>
      <c r="B229" s="1" t="s">
        <v>28</v>
      </c>
      <c r="C229" s="1" t="s">
        <v>19</v>
      </c>
      <c r="D229" s="1" t="s">
        <v>340</v>
      </c>
      <c r="E229" s="1" t="s">
        <v>823</v>
      </c>
      <c r="F229" s="1" t="s">
        <v>680</v>
      </c>
      <c r="G229" s="1" t="s">
        <v>838</v>
      </c>
      <c r="H229" s="1">
        <v>2022</v>
      </c>
      <c r="I229" s="1" t="s">
        <v>839</v>
      </c>
      <c r="J229" s="1" t="s">
        <v>840</v>
      </c>
      <c r="K229" s="1" t="s">
        <v>50</v>
      </c>
      <c r="L229" s="1" t="s">
        <v>26</v>
      </c>
      <c r="M229" s="1">
        <v>0</v>
      </c>
      <c r="O229" s="3">
        <v>45843</v>
      </c>
      <c r="P229" s="3">
        <v>45840</v>
      </c>
      <c r="Q229" s="3">
        <v>45896</v>
      </c>
    </row>
    <row r="230" spans="1:17" hidden="1" x14ac:dyDescent="0.25">
      <c r="A230" s="1" t="s">
        <v>837</v>
      </c>
      <c r="B230" s="1" t="s">
        <v>28</v>
      </c>
      <c r="C230" s="1" t="s">
        <v>19</v>
      </c>
      <c r="D230" s="1" t="s">
        <v>340</v>
      </c>
      <c r="E230" s="1" t="s">
        <v>823</v>
      </c>
      <c r="F230" s="1" t="s">
        <v>680</v>
      </c>
      <c r="G230" s="1" t="s">
        <v>838</v>
      </c>
      <c r="H230" s="1">
        <v>2022</v>
      </c>
      <c r="I230" s="1" t="s">
        <v>839</v>
      </c>
      <c r="J230" s="1" t="s">
        <v>840</v>
      </c>
      <c r="K230" s="1" t="s">
        <v>50</v>
      </c>
      <c r="L230" s="1" t="s">
        <v>26</v>
      </c>
      <c r="M230" s="2">
        <v>40000</v>
      </c>
      <c r="O230" s="3">
        <v>45840</v>
      </c>
      <c r="P230" s="3">
        <v>46205</v>
      </c>
      <c r="Q230" s="3">
        <v>46128</v>
      </c>
    </row>
    <row r="231" spans="1:17" x14ac:dyDescent="0.25">
      <c r="A231" s="1" t="s">
        <v>822</v>
      </c>
      <c r="B231" s="1" t="s">
        <v>18</v>
      </c>
      <c r="C231" s="1" t="s">
        <v>44</v>
      </c>
      <c r="D231" s="1" t="s">
        <v>340</v>
      </c>
      <c r="E231" s="1" t="s">
        <v>823</v>
      </c>
      <c r="F231" s="1" t="s">
        <v>824</v>
      </c>
      <c r="G231" s="1" t="s">
        <v>825</v>
      </c>
      <c r="H231" s="1" t="s">
        <v>821</v>
      </c>
      <c r="I231" s="1" t="s">
        <v>826</v>
      </c>
      <c r="J231" s="1" t="s">
        <v>822</v>
      </c>
      <c r="K231" s="1" t="s">
        <v>120</v>
      </c>
      <c r="L231" s="1" t="s">
        <v>26</v>
      </c>
      <c r="M231" s="2">
        <v>43000</v>
      </c>
      <c r="O231" s="3">
        <v>46213</v>
      </c>
      <c r="P231" s="3">
        <v>46213</v>
      </c>
    </row>
    <row r="232" spans="1:17" x14ac:dyDescent="0.25">
      <c r="A232" s="1" t="s">
        <v>841</v>
      </c>
      <c r="B232" s="1" t="s">
        <v>18</v>
      </c>
      <c r="C232" s="1" t="s">
        <v>44</v>
      </c>
      <c r="D232" s="1" t="s">
        <v>340</v>
      </c>
      <c r="E232" s="1" t="s">
        <v>823</v>
      </c>
      <c r="F232" s="1" t="s">
        <v>680</v>
      </c>
      <c r="G232" s="1" t="s">
        <v>842</v>
      </c>
      <c r="H232" s="1">
        <v>2025</v>
      </c>
      <c r="I232" s="1" t="s">
        <v>843</v>
      </c>
      <c r="J232" s="1" t="s">
        <v>841</v>
      </c>
      <c r="K232" s="1" t="s">
        <v>57</v>
      </c>
      <c r="L232" s="1" t="s">
        <v>26</v>
      </c>
      <c r="M232" s="2">
        <v>38000</v>
      </c>
      <c r="O232" s="3">
        <v>46093</v>
      </c>
      <c r="P232" s="3">
        <v>46074</v>
      </c>
    </row>
    <row r="233" spans="1:17" hidden="1" x14ac:dyDescent="0.25">
      <c r="A233" s="1" t="s">
        <v>846</v>
      </c>
      <c r="B233" s="1" t="s">
        <v>28</v>
      </c>
      <c r="C233" s="1" t="s">
        <v>19</v>
      </c>
      <c r="D233" s="1" t="s">
        <v>340</v>
      </c>
      <c r="E233" s="1" t="s">
        <v>828</v>
      </c>
      <c r="F233" s="1" t="s">
        <v>845</v>
      </c>
      <c r="G233" s="1" t="s">
        <v>847</v>
      </c>
      <c r="H233" s="1">
        <v>2023</v>
      </c>
      <c r="I233" s="1">
        <v>4709696440</v>
      </c>
      <c r="J233" s="1" t="s">
        <v>846</v>
      </c>
      <c r="K233" s="1" t="s">
        <v>848</v>
      </c>
      <c r="L233" s="1" t="s">
        <v>26</v>
      </c>
      <c r="M233" s="2">
        <v>12000</v>
      </c>
      <c r="O233" s="3">
        <v>46061</v>
      </c>
      <c r="P233" s="3">
        <v>46061</v>
      </c>
      <c r="Q233" s="3">
        <v>46142</v>
      </c>
    </row>
    <row r="234" spans="1:17" hidden="1" x14ac:dyDescent="0.25">
      <c r="A234" s="1" t="s">
        <v>849</v>
      </c>
      <c r="B234" s="1" t="s">
        <v>28</v>
      </c>
      <c r="C234" s="1" t="s">
        <v>19</v>
      </c>
      <c r="D234" s="1" t="s">
        <v>340</v>
      </c>
      <c r="E234" s="1" t="s">
        <v>850</v>
      </c>
      <c r="F234" s="1" t="s">
        <v>680</v>
      </c>
      <c r="G234" s="1" t="s">
        <v>842</v>
      </c>
      <c r="H234" s="1">
        <v>2025</v>
      </c>
      <c r="I234" s="1" t="s">
        <v>851</v>
      </c>
      <c r="J234" s="1" t="s">
        <v>849</v>
      </c>
      <c r="K234" s="1" t="s">
        <v>57</v>
      </c>
      <c r="L234" s="1" t="s">
        <v>26</v>
      </c>
      <c r="M234" s="2">
        <v>38000</v>
      </c>
      <c r="O234" s="3">
        <v>46058</v>
      </c>
      <c r="P234" s="3">
        <v>46058</v>
      </c>
      <c r="Q234" s="3">
        <v>46213</v>
      </c>
    </row>
    <row r="235" spans="1:17" hidden="1" x14ac:dyDescent="0.25">
      <c r="A235" s="1" t="s">
        <v>852</v>
      </c>
      <c r="B235" s="1" t="s">
        <v>28</v>
      </c>
      <c r="C235" s="1" t="s">
        <v>19</v>
      </c>
      <c r="D235" s="1" t="s">
        <v>340</v>
      </c>
      <c r="E235" s="1" t="s">
        <v>853</v>
      </c>
      <c r="F235" s="1" t="s">
        <v>854</v>
      </c>
      <c r="G235" s="1" t="s">
        <v>855</v>
      </c>
      <c r="H235" s="1">
        <v>2016</v>
      </c>
      <c r="I235" s="1" t="s">
        <v>856</v>
      </c>
      <c r="J235" s="1" t="s">
        <v>852</v>
      </c>
      <c r="K235" s="1" t="s">
        <v>666</v>
      </c>
      <c r="L235" s="1" t="s">
        <v>26</v>
      </c>
      <c r="M235" s="2">
        <v>12500</v>
      </c>
      <c r="O235" s="3">
        <v>46052</v>
      </c>
      <c r="P235" s="3">
        <v>46052</v>
      </c>
      <c r="Q235" s="3">
        <v>46157</v>
      </c>
    </row>
    <row r="236" spans="1:17" hidden="1" x14ac:dyDescent="0.25">
      <c r="A236" s="1" t="s">
        <v>857</v>
      </c>
      <c r="B236" s="1" t="s">
        <v>28</v>
      </c>
      <c r="C236" s="1" t="s">
        <v>19</v>
      </c>
      <c r="D236" s="1" t="s">
        <v>858</v>
      </c>
      <c r="E236" s="1" t="s">
        <v>122</v>
      </c>
      <c r="F236" s="1" t="s">
        <v>186</v>
      </c>
      <c r="G236" s="1" t="s">
        <v>859</v>
      </c>
      <c r="H236" s="1">
        <v>2021</v>
      </c>
      <c r="I236" s="1" t="s">
        <v>860</v>
      </c>
      <c r="J236" s="1" t="s">
        <v>861</v>
      </c>
      <c r="K236" s="1" t="s">
        <v>506</v>
      </c>
      <c r="L236" s="1" t="s">
        <v>26</v>
      </c>
      <c r="M236" s="2">
        <v>8500</v>
      </c>
      <c r="O236" s="3">
        <v>45927</v>
      </c>
      <c r="P236" s="3">
        <v>45927</v>
      </c>
      <c r="Q236" s="3">
        <v>46126</v>
      </c>
    </row>
    <row r="237" spans="1:17" hidden="1" x14ac:dyDescent="0.25">
      <c r="A237" s="1" t="s">
        <v>862</v>
      </c>
      <c r="B237" s="1" t="s">
        <v>28</v>
      </c>
      <c r="C237" s="1" t="s">
        <v>19</v>
      </c>
      <c r="D237" s="1" t="s">
        <v>858</v>
      </c>
      <c r="E237" s="1" t="s">
        <v>335</v>
      </c>
      <c r="F237" s="1" t="s">
        <v>338</v>
      </c>
      <c r="G237" s="1" t="s">
        <v>863</v>
      </c>
      <c r="H237" s="1">
        <v>2010</v>
      </c>
      <c r="I237" s="1" t="s">
        <v>864</v>
      </c>
      <c r="J237" s="1" t="s">
        <v>862</v>
      </c>
      <c r="K237" s="1" t="s">
        <v>338</v>
      </c>
      <c r="L237" s="1" t="s">
        <v>26</v>
      </c>
      <c r="M237" s="2">
        <v>4200</v>
      </c>
      <c r="O237" s="3">
        <v>46090</v>
      </c>
      <c r="P237" s="3">
        <v>46072</v>
      </c>
      <c r="Q237" s="3">
        <v>46148</v>
      </c>
    </row>
    <row r="238" spans="1:17" x14ac:dyDescent="0.25">
      <c r="A238" s="1" t="s">
        <v>827</v>
      </c>
      <c r="B238" s="1" t="s">
        <v>18</v>
      </c>
      <c r="C238" s="1" t="s">
        <v>44</v>
      </c>
      <c r="D238" s="1" t="s">
        <v>340</v>
      </c>
      <c r="E238" s="1" t="s">
        <v>828</v>
      </c>
      <c r="F238" s="1" t="s">
        <v>829</v>
      </c>
      <c r="G238" s="1" t="s">
        <v>830</v>
      </c>
      <c r="H238" s="1">
        <v>2024</v>
      </c>
      <c r="I238" s="1" t="s">
        <v>831</v>
      </c>
      <c r="J238" s="1" t="s">
        <v>832</v>
      </c>
      <c r="K238" s="1" t="s">
        <v>772</v>
      </c>
      <c r="L238" s="1" t="s">
        <v>26</v>
      </c>
      <c r="M238" s="2">
        <v>15000</v>
      </c>
      <c r="O238" s="3">
        <v>45905</v>
      </c>
      <c r="P238" s="3">
        <v>45904</v>
      </c>
    </row>
    <row r="239" spans="1:17" hidden="1" x14ac:dyDescent="0.25">
      <c r="A239" s="1" t="s">
        <v>867</v>
      </c>
      <c r="B239" s="1" t="s">
        <v>28</v>
      </c>
      <c r="C239" s="1" t="s">
        <v>19</v>
      </c>
      <c r="D239" s="1" t="s">
        <v>340</v>
      </c>
      <c r="E239" s="1" t="s">
        <v>828</v>
      </c>
      <c r="F239" s="1" t="s">
        <v>845</v>
      </c>
      <c r="G239" s="1" t="s">
        <v>868</v>
      </c>
      <c r="H239" s="1">
        <v>2022</v>
      </c>
      <c r="I239" s="1">
        <v>6713633073</v>
      </c>
      <c r="J239" s="1" t="s">
        <v>867</v>
      </c>
      <c r="K239" s="1" t="s">
        <v>57</v>
      </c>
      <c r="L239" s="1" t="s">
        <v>26</v>
      </c>
      <c r="M239" s="2">
        <v>13000</v>
      </c>
      <c r="O239" s="3">
        <v>45846</v>
      </c>
      <c r="P239" s="3">
        <v>45864</v>
      </c>
      <c r="Q239" s="3">
        <v>45908</v>
      </c>
    </row>
    <row r="240" spans="1:17" x14ac:dyDescent="0.25">
      <c r="A240" s="1" t="s">
        <v>844</v>
      </c>
      <c r="B240" s="1" t="s">
        <v>18</v>
      </c>
      <c r="C240" s="1" t="s">
        <v>44</v>
      </c>
      <c r="D240" s="1" t="s">
        <v>340</v>
      </c>
      <c r="E240" s="1" t="s">
        <v>828</v>
      </c>
      <c r="F240" s="1" t="s">
        <v>845</v>
      </c>
      <c r="G240" s="1">
        <v>6713</v>
      </c>
      <c r="H240" s="1">
        <v>2020</v>
      </c>
      <c r="I240" s="1">
        <v>6713580622</v>
      </c>
      <c r="J240" s="1" t="s">
        <v>844</v>
      </c>
      <c r="K240" s="1" t="s">
        <v>836</v>
      </c>
      <c r="L240" s="1" t="s">
        <v>26</v>
      </c>
      <c r="M240" s="2">
        <v>14800</v>
      </c>
      <c r="N240" s="1" t="s">
        <v>76</v>
      </c>
      <c r="O240" s="3">
        <v>45850</v>
      </c>
      <c r="P240" s="3">
        <v>45846</v>
      </c>
    </row>
    <row r="241" spans="1:17" hidden="1" x14ac:dyDescent="0.25">
      <c r="A241" s="1" t="s">
        <v>871</v>
      </c>
      <c r="B241" s="1" t="s">
        <v>28</v>
      </c>
      <c r="C241" s="1" t="s">
        <v>19</v>
      </c>
      <c r="D241" s="1" t="s">
        <v>659</v>
      </c>
      <c r="E241" s="1" t="s">
        <v>872</v>
      </c>
      <c r="F241" s="1" t="s">
        <v>73</v>
      </c>
      <c r="G241" s="1" t="s">
        <v>873</v>
      </c>
      <c r="H241" s="1">
        <v>2024</v>
      </c>
      <c r="I241" s="1" t="s">
        <v>874</v>
      </c>
      <c r="J241" s="1" t="s">
        <v>871</v>
      </c>
      <c r="K241" s="1" t="s">
        <v>767</v>
      </c>
      <c r="L241" s="1" t="s">
        <v>26</v>
      </c>
      <c r="M241" s="2">
        <v>13800</v>
      </c>
      <c r="O241" s="3">
        <v>45911</v>
      </c>
      <c r="P241" s="3">
        <v>45910</v>
      </c>
      <c r="Q241" s="3">
        <v>46134</v>
      </c>
    </row>
    <row r="242" spans="1:17" hidden="1" x14ac:dyDescent="0.25">
      <c r="A242" s="1" t="s">
        <v>875</v>
      </c>
      <c r="B242" s="1" t="s">
        <v>28</v>
      </c>
      <c r="C242" s="1" t="s">
        <v>19</v>
      </c>
      <c r="D242" s="1" t="s">
        <v>659</v>
      </c>
      <c r="E242" s="1" t="s">
        <v>872</v>
      </c>
      <c r="F242" s="1" t="s">
        <v>876</v>
      </c>
      <c r="G242" s="1" t="s">
        <v>877</v>
      </c>
      <c r="H242" s="1">
        <v>2021</v>
      </c>
      <c r="I242" s="1" t="s">
        <v>878</v>
      </c>
      <c r="J242" s="1" t="s">
        <v>875</v>
      </c>
      <c r="K242" s="1" t="s">
        <v>879</v>
      </c>
      <c r="L242" s="1" t="s">
        <v>26</v>
      </c>
      <c r="M242" s="2">
        <v>3900</v>
      </c>
      <c r="O242" s="3">
        <v>45927</v>
      </c>
      <c r="P242" s="3">
        <v>45927</v>
      </c>
      <c r="Q242" s="3">
        <v>46108</v>
      </c>
    </row>
    <row r="243" spans="1:17" x14ac:dyDescent="0.25">
      <c r="A243" s="1" t="s">
        <v>869</v>
      </c>
      <c r="B243" s="1" t="s">
        <v>18</v>
      </c>
      <c r="C243" s="1" t="s">
        <v>44</v>
      </c>
      <c r="D243" s="1" t="s">
        <v>134</v>
      </c>
      <c r="E243" s="1" t="s">
        <v>659</v>
      </c>
      <c r="F243" s="1" t="s">
        <v>134</v>
      </c>
      <c r="G243" s="1" t="s">
        <v>134</v>
      </c>
      <c r="H243" s="1">
        <v>2012</v>
      </c>
      <c r="I243" s="1" t="s">
        <v>870</v>
      </c>
      <c r="J243" s="1" t="s">
        <v>869</v>
      </c>
      <c r="K243" s="1" t="s">
        <v>57</v>
      </c>
      <c r="L243" s="1" t="s">
        <v>26</v>
      </c>
      <c r="M243" s="2">
        <v>16000</v>
      </c>
      <c r="O243" s="3">
        <v>46139</v>
      </c>
      <c r="P243" s="3">
        <v>46139</v>
      </c>
    </row>
    <row r="244" spans="1:17" x14ac:dyDescent="0.25">
      <c r="A244" s="1" t="s">
        <v>880</v>
      </c>
      <c r="B244" s="1" t="s">
        <v>543</v>
      </c>
      <c r="C244" s="1" t="s">
        <v>19</v>
      </c>
      <c r="D244" s="1" t="s">
        <v>659</v>
      </c>
      <c r="E244" s="1" t="s">
        <v>881</v>
      </c>
      <c r="F244" s="1" t="s">
        <v>882</v>
      </c>
      <c r="G244" s="1" t="s">
        <v>883</v>
      </c>
      <c r="H244" s="1">
        <v>2013</v>
      </c>
      <c r="I244" s="1" t="s">
        <v>884</v>
      </c>
      <c r="J244" s="1" t="s">
        <v>885</v>
      </c>
      <c r="K244" s="1" t="s">
        <v>57</v>
      </c>
      <c r="L244" s="1" t="s">
        <v>26</v>
      </c>
      <c r="M244" s="2">
        <v>21000</v>
      </c>
      <c r="O244" s="3">
        <v>45943</v>
      </c>
      <c r="P244" s="3">
        <v>45943</v>
      </c>
    </row>
    <row r="245" spans="1:17" x14ac:dyDescent="0.25">
      <c r="A245" s="1" t="s">
        <v>886</v>
      </c>
      <c r="B245" s="1" t="s">
        <v>18</v>
      </c>
      <c r="C245" s="1" t="s">
        <v>44</v>
      </c>
      <c r="D245" s="1" t="s">
        <v>671</v>
      </c>
      <c r="E245" s="1" t="s">
        <v>881</v>
      </c>
      <c r="F245" s="1" t="s">
        <v>887</v>
      </c>
      <c r="H245" s="1">
        <v>2026</v>
      </c>
      <c r="I245" s="1" t="s">
        <v>888</v>
      </c>
      <c r="J245" s="1" t="s">
        <v>886</v>
      </c>
      <c r="K245" s="1" t="s">
        <v>57</v>
      </c>
      <c r="L245" s="1" t="s">
        <v>26</v>
      </c>
      <c r="M245" s="2">
        <v>55000</v>
      </c>
      <c r="O245" s="3">
        <v>46135</v>
      </c>
      <c r="P245" s="3">
        <v>46067</v>
      </c>
    </row>
    <row r="246" spans="1:17" x14ac:dyDescent="0.25">
      <c r="A246" s="1" t="s">
        <v>213</v>
      </c>
      <c r="B246" s="1" t="s">
        <v>18</v>
      </c>
      <c r="C246" s="1" t="s">
        <v>44</v>
      </c>
      <c r="D246" s="1" t="s">
        <v>52</v>
      </c>
      <c r="E246" s="1" t="s">
        <v>214</v>
      </c>
      <c r="F246" s="1" t="s">
        <v>215</v>
      </c>
      <c r="G246" s="1" t="s">
        <v>216</v>
      </c>
      <c r="H246" s="1">
        <v>2021</v>
      </c>
      <c r="I246" s="1">
        <v>991900950</v>
      </c>
      <c r="J246" s="1" t="s">
        <v>213</v>
      </c>
      <c r="K246" s="1" t="s">
        <v>93</v>
      </c>
      <c r="L246" s="1" t="s">
        <v>26</v>
      </c>
      <c r="M246" s="2">
        <v>12000</v>
      </c>
      <c r="O246" s="3">
        <v>46093</v>
      </c>
      <c r="P246" s="3">
        <v>45902</v>
      </c>
    </row>
    <row r="247" spans="1:17" x14ac:dyDescent="0.25">
      <c r="A247" s="1" t="s">
        <v>498</v>
      </c>
      <c r="B247" s="1" t="s">
        <v>18</v>
      </c>
      <c r="C247" s="1" t="s">
        <v>44</v>
      </c>
      <c r="D247" s="1" t="s">
        <v>308</v>
      </c>
      <c r="E247" s="1" t="s">
        <v>499</v>
      </c>
      <c r="F247" s="1" t="s">
        <v>500</v>
      </c>
      <c r="G247" s="1" t="s">
        <v>501</v>
      </c>
      <c r="H247" s="1">
        <v>2022</v>
      </c>
      <c r="I247" s="1">
        <v>14822973</v>
      </c>
      <c r="J247" s="1" t="s">
        <v>498</v>
      </c>
      <c r="K247" s="1" t="s">
        <v>502</v>
      </c>
      <c r="L247" s="1" t="s">
        <v>26</v>
      </c>
      <c r="M247" s="2">
        <v>77300</v>
      </c>
      <c r="O247" s="3">
        <v>46129</v>
      </c>
      <c r="P247" s="3">
        <v>46104</v>
      </c>
    </row>
    <row r="248" spans="1:17" x14ac:dyDescent="0.25">
      <c r="A248" s="1" t="s">
        <v>498</v>
      </c>
      <c r="B248" s="1" t="s">
        <v>18</v>
      </c>
      <c r="C248" s="1" t="s">
        <v>44</v>
      </c>
      <c r="D248" s="1" t="s">
        <v>308</v>
      </c>
      <c r="E248" s="1" t="s">
        <v>499</v>
      </c>
      <c r="F248" s="1" t="s">
        <v>503</v>
      </c>
      <c r="G248" s="1" t="s">
        <v>503</v>
      </c>
      <c r="H248" s="1">
        <v>2022</v>
      </c>
      <c r="I248" s="1" t="s">
        <v>503</v>
      </c>
      <c r="J248" s="1" t="s">
        <v>503</v>
      </c>
      <c r="K248" s="1" t="s">
        <v>502</v>
      </c>
      <c r="L248" s="1" t="s">
        <v>26</v>
      </c>
      <c r="M248" s="2">
        <v>16000</v>
      </c>
      <c r="O248" s="3">
        <v>46129</v>
      </c>
      <c r="P248" s="3">
        <v>46104</v>
      </c>
    </row>
    <row r="249" spans="1:17" hidden="1" x14ac:dyDescent="0.25">
      <c r="A249" s="1" t="s">
        <v>900</v>
      </c>
      <c r="B249" s="1" t="s">
        <v>28</v>
      </c>
      <c r="C249" s="1" t="s">
        <v>19</v>
      </c>
      <c r="D249" s="1" t="s">
        <v>671</v>
      </c>
      <c r="E249" s="1" t="s">
        <v>872</v>
      </c>
      <c r="F249" s="1" t="s">
        <v>876</v>
      </c>
      <c r="G249" s="1" t="s">
        <v>901</v>
      </c>
      <c r="H249" s="1">
        <v>2019</v>
      </c>
      <c r="I249" s="1">
        <v>4765</v>
      </c>
      <c r="J249" s="1" t="s">
        <v>902</v>
      </c>
      <c r="K249" s="1" t="s">
        <v>879</v>
      </c>
      <c r="L249" s="1" t="s">
        <v>26</v>
      </c>
      <c r="M249" s="2">
        <v>4300</v>
      </c>
      <c r="O249" s="3">
        <v>46072</v>
      </c>
      <c r="P249" s="3">
        <v>46072</v>
      </c>
      <c r="Q249" s="3">
        <v>46189</v>
      </c>
    </row>
    <row r="250" spans="1:17" x14ac:dyDescent="0.25">
      <c r="A250" s="1" t="s">
        <v>889</v>
      </c>
      <c r="B250" s="1" t="s">
        <v>18</v>
      </c>
      <c r="C250" s="1" t="s">
        <v>44</v>
      </c>
      <c r="D250" s="1" t="s">
        <v>315</v>
      </c>
      <c r="E250" s="1" t="s">
        <v>499</v>
      </c>
      <c r="F250" s="1" t="s">
        <v>500</v>
      </c>
      <c r="G250" s="1" t="s">
        <v>501</v>
      </c>
      <c r="H250" s="1">
        <v>2022</v>
      </c>
      <c r="I250" s="1" t="s">
        <v>890</v>
      </c>
      <c r="J250" s="1" t="s">
        <v>889</v>
      </c>
      <c r="K250" s="1" t="s">
        <v>57</v>
      </c>
      <c r="L250" s="1" t="s">
        <v>26</v>
      </c>
      <c r="M250" s="2">
        <v>60000</v>
      </c>
      <c r="O250" s="3">
        <v>46130</v>
      </c>
      <c r="P250" s="3">
        <v>46104</v>
      </c>
    </row>
    <row r="251" spans="1:17" hidden="1" x14ac:dyDescent="0.25">
      <c r="A251" s="1" t="s">
        <v>906</v>
      </c>
      <c r="B251" s="1" t="s">
        <v>28</v>
      </c>
      <c r="C251" s="1" t="s">
        <v>19</v>
      </c>
      <c r="D251" s="1" t="s">
        <v>308</v>
      </c>
      <c r="E251" s="1" t="s">
        <v>499</v>
      </c>
      <c r="F251" s="1" t="s">
        <v>500</v>
      </c>
      <c r="G251" s="1" t="s">
        <v>907</v>
      </c>
      <c r="H251" s="1">
        <v>2024</v>
      </c>
      <c r="I251" s="1" t="s">
        <v>908</v>
      </c>
      <c r="J251" s="1" t="s">
        <v>906</v>
      </c>
      <c r="K251" s="1" t="s">
        <v>57</v>
      </c>
      <c r="L251" s="1" t="s">
        <v>26</v>
      </c>
      <c r="M251" s="2">
        <v>46000</v>
      </c>
      <c r="O251" s="3">
        <v>45927</v>
      </c>
      <c r="P251" s="3">
        <v>45917</v>
      </c>
      <c r="Q251" s="3">
        <v>46134</v>
      </c>
    </row>
    <row r="252" spans="1:17" hidden="1" x14ac:dyDescent="0.25">
      <c r="A252" s="1" t="s">
        <v>909</v>
      </c>
      <c r="B252" s="1" t="s">
        <v>28</v>
      </c>
      <c r="C252" s="1" t="s">
        <v>19</v>
      </c>
      <c r="D252" s="1" t="s">
        <v>910</v>
      </c>
      <c r="F252" s="1" t="s">
        <v>644</v>
      </c>
      <c r="G252" s="1" t="s">
        <v>911</v>
      </c>
      <c r="H252" s="1">
        <v>1970</v>
      </c>
      <c r="I252" s="1" t="s">
        <v>912</v>
      </c>
      <c r="J252" s="1" t="s">
        <v>913</v>
      </c>
      <c r="K252" s="1" t="s">
        <v>57</v>
      </c>
      <c r="L252" s="1" t="s">
        <v>26</v>
      </c>
      <c r="M252" s="2">
        <v>3000</v>
      </c>
      <c r="O252" s="3">
        <v>45995</v>
      </c>
      <c r="P252" s="3">
        <v>45995</v>
      </c>
      <c r="Q252" s="3">
        <v>46048</v>
      </c>
    </row>
    <row r="254" spans="1:17" x14ac:dyDescent="0.25">
      <c r="K254" s="1">
        <f>SUBTOTAL(103,Tabela1[LOCADOR])</f>
        <v>159</v>
      </c>
      <c r="M254" s="2">
        <f>SUBTOTAL(109,Tabela1[VALOR])</f>
        <v>2962972</v>
      </c>
      <c r="O254" s="3"/>
      <c r="P254" s="3"/>
      <c r="Q254" s="3"/>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A416-8B5A-45E7-A6A3-EA0A7908A673}">
  <dimension ref="A1:P3928"/>
  <sheetViews>
    <sheetView topLeftCell="A3895" workbookViewId="0">
      <selection activeCell="D30" sqref="D30"/>
    </sheetView>
  </sheetViews>
  <sheetFormatPr defaultRowHeight="15" x14ac:dyDescent="0.25"/>
  <cols>
    <col min="1" max="1" width="13.140625" bestFit="1" customWidth="1"/>
    <col min="2" max="2" width="14.28515625" bestFit="1" customWidth="1"/>
    <col min="3" max="3" width="53.7109375" bestFit="1" customWidth="1"/>
    <col min="4" max="4" width="19.140625" bestFit="1" customWidth="1"/>
    <col min="5" max="5" width="66.28515625" bestFit="1" customWidth="1"/>
    <col min="6" max="6" width="31.140625" bestFit="1" customWidth="1"/>
    <col min="7" max="7" width="20" bestFit="1" customWidth="1"/>
    <col min="8" max="8" width="17.28515625" bestFit="1" customWidth="1"/>
    <col min="9" max="9" width="46.85546875" bestFit="1" customWidth="1"/>
    <col min="10" max="10" width="20.28515625" bestFit="1" customWidth="1"/>
    <col min="11" max="11" width="29.42578125" bestFit="1" customWidth="1"/>
    <col min="12" max="12" width="255.7109375" bestFit="1" customWidth="1"/>
    <col min="13" max="13" width="12.5703125" bestFit="1" customWidth="1"/>
    <col min="14" max="14" width="50.140625" bestFit="1" customWidth="1"/>
    <col min="15" max="15" width="22.140625" bestFit="1" customWidth="1"/>
    <col min="16" max="16" width="10" bestFit="1" customWidth="1"/>
  </cols>
  <sheetData>
    <row r="1" spans="1:16" x14ac:dyDescent="0.25">
      <c r="A1" s="1" t="s">
        <v>914</v>
      </c>
      <c r="B1" s="1" t="s">
        <v>915</v>
      </c>
      <c r="C1" s="1" t="s">
        <v>916</v>
      </c>
      <c r="D1" s="1" t="s">
        <v>917</v>
      </c>
      <c r="E1" s="1" t="s">
        <v>918</v>
      </c>
      <c r="F1" s="1" t="s">
        <v>919</v>
      </c>
      <c r="G1" s="1" t="s">
        <v>920</v>
      </c>
      <c r="H1" s="1" t="s">
        <v>921</v>
      </c>
      <c r="I1" s="1" t="s">
        <v>922</v>
      </c>
      <c r="J1" s="1" t="s">
        <v>923</v>
      </c>
      <c r="K1" s="1" t="s">
        <v>924</v>
      </c>
      <c r="L1" s="1" t="s">
        <v>925</v>
      </c>
      <c r="M1" s="1" t="s">
        <v>926</v>
      </c>
      <c r="N1" s="1" t="s">
        <v>927</v>
      </c>
      <c r="O1" s="1" t="s">
        <v>928</v>
      </c>
      <c r="P1" s="1" t="s">
        <v>929</v>
      </c>
    </row>
    <row r="2" spans="1:16" x14ac:dyDescent="0.25">
      <c r="A2" s="3">
        <v>44990</v>
      </c>
      <c r="B2" s="1">
        <v>225</v>
      </c>
      <c r="C2" s="5">
        <v>600</v>
      </c>
      <c r="D2" s="1" t="s">
        <v>930</v>
      </c>
      <c r="E2" s="1" t="s">
        <v>931</v>
      </c>
      <c r="F2" s="1" t="s">
        <v>66</v>
      </c>
      <c r="G2" s="1" t="s">
        <v>932</v>
      </c>
      <c r="H2" s="3">
        <v>46102</v>
      </c>
      <c r="I2" s="1" t="s">
        <v>933</v>
      </c>
      <c r="J2" s="1" t="s">
        <v>66</v>
      </c>
      <c r="K2" s="1" t="s">
        <v>934</v>
      </c>
      <c r="L2" s="1" t="s">
        <v>935</v>
      </c>
      <c r="M2" s="3">
        <v>46087</v>
      </c>
      <c r="N2" s="1" t="s">
        <v>57</v>
      </c>
      <c r="O2" s="1" t="s">
        <v>936</v>
      </c>
      <c r="P2" s="1" t="s">
        <v>937</v>
      </c>
    </row>
    <row r="3" spans="1:16" x14ac:dyDescent="0.25">
      <c r="A3" s="3">
        <v>45008</v>
      </c>
      <c r="B3" s="4">
        <v>7021</v>
      </c>
      <c r="C3" s="5">
        <v>780.34</v>
      </c>
      <c r="D3" s="1" t="s">
        <v>2001</v>
      </c>
      <c r="E3" s="1" t="s">
        <v>2002</v>
      </c>
      <c r="F3" s="1" t="s">
        <v>66</v>
      </c>
      <c r="G3" s="1" t="s">
        <v>940</v>
      </c>
      <c r="H3" s="1" t="s">
        <v>4055</v>
      </c>
      <c r="I3" s="1" t="s">
        <v>933</v>
      </c>
      <c r="J3" s="1" t="s">
        <v>66</v>
      </c>
      <c r="K3" s="1" t="s">
        <v>308</v>
      </c>
      <c r="L3" s="1" t="s">
        <v>5166</v>
      </c>
      <c r="M3" s="1" t="s">
        <v>4055</v>
      </c>
      <c r="N3" s="1" t="s">
        <v>57</v>
      </c>
      <c r="O3" s="1" t="s">
        <v>936</v>
      </c>
      <c r="P3" s="1">
        <v>2</v>
      </c>
    </row>
    <row r="4" spans="1:16" x14ac:dyDescent="0.25">
      <c r="A4" s="3">
        <v>45748</v>
      </c>
      <c r="B4" s="4">
        <v>52468249</v>
      </c>
      <c r="C4" s="5">
        <v>54061.43</v>
      </c>
      <c r="D4" s="1" t="s">
        <v>1604</v>
      </c>
      <c r="E4" s="1" t="s">
        <v>1605</v>
      </c>
      <c r="F4" s="1" t="s">
        <v>66</v>
      </c>
      <c r="G4" s="1" t="s">
        <v>940</v>
      </c>
      <c r="H4" s="3">
        <v>46126</v>
      </c>
      <c r="I4" s="1" t="s">
        <v>933</v>
      </c>
      <c r="J4" s="1" t="s">
        <v>66</v>
      </c>
      <c r="K4" s="1" t="s">
        <v>934</v>
      </c>
      <c r="L4" s="1" t="s">
        <v>5289</v>
      </c>
      <c r="M4" s="3">
        <v>46113</v>
      </c>
      <c r="N4" s="1" t="s">
        <v>57</v>
      </c>
      <c r="O4" s="1" t="s">
        <v>932</v>
      </c>
      <c r="P4" s="1">
        <v>1</v>
      </c>
    </row>
    <row r="5" spans="1:16" x14ac:dyDescent="0.25">
      <c r="A5" s="3">
        <v>45795</v>
      </c>
      <c r="B5" s="4">
        <v>22893</v>
      </c>
      <c r="C5" s="5">
        <v>39</v>
      </c>
      <c r="D5" s="1" t="s">
        <v>938</v>
      </c>
      <c r="E5" s="1" t="s">
        <v>939</v>
      </c>
      <c r="F5" s="1" t="s">
        <v>66</v>
      </c>
      <c r="G5" s="1" t="s">
        <v>940</v>
      </c>
      <c r="H5" s="1" t="s">
        <v>941</v>
      </c>
      <c r="I5" s="1" t="s">
        <v>933</v>
      </c>
      <c r="J5" s="1" t="s">
        <v>66</v>
      </c>
      <c r="K5" s="1" t="s">
        <v>66</v>
      </c>
      <c r="L5" s="1" t="s">
        <v>942</v>
      </c>
      <c r="M5" s="3">
        <v>45885</v>
      </c>
      <c r="N5" s="1" t="s">
        <v>821</v>
      </c>
      <c r="O5" s="1" t="s">
        <v>936</v>
      </c>
      <c r="P5" s="1">
        <v>1</v>
      </c>
    </row>
    <row r="6" spans="1:16" x14ac:dyDescent="0.25">
      <c r="A6" s="3">
        <v>45795</v>
      </c>
      <c r="B6" s="1">
        <v>736</v>
      </c>
      <c r="C6" s="5">
        <v>100</v>
      </c>
      <c r="D6" s="1" t="s">
        <v>943</v>
      </c>
      <c r="E6" s="1" t="s">
        <v>944</v>
      </c>
      <c r="F6" s="1" t="s">
        <v>66</v>
      </c>
      <c r="G6" s="1" t="s">
        <v>940</v>
      </c>
      <c r="H6" s="1" t="s">
        <v>941</v>
      </c>
      <c r="I6" s="1" t="s">
        <v>933</v>
      </c>
      <c r="J6" s="1" t="s">
        <v>66</v>
      </c>
      <c r="K6" s="1" t="s">
        <v>66</v>
      </c>
      <c r="L6" s="1" t="s">
        <v>945</v>
      </c>
      <c r="M6" s="3">
        <v>45885</v>
      </c>
      <c r="N6" s="1" t="s">
        <v>821</v>
      </c>
      <c r="O6" s="1" t="s">
        <v>946</v>
      </c>
      <c r="P6" s="1">
        <v>1</v>
      </c>
    </row>
    <row r="7" spans="1:16" x14ac:dyDescent="0.25">
      <c r="A7" s="3">
        <v>45795</v>
      </c>
      <c r="B7" s="4">
        <v>2225</v>
      </c>
      <c r="C7" s="5">
        <v>35.9</v>
      </c>
      <c r="D7" s="1" t="s">
        <v>947</v>
      </c>
      <c r="E7" s="1" t="s">
        <v>948</v>
      </c>
      <c r="F7" s="1" t="s">
        <v>949</v>
      </c>
      <c r="G7" s="1" t="s">
        <v>950</v>
      </c>
      <c r="H7" s="1" t="s">
        <v>941</v>
      </c>
      <c r="I7" s="1" t="s">
        <v>933</v>
      </c>
      <c r="J7" s="1" t="s">
        <v>951</v>
      </c>
      <c r="K7" s="1" t="s">
        <v>66</v>
      </c>
      <c r="L7" s="1" t="s">
        <v>952</v>
      </c>
      <c r="M7" s="3">
        <v>45885</v>
      </c>
      <c r="N7" s="1" t="s">
        <v>821</v>
      </c>
      <c r="O7" s="1" t="s">
        <v>936</v>
      </c>
      <c r="P7" s="1">
        <v>1</v>
      </c>
    </row>
    <row r="8" spans="1:16" x14ac:dyDescent="0.25">
      <c r="A8" s="3">
        <v>45802</v>
      </c>
      <c r="B8" s="4">
        <v>1736</v>
      </c>
      <c r="C8" s="5">
        <v>2230</v>
      </c>
      <c r="D8" s="1" t="s">
        <v>953</v>
      </c>
      <c r="E8" s="1" t="s">
        <v>954</v>
      </c>
      <c r="F8" s="1" t="s">
        <v>955</v>
      </c>
      <c r="G8" s="1" t="s">
        <v>940</v>
      </c>
      <c r="H8" s="3">
        <v>45954</v>
      </c>
      <c r="I8" s="1" t="s">
        <v>933</v>
      </c>
      <c r="J8" s="1" t="s">
        <v>951</v>
      </c>
      <c r="K8" s="1" t="s">
        <v>20</v>
      </c>
      <c r="L8" s="1" t="s">
        <v>956</v>
      </c>
      <c r="M8" s="3">
        <v>45929</v>
      </c>
      <c r="N8" s="1" t="s">
        <v>821</v>
      </c>
      <c r="O8" s="1" t="s">
        <v>936</v>
      </c>
      <c r="P8" s="1">
        <v>1</v>
      </c>
    </row>
    <row r="9" spans="1:16" x14ac:dyDescent="0.25">
      <c r="A9" s="3">
        <v>45823</v>
      </c>
      <c r="B9" s="4">
        <v>1698</v>
      </c>
      <c r="C9" s="5">
        <v>900</v>
      </c>
      <c r="D9" s="1" t="s">
        <v>957</v>
      </c>
      <c r="E9" s="1" t="s">
        <v>958</v>
      </c>
      <c r="F9" s="1" t="s">
        <v>955</v>
      </c>
      <c r="G9" s="1" t="s">
        <v>940</v>
      </c>
      <c r="H9" s="1" t="s">
        <v>959</v>
      </c>
      <c r="I9" s="1" t="s">
        <v>933</v>
      </c>
      <c r="J9" s="1" t="s">
        <v>951</v>
      </c>
      <c r="K9" s="1" t="s">
        <v>20</v>
      </c>
      <c r="L9" s="1" t="s">
        <v>960</v>
      </c>
      <c r="M9" s="3">
        <v>46980</v>
      </c>
      <c r="N9" s="1" t="s">
        <v>821</v>
      </c>
      <c r="O9" s="1" t="s">
        <v>936</v>
      </c>
      <c r="P9" s="1">
        <v>1</v>
      </c>
    </row>
    <row r="10" spans="1:16" x14ac:dyDescent="0.25">
      <c r="A10" s="3">
        <v>45823</v>
      </c>
      <c r="B10" s="4">
        <v>16643</v>
      </c>
      <c r="C10" s="5">
        <v>1286</v>
      </c>
      <c r="D10" s="1" t="s">
        <v>961</v>
      </c>
      <c r="E10" s="1" t="s">
        <v>962</v>
      </c>
      <c r="F10" s="1" t="s">
        <v>955</v>
      </c>
      <c r="G10" s="1" t="s">
        <v>950</v>
      </c>
      <c r="H10" s="1" t="s">
        <v>959</v>
      </c>
      <c r="I10" s="1" t="s">
        <v>933</v>
      </c>
      <c r="J10" s="1" t="s">
        <v>951</v>
      </c>
      <c r="K10" s="1" t="s">
        <v>20</v>
      </c>
      <c r="L10" s="1" t="s">
        <v>963</v>
      </c>
      <c r="M10" s="3">
        <v>45884</v>
      </c>
      <c r="N10" s="1" t="s">
        <v>821</v>
      </c>
      <c r="O10" s="1" t="s">
        <v>936</v>
      </c>
      <c r="P10" s="1">
        <v>1</v>
      </c>
    </row>
    <row r="11" spans="1:16" x14ac:dyDescent="0.25">
      <c r="A11" s="3">
        <v>45833</v>
      </c>
      <c r="B11" s="4">
        <v>12287</v>
      </c>
      <c r="C11" s="5">
        <v>15</v>
      </c>
      <c r="D11" s="1" t="s">
        <v>964</v>
      </c>
      <c r="E11" s="1" t="s">
        <v>965</v>
      </c>
      <c r="F11" s="1" t="s">
        <v>966</v>
      </c>
      <c r="G11" s="1" t="s">
        <v>950</v>
      </c>
      <c r="H11" s="1" t="s">
        <v>967</v>
      </c>
      <c r="I11" s="1" t="s">
        <v>933</v>
      </c>
      <c r="J11" s="1" t="s">
        <v>951</v>
      </c>
      <c r="K11" s="1" t="s">
        <v>817</v>
      </c>
      <c r="L11" s="1" t="s">
        <v>968</v>
      </c>
      <c r="M11" s="3">
        <v>45835</v>
      </c>
      <c r="N11" s="1" t="s">
        <v>821</v>
      </c>
      <c r="O11" s="1" t="s">
        <v>936</v>
      </c>
      <c r="P11" s="1">
        <v>1</v>
      </c>
    </row>
    <row r="12" spans="1:16" x14ac:dyDescent="0.25">
      <c r="A12" s="3">
        <v>45833</v>
      </c>
      <c r="B12" s="4">
        <v>256531</v>
      </c>
      <c r="C12" s="5">
        <v>247</v>
      </c>
      <c r="D12" s="1" t="s">
        <v>969</v>
      </c>
      <c r="E12" s="1" t="s">
        <v>970</v>
      </c>
      <c r="F12" s="1" t="s">
        <v>949</v>
      </c>
      <c r="G12" s="1" t="s">
        <v>950</v>
      </c>
      <c r="H12" s="1" t="s">
        <v>967</v>
      </c>
      <c r="I12" s="1" t="s">
        <v>933</v>
      </c>
      <c r="J12" s="1" t="s">
        <v>951</v>
      </c>
      <c r="K12" s="1" t="s">
        <v>817</v>
      </c>
      <c r="L12" s="1" t="s">
        <v>971</v>
      </c>
      <c r="M12" s="3">
        <v>45835</v>
      </c>
      <c r="N12" s="1" t="s">
        <v>821</v>
      </c>
      <c r="O12" s="1" t="s">
        <v>972</v>
      </c>
      <c r="P12" s="1">
        <v>1</v>
      </c>
    </row>
    <row r="13" spans="1:16" x14ac:dyDescent="0.25">
      <c r="A13" s="3">
        <v>45833</v>
      </c>
      <c r="B13" s="4">
        <v>635719</v>
      </c>
      <c r="C13" s="5">
        <v>180</v>
      </c>
      <c r="D13" s="1" t="s">
        <v>973</v>
      </c>
      <c r="E13" s="1" t="s">
        <v>970</v>
      </c>
      <c r="F13" s="1" t="s">
        <v>949</v>
      </c>
      <c r="G13" s="1" t="s">
        <v>950</v>
      </c>
      <c r="H13" s="1" t="s">
        <v>967</v>
      </c>
      <c r="I13" s="1" t="s">
        <v>933</v>
      </c>
      <c r="J13" s="1" t="s">
        <v>951</v>
      </c>
      <c r="K13" s="1" t="s">
        <v>817</v>
      </c>
      <c r="L13" s="1" t="s">
        <v>974</v>
      </c>
      <c r="M13" s="3">
        <v>45835</v>
      </c>
      <c r="N13" s="1" t="s">
        <v>821</v>
      </c>
      <c r="O13" s="1" t="s">
        <v>972</v>
      </c>
      <c r="P13" s="1">
        <v>1</v>
      </c>
    </row>
    <row r="14" spans="1:16" x14ac:dyDescent="0.25">
      <c r="A14" s="3">
        <v>45834</v>
      </c>
      <c r="B14" s="1">
        <v>362</v>
      </c>
      <c r="C14" s="2">
        <v>2500</v>
      </c>
      <c r="D14" s="1" t="s">
        <v>975</v>
      </c>
      <c r="E14" s="1" t="s">
        <v>976</v>
      </c>
      <c r="F14" s="1" t="s">
        <v>639</v>
      </c>
      <c r="G14" s="1" t="s">
        <v>940</v>
      </c>
      <c r="H14" s="3">
        <v>45862</v>
      </c>
      <c r="I14" s="1" t="s">
        <v>933</v>
      </c>
      <c r="J14" s="1" t="s">
        <v>66</v>
      </c>
      <c r="K14" s="1" t="s">
        <v>977</v>
      </c>
      <c r="L14" s="1" t="s">
        <v>978</v>
      </c>
      <c r="M14" s="3">
        <v>45835</v>
      </c>
      <c r="N14" s="1" t="s">
        <v>98</v>
      </c>
      <c r="O14" s="1" t="s">
        <v>936</v>
      </c>
      <c r="P14" s="1"/>
    </row>
    <row r="15" spans="1:16" x14ac:dyDescent="0.25">
      <c r="A15" s="3">
        <v>45834</v>
      </c>
      <c r="B15" s="4">
        <v>3607</v>
      </c>
      <c r="C15" s="2">
        <v>15890</v>
      </c>
      <c r="D15" s="1" t="s">
        <v>982</v>
      </c>
      <c r="E15" s="1" t="s">
        <v>983</v>
      </c>
      <c r="F15" s="1" t="s">
        <v>639</v>
      </c>
      <c r="G15" s="1" t="s">
        <v>940</v>
      </c>
      <c r="H15" s="3">
        <v>45849</v>
      </c>
      <c r="I15" s="1" t="s">
        <v>933</v>
      </c>
      <c r="J15" s="1" t="s">
        <v>66</v>
      </c>
      <c r="K15" s="1" t="s">
        <v>977</v>
      </c>
      <c r="L15" s="1" t="s">
        <v>984</v>
      </c>
      <c r="M15" s="3">
        <v>45835</v>
      </c>
      <c r="N15" s="1" t="s">
        <v>98</v>
      </c>
      <c r="O15" s="1" t="s">
        <v>936</v>
      </c>
      <c r="P15" s="1">
        <v>1</v>
      </c>
    </row>
    <row r="16" spans="1:16" x14ac:dyDescent="0.25">
      <c r="A16" s="3">
        <v>45834</v>
      </c>
      <c r="B16" s="4">
        <v>21870</v>
      </c>
      <c r="C16" s="5">
        <v>40.18</v>
      </c>
      <c r="D16" s="1" t="s">
        <v>985</v>
      </c>
      <c r="E16" s="1" t="s">
        <v>986</v>
      </c>
      <c r="F16" s="1" t="s">
        <v>966</v>
      </c>
      <c r="G16" s="1" t="s">
        <v>950</v>
      </c>
      <c r="H16" s="1" t="s">
        <v>967</v>
      </c>
      <c r="I16" s="1" t="s">
        <v>933</v>
      </c>
      <c r="J16" s="1" t="s">
        <v>951</v>
      </c>
      <c r="K16" s="1" t="s">
        <v>817</v>
      </c>
      <c r="L16" s="1" t="s">
        <v>987</v>
      </c>
      <c r="M16" s="3">
        <v>45835</v>
      </c>
      <c r="N16" s="1" t="s">
        <v>821</v>
      </c>
      <c r="O16" s="1" t="s">
        <v>936</v>
      </c>
      <c r="P16" s="1">
        <v>1</v>
      </c>
    </row>
    <row r="17" spans="1:16" x14ac:dyDescent="0.25">
      <c r="A17" s="3">
        <v>45836</v>
      </c>
      <c r="B17" s="4">
        <v>10022</v>
      </c>
      <c r="C17" s="2">
        <v>1500</v>
      </c>
      <c r="D17" s="1" t="s">
        <v>988</v>
      </c>
      <c r="E17" s="1" t="s">
        <v>989</v>
      </c>
      <c r="F17" s="1" t="s">
        <v>66</v>
      </c>
      <c r="G17" s="1" t="s">
        <v>990</v>
      </c>
      <c r="H17" s="3">
        <v>45863</v>
      </c>
      <c r="I17" s="1" t="s">
        <v>933</v>
      </c>
      <c r="J17" s="1" t="s">
        <v>66</v>
      </c>
      <c r="K17" s="1" t="s">
        <v>977</v>
      </c>
      <c r="L17" s="1" t="s">
        <v>991</v>
      </c>
      <c r="M17" s="3">
        <v>45838</v>
      </c>
      <c r="N17" s="1" t="s">
        <v>821</v>
      </c>
      <c r="O17" s="1" t="s">
        <v>936</v>
      </c>
      <c r="P17" s="1">
        <v>1</v>
      </c>
    </row>
    <row r="18" spans="1:16" x14ac:dyDescent="0.25">
      <c r="A18" s="3">
        <v>45836</v>
      </c>
      <c r="B18" s="1"/>
      <c r="C18" s="5">
        <v>125</v>
      </c>
      <c r="D18" s="1" t="s">
        <v>992</v>
      </c>
      <c r="E18" s="1" t="s">
        <v>993</v>
      </c>
      <c r="F18" s="1" t="s">
        <v>639</v>
      </c>
      <c r="G18" s="1" t="s">
        <v>940</v>
      </c>
      <c r="H18" s="1" t="s">
        <v>967</v>
      </c>
      <c r="I18" s="1" t="s">
        <v>994</v>
      </c>
      <c r="J18" s="1" t="s">
        <v>66</v>
      </c>
      <c r="K18" s="1" t="s">
        <v>977</v>
      </c>
      <c r="L18" s="1" t="s">
        <v>995</v>
      </c>
      <c r="M18" s="3">
        <v>45835</v>
      </c>
      <c r="N18" s="1" t="s">
        <v>98</v>
      </c>
      <c r="O18" s="1" t="s">
        <v>936</v>
      </c>
      <c r="P18" s="1"/>
    </row>
    <row r="19" spans="1:16" x14ac:dyDescent="0.25">
      <c r="A19" s="3">
        <v>45836</v>
      </c>
      <c r="B19" s="4">
        <v>313495</v>
      </c>
      <c r="C19" s="5">
        <v>771.54</v>
      </c>
      <c r="D19" s="1" t="s">
        <v>992</v>
      </c>
      <c r="E19" s="1" t="s">
        <v>993</v>
      </c>
      <c r="F19" s="1" t="s">
        <v>639</v>
      </c>
      <c r="G19" s="1" t="s">
        <v>950</v>
      </c>
      <c r="H19" s="1" t="s">
        <v>967</v>
      </c>
      <c r="I19" s="1" t="s">
        <v>933</v>
      </c>
      <c r="J19" s="1" t="s">
        <v>66</v>
      </c>
      <c r="K19" s="1" t="s">
        <v>996</v>
      </c>
      <c r="L19" s="1" t="s">
        <v>997</v>
      </c>
      <c r="M19" s="3">
        <v>45835</v>
      </c>
      <c r="N19" s="1" t="s">
        <v>98</v>
      </c>
      <c r="O19" s="1" t="s">
        <v>998</v>
      </c>
      <c r="P19" s="1">
        <v>1</v>
      </c>
    </row>
    <row r="20" spans="1:16" x14ac:dyDescent="0.25">
      <c r="A20" s="3">
        <v>45838</v>
      </c>
      <c r="B20" s="1">
        <v>19</v>
      </c>
      <c r="C20" s="2">
        <v>3000</v>
      </c>
      <c r="D20" s="1" t="s">
        <v>999</v>
      </c>
      <c r="E20" s="1" t="s">
        <v>1000</v>
      </c>
      <c r="F20" s="1" t="s">
        <v>451</v>
      </c>
      <c r="G20" s="1" t="s">
        <v>1001</v>
      </c>
      <c r="H20" s="3">
        <v>45849</v>
      </c>
      <c r="I20" s="1" t="s">
        <v>933</v>
      </c>
      <c r="J20" s="1" t="s">
        <v>66</v>
      </c>
      <c r="K20" s="1" t="s">
        <v>977</v>
      </c>
      <c r="L20" s="1" t="s">
        <v>1002</v>
      </c>
      <c r="M20" s="3">
        <v>45838</v>
      </c>
      <c r="N20" s="1" t="s">
        <v>212</v>
      </c>
      <c r="O20" s="1" t="s">
        <v>936</v>
      </c>
      <c r="P20" s="1">
        <v>1</v>
      </c>
    </row>
    <row r="21" spans="1:16" x14ac:dyDescent="0.25">
      <c r="A21" s="3">
        <v>45838</v>
      </c>
      <c r="B21" s="4">
        <v>6705112</v>
      </c>
      <c r="C21" s="2">
        <v>2300</v>
      </c>
      <c r="D21" s="1" t="s">
        <v>999</v>
      </c>
      <c r="E21" s="1" t="s">
        <v>1003</v>
      </c>
      <c r="F21" s="1" t="s">
        <v>451</v>
      </c>
      <c r="G21" s="1" t="s">
        <v>1001</v>
      </c>
      <c r="H21" s="3">
        <v>45849</v>
      </c>
      <c r="I21" s="1" t="s">
        <v>933</v>
      </c>
      <c r="J21" s="1" t="s">
        <v>66</v>
      </c>
      <c r="K21" s="1" t="s">
        <v>934</v>
      </c>
      <c r="L21" s="1" t="s">
        <v>1004</v>
      </c>
      <c r="M21" s="3">
        <v>45838</v>
      </c>
      <c r="N21" s="1" t="s">
        <v>212</v>
      </c>
      <c r="O21" s="1" t="s">
        <v>936</v>
      </c>
      <c r="P21" s="1">
        <v>1</v>
      </c>
    </row>
    <row r="22" spans="1:16" x14ac:dyDescent="0.25">
      <c r="A22" s="3">
        <v>45838</v>
      </c>
      <c r="B22" s="1">
        <v>47</v>
      </c>
      <c r="C22" s="2">
        <v>15600</v>
      </c>
      <c r="D22" s="1" t="s">
        <v>1005</v>
      </c>
      <c r="E22" s="1" t="s">
        <v>1006</v>
      </c>
      <c r="F22" s="1" t="s">
        <v>66</v>
      </c>
      <c r="G22" s="1" t="s">
        <v>1001</v>
      </c>
      <c r="H22" s="3">
        <v>45850</v>
      </c>
      <c r="I22" s="1" t="s">
        <v>933</v>
      </c>
      <c r="J22" s="1" t="s">
        <v>66</v>
      </c>
      <c r="K22" s="1" t="s">
        <v>977</v>
      </c>
      <c r="L22" s="1" t="s">
        <v>1007</v>
      </c>
      <c r="M22" s="3">
        <v>45839</v>
      </c>
      <c r="N22" s="1" t="s">
        <v>821</v>
      </c>
      <c r="O22" s="1" t="s">
        <v>936</v>
      </c>
      <c r="P22" s="1" t="s">
        <v>937</v>
      </c>
    </row>
    <row r="23" spans="1:16" x14ac:dyDescent="0.25">
      <c r="A23" s="3">
        <v>45838</v>
      </c>
      <c r="B23" s="4">
        <v>5610</v>
      </c>
      <c r="C23" s="5">
        <v>19</v>
      </c>
      <c r="D23" s="1" t="s">
        <v>1008</v>
      </c>
      <c r="E23" s="1" t="s">
        <v>1009</v>
      </c>
      <c r="F23" s="1" t="s">
        <v>66</v>
      </c>
      <c r="G23" s="1" t="s">
        <v>1010</v>
      </c>
      <c r="H23" s="1" t="s">
        <v>967</v>
      </c>
      <c r="I23" s="1" t="s">
        <v>933</v>
      </c>
      <c r="J23" s="1" t="s">
        <v>66</v>
      </c>
      <c r="K23" s="1" t="s">
        <v>817</v>
      </c>
      <c r="L23" s="1" t="s">
        <v>1011</v>
      </c>
      <c r="M23" s="3">
        <v>45839</v>
      </c>
      <c r="N23" s="1" t="s">
        <v>821</v>
      </c>
      <c r="O23" s="1" t="s">
        <v>936</v>
      </c>
      <c r="P23" s="1">
        <v>1</v>
      </c>
    </row>
    <row r="24" spans="1:16" x14ac:dyDescent="0.25">
      <c r="A24" s="3">
        <v>45838</v>
      </c>
      <c r="B24" s="4">
        <v>8563</v>
      </c>
      <c r="C24" s="5">
        <v>175</v>
      </c>
      <c r="D24" s="1" t="s">
        <v>1012</v>
      </c>
      <c r="E24" s="1" t="s">
        <v>1013</v>
      </c>
      <c r="F24" s="1" t="s">
        <v>949</v>
      </c>
      <c r="G24" s="1" t="s">
        <v>940</v>
      </c>
      <c r="H24" s="1" t="s">
        <v>967</v>
      </c>
      <c r="I24" s="1" t="s">
        <v>933</v>
      </c>
      <c r="J24" s="1" t="s">
        <v>951</v>
      </c>
      <c r="K24" s="1" t="s">
        <v>817</v>
      </c>
      <c r="L24" s="1" t="s">
        <v>1014</v>
      </c>
      <c r="M24" s="3">
        <v>45839</v>
      </c>
      <c r="N24" s="1" t="s">
        <v>821</v>
      </c>
      <c r="O24" s="1" t="s">
        <v>936</v>
      </c>
      <c r="P24" s="1">
        <v>1</v>
      </c>
    </row>
    <row r="25" spans="1:16" x14ac:dyDescent="0.25">
      <c r="A25" s="3">
        <v>45838</v>
      </c>
      <c r="B25" s="4">
        <v>102771</v>
      </c>
      <c r="C25" s="5">
        <v>284.93</v>
      </c>
      <c r="D25" s="1" t="s">
        <v>985</v>
      </c>
      <c r="E25" s="1" t="s">
        <v>986</v>
      </c>
      <c r="F25" s="1" t="s">
        <v>966</v>
      </c>
      <c r="G25" s="1" t="s">
        <v>950</v>
      </c>
      <c r="H25" s="1" t="s">
        <v>967</v>
      </c>
      <c r="I25" s="1" t="s">
        <v>933</v>
      </c>
      <c r="J25" s="1" t="s">
        <v>951</v>
      </c>
      <c r="K25" s="1" t="s">
        <v>817</v>
      </c>
      <c r="L25" s="1" t="s">
        <v>987</v>
      </c>
      <c r="M25" s="3">
        <v>45839</v>
      </c>
      <c r="N25" s="1" t="s">
        <v>821</v>
      </c>
      <c r="O25" s="1" t="s">
        <v>936</v>
      </c>
      <c r="P25" s="1">
        <v>1</v>
      </c>
    </row>
    <row r="26" spans="1:16" x14ac:dyDescent="0.25">
      <c r="A26" s="3">
        <v>45838</v>
      </c>
      <c r="B26" s="4">
        <v>313669</v>
      </c>
      <c r="C26" s="5">
        <v>312.60000000000002</v>
      </c>
      <c r="D26" s="1" t="s">
        <v>992</v>
      </c>
      <c r="E26" s="1" t="s">
        <v>993</v>
      </c>
      <c r="F26" s="1" t="s">
        <v>955</v>
      </c>
      <c r="G26" s="1" t="s">
        <v>950</v>
      </c>
      <c r="H26" s="1" t="s">
        <v>967</v>
      </c>
      <c r="I26" s="1" t="s">
        <v>933</v>
      </c>
      <c r="J26" s="1" t="s">
        <v>951</v>
      </c>
      <c r="K26" s="1" t="s">
        <v>977</v>
      </c>
      <c r="L26" s="1" t="s">
        <v>1015</v>
      </c>
      <c r="M26" s="3">
        <v>45839</v>
      </c>
      <c r="N26" s="1" t="s">
        <v>821</v>
      </c>
      <c r="O26" s="1" t="s">
        <v>936</v>
      </c>
      <c r="P26" s="1">
        <v>1</v>
      </c>
    </row>
    <row r="27" spans="1:16" x14ac:dyDescent="0.25">
      <c r="A27" s="3">
        <v>45838</v>
      </c>
      <c r="B27" s="4">
        <v>5612</v>
      </c>
      <c r="C27" s="5">
        <v>342</v>
      </c>
      <c r="D27" s="1" t="s">
        <v>1008</v>
      </c>
      <c r="E27" s="1" t="s">
        <v>1009</v>
      </c>
      <c r="F27" s="1" t="s">
        <v>966</v>
      </c>
      <c r="G27" s="1" t="s">
        <v>950</v>
      </c>
      <c r="H27" s="1" t="s">
        <v>967</v>
      </c>
      <c r="I27" s="1" t="s">
        <v>933</v>
      </c>
      <c r="J27" s="1" t="s">
        <v>951</v>
      </c>
      <c r="K27" s="1" t="s">
        <v>817</v>
      </c>
      <c r="L27" s="1" t="s">
        <v>1016</v>
      </c>
      <c r="M27" s="3">
        <v>45839</v>
      </c>
      <c r="N27" s="1" t="s">
        <v>821</v>
      </c>
      <c r="O27" s="1" t="s">
        <v>936</v>
      </c>
      <c r="P27" s="1">
        <v>1</v>
      </c>
    </row>
    <row r="28" spans="1:16" x14ac:dyDescent="0.25">
      <c r="A28" s="3">
        <v>45838</v>
      </c>
      <c r="B28" s="4">
        <v>15281</v>
      </c>
      <c r="C28" s="5">
        <v>248.07</v>
      </c>
      <c r="D28" s="1" t="s">
        <v>969</v>
      </c>
      <c r="E28" s="1" t="s">
        <v>970</v>
      </c>
      <c r="F28" s="1" t="s">
        <v>949</v>
      </c>
      <c r="G28" s="1" t="s">
        <v>950</v>
      </c>
      <c r="H28" s="1" t="s">
        <v>967</v>
      </c>
      <c r="I28" s="1" t="s">
        <v>933</v>
      </c>
      <c r="J28" s="1" t="s">
        <v>951</v>
      </c>
      <c r="K28" s="1" t="s">
        <v>817</v>
      </c>
      <c r="L28" s="1" t="s">
        <v>1017</v>
      </c>
      <c r="M28" s="3">
        <v>45839</v>
      </c>
      <c r="N28" s="1" t="s">
        <v>821</v>
      </c>
      <c r="O28" s="1" t="s">
        <v>972</v>
      </c>
      <c r="P28" s="1">
        <v>1</v>
      </c>
    </row>
    <row r="29" spans="1:16" x14ac:dyDescent="0.25">
      <c r="A29" s="3">
        <v>45838</v>
      </c>
      <c r="B29" s="4">
        <v>1058</v>
      </c>
      <c r="C29" s="5">
        <v>48</v>
      </c>
      <c r="D29" s="1" t="s">
        <v>1018</v>
      </c>
      <c r="E29" s="1" t="s">
        <v>1019</v>
      </c>
      <c r="F29" s="1" t="s">
        <v>966</v>
      </c>
      <c r="G29" s="1" t="s">
        <v>950</v>
      </c>
      <c r="H29" s="1" t="s">
        <v>967</v>
      </c>
      <c r="I29" s="1" t="s">
        <v>933</v>
      </c>
      <c r="J29" s="1" t="s">
        <v>951</v>
      </c>
      <c r="K29" s="1" t="s">
        <v>817</v>
      </c>
      <c r="L29" s="1" t="s">
        <v>1020</v>
      </c>
      <c r="M29" s="3">
        <v>45839</v>
      </c>
      <c r="N29" s="1" t="s">
        <v>821</v>
      </c>
      <c r="O29" s="1" t="s">
        <v>936</v>
      </c>
      <c r="P29" s="1" t="s">
        <v>937</v>
      </c>
    </row>
    <row r="30" spans="1:16" x14ac:dyDescent="0.25">
      <c r="A30" s="3">
        <v>45838</v>
      </c>
      <c r="B30" s="1">
        <v>140</v>
      </c>
      <c r="C30" s="5">
        <v>117</v>
      </c>
      <c r="D30" s="1" t="s">
        <v>359</v>
      </c>
      <c r="E30" s="1" t="s">
        <v>1021</v>
      </c>
      <c r="F30" s="1" t="s">
        <v>949</v>
      </c>
      <c r="G30" s="1" t="s">
        <v>950</v>
      </c>
      <c r="H30" s="1" t="s">
        <v>967</v>
      </c>
      <c r="I30" s="1" t="s">
        <v>933</v>
      </c>
      <c r="J30" s="1" t="s">
        <v>951</v>
      </c>
      <c r="K30" s="1" t="s">
        <v>817</v>
      </c>
      <c r="L30" s="1" t="s">
        <v>1022</v>
      </c>
      <c r="M30" s="3">
        <v>45839</v>
      </c>
      <c r="N30" s="1" t="s">
        <v>821</v>
      </c>
      <c r="O30" s="1" t="s">
        <v>936</v>
      </c>
      <c r="P30" s="1" t="s">
        <v>937</v>
      </c>
    </row>
    <row r="31" spans="1:16" x14ac:dyDescent="0.25">
      <c r="A31" s="3">
        <v>45839</v>
      </c>
      <c r="B31" s="1">
        <v>188</v>
      </c>
      <c r="C31" s="2">
        <v>3940</v>
      </c>
      <c r="D31" s="1" t="s">
        <v>1023</v>
      </c>
      <c r="E31" s="1" t="s">
        <v>1024</v>
      </c>
      <c r="F31" s="1" t="s">
        <v>66</v>
      </c>
      <c r="G31" s="1" t="s">
        <v>932</v>
      </c>
      <c r="H31" s="3">
        <v>45849</v>
      </c>
      <c r="I31" s="1" t="s">
        <v>933</v>
      </c>
      <c r="J31" s="1" t="s">
        <v>66</v>
      </c>
      <c r="K31" s="1" t="s">
        <v>1025</v>
      </c>
      <c r="L31" s="1" t="s">
        <v>1026</v>
      </c>
      <c r="M31" s="3">
        <v>45840</v>
      </c>
      <c r="N31" s="1" t="s">
        <v>821</v>
      </c>
      <c r="O31" s="1" t="s">
        <v>936</v>
      </c>
      <c r="P31" s="1">
        <v>1</v>
      </c>
    </row>
    <row r="32" spans="1:16" x14ac:dyDescent="0.25">
      <c r="A32" s="3">
        <v>45839</v>
      </c>
      <c r="B32" s="4">
        <v>4964</v>
      </c>
      <c r="C32" s="2">
        <v>15400</v>
      </c>
      <c r="D32" s="1" t="s">
        <v>1027</v>
      </c>
      <c r="E32" s="1" t="s">
        <v>1028</v>
      </c>
      <c r="F32" s="1" t="s">
        <v>745</v>
      </c>
      <c r="G32" s="1" t="s">
        <v>1029</v>
      </c>
      <c r="H32" s="3">
        <v>45854</v>
      </c>
      <c r="I32" s="1" t="s">
        <v>933</v>
      </c>
      <c r="J32" s="1" t="s">
        <v>66</v>
      </c>
      <c r="K32" s="1" t="s">
        <v>1025</v>
      </c>
      <c r="L32" s="1" t="s">
        <v>1030</v>
      </c>
      <c r="M32" s="3">
        <v>45840</v>
      </c>
      <c r="N32" s="1" t="s">
        <v>50</v>
      </c>
      <c r="O32" s="1" t="s">
        <v>1031</v>
      </c>
      <c r="P32" s="1">
        <v>1</v>
      </c>
    </row>
    <row r="33" spans="1:16" x14ac:dyDescent="0.25">
      <c r="A33" s="3">
        <v>45839</v>
      </c>
      <c r="B33" s="4">
        <v>165629</v>
      </c>
      <c r="C33" s="5">
        <v>59.9</v>
      </c>
      <c r="D33" s="1" t="s">
        <v>1032</v>
      </c>
      <c r="E33" s="1" t="s">
        <v>1033</v>
      </c>
      <c r="F33" s="1" t="s">
        <v>949</v>
      </c>
      <c r="G33" s="1" t="s">
        <v>950</v>
      </c>
      <c r="H33" s="1" t="s">
        <v>967</v>
      </c>
      <c r="I33" s="1" t="s">
        <v>933</v>
      </c>
      <c r="J33" s="1" t="s">
        <v>951</v>
      </c>
      <c r="K33" s="1" t="s">
        <v>817</v>
      </c>
      <c r="L33" s="1" t="s">
        <v>987</v>
      </c>
      <c r="M33" s="3">
        <v>45839</v>
      </c>
      <c r="N33" s="1" t="s">
        <v>821</v>
      </c>
      <c r="O33" s="1" t="s">
        <v>936</v>
      </c>
      <c r="P33" s="1">
        <v>1</v>
      </c>
    </row>
    <row r="34" spans="1:16" x14ac:dyDescent="0.25">
      <c r="A34" s="3">
        <v>45839</v>
      </c>
      <c r="B34" s="1">
        <v>121</v>
      </c>
      <c r="C34" s="5">
        <v>3000</v>
      </c>
      <c r="D34" s="1" t="s">
        <v>1034</v>
      </c>
      <c r="E34" s="1" t="s">
        <v>1035</v>
      </c>
      <c r="F34" s="1" t="s">
        <v>837</v>
      </c>
      <c r="G34" s="1" t="s">
        <v>1029</v>
      </c>
      <c r="H34" s="3">
        <v>45883</v>
      </c>
      <c r="I34" s="1" t="s">
        <v>933</v>
      </c>
      <c r="J34" s="1" t="s">
        <v>66</v>
      </c>
      <c r="K34" s="1" t="s">
        <v>340</v>
      </c>
      <c r="L34" s="1" t="s">
        <v>1036</v>
      </c>
      <c r="M34" s="3">
        <v>45862</v>
      </c>
      <c r="N34" s="1" t="s">
        <v>50</v>
      </c>
      <c r="O34" s="1" t="s">
        <v>932</v>
      </c>
      <c r="P34" s="1">
        <v>1</v>
      </c>
    </row>
    <row r="35" spans="1:16" x14ac:dyDescent="0.25">
      <c r="A35" s="3">
        <v>45839</v>
      </c>
      <c r="B35" s="1">
        <v>120</v>
      </c>
      <c r="C35" s="5">
        <v>3000</v>
      </c>
      <c r="D35" s="1" t="s">
        <v>1034</v>
      </c>
      <c r="E35" s="1" t="s">
        <v>1035</v>
      </c>
      <c r="F35" s="1" t="s">
        <v>71</v>
      </c>
      <c r="G35" s="1" t="s">
        <v>1029</v>
      </c>
      <c r="H35" s="3">
        <v>45883</v>
      </c>
      <c r="I35" s="1" t="s">
        <v>933</v>
      </c>
      <c r="J35" s="1" t="s">
        <v>66</v>
      </c>
      <c r="K35" s="1" t="s">
        <v>340</v>
      </c>
      <c r="L35" s="1" t="s">
        <v>1036</v>
      </c>
      <c r="M35" s="3">
        <v>45862</v>
      </c>
      <c r="N35" s="1" t="s">
        <v>75</v>
      </c>
      <c r="O35" s="1" t="s">
        <v>932</v>
      </c>
      <c r="P35" s="1">
        <v>1</v>
      </c>
    </row>
    <row r="36" spans="1:16" x14ac:dyDescent="0.25">
      <c r="A36" s="3">
        <v>45839</v>
      </c>
      <c r="B36" s="1">
        <v>119</v>
      </c>
      <c r="C36" s="5">
        <v>3000</v>
      </c>
      <c r="D36" s="1" t="s">
        <v>1034</v>
      </c>
      <c r="E36" s="1" t="s">
        <v>1035</v>
      </c>
      <c r="F36" s="1" t="s">
        <v>650</v>
      </c>
      <c r="G36" s="1" t="s">
        <v>1029</v>
      </c>
      <c r="H36" s="3">
        <v>45883</v>
      </c>
      <c r="I36" s="1" t="s">
        <v>933</v>
      </c>
      <c r="J36" s="1" t="s">
        <v>66</v>
      </c>
      <c r="K36" s="1" t="s">
        <v>340</v>
      </c>
      <c r="L36" s="1" t="s">
        <v>1036</v>
      </c>
      <c r="M36" s="3">
        <v>45862</v>
      </c>
      <c r="N36" s="1" t="s">
        <v>57</v>
      </c>
      <c r="O36" s="1" t="s">
        <v>932</v>
      </c>
      <c r="P36" s="1">
        <v>1</v>
      </c>
    </row>
    <row r="37" spans="1:16" x14ac:dyDescent="0.25">
      <c r="A37" s="3">
        <v>45839</v>
      </c>
      <c r="B37" s="1">
        <v>118</v>
      </c>
      <c r="C37" s="5">
        <v>5000</v>
      </c>
      <c r="D37" s="1" t="s">
        <v>1034</v>
      </c>
      <c r="E37" s="1" t="s">
        <v>1035</v>
      </c>
      <c r="F37" s="1" t="s">
        <v>697</v>
      </c>
      <c r="G37" s="1" t="s">
        <v>1029</v>
      </c>
      <c r="H37" s="3">
        <v>45883</v>
      </c>
      <c r="I37" s="1" t="s">
        <v>933</v>
      </c>
      <c r="J37" s="1" t="s">
        <v>66</v>
      </c>
      <c r="K37" s="1" t="s">
        <v>340</v>
      </c>
      <c r="L37" s="1" t="s">
        <v>1036</v>
      </c>
      <c r="M37" s="3">
        <v>45862</v>
      </c>
      <c r="N37" s="1" t="s">
        <v>383</v>
      </c>
      <c r="O37" s="1" t="s">
        <v>932</v>
      </c>
      <c r="P37" s="1">
        <v>1</v>
      </c>
    </row>
    <row r="38" spans="1:16" x14ac:dyDescent="0.25">
      <c r="A38" s="3">
        <v>45839</v>
      </c>
      <c r="B38" s="4">
        <v>100913455</v>
      </c>
      <c r="C38" s="5">
        <v>1842.04</v>
      </c>
      <c r="D38" s="1" t="s">
        <v>24</v>
      </c>
      <c r="E38" s="1" t="s">
        <v>1037</v>
      </c>
      <c r="F38" s="1" t="s">
        <v>83</v>
      </c>
      <c r="G38" s="1"/>
      <c r="H38" s="1"/>
      <c r="I38" s="1"/>
      <c r="J38" s="1" t="s">
        <v>66</v>
      </c>
      <c r="K38" s="1"/>
      <c r="L38" s="1">
        <v>300</v>
      </c>
      <c r="M38" s="3">
        <v>45862</v>
      </c>
      <c r="N38" s="1" t="s">
        <v>57</v>
      </c>
      <c r="O38" s="1" t="s">
        <v>998</v>
      </c>
      <c r="P38" s="1" t="s">
        <v>937</v>
      </c>
    </row>
    <row r="39" spans="1:16" x14ac:dyDescent="0.25">
      <c r="A39" s="3">
        <v>45840</v>
      </c>
      <c r="B39" s="1">
        <v>41</v>
      </c>
      <c r="C39" s="5">
        <v>150</v>
      </c>
      <c r="D39" s="1" t="s">
        <v>1038</v>
      </c>
      <c r="E39" s="1" t="s">
        <v>1039</v>
      </c>
      <c r="F39" s="1" t="s">
        <v>66</v>
      </c>
      <c r="G39" s="1" t="s">
        <v>940</v>
      </c>
      <c r="H39" s="1" t="s">
        <v>967</v>
      </c>
      <c r="I39" s="1" t="s">
        <v>933</v>
      </c>
      <c r="J39" s="1" t="s">
        <v>66</v>
      </c>
      <c r="K39" s="1" t="s">
        <v>817</v>
      </c>
      <c r="L39" s="1" t="s">
        <v>1040</v>
      </c>
      <c r="M39" s="3">
        <v>45839</v>
      </c>
      <c r="N39" s="1" t="s">
        <v>821</v>
      </c>
      <c r="O39" s="1" t="s">
        <v>936</v>
      </c>
      <c r="P39" s="1">
        <v>1</v>
      </c>
    </row>
    <row r="40" spans="1:16" x14ac:dyDescent="0.25">
      <c r="A40" s="3">
        <v>45840</v>
      </c>
      <c r="B40" s="4">
        <v>11847</v>
      </c>
      <c r="C40" s="5">
        <v>145</v>
      </c>
      <c r="D40" s="1" t="s">
        <v>1041</v>
      </c>
      <c r="E40" s="1" t="s">
        <v>1042</v>
      </c>
      <c r="F40" s="1" t="s">
        <v>955</v>
      </c>
      <c r="G40" s="1" t="s">
        <v>950</v>
      </c>
      <c r="H40" s="1" t="s">
        <v>967</v>
      </c>
      <c r="I40" s="1" t="s">
        <v>933</v>
      </c>
      <c r="J40" s="1" t="s">
        <v>951</v>
      </c>
      <c r="K40" s="1" t="s">
        <v>1025</v>
      </c>
      <c r="L40" s="1" t="s">
        <v>1043</v>
      </c>
      <c r="M40" s="3">
        <v>45839</v>
      </c>
      <c r="N40" s="1" t="s">
        <v>821</v>
      </c>
      <c r="O40" s="1" t="s">
        <v>936</v>
      </c>
      <c r="P40" s="1">
        <v>1</v>
      </c>
    </row>
    <row r="41" spans="1:16" x14ac:dyDescent="0.25">
      <c r="A41" s="3">
        <v>45840</v>
      </c>
      <c r="B41" s="4">
        <v>507899</v>
      </c>
      <c r="C41" s="5">
        <v>48.91</v>
      </c>
      <c r="D41" s="1" t="s">
        <v>1044</v>
      </c>
      <c r="E41" s="1" t="s">
        <v>1045</v>
      </c>
      <c r="F41" s="1" t="s">
        <v>949</v>
      </c>
      <c r="G41" s="1" t="s">
        <v>950</v>
      </c>
      <c r="H41" s="1" t="s">
        <v>967</v>
      </c>
      <c r="I41" s="1" t="s">
        <v>933</v>
      </c>
      <c r="J41" s="1" t="s">
        <v>951</v>
      </c>
      <c r="K41" s="1" t="s">
        <v>817</v>
      </c>
      <c r="L41" s="1" t="s">
        <v>987</v>
      </c>
      <c r="M41" s="3">
        <v>45839</v>
      </c>
      <c r="N41" s="1" t="s">
        <v>821</v>
      </c>
      <c r="O41" s="1" t="s">
        <v>936</v>
      </c>
      <c r="P41" s="1" t="s">
        <v>937</v>
      </c>
    </row>
    <row r="42" spans="1:16" x14ac:dyDescent="0.25">
      <c r="A42" s="3">
        <v>45841</v>
      </c>
      <c r="B42" s="4">
        <v>1236</v>
      </c>
      <c r="C42" s="1">
        <v>570</v>
      </c>
      <c r="D42" s="1" t="s">
        <v>1046</v>
      </c>
      <c r="E42" s="1" t="s">
        <v>1047</v>
      </c>
      <c r="F42" s="1" t="s">
        <v>66</v>
      </c>
      <c r="G42" s="1" t="s">
        <v>990</v>
      </c>
      <c r="H42" s="3">
        <v>45847</v>
      </c>
      <c r="I42" s="1" t="s">
        <v>933</v>
      </c>
      <c r="J42" s="1" t="s">
        <v>66</v>
      </c>
      <c r="K42" s="1" t="s">
        <v>340</v>
      </c>
      <c r="L42" s="1" t="s">
        <v>1048</v>
      </c>
      <c r="M42" s="3">
        <v>45843</v>
      </c>
      <c r="N42" s="1" t="s">
        <v>821</v>
      </c>
      <c r="O42" s="1" t="s">
        <v>936</v>
      </c>
      <c r="P42" s="1">
        <v>1</v>
      </c>
    </row>
    <row r="43" spans="1:16" x14ac:dyDescent="0.25">
      <c r="A43" s="3">
        <v>45841</v>
      </c>
      <c r="B43" s="4">
        <v>1237</v>
      </c>
      <c r="C43" s="1">
        <v>610</v>
      </c>
      <c r="D43" s="1" t="s">
        <v>1046</v>
      </c>
      <c r="E43" s="1" t="s">
        <v>1047</v>
      </c>
      <c r="F43" s="1" t="s">
        <v>833</v>
      </c>
      <c r="G43" s="1" t="s">
        <v>990</v>
      </c>
      <c r="H43" s="3">
        <v>45847</v>
      </c>
      <c r="I43" s="1" t="s">
        <v>933</v>
      </c>
      <c r="J43" s="1" t="s">
        <v>66</v>
      </c>
      <c r="K43" s="1" t="s">
        <v>340</v>
      </c>
      <c r="L43" s="1" t="s">
        <v>1049</v>
      </c>
      <c r="M43" s="3">
        <v>45843</v>
      </c>
      <c r="N43" s="1" t="s">
        <v>836</v>
      </c>
      <c r="O43" s="1" t="s">
        <v>936</v>
      </c>
      <c r="P43" s="1">
        <v>1</v>
      </c>
    </row>
    <row r="44" spans="1:16" x14ac:dyDescent="0.25">
      <c r="A44" s="3">
        <v>45841</v>
      </c>
      <c r="B44" s="4">
        <v>1238</v>
      </c>
      <c r="C44" s="1">
        <v>280</v>
      </c>
      <c r="D44" s="1" t="s">
        <v>1046</v>
      </c>
      <c r="E44" s="1" t="s">
        <v>1047</v>
      </c>
      <c r="F44" s="1" t="s">
        <v>66</v>
      </c>
      <c r="G44" s="1" t="s">
        <v>990</v>
      </c>
      <c r="H44" s="3">
        <v>45847</v>
      </c>
      <c r="I44" s="1" t="s">
        <v>933</v>
      </c>
      <c r="J44" s="1" t="s">
        <v>66</v>
      </c>
      <c r="K44" s="1" t="s">
        <v>340</v>
      </c>
      <c r="L44" s="1" t="s">
        <v>1050</v>
      </c>
      <c r="M44" s="3">
        <v>45843</v>
      </c>
      <c r="N44" s="1" t="s">
        <v>821</v>
      </c>
      <c r="O44" s="1" t="s">
        <v>936</v>
      </c>
      <c r="P44" s="1">
        <v>1</v>
      </c>
    </row>
    <row r="45" spans="1:16" x14ac:dyDescent="0.25">
      <c r="A45" s="3">
        <v>45841</v>
      </c>
      <c r="B45" s="4">
        <v>1239</v>
      </c>
      <c r="C45" s="1">
        <v>620</v>
      </c>
      <c r="D45" s="1" t="s">
        <v>1046</v>
      </c>
      <c r="E45" s="1" t="s">
        <v>1047</v>
      </c>
      <c r="F45" s="1" t="s">
        <v>748</v>
      </c>
      <c r="G45" s="1" t="s">
        <v>990</v>
      </c>
      <c r="H45" s="3">
        <v>45847</v>
      </c>
      <c r="I45" s="1" t="s">
        <v>933</v>
      </c>
      <c r="J45" s="1" t="s">
        <v>66</v>
      </c>
      <c r="K45" s="1" t="s">
        <v>340</v>
      </c>
      <c r="L45" s="1" t="s">
        <v>1049</v>
      </c>
      <c r="M45" s="3">
        <v>45843</v>
      </c>
      <c r="N45" s="1" t="s">
        <v>75</v>
      </c>
      <c r="O45" s="1" t="s">
        <v>936</v>
      </c>
      <c r="P45" s="1">
        <v>1</v>
      </c>
    </row>
    <row r="46" spans="1:16" x14ac:dyDescent="0.25">
      <c r="A46" s="3">
        <v>45841</v>
      </c>
      <c r="B46" s="4">
        <v>1240</v>
      </c>
      <c r="C46" s="1">
        <v>900</v>
      </c>
      <c r="D46" s="1" t="s">
        <v>1046</v>
      </c>
      <c r="E46" s="1" t="s">
        <v>1047</v>
      </c>
      <c r="F46" s="1" t="s">
        <v>710</v>
      </c>
      <c r="G46" s="1" t="s">
        <v>990</v>
      </c>
      <c r="H46" s="3">
        <v>45847</v>
      </c>
      <c r="I46" s="1" t="s">
        <v>933</v>
      </c>
      <c r="J46" s="1" t="s">
        <v>66</v>
      </c>
      <c r="K46" s="1" t="s">
        <v>340</v>
      </c>
      <c r="L46" s="1" t="s">
        <v>1049</v>
      </c>
      <c r="M46" s="3">
        <v>45843</v>
      </c>
      <c r="N46" s="1" t="s">
        <v>712</v>
      </c>
      <c r="O46" s="1" t="s">
        <v>936</v>
      </c>
      <c r="P46" s="1">
        <v>1</v>
      </c>
    </row>
    <row r="47" spans="1:16" x14ac:dyDescent="0.25">
      <c r="A47" s="3">
        <v>45841</v>
      </c>
      <c r="B47" s="4">
        <v>10982</v>
      </c>
      <c r="C47" s="5">
        <v>90</v>
      </c>
      <c r="D47" s="1" t="s">
        <v>1051</v>
      </c>
      <c r="E47" s="1" t="s">
        <v>1052</v>
      </c>
      <c r="F47" s="1" t="s">
        <v>66</v>
      </c>
      <c r="G47" s="1" t="s">
        <v>950</v>
      </c>
      <c r="H47" s="1" t="s">
        <v>967</v>
      </c>
      <c r="I47" s="1" t="s">
        <v>933</v>
      </c>
      <c r="J47" s="1" t="s">
        <v>66</v>
      </c>
      <c r="K47" s="1" t="s">
        <v>817</v>
      </c>
      <c r="L47" s="1" t="s">
        <v>987</v>
      </c>
      <c r="M47" s="3">
        <v>45835</v>
      </c>
      <c r="N47" s="1" t="s">
        <v>821</v>
      </c>
      <c r="O47" s="1" t="s">
        <v>936</v>
      </c>
      <c r="P47" s="1">
        <v>1</v>
      </c>
    </row>
    <row r="48" spans="1:16" x14ac:dyDescent="0.25">
      <c r="A48" s="3">
        <v>45841</v>
      </c>
      <c r="B48" s="4">
        <v>640745</v>
      </c>
      <c r="C48" s="5">
        <v>11738.41</v>
      </c>
      <c r="D48" s="1" t="s">
        <v>973</v>
      </c>
      <c r="E48" s="1" t="s">
        <v>1053</v>
      </c>
      <c r="F48" s="1" t="s">
        <v>83</v>
      </c>
      <c r="G48" s="1" t="s">
        <v>998</v>
      </c>
      <c r="H48" s="3">
        <v>45841</v>
      </c>
      <c r="I48" s="1" t="s">
        <v>933</v>
      </c>
      <c r="J48" s="1" t="s">
        <v>66</v>
      </c>
      <c r="K48" s="1" t="s">
        <v>996</v>
      </c>
      <c r="L48" s="4">
        <v>2000</v>
      </c>
      <c r="M48" s="3">
        <v>45862</v>
      </c>
      <c r="N48" s="1" t="s">
        <v>57</v>
      </c>
      <c r="O48" s="1" t="s">
        <v>998</v>
      </c>
      <c r="P48" s="1" t="s">
        <v>937</v>
      </c>
    </row>
    <row r="49" spans="1:16" x14ac:dyDescent="0.25">
      <c r="A49" s="3">
        <v>45842</v>
      </c>
      <c r="B49" s="4">
        <v>1241</v>
      </c>
      <c r="C49" s="1">
        <v>300</v>
      </c>
      <c r="D49" s="1" t="s">
        <v>1046</v>
      </c>
      <c r="E49" s="1" t="s">
        <v>1047</v>
      </c>
      <c r="F49" s="1" t="s">
        <v>759</v>
      </c>
      <c r="G49" s="1" t="s">
        <v>990</v>
      </c>
      <c r="H49" s="3">
        <v>45847</v>
      </c>
      <c r="I49" s="1" t="s">
        <v>933</v>
      </c>
      <c r="J49" s="1" t="s">
        <v>66</v>
      </c>
      <c r="K49" s="1" t="s">
        <v>340</v>
      </c>
      <c r="L49" s="1" t="s">
        <v>1049</v>
      </c>
      <c r="M49" s="3">
        <v>45843</v>
      </c>
      <c r="N49" s="1" t="s">
        <v>75</v>
      </c>
      <c r="O49" s="1" t="s">
        <v>936</v>
      </c>
      <c r="P49" s="1">
        <v>1</v>
      </c>
    </row>
    <row r="50" spans="1:16" x14ac:dyDescent="0.25">
      <c r="A50" s="3">
        <v>45842</v>
      </c>
      <c r="B50" s="4">
        <v>1242</v>
      </c>
      <c r="C50" s="1">
        <v>280</v>
      </c>
      <c r="D50" s="1" t="s">
        <v>1046</v>
      </c>
      <c r="E50" s="1" t="s">
        <v>1047</v>
      </c>
      <c r="F50" s="1" t="s">
        <v>715</v>
      </c>
      <c r="G50" s="1" t="s">
        <v>990</v>
      </c>
      <c r="H50" s="3">
        <v>45847</v>
      </c>
      <c r="I50" s="1" t="s">
        <v>933</v>
      </c>
      <c r="J50" s="1" t="s">
        <v>66</v>
      </c>
      <c r="K50" s="1" t="s">
        <v>340</v>
      </c>
      <c r="L50" s="1" t="s">
        <v>1049</v>
      </c>
      <c r="M50" s="3">
        <v>45843</v>
      </c>
      <c r="N50" s="1" t="s">
        <v>712</v>
      </c>
      <c r="O50" s="1" t="s">
        <v>936</v>
      </c>
      <c r="P50" s="1">
        <v>1</v>
      </c>
    </row>
    <row r="51" spans="1:16" x14ac:dyDescent="0.25">
      <c r="A51" s="3">
        <v>45842</v>
      </c>
      <c r="B51" s="4">
        <v>1243</v>
      </c>
      <c r="C51" s="2">
        <v>1130</v>
      </c>
      <c r="D51" s="1" t="s">
        <v>1046</v>
      </c>
      <c r="E51" s="1" t="s">
        <v>1047</v>
      </c>
      <c r="F51" s="1" t="s">
        <v>719</v>
      </c>
      <c r="G51" s="1" t="s">
        <v>990</v>
      </c>
      <c r="H51" s="3">
        <v>45847</v>
      </c>
      <c r="I51" s="1" t="s">
        <v>933</v>
      </c>
      <c r="J51" s="1" t="s">
        <v>66</v>
      </c>
      <c r="K51" s="1" t="s">
        <v>340</v>
      </c>
      <c r="L51" s="1" t="s">
        <v>1049</v>
      </c>
      <c r="M51" s="3">
        <v>45843</v>
      </c>
      <c r="N51" s="1" t="s">
        <v>712</v>
      </c>
      <c r="O51" s="1" t="s">
        <v>936</v>
      </c>
      <c r="P51" s="1">
        <v>1</v>
      </c>
    </row>
    <row r="52" spans="1:16" x14ac:dyDescent="0.25">
      <c r="A52" s="3">
        <v>45842</v>
      </c>
      <c r="B52" s="4">
        <v>1244</v>
      </c>
      <c r="C52" s="5">
        <v>470</v>
      </c>
      <c r="D52" s="1" t="s">
        <v>1046</v>
      </c>
      <c r="E52" s="1" t="s">
        <v>1047</v>
      </c>
      <c r="F52" s="1" t="s">
        <v>867</v>
      </c>
      <c r="G52" s="1" t="s">
        <v>990</v>
      </c>
      <c r="H52" s="3">
        <v>45847</v>
      </c>
      <c r="I52" s="1" t="s">
        <v>933</v>
      </c>
      <c r="J52" s="1" t="s">
        <v>66</v>
      </c>
      <c r="K52" s="1" t="s">
        <v>340</v>
      </c>
      <c r="L52" s="1" t="s">
        <v>1049</v>
      </c>
      <c r="M52" s="3">
        <v>45843</v>
      </c>
      <c r="N52" s="1" t="s">
        <v>57</v>
      </c>
      <c r="O52" s="1" t="s">
        <v>936</v>
      </c>
      <c r="P52" s="1">
        <v>1</v>
      </c>
    </row>
    <row r="53" spans="1:16" x14ac:dyDescent="0.25">
      <c r="A53" s="3">
        <v>45842</v>
      </c>
      <c r="B53" s="4">
        <v>1245</v>
      </c>
      <c r="C53" s="1">
        <v>510</v>
      </c>
      <c r="D53" s="1" t="s">
        <v>1046</v>
      </c>
      <c r="E53" s="1" t="s">
        <v>1047</v>
      </c>
      <c r="F53" s="1" t="s">
        <v>66</v>
      </c>
      <c r="G53" s="1" t="s">
        <v>990</v>
      </c>
      <c r="H53" s="3">
        <v>45847</v>
      </c>
      <c r="I53" s="1" t="s">
        <v>933</v>
      </c>
      <c r="J53" s="1" t="s">
        <v>66</v>
      </c>
      <c r="K53" s="1" t="s">
        <v>340</v>
      </c>
      <c r="L53" s="1" t="s">
        <v>1054</v>
      </c>
      <c r="M53" s="3">
        <v>45843</v>
      </c>
      <c r="N53" s="1" t="s">
        <v>821</v>
      </c>
      <c r="O53" s="1" t="s">
        <v>936</v>
      </c>
      <c r="P53" s="1">
        <v>1</v>
      </c>
    </row>
    <row r="54" spans="1:16" x14ac:dyDescent="0.25">
      <c r="A54" s="3">
        <v>45842</v>
      </c>
      <c r="B54" s="1">
        <v>705</v>
      </c>
      <c r="C54" s="2">
        <v>11265</v>
      </c>
      <c r="D54" s="1" t="s">
        <v>1055</v>
      </c>
      <c r="E54" s="1" t="s">
        <v>1056</v>
      </c>
      <c r="F54" s="1" t="s">
        <v>759</v>
      </c>
      <c r="G54" s="1" t="s">
        <v>940</v>
      </c>
      <c r="H54" s="3">
        <v>45863</v>
      </c>
      <c r="I54" s="1" t="s">
        <v>933</v>
      </c>
      <c r="J54" s="1" t="s">
        <v>66</v>
      </c>
      <c r="K54" s="1" t="s">
        <v>66</v>
      </c>
      <c r="L54" s="1" t="s">
        <v>1057</v>
      </c>
      <c r="M54" s="3">
        <v>45845</v>
      </c>
      <c r="N54" s="1" t="s">
        <v>75</v>
      </c>
      <c r="O54" s="1" t="s">
        <v>936</v>
      </c>
      <c r="P54" s="1">
        <v>1</v>
      </c>
    </row>
    <row r="55" spans="1:16" x14ac:dyDescent="0.25">
      <c r="A55" s="3">
        <v>45842</v>
      </c>
      <c r="B55" s="1">
        <v>704</v>
      </c>
      <c r="C55" s="2">
        <v>1338</v>
      </c>
      <c r="D55" s="1" t="s">
        <v>1055</v>
      </c>
      <c r="E55" s="1" t="s">
        <v>1056</v>
      </c>
      <c r="F55" s="1" t="s">
        <v>66</v>
      </c>
      <c r="G55" s="1" t="s">
        <v>1058</v>
      </c>
      <c r="H55" s="3">
        <v>45863</v>
      </c>
      <c r="I55" s="1" t="s">
        <v>933</v>
      </c>
      <c r="J55" s="1" t="s">
        <v>66</v>
      </c>
      <c r="K55" s="1" t="s">
        <v>66</v>
      </c>
      <c r="L55" s="1" t="s">
        <v>1059</v>
      </c>
      <c r="M55" s="3">
        <v>45845</v>
      </c>
      <c r="N55" s="1" t="s">
        <v>821</v>
      </c>
      <c r="O55" s="1" t="s">
        <v>936</v>
      </c>
      <c r="P55" s="1">
        <v>1</v>
      </c>
    </row>
    <row r="56" spans="1:16" x14ac:dyDescent="0.25">
      <c r="A56" s="3">
        <v>45842</v>
      </c>
      <c r="B56" s="1">
        <v>50</v>
      </c>
      <c r="C56" s="2">
        <v>2380</v>
      </c>
      <c r="D56" s="1" t="s">
        <v>1060</v>
      </c>
      <c r="E56" s="1" t="s">
        <v>1061</v>
      </c>
      <c r="F56" s="1" t="s">
        <v>639</v>
      </c>
      <c r="G56" s="1" t="s">
        <v>940</v>
      </c>
      <c r="H56" s="3">
        <v>45863</v>
      </c>
      <c r="I56" s="1" t="s">
        <v>933</v>
      </c>
      <c r="J56" s="1" t="s">
        <v>66</v>
      </c>
      <c r="K56" s="1" t="s">
        <v>977</v>
      </c>
      <c r="L56" s="1" t="s">
        <v>1062</v>
      </c>
      <c r="M56" s="3">
        <v>45853</v>
      </c>
      <c r="N56" s="1" t="s">
        <v>98</v>
      </c>
      <c r="O56" s="1" t="s">
        <v>936</v>
      </c>
      <c r="P56" s="1">
        <v>1</v>
      </c>
    </row>
    <row r="57" spans="1:16" x14ac:dyDescent="0.25">
      <c r="A57" s="3">
        <v>45842</v>
      </c>
      <c r="B57" s="4">
        <v>93662</v>
      </c>
      <c r="C57" s="5">
        <v>46.64</v>
      </c>
      <c r="D57" s="1" t="s">
        <v>985</v>
      </c>
      <c r="E57" s="1" t="s">
        <v>986</v>
      </c>
      <c r="F57" s="1" t="s">
        <v>966</v>
      </c>
      <c r="G57" s="1" t="s">
        <v>950</v>
      </c>
      <c r="H57" s="1" t="s">
        <v>967</v>
      </c>
      <c r="I57" s="1" t="s">
        <v>933</v>
      </c>
      <c r="J57" s="1" t="s">
        <v>951</v>
      </c>
      <c r="K57" s="1" t="s">
        <v>817</v>
      </c>
      <c r="L57" s="1" t="s">
        <v>1063</v>
      </c>
      <c r="M57" s="3">
        <v>45862</v>
      </c>
      <c r="N57" s="1" t="s">
        <v>821</v>
      </c>
      <c r="O57" s="1" t="s">
        <v>936</v>
      </c>
      <c r="P57" s="1">
        <v>1</v>
      </c>
    </row>
    <row r="58" spans="1:16" x14ac:dyDescent="0.25">
      <c r="A58" s="3">
        <v>45842</v>
      </c>
      <c r="B58" s="1">
        <v>74</v>
      </c>
      <c r="C58" s="5">
        <v>11740.41</v>
      </c>
      <c r="D58" s="1" t="s">
        <v>973</v>
      </c>
      <c r="E58" s="1" t="s">
        <v>1053</v>
      </c>
      <c r="F58" s="1" t="s">
        <v>83</v>
      </c>
      <c r="G58" s="1" t="s">
        <v>998</v>
      </c>
      <c r="H58" s="3">
        <v>45842</v>
      </c>
      <c r="I58" s="1" t="s">
        <v>933</v>
      </c>
      <c r="J58" s="1" t="s">
        <v>66</v>
      </c>
      <c r="K58" s="1" t="s">
        <v>996</v>
      </c>
      <c r="L58" s="1">
        <v>2000</v>
      </c>
      <c r="M58" s="3">
        <v>45862</v>
      </c>
      <c r="N58" s="1" t="s">
        <v>57</v>
      </c>
      <c r="O58" s="1" t="s">
        <v>998</v>
      </c>
      <c r="P58" s="1" t="s">
        <v>937</v>
      </c>
    </row>
    <row r="59" spans="1:16" x14ac:dyDescent="0.25">
      <c r="A59" s="3">
        <v>45842</v>
      </c>
      <c r="B59" s="4">
        <v>11878</v>
      </c>
      <c r="C59" s="5">
        <v>287</v>
      </c>
      <c r="D59" s="1" t="s">
        <v>1064</v>
      </c>
      <c r="E59" s="1" t="s">
        <v>1042</v>
      </c>
      <c r="F59" s="1" t="s">
        <v>639</v>
      </c>
      <c r="G59" s="1" t="s">
        <v>940</v>
      </c>
      <c r="H59" s="1" t="s">
        <v>967</v>
      </c>
      <c r="I59" s="1" t="s">
        <v>933</v>
      </c>
      <c r="J59" s="1" t="s">
        <v>66</v>
      </c>
      <c r="K59" s="1" t="s">
        <v>817</v>
      </c>
      <c r="L59" s="1" t="s">
        <v>1065</v>
      </c>
      <c r="M59" s="3">
        <v>45862</v>
      </c>
      <c r="N59" s="1" t="s">
        <v>98</v>
      </c>
      <c r="O59" s="1" t="s">
        <v>936</v>
      </c>
      <c r="P59" s="1">
        <v>1</v>
      </c>
    </row>
    <row r="60" spans="1:16" x14ac:dyDescent="0.25">
      <c r="A60" s="3">
        <v>45843</v>
      </c>
      <c r="B60" s="4">
        <v>11897</v>
      </c>
      <c r="C60" s="5">
        <v>70</v>
      </c>
      <c r="D60" s="1" t="s">
        <v>1064</v>
      </c>
      <c r="E60" s="1" t="s">
        <v>1042</v>
      </c>
      <c r="F60" s="1" t="s">
        <v>867</v>
      </c>
      <c r="G60" s="1" t="s">
        <v>950</v>
      </c>
      <c r="H60" s="1" t="s">
        <v>967</v>
      </c>
      <c r="I60" s="1" t="s">
        <v>933</v>
      </c>
      <c r="J60" s="1" t="s">
        <v>66</v>
      </c>
      <c r="K60" s="1" t="s">
        <v>817</v>
      </c>
      <c r="L60" s="1" t="s">
        <v>1066</v>
      </c>
      <c r="M60" s="3">
        <v>45862</v>
      </c>
      <c r="N60" s="1" t="s">
        <v>57</v>
      </c>
      <c r="O60" s="1" t="s">
        <v>936</v>
      </c>
      <c r="P60" s="1">
        <v>1</v>
      </c>
    </row>
    <row r="61" spans="1:16" x14ac:dyDescent="0.25">
      <c r="A61" s="3">
        <v>45843</v>
      </c>
      <c r="B61" s="1">
        <v>42</v>
      </c>
      <c r="C61" s="5">
        <v>28</v>
      </c>
      <c r="D61" s="1" t="s">
        <v>1038</v>
      </c>
      <c r="E61" s="1" t="s">
        <v>1039</v>
      </c>
      <c r="F61" s="1" t="s">
        <v>66</v>
      </c>
      <c r="G61" s="1" t="s">
        <v>940</v>
      </c>
      <c r="H61" s="1" t="s">
        <v>967</v>
      </c>
      <c r="I61" s="1" t="s">
        <v>933</v>
      </c>
      <c r="J61" s="1" t="s">
        <v>66</v>
      </c>
      <c r="K61" s="1" t="s">
        <v>817</v>
      </c>
      <c r="L61" s="1" t="s">
        <v>1067</v>
      </c>
      <c r="M61" s="3">
        <v>45862</v>
      </c>
      <c r="N61" s="1" t="s">
        <v>821</v>
      </c>
      <c r="O61" s="1" t="s">
        <v>937</v>
      </c>
      <c r="P61" s="1">
        <v>1</v>
      </c>
    </row>
    <row r="62" spans="1:16" x14ac:dyDescent="0.25">
      <c r="A62" s="3">
        <v>45843</v>
      </c>
      <c r="B62" s="4">
        <v>641902</v>
      </c>
      <c r="C62" s="5">
        <v>89.7</v>
      </c>
      <c r="D62" s="1" t="s">
        <v>973</v>
      </c>
      <c r="E62" s="1" t="s">
        <v>1068</v>
      </c>
      <c r="F62" s="1" t="s">
        <v>715</v>
      </c>
      <c r="G62" s="1" t="s">
        <v>950</v>
      </c>
      <c r="H62" s="1" t="s">
        <v>967</v>
      </c>
      <c r="I62" s="1" t="s">
        <v>933</v>
      </c>
      <c r="J62" s="1" t="s">
        <v>66</v>
      </c>
      <c r="K62" s="1" t="s">
        <v>996</v>
      </c>
      <c r="L62" s="1" t="s">
        <v>1069</v>
      </c>
      <c r="M62" s="3">
        <v>45862</v>
      </c>
      <c r="N62" s="1" t="s">
        <v>712</v>
      </c>
      <c r="O62" s="1" t="s">
        <v>1070</v>
      </c>
      <c r="P62" s="1">
        <v>1</v>
      </c>
    </row>
    <row r="63" spans="1:16" x14ac:dyDescent="0.25">
      <c r="A63" s="3">
        <v>45843</v>
      </c>
      <c r="B63" s="4">
        <v>8608</v>
      </c>
      <c r="C63" s="5">
        <v>170</v>
      </c>
      <c r="D63" s="1" t="s">
        <v>1071</v>
      </c>
      <c r="E63" s="1" t="s">
        <v>1072</v>
      </c>
      <c r="F63" s="1" t="s">
        <v>955</v>
      </c>
      <c r="G63" s="1" t="s">
        <v>950</v>
      </c>
      <c r="H63" s="1" t="s">
        <v>967</v>
      </c>
      <c r="I63" s="1" t="s">
        <v>933</v>
      </c>
      <c r="J63" s="1" t="s">
        <v>951</v>
      </c>
      <c r="K63" s="1" t="s">
        <v>20</v>
      </c>
      <c r="L63" s="1" t="s">
        <v>1073</v>
      </c>
      <c r="M63" s="3">
        <v>45862</v>
      </c>
      <c r="N63" s="1" t="s">
        <v>821</v>
      </c>
      <c r="O63" s="1" t="s">
        <v>937</v>
      </c>
      <c r="P63" s="1">
        <v>1</v>
      </c>
    </row>
    <row r="64" spans="1:16" x14ac:dyDescent="0.25">
      <c r="A64" s="3">
        <v>45843</v>
      </c>
      <c r="B64" s="4">
        <v>641901</v>
      </c>
      <c r="C64" s="5">
        <v>204.13</v>
      </c>
      <c r="D64" s="1" t="s">
        <v>973</v>
      </c>
      <c r="E64" s="1" t="s">
        <v>1068</v>
      </c>
      <c r="F64" s="1" t="s">
        <v>717</v>
      </c>
      <c r="G64" s="1" t="s">
        <v>950</v>
      </c>
      <c r="H64" s="1" t="s">
        <v>967</v>
      </c>
      <c r="I64" s="1" t="s">
        <v>933</v>
      </c>
      <c r="J64" s="1" t="s">
        <v>66</v>
      </c>
      <c r="K64" s="1" t="s">
        <v>996</v>
      </c>
      <c r="L64" s="1" t="s">
        <v>1069</v>
      </c>
      <c r="M64" s="3">
        <v>45862</v>
      </c>
      <c r="N64" s="1" t="s">
        <v>712</v>
      </c>
      <c r="O64" s="1" t="s">
        <v>1070</v>
      </c>
      <c r="P64" s="1">
        <v>1</v>
      </c>
    </row>
    <row r="65" spans="1:16" x14ac:dyDescent="0.25">
      <c r="A65" s="3">
        <v>45843</v>
      </c>
      <c r="B65" s="4">
        <v>641900</v>
      </c>
      <c r="C65" s="5">
        <v>199.94</v>
      </c>
      <c r="D65" s="1" t="s">
        <v>973</v>
      </c>
      <c r="E65" s="1" t="s">
        <v>1068</v>
      </c>
      <c r="F65" s="1" t="s">
        <v>721</v>
      </c>
      <c r="G65" s="1" t="s">
        <v>950</v>
      </c>
      <c r="H65" s="1" t="s">
        <v>967</v>
      </c>
      <c r="I65" s="1" t="s">
        <v>933</v>
      </c>
      <c r="J65" s="1" t="s">
        <v>66</v>
      </c>
      <c r="K65" s="1" t="s">
        <v>996</v>
      </c>
      <c r="L65" s="1" t="s">
        <v>1069</v>
      </c>
      <c r="M65" s="3">
        <v>45862</v>
      </c>
      <c r="N65" s="1" t="s">
        <v>712</v>
      </c>
      <c r="O65" s="1" t="s">
        <v>1070</v>
      </c>
      <c r="P65" s="1">
        <v>1</v>
      </c>
    </row>
    <row r="66" spans="1:16" x14ac:dyDescent="0.25">
      <c r="A66" s="3">
        <v>45845</v>
      </c>
      <c r="B66" s="4">
        <v>1022</v>
      </c>
      <c r="C66" s="1">
        <v>720</v>
      </c>
      <c r="D66" s="1" t="s">
        <v>1074</v>
      </c>
      <c r="E66" s="1" t="s">
        <v>1075</v>
      </c>
      <c r="F66" s="1" t="s">
        <v>66</v>
      </c>
      <c r="G66" s="1" t="s">
        <v>1058</v>
      </c>
      <c r="H66" s="3">
        <v>45860</v>
      </c>
      <c r="I66" s="1" t="s">
        <v>933</v>
      </c>
      <c r="J66" s="1" t="s">
        <v>66</v>
      </c>
      <c r="K66" s="1" t="s">
        <v>934</v>
      </c>
      <c r="L66" s="1" t="s">
        <v>1076</v>
      </c>
      <c r="M66" s="3">
        <v>45845</v>
      </c>
      <c r="N66" s="1" t="s">
        <v>821</v>
      </c>
      <c r="O66" s="1" t="s">
        <v>936</v>
      </c>
      <c r="P66" s="1">
        <v>1</v>
      </c>
    </row>
    <row r="67" spans="1:16" x14ac:dyDescent="0.25">
      <c r="A67" s="3">
        <v>45845</v>
      </c>
      <c r="B67" s="1">
        <v>370</v>
      </c>
      <c r="C67" s="2">
        <v>2279</v>
      </c>
      <c r="D67" s="1" t="s">
        <v>1077</v>
      </c>
      <c r="E67" s="1" t="s">
        <v>1078</v>
      </c>
      <c r="F67" s="1" t="s">
        <v>83</v>
      </c>
      <c r="G67" s="1" t="s">
        <v>950</v>
      </c>
      <c r="H67" s="3">
        <v>45852</v>
      </c>
      <c r="I67" s="1" t="s">
        <v>933</v>
      </c>
      <c r="J67" s="1" t="s">
        <v>66</v>
      </c>
      <c r="K67" s="1" t="s">
        <v>66</v>
      </c>
      <c r="L67" s="1" t="s">
        <v>1079</v>
      </c>
      <c r="M67" s="3">
        <v>45845</v>
      </c>
      <c r="N67" s="1" t="s">
        <v>57</v>
      </c>
      <c r="O67" s="1" t="s">
        <v>936</v>
      </c>
      <c r="P67" s="1">
        <v>1</v>
      </c>
    </row>
    <row r="68" spans="1:16" x14ac:dyDescent="0.25">
      <c r="A68" s="3">
        <v>45845</v>
      </c>
      <c r="B68" s="4">
        <v>1477</v>
      </c>
      <c r="C68" s="2">
        <v>2070</v>
      </c>
      <c r="D68" s="1" t="s">
        <v>1080</v>
      </c>
      <c r="E68" s="1" t="s">
        <v>1081</v>
      </c>
      <c r="F68" s="1" t="s">
        <v>66</v>
      </c>
      <c r="G68" s="1" t="s">
        <v>1082</v>
      </c>
      <c r="H68" s="1" t="s">
        <v>1083</v>
      </c>
      <c r="I68" s="1" t="s">
        <v>933</v>
      </c>
      <c r="J68" s="1" t="s">
        <v>66</v>
      </c>
      <c r="K68" s="1" t="s">
        <v>66</v>
      </c>
      <c r="L68" s="1" t="s">
        <v>1084</v>
      </c>
      <c r="M68" s="3">
        <v>45845</v>
      </c>
      <c r="N68" s="1" t="s">
        <v>821</v>
      </c>
      <c r="O68" s="1" t="s">
        <v>936</v>
      </c>
      <c r="P68" s="1">
        <v>1</v>
      </c>
    </row>
    <row r="69" spans="1:16" x14ac:dyDescent="0.25">
      <c r="A69" s="3">
        <v>45845</v>
      </c>
      <c r="B69" s="4">
        <v>42657</v>
      </c>
      <c r="C69" s="5">
        <v>151.56</v>
      </c>
      <c r="D69" s="1" t="s">
        <v>1085</v>
      </c>
      <c r="E69" s="1" t="s">
        <v>1086</v>
      </c>
      <c r="F69" s="1" t="s">
        <v>966</v>
      </c>
      <c r="G69" s="1" t="s">
        <v>950</v>
      </c>
      <c r="H69" s="1" t="s">
        <v>967</v>
      </c>
      <c r="I69" s="1" t="s">
        <v>933</v>
      </c>
      <c r="J69" s="1" t="s">
        <v>951</v>
      </c>
      <c r="K69" s="1" t="s">
        <v>817</v>
      </c>
      <c r="L69" s="1" t="s">
        <v>1063</v>
      </c>
      <c r="M69" s="3">
        <v>45862</v>
      </c>
      <c r="N69" s="1" t="s">
        <v>821</v>
      </c>
      <c r="O69" s="1" t="s">
        <v>936</v>
      </c>
      <c r="P69" s="1">
        <v>1</v>
      </c>
    </row>
    <row r="70" spans="1:16" x14ac:dyDescent="0.25">
      <c r="A70" s="3">
        <v>45845</v>
      </c>
      <c r="B70" s="4">
        <v>16041</v>
      </c>
      <c r="C70" s="5">
        <v>70</v>
      </c>
      <c r="D70" s="1" t="s">
        <v>1087</v>
      </c>
      <c r="E70" s="1" t="s">
        <v>1088</v>
      </c>
      <c r="F70" s="1" t="s">
        <v>949</v>
      </c>
      <c r="G70" s="1" t="s">
        <v>950</v>
      </c>
      <c r="H70" s="1" t="s">
        <v>967</v>
      </c>
      <c r="I70" s="1" t="s">
        <v>933</v>
      </c>
      <c r="J70" s="1" t="s">
        <v>951</v>
      </c>
      <c r="K70" s="1" t="s">
        <v>817</v>
      </c>
      <c r="L70" s="1" t="s">
        <v>1089</v>
      </c>
      <c r="M70" s="3">
        <v>45862</v>
      </c>
      <c r="N70" s="1" t="s">
        <v>821</v>
      </c>
      <c r="O70" s="1" t="s">
        <v>936</v>
      </c>
      <c r="P70" s="1">
        <v>1</v>
      </c>
    </row>
    <row r="71" spans="1:16" x14ac:dyDescent="0.25">
      <c r="A71" s="3">
        <v>45845</v>
      </c>
      <c r="B71" s="1">
        <v>186</v>
      </c>
      <c r="C71" s="5">
        <v>70</v>
      </c>
      <c r="D71" s="1" t="s">
        <v>1090</v>
      </c>
      <c r="E71" s="1" t="s">
        <v>1091</v>
      </c>
      <c r="F71" s="1" t="s">
        <v>966</v>
      </c>
      <c r="G71" s="1" t="s">
        <v>950</v>
      </c>
      <c r="H71" s="1" t="s">
        <v>967</v>
      </c>
      <c r="I71" s="1" t="s">
        <v>933</v>
      </c>
      <c r="J71" s="1" t="s">
        <v>951</v>
      </c>
      <c r="K71" s="1" t="s">
        <v>817</v>
      </c>
      <c r="L71" s="1" t="s">
        <v>1092</v>
      </c>
      <c r="M71" s="3">
        <v>45862</v>
      </c>
      <c r="N71" s="1" t="s">
        <v>821</v>
      </c>
      <c r="O71" s="1" t="s">
        <v>937</v>
      </c>
      <c r="P71" s="1">
        <v>1</v>
      </c>
    </row>
    <row r="72" spans="1:16" x14ac:dyDescent="0.25">
      <c r="A72" s="3">
        <v>45845</v>
      </c>
      <c r="B72" s="4">
        <v>11914</v>
      </c>
      <c r="C72" s="5">
        <v>450</v>
      </c>
      <c r="D72" s="1" t="s">
        <v>1064</v>
      </c>
      <c r="E72" s="1" t="s">
        <v>1042</v>
      </c>
      <c r="F72" s="1" t="s">
        <v>66</v>
      </c>
      <c r="G72" s="1" t="s">
        <v>940</v>
      </c>
      <c r="H72" s="1" t="s">
        <v>967</v>
      </c>
      <c r="I72" s="1" t="s">
        <v>933</v>
      </c>
      <c r="J72" s="1" t="s">
        <v>66</v>
      </c>
      <c r="K72" s="1" t="s">
        <v>817</v>
      </c>
      <c r="L72" s="1" t="s">
        <v>1093</v>
      </c>
      <c r="M72" s="3">
        <v>45862</v>
      </c>
      <c r="N72" s="1" t="s">
        <v>821</v>
      </c>
      <c r="O72" s="1" t="s">
        <v>936</v>
      </c>
      <c r="P72" s="1">
        <v>1</v>
      </c>
    </row>
    <row r="73" spans="1:16" x14ac:dyDescent="0.25">
      <c r="A73" s="3">
        <v>45845</v>
      </c>
      <c r="B73" s="1">
        <v>123</v>
      </c>
      <c r="C73" s="5">
        <v>1000</v>
      </c>
      <c r="D73" s="1" t="s">
        <v>1034</v>
      </c>
      <c r="E73" s="1" t="s">
        <v>1035</v>
      </c>
      <c r="F73" s="1" t="s">
        <v>748</v>
      </c>
      <c r="G73" s="1" t="s">
        <v>1029</v>
      </c>
      <c r="H73" s="3">
        <v>45883</v>
      </c>
      <c r="I73" s="1" t="s">
        <v>933</v>
      </c>
      <c r="J73" s="1" t="s">
        <v>66</v>
      </c>
      <c r="K73" s="1" t="s">
        <v>340</v>
      </c>
      <c r="L73" s="1" t="s">
        <v>1036</v>
      </c>
      <c r="M73" s="3">
        <v>45862</v>
      </c>
      <c r="N73" s="1" t="s">
        <v>75</v>
      </c>
      <c r="O73" s="1" t="s">
        <v>932</v>
      </c>
      <c r="P73" s="1">
        <v>1</v>
      </c>
    </row>
    <row r="74" spans="1:16" x14ac:dyDescent="0.25">
      <c r="A74" s="3">
        <v>45845</v>
      </c>
      <c r="B74" s="1">
        <v>122</v>
      </c>
      <c r="C74" s="5">
        <v>5000</v>
      </c>
      <c r="D74" s="1" t="s">
        <v>1034</v>
      </c>
      <c r="E74" s="1" t="s">
        <v>1035</v>
      </c>
      <c r="F74" s="1" t="s">
        <v>619</v>
      </c>
      <c r="G74" s="1" t="s">
        <v>1029</v>
      </c>
      <c r="H74" s="3">
        <v>45883</v>
      </c>
      <c r="I74" s="1" t="s">
        <v>933</v>
      </c>
      <c r="J74" s="1" t="s">
        <v>66</v>
      </c>
      <c r="K74" s="1" t="s">
        <v>340</v>
      </c>
      <c r="L74" s="1" t="s">
        <v>1036</v>
      </c>
      <c r="M74" s="3">
        <v>45862</v>
      </c>
      <c r="N74" s="1" t="s">
        <v>383</v>
      </c>
      <c r="O74" s="1" t="s">
        <v>932</v>
      </c>
      <c r="P74" s="1">
        <v>1</v>
      </c>
    </row>
    <row r="75" spans="1:16" x14ac:dyDescent="0.25">
      <c r="A75" s="3">
        <v>45846</v>
      </c>
      <c r="B75" s="4">
        <v>92459</v>
      </c>
      <c r="C75" s="2">
        <v>25250</v>
      </c>
      <c r="D75" s="1" t="s">
        <v>1094</v>
      </c>
      <c r="E75" s="1" t="s">
        <v>1095</v>
      </c>
      <c r="F75" s="1" t="s">
        <v>304</v>
      </c>
      <c r="G75" s="1" t="s">
        <v>998</v>
      </c>
      <c r="H75" s="3">
        <v>45876</v>
      </c>
      <c r="I75" s="1" t="s">
        <v>933</v>
      </c>
      <c r="J75" s="1" t="s">
        <v>66</v>
      </c>
      <c r="K75" s="1" t="s">
        <v>996</v>
      </c>
      <c r="L75" s="4">
        <v>5000</v>
      </c>
      <c r="M75" s="3">
        <v>45848</v>
      </c>
      <c r="N75" s="1" t="s">
        <v>57</v>
      </c>
      <c r="O75" s="1" t="s">
        <v>998</v>
      </c>
      <c r="P75" s="1">
        <v>1</v>
      </c>
    </row>
    <row r="76" spans="1:16" x14ac:dyDescent="0.25">
      <c r="A76" s="3">
        <v>45846</v>
      </c>
      <c r="B76" s="4">
        <v>92460</v>
      </c>
      <c r="C76" s="2">
        <v>11564.8</v>
      </c>
      <c r="D76" s="1" t="s">
        <v>1094</v>
      </c>
      <c r="E76" s="1" t="s">
        <v>1095</v>
      </c>
      <c r="F76" s="1" t="s">
        <v>1096</v>
      </c>
      <c r="G76" s="1" t="s">
        <v>950</v>
      </c>
      <c r="H76" s="3">
        <v>45876</v>
      </c>
      <c r="I76" s="1" t="s">
        <v>933</v>
      </c>
      <c r="J76" s="1" t="s">
        <v>937</v>
      </c>
      <c r="K76" s="1" t="s">
        <v>996</v>
      </c>
      <c r="L76" s="1" t="s">
        <v>1097</v>
      </c>
      <c r="M76" s="3">
        <v>45848</v>
      </c>
      <c r="N76" s="1" t="s">
        <v>57</v>
      </c>
      <c r="O76" s="1" t="s">
        <v>972</v>
      </c>
      <c r="P76" s="1">
        <v>1</v>
      </c>
    </row>
    <row r="77" spans="1:16" x14ac:dyDescent="0.25">
      <c r="A77" s="3">
        <v>45846</v>
      </c>
      <c r="B77" s="4">
        <v>69591</v>
      </c>
      <c r="C77" s="1">
        <v>98.92</v>
      </c>
      <c r="D77" s="1" t="s">
        <v>1098</v>
      </c>
      <c r="E77" s="1" t="s">
        <v>1099</v>
      </c>
      <c r="F77" s="1" t="s">
        <v>650</v>
      </c>
      <c r="G77" s="1" t="s">
        <v>940</v>
      </c>
      <c r="H77" s="3">
        <v>45876</v>
      </c>
      <c r="I77" s="1" t="s">
        <v>1100</v>
      </c>
      <c r="J77" s="1" t="s">
        <v>66</v>
      </c>
      <c r="K77" s="1" t="s">
        <v>817</v>
      </c>
      <c r="L77" s="1" t="s">
        <v>1101</v>
      </c>
      <c r="M77" s="3">
        <v>45848</v>
      </c>
      <c r="N77" s="1" t="s">
        <v>57</v>
      </c>
      <c r="O77" s="1" t="s">
        <v>936</v>
      </c>
      <c r="P77" s="1">
        <v>1</v>
      </c>
    </row>
    <row r="78" spans="1:16" x14ac:dyDescent="0.25">
      <c r="A78" s="3">
        <v>45846</v>
      </c>
      <c r="B78" s="4">
        <v>69590</v>
      </c>
      <c r="C78" s="1">
        <v>655</v>
      </c>
      <c r="D78" s="1" t="s">
        <v>1098</v>
      </c>
      <c r="E78" s="1" t="s">
        <v>1099</v>
      </c>
      <c r="F78" s="1" t="s">
        <v>650</v>
      </c>
      <c r="G78" s="1" t="s">
        <v>940</v>
      </c>
      <c r="H78" s="3">
        <v>45876</v>
      </c>
      <c r="I78" s="1" t="s">
        <v>1100</v>
      </c>
      <c r="J78" s="1" t="s">
        <v>66</v>
      </c>
      <c r="K78" s="1" t="s">
        <v>817</v>
      </c>
      <c r="L78" s="1" t="s">
        <v>1102</v>
      </c>
      <c r="M78" s="3">
        <v>45848</v>
      </c>
      <c r="N78" s="1" t="s">
        <v>57</v>
      </c>
      <c r="O78" s="1" t="s">
        <v>936</v>
      </c>
      <c r="P78" s="1">
        <v>1</v>
      </c>
    </row>
    <row r="79" spans="1:16" x14ac:dyDescent="0.25">
      <c r="A79" s="3">
        <v>45846</v>
      </c>
      <c r="B79" s="4">
        <v>314676</v>
      </c>
      <c r="C79" s="5">
        <v>300</v>
      </c>
      <c r="D79" s="1" t="s">
        <v>992</v>
      </c>
      <c r="E79" s="1" t="s">
        <v>993</v>
      </c>
      <c r="F79" s="1" t="s">
        <v>66</v>
      </c>
      <c r="G79" s="1" t="s">
        <v>950</v>
      </c>
      <c r="H79" s="1" t="s">
        <v>967</v>
      </c>
      <c r="I79" s="1" t="s">
        <v>933</v>
      </c>
      <c r="J79" s="1" t="s">
        <v>66</v>
      </c>
      <c r="K79" s="1" t="s">
        <v>817</v>
      </c>
      <c r="L79" s="1" t="s">
        <v>1103</v>
      </c>
      <c r="M79" s="3">
        <v>45862</v>
      </c>
      <c r="N79" s="1" t="s">
        <v>821</v>
      </c>
      <c r="O79" s="1" t="s">
        <v>998</v>
      </c>
      <c r="P79" s="1">
        <v>1</v>
      </c>
    </row>
    <row r="80" spans="1:16" x14ac:dyDescent="0.25">
      <c r="A80" s="3">
        <v>45847</v>
      </c>
      <c r="B80" s="4">
        <v>1251</v>
      </c>
      <c r="C80" s="1">
        <v>220</v>
      </c>
      <c r="D80" s="1" t="s">
        <v>1046</v>
      </c>
      <c r="E80" s="1" t="s">
        <v>1047</v>
      </c>
      <c r="F80" s="1" t="s">
        <v>66</v>
      </c>
      <c r="G80" s="1" t="s">
        <v>990</v>
      </c>
      <c r="H80" s="3">
        <v>45890</v>
      </c>
      <c r="I80" s="1" t="s">
        <v>933</v>
      </c>
      <c r="J80" s="1" t="s">
        <v>66</v>
      </c>
      <c r="K80" s="1" t="s">
        <v>817</v>
      </c>
      <c r="L80" s="1" t="s">
        <v>1104</v>
      </c>
      <c r="M80" s="3">
        <v>45848</v>
      </c>
      <c r="N80" s="1" t="s">
        <v>821</v>
      </c>
      <c r="O80" s="1" t="s">
        <v>990</v>
      </c>
      <c r="P80" s="1">
        <v>1</v>
      </c>
    </row>
    <row r="81" spans="1:16" x14ac:dyDescent="0.25">
      <c r="A81" s="3">
        <v>45847</v>
      </c>
      <c r="B81" s="4">
        <v>3487</v>
      </c>
      <c r="C81" s="2">
        <v>1120</v>
      </c>
      <c r="D81" s="1" t="s">
        <v>1046</v>
      </c>
      <c r="E81" s="1" t="s">
        <v>1047</v>
      </c>
      <c r="F81" s="1" t="s">
        <v>66</v>
      </c>
      <c r="G81" s="1" t="s">
        <v>990</v>
      </c>
      <c r="H81" s="3">
        <v>45890</v>
      </c>
      <c r="I81" s="1" t="s">
        <v>933</v>
      </c>
      <c r="J81" s="1" t="s">
        <v>66</v>
      </c>
      <c r="K81" s="1" t="s">
        <v>817</v>
      </c>
      <c r="L81" s="1" t="s">
        <v>1105</v>
      </c>
      <c r="M81" s="3">
        <v>45848</v>
      </c>
      <c r="N81" s="1" t="s">
        <v>821</v>
      </c>
      <c r="O81" s="1" t="s">
        <v>990</v>
      </c>
      <c r="P81" s="1">
        <v>1</v>
      </c>
    </row>
    <row r="82" spans="1:16" x14ac:dyDescent="0.25">
      <c r="A82" s="3">
        <v>45847</v>
      </c>
      <c r="B82" s="4">
        <v>8101</v>
      </c>
      <c r="C82" s="2">
        <v>2700</v>
      </c>
      <c r="D82" s="1" t="s">
        <v>1106</v>
      </c>
      <c r="E82" s="1" t="s">
        <v>1107</v>
      </c>
      <c r="F82" s="1" t="s">
        <v>966</v>
      </c>
      <c r="G82" s="1" t="s">
        <v>932</v>
      </c>
      <c r="H82" s="3">
        <v>45859</v>
      </c>
      <c r="I82" s="1" t="s">
        <v>933</v>
      </c>
      <c r="J82" s="1" t="s">
        <v>951</v>
      </c>
      <c r="K82" s="1" t="s">
        <v>817</v>
      </c>
      <c r="L82" s="1" t="s">
        <v>1108</v>
      </c>
      <c r="M82" s="3">
        <v>45848</v>
      </c>
      <c r="N82" s="1" t="s">
        <v>821</v>
      </c>
      <c r="O82" s="1" t="s">
        <v>932</v>
      </c>
      <c r="P82" s="1">
        <v>1</v>
      </c>
    </row>
    <row r="83" spans="1:16" x14ac:dyDescent="0.25">
      <c r="A83" s="3">
        <v>45847</v>
      </c>
      <c r="B83" s="1">
        <v>78</v>
      </c>
      <c r="C83" s="5">
        <v>80</v>
      </c>
      <c r="D83" s="1" t="s">
        <v>1109</v>
      </c>
      <c r="E83" s="1" t="s">
        <v>1110</v>
      </c>
      <c r="F83" s="1" t="s">
        <v>955</v>
      </c>
      <c r="G83" s="1" t="s">
        <v>940</v>
      </c>
      <c r="H83" s="1" t="s">
        <v>967</v>
      </c>
      <c r="I83" s="1" t="s">
        <v>933</v>
      </c>
      <c r="J83" s="1" t="s">
        <v>951</v>
      </c>
      <c r="K83" s="1" t="s">
        <v>20</v>
      </c>
      <c r="L83" s="1" t="s">
        <v>1111</v>
      </c>
      <c r="M83" s="3">
        <v>45848</v>
      </c>
      <c r="N83" s="1" t="s">
        <v>821</v>
      </c>
      <c r="O83" s="1" t="s">
        <v>936</v>
      </c>
      <c r="P83" s="1">
        <v>1</v>
      </c>
    </row>
    <row r="84" spans="1:16" x14ac:dyDescent="0.25">
      <c r="A84" s="3">
        <v>45847</v>
      </c>
      <c r="B84" s="4">
        <v>1479</v>
      </c>
      <c r="C84" s="2">
        <v>1381</v>
      </c>
      <c r="D84" s="1" t="s">
        <v>1080</v>
      </c>
      <c r="E84" s="1" t="s">
        <v>1081</v>
      </c>
      <c r="F84" s="1" t="s">
        <v>66</v>
      </c>
      <c r="G84" s="1" t="s">
        <v>1082</v>
      </c>
      <c r="H84" s="1" t="s">
        <v>1083</v>
      </c>
      <c r="I84" s="1" t="s">
        <v>933</v>
      </c>
      <c r="J84" s="1" t="s">
        <v>66</v>
      </c>
      <c r="K84" s="1" t="s">
        <v>66</v>
      </c>
      <c r="L84" s="1" t="s">
        <v>1112</v>
      </c>
      <c r="M84" s="3">
        <v>45848</v>
      </c>
      <c r="N84" s="1" t="s">
        <v>821</v>
      </c>
      <c r="O84" s="1" t="s">
        <v>936</v>
      </c>
      <c r="P84" s="1">
        <v>1</v>
      </c>
    </row>
    <row r="85" spans="1:16" x14ac:dyDescent="0.25">
      <c r="A85" s="3">
        <v>45847</v>
      </c>
      <c r="B85" s="4">
        <v>314331</v>
      </c>
      <c r="C85" s="5">
        <v>145.03</v>
      </c>
      <c r="D85" s="1" t="s">
        <v>1113</v>
      </c>
      <c r="E85" s="1" t="s">
        <v>993</v>
      </c>
      <c r="F85" s="1" t="s">
        <v>66</v>
      </c>
      <c r="G85" s="1" t="s">
        <v>950</v>
      </c>
      <c r="H85" s="1" t="s">
        <v>967</v>
      </c>
      <c r="I85" s="1" t="s">
        <v>933</v>
      </c>
      <c r="J85" s="1" t="s">
        <v>66</v>
      </c>
      <c r="K85" s="1" t="s">
        <v>977</v>
      </c>
      <c r="L85" s="1" t="s">
        <v>1114</v>
      </c>
      <c r="M85" s="3">
        <v>45848</v>
      </c>
      <c r="N85" s="1" t="s">
        <v>821</v>
      </c>
      <c r="O85" s="1" t="s">
        <v>936</v>
      </c>
      <c r="P85" s="1">
        <v>1</v>
      </c>
    </row>
    <row r="86" spans="1:16" x14ac:dyDescent="0.25">
      <c r="A86" s="3">
        <v>45847</v>
      </c>
      <c r="B86" s="4">
        <v>25833</v>
      </c>
      <c r="C86" s="5">
        <v>163</v>
      </c>
      <c r="D86" s="1" t="s">
        <v>969</v>
      </c>
      <c r="E86" s="1" t="s">
        <v>1115</v>
      </c>
      <c r="F86" s="1" t="s">
        <v>66</v>
      </c>
      <c r="G86" s="1" t="s">
        <v>950</v>
      </c>
      <c r="H86" s="1" t="s">
        <v>967</v>
      </c>
      <c r="I86" s="1" t="s">
        <v>933</v>
      </c>
      <c r="J86" s="1" t="s">
        <v>66</v>
      </c>
      <c r="K86" s="1" t="s">
        <v>817</v>
      </c>
      <c r="L86" s="1" t="s">
        <v>1116</v>
      </c>
      <c r="M86" s="3">
        <v>45848</v>
      </c>
      <c r="N86" s="1" t="s">
        <v>821</v>
      </c>
      <c r="O86" s="1" t="s">
        <v>972</v>
      </c>
      <c r="P86" s="1">
        <v>1</v>
      </c>
    </row>
    <row r="87" spans="1:16" x14ac:dyDescent="0.25">
      <c r="A87" s="3">
        <v>45847</v>
      </c>
      <c r="B87" s="4">
        <v>15695</v>
      </c>
      <c r="C87" s="5">
        <v>156</v>
      </c>
      <c r="D87" s="1" t="s">
        <v>969</v>
      </c>
      <c r="E87" s="1" t="s">
        <v>1115</v>
      </c>
      <c r="F87" s="1" t="s">
        <v>66</v>
      </c>
      <c r="G87" s="1" t="s">
        <v>950</v>
      </c>
      <c r="H87" s="1" t="s">
        <v>967</v>
      </c>
      <c r="I87" s="1" t="s">
        <v>933</v>
      </c>
      <c r="J87" s="1" t="s">
        <v>66</v>
      </c>
      <c r="K87" s="1" t="s">
        <v>817</v>
      </c>
      <c r="L87" s="1" t="s">
        <v>1116</v>
      </c>
      <c r="M87" s="3">
        <v>45848</v>
      </c>
      <c r="N87" s="1" t="s">
        <v>821</v>
      </c>
      <c r="O87" s="1" t="s">
        <v>972</v>
      </c>
      <c r="P87" s="1">
        <v>1</v>
      </c>
    </row>
    <row r="88" spans="1:16" x14ac:dyDescent="0.25">
      <c r="A88" s="3">
        <v>45847</v>
      </c>
      <c r="B88" s="4">
        <v>15671</v>
      </c>
      <c r="C88" s="5">
        <v>185.01</v>
      </c>
      <c r="D88" s="1" t="s">
        <v>969</v>
      </c>
      <c r="E88" s="1" t="s">
        <v>1115</v>
      </c>
      <c r="F88" s="1" t="s">
        <v>66</v>
      </c>
      <c r="G88" s="1" t="s">
        <v>950</v>
      </c>
      <c r="H88" s="1" t="s">
        <v>967</v>
      </c>
      <c r="I88" s="1" t="s">
        <v>933</v>
      </c>
      <c r="J88" s="1" t="s">
        <v>66</v>
      </c>
      <c r="K88" s="1" t="s">
        <v>817</v>
      </c>
      <c r="L88" s="1" t="s">
        <v>1116</v>
      </c>
      <c r="M88" s="3">
        <v>45848</v>
      </c>
      <c r="N88" s="1" t="s">
        <v>821</v>
      </c>
      <c r="O88" s="1" t="s">
        <v>972</v>
      </c>
      <c r="P88" s="1">
        <v>1</v>
      </c>
    </row>
    <row r="89" spans="1:16" x14ac:dyDescent="0.25">
      <c r="A89" s="3">
        <v>45847</v>
      </c>
      <c r="B89" s="4">
        <v>152519</v>
      </c>
      <c r="C89" s="5">
        <v>51.9</v>
      </c>
      <c r="D89" s="1" t="s">
        <v>1117</v>
      </c>
      <c r="E89" s="1" t="s">
        <v>1118</v>
      </c>
      <c r="F89" s="1" t="s">
        <v>966</v>
      </c>
      <c r="G89" s="1" t="s">
        <v>950</v>
      </c>
      <c r="H89" s="1" t="s">
        <v>967</v>
      </c>
      <c r="I89" s="1" t="s">
        <v>933</v>
      </c>
      <c r="J89" s="1" t="s">
        <v>951</v>
      </c>
      <c r="K89" s="1" t="s">
        <v>817</v>
      </c>
      <c r="L89" s="1" t="s">
        <v>1119</v>
      </c>
      <c r="M89" s="3">
        <v>45848</v>
      </c>
      <c r="N89" s="1" t="s">
        <v>821</v>
      </c>
      <c r="O89" s="1" t="s">
        <v>936</v>
      </c>
      <c r="P89" s="1" t="s">
        <v>937</v>
      </c>
    </row>
    <row r="90" spans="1:16" x14ac:dyDescent="0.25">
      <c r="A90" s="3">
        <v>45848</v>
      </c>
      <c r="B90" s="4">
        <v>16032</v>
      </c>
      <c r="C90" s="5">
        <v>70</v>
      </c>
      <c r="D90" s="1" t="s">
        <v>1087</v>
      </c>
      <c r="E90" s="1" t="s">
        <v>1088</v>
      </c>
      <c r="F90" s="1" t="s">
        <v>966</v>
      </c>
      <c r="G90" s="1" t="s">
        <v>950</v>
      </c>
      <c r="H90" s="1" t="s">
        <v>967</v>
      </c>
      <c r="I90" s="1" t="s">
        <v>933</v>
      </c>
      <c r="J90" s="1" t="s">
        <v>951</v>
      </c>
      <c r="K90" s="1" t="s">
        <v>817</v>
      </c>
      <c r="L90" s="1" t="s">
        <v>1119</v>
      </c>
      <c r="M90" s="3">
        <v>45848</v>
      </c>
      <c r="N90" s="1" t="s">
        <v>821</v>
      </c>
      <c r="O90" s="1" t="s">
        <v>936</v>
      </c>
      <c r="P90" s="1">
        <v>1</v>
      </c>
    </row>
    <row r="91" spans="1:16" x14ac:dyDescent="0.25">
      <c r="A91" s="3">
        <v>45848</v>
      </c>
      <c r="B91" s="4">
        <v>4987</v>
      </c>
      <c r="C91" s="5">
        <v>830</v>
      </c>
      <c r="D91" s="1" t="s">
        <v>1120</v>
      </c>
      <c r="E91" s="1" t="s">
        <v>1121</v>
      </c>
      <c r="F91" s="1" t="s">
        <v>949</v>
      </c>
      <c r="G91" s="1" t="s">
        <v>950</v>
      </c>
      <c r="H91" s="1" t="s">
        <v>967</v>
      </c>
      <c r="I91" s="1" t="s">
        <v>933</v>
      </c>
      <c r="J91" s="1" t="s">
        <v>951</v>
      </c>
      <c r="K91" s="1" t="s">
        <v>817</v>
      </c>
      <c r="L91" s="1" t="s">
        <v>1122</v>
      </c>
      <c r="M91" s="3">
        <v>45848</v>
      </c>
      <c r="N91" s="1" t="s">
        <v>821</v>
      </c>
      <c r="O91" s="1" t="s">
        <v>936</v>
      </c>
      <c r="P91" s="1">
        <v>1</v>
      </c>
    </row>
    <row r="92" spans="1:16" x14ac:dyDescent="0.25">
      <c r="A92" s="3">
        <v>45848</v>
      </c>
      <c r="B92" s="4">
        <v>4996</v>
      </c>
      <c r="C92" s="5">
        <v>250</v>
      </c>
      <c r="D92" s="1" t="s">
        <v>1120</v>
      </c>
      <c r="E92" s="1" t="s">
        <v>1121</v>
      </c>
      <c r="F92" s="1" t="s">
        <v>949</v>
      </c>
      <c r="G92" s="1" t="s">
        <v>950</v>
      </c>
      <c r="H92" s="1" t="s">
        <v>967</v>
      </c>
      <c r="I92" s="1" t="s">
        <v>933</v>
      </c>
      <c r="J92" s="1" t="s">
        <v>951</v>
      </c>
      <c r="K92" s="1" t="s">
        <v>817</v>
      </c>
      <c r="L92" s="1" t="s">
        <v>1123</v>
      </c>
      <c r="M92" s="3">
        <v>45848</v>
      </c>
      <c r="N92" s="1" t="s">
        <v>821</v>
      </c>
      <c r="O92" s="1" t="s">
        <v>936</v>
      </c>
      <c r="P92" s="1">
        <v>2</v>
      </c>
    </row>
    <row r="93" spans="1:16" x14ac:dyDescent="0.25">
      <c r="A93" s="3">
        <v>45848</v>
      </c>
      <c r="B93" s="4">
        <v>290535</v>
      </c>
      <c r="C93" s="5">
        <v>34833</v>
      </c>
      <c r="D93" s="1" t="s">
        <v>1098</v>
      </c>
      <c r="E93" s="1" t="s">
        <v>1099</v>
      </c>
      <c r="F93" s="1" t="s">
        <v>748</v>
      </c>
      <c r="G93" s="1" t="s">
        <v>940</v>
      </c>
      <c r="H93" s="1" t="s">
        <v>1124</v>
      </c>
      <c r="I93" s="1" t="s">
        <v>933</v>
      </c>
      <c r="J93" s="1" t="s">
        <v>66</v>
      </c>
      <c r="K93" s="1" t="s">
        <v>340</v>
      </c>
      <c r="L93" s="1" t="s">
        <v>1125</v>
      </c>
      <c r="M93" s="3">
        <v>45969</v>
      </c>
      <c r="N93" s="1" t="s">
        <v>75</v>
      </c>
      <c r="O93" s="1" t="s">
        <v>936</v>
      </c>
      <c r="P93" s="1">
        <v>1</v>
      </c>
    </row>
    <row r="94" spans="1:16" x14ac:dyDescent="0.25">
      <c r="A94" s="3">
        <v>45849</v>
      </c>
      <c r="B94" s="4">
        <v>1023</v>
      </c>
      <c r="C94" s="2">
        <v>1360</v>
      </c>
      <c r="D94" s="1" t="s">
        <v>1126</v>
      </c>
      <c r="E94" s="1" t="s">
        <v>1127</v>
      </c>
      <c r="F94" s="1" t="s">
        <v>867</v>
      </c>
      <c r="G94" s="1" t="s">
        <v>940</v>
      </c>
      <c r="H94" s="3">
        <v>45863</v>
      </c>
      <c r="I94" s="1" t="s">
        <v>933</v>
      </c>
      <c r="J94" s="1" t="s">
        <v>66</v>
      </c>
      <c r="K94" s="1" t="s">
        <v>340</v>
      </c>
      <c r="L94" s="1" t="s">
        <v>1128</v>
      </c>
      <c r="M94" s="3">
        <v>45853</v>
      </c>
      <c r="N94" s="1" t="s">
        <v>57</v>
      </c>
      <c r="O94" s="1" t="s">
        <v>936</v>
      </c>
      <c r="P94" s="1">
        <v>1</v>
      </c>
    </row>
    <row r="95" spans="1:16" x14ac:dyDescent="0.25">
      <c r="A95" s="3">
        <v>45849</v>
      </c>
      <c r="B95" s="4">
        <v>1023</v>
      </c>
      <c r="C95" s="2">
        <v>3435</v>
      </c>
      <c r="D95" s="1" t="s">
        <v>1126</v>
      </c>
      <c r="E95" s="1" t="s">
        <v>1127</v>
      </c>
      <c r="F95" s="1" t="s">
        <v>639</v>
      </c>
      <c r="G95" s="1" t="s">
        <v>940</v>
      </c>
      <c r="H95" s="3">
        <v>45863</v>
      </c>
      <c r="I95" s="1" t="s">
        <v>933</v>
      </c>
      <c r="J95" s="1" t="s">
        <v>66</v>
      </c>
      <c r="K95" s="1" t="s">
        <v>977</v>
      </c>
      <c r="L95" s="1" t="s">
        <v>1129</v>
      </c>
      <c r="M95" s="3">
        <v>45853</v>
      </c>
      <c r="N95" s="1" t="s">
        <v>98</v>
      </c>
      <c r="O95" s="1" t="s">
        <v>936</v>
      </c>
      <c r="P95" s="1">
        <v>1</v>
      </c>
    </row>
    <row r="96" spans="1:16" x14ac:dyDescent="0.25">
      <c r="A96" s="3">
        <v>45849</v>
      </c>
      <c r="B96" s="4">
        <v>1023</v>
      </c>
      <c r="C96" s="2">
        <v>2880</v>
      </c>
      <c r="D96" s="1" t="s">
        <v>1126</v>
      </c>
      <c r="E96" s="1" t="s">
        <v>1127</v>
      </c>
      <c r="F96" s="1" t="s">
        <v>966</v>
      </c>
      <c r="G96" s="1" t="s">
        <v>940</v>
      </c>
      <c r="H96" s="3">
        <v>45863</v>
      </c>
      <c r="I96" s="1" t="s">
        <v>933</v>
      </c>
      <c r="J96" s="1" t="s">
        <v>951</v>
      </c>
      <c r="K96" s="1" t="s">
        <v>640</v>
      </c>
      <c r="L96" s="1" t="s">
        <v>1130</v>
      </c>
      <c r="M96" s="3">
        <v>45853</v>
      </c>
      <c r="N96" s="1" t="s">
        <v>821</v>
      </c>
      <c r="O96" s="1" t="s">
        <v>936</v>
      </c>
      <c r="P96" s="1">
        <v>1</v>
      </c>
    </row>
    <row r="97" spans="1:16" x14ac:dyDescent="0.25">
      <c r="A97" s="3">
        <v>45849</v>
      </c>
      <c r="B97" s="4">
        <v>1500281</v>
      </c>
      <c r="C97" s="1">
        <v>964.62</v>
      </c>
      <c r="D97" s="1"/>
      <c r="E97" s="1" t="s">
        <v>57</v>
      </c>
      <c r="F97" s="1" t="s">
        <v>1131</v>
      </c>
      <c r="G97" s="1" t="s">
        <v>990</v>
      </c>
      <c r="H97" s="1" t="s">
        <v>1132</v>
      </c>
      <c r="I97" s="1" t="s">
        <v>933</v>
      </c>
      <c r="J97" s="1" t="s">
        <v>1131</v>
      </c>
      <c r="K97" s="1" t="s">
        <v>340</v>
      </c>
      <c r="L97" s="1" t="s">
        <v>1133</v>
      </c>
      <c r="M97" s="3">
        <v>45854</v>
      </c>
      <c r="N97" s="1" t="s">
        <v>821</v>
      </c>
      <c r="O97" s="1" t="s">
        <v>936</v>
      </c>
      <c r="P97" s="1" t="s">
        <v>937</v>
      </c>
    </row>
    <row r="98" spans="1:16" x14ac:dyDescent="0.25">
      <c r="A98" s="3">
        <v>45849</v>
      </c>
      <c r="B98" s="4">
        <v>1210</v>
      </c>
      <c r="C98" s="5">
        <v>645.6</v>
      </c>
      <c r="D98" s="1" t="s">
        <v>1134</v>
      </c>
      <c r="E98" s="1" t="s">
        <v>1135</v>
      </c>
      <c r="F98" s="1" t="s">
        <v>949</v>
      </c>
      <c r="G98" s="1" t="s">
        <v>940</v>
      </c>
      <c r="H98" s="1" t="s">
        <v>967</v>
      </c>
      <c r="I98" s="1" t="s">
        <v>933</v>
      </c>
      <c r="J98" s="1" t="s">
        <v>951</v>
      </c>
      <c r="K98" s="1" t="s">
        <v>340</v>
      </c>
      <c r="L98" s="1" t="s">
        <v>1136</v>
      </c>
      <c r="M98" s="3">
        <v>45854</v>
      </c>
      <c r="N98" s="1" t="s">
        <v>821</v>
      </c>
      <c r="O98" s="1" t="s">
        <v>936</v>
      </c>
      <c r="P98" s="1">
        <v>1</v>
      </c>
    </row>
    <row r="99" spans="1:16" x14ac:dyDescent="0.25">
      <c r="A99" s="3">
        <v>45849</v>
      </c>
      <c r="B99" s="4">
        <v>21355</v>
      </c>
      <c r="C99" s="5">
        <v>210</v>
      </c>
      <c r="D99" s="1" t="s">
        <v>938</v>
      </c>
      <c r="E99" s="1" t="s">
        <v>1137</v>
      </c>
      <c r="F99" s="1" t="s">
        <v>955</v>
      </c>
      <c r="G99" s="1" t="s">
        <v>940</v>
      </c>
      <c r="H99" s="1" t="s">
        <v>967</v>
      </c>
      <c r="I99" s="1" t="s">
        <v>933</v>
      </c>
      <c r="J99" s="1" t="s">
        <v>951</v>
      </c>
      <c r="K99" s="1" t="s">
        <v>20</v>
      </c>
      <c r="L99" s="1" t="s">
        <v>1138</v>
      </c>
      <c r="M99" s="3">
        <v>45862</v>
      </c>
      <c r="N99" s="1" t="s">
        <v>821</v>
      </c>
      <c r="O99" s="1" t="s">
        <v>936</v>
      </c>
      <c r="P99" s="1">
        <v>1</v>
      </c>
    </row>
    <row r="100" spans="1:16" x14ac:dyDescent="0.25">
      <c r="A100" s="3">
        <v>45852</v>
      </c>
      <c r="B100" s="4">
        <v>1187</v>
      </c>
      <c r="C100" s="2">
        <v>14980</v>
      </c>
      <c r="D100" s="1" t="s">
        <v>1139</v>
      </c>
      <c r="E100" s="1" t="s">
        <v>1140</v>
      </c>
      <c r="F100" s="1" t="s">
        <v>949</v>
      </c>
      <c r="G100" s="1" t="s">
        <v>940</v>
      </c>
      <c r="H100" s="3">
        <v>45869</v>
      </c>
      <c r="I100" s="1" t="s">
        <v>933</v>
      </c>
      <c r="J100" s="1" t="s">
        <v>951</v>
      </c>
      <c r="K100" s="1" t="s">
        <v>340</v>
      </c>
      <c r="L100" s="1" t="s">
        <v>1141</v>
      </c>
      <c r="M100" s="3">
        <v>45853</v>
      </c>
      <c r="N100" s="1" t="s">
        <v>821</v>
      </c>
      <c r="O100" s="1" t="s">
        <v>936</v>
      </c>
      <c r="P100" s="1">
        <v>1</v>
      </c>
    </row>
    <row r="101" spans="1:16" x14ac:dyDescent="0.25">
      <c r="A101" s="3">
        <v>45852</v>
      </c>
      <c r="B101" s="1">
        <v>52</v>
      </c>
      <c r="C101" s="2">
        <v>1600</v>
      </c>
      <c r="D101" s="1" t="s">
        <v>1060</v>
      </c>
      <c r="E101" s="1" t="s">
        <v>1061</v>
      </c>
      <c r="F101" s="1" t="s">
        <v>719</v>
      </c>
      <c r="G101" s="1" t="s">
        <v>940</v>
      </c>
      <c r="H101" s="3">
        <v>45863</v>
      </c>
      <c r="I101" s="1" t="s">
        <v>933</v>
      </c>
      <c r="J101" s="1" t="s">
        <v>66</v>
      </c>
      <c r="K101" s="1" t="s">
        <v>340</v>
      </c>
      <c r="L101" s="1" t="s">
        <v>1142</v>
      </c>
      <c r="M101" s="3">
        <v>45853</v>
      </c>
      <c r="N101" s="1" t="s">
        <v>712</v>
      </c>
      <c r="O101" s="1" t="s">
        <v>936</v>
      </c>
      <c r="P101" s="1">
        <v>1</v>
      </c>
    </row>
    <row r="102" spans="1:16" x14ac:dyDescent="0.25">
      <c r="A102" s="3">
        <v>45852</v>
      </c>
      <c r="B102" s="1">
        <v>370</v>
      </c>
      <c r="C102" s="2">
        <v>2500</v>
      </c>
      <c r="D102" s="1" t="s">
        <v>975</v>
      </c>
      <c r="E102" s="1" t="s">
        <v>976</v>
      </c>
      <c r="F102" s="1" t="s">
        <v>639</v>
      </c>
      <c r="G102" s="1" t="s">
        <v>940</v>
      </c>
      <c r="H102" s="3">
        <v>45867</v>
      </c>
      <c r="I102" s="1" t="s">
        <v>933</v>
      </c>
      <c r="J102" s="1" t="s">
        <v>66</v>
      </c>
      <c r="K102" s="1" t="s">
        <v>340</v>
      </c>
      <c r="L102" s="1" t="s">
        <v>1143</v>
      </c>
      <c r="M102" s="3">
        <v>45853</v>
      </c>
      <c r="N102" s="1" t="s">
        <v>98</v>
      </c>
      <c r="O102" s="1" t="s">
        <v>936</v>
      </c>
      <c r="P102" s="1" t="s">
        <v>937</v>
      </c>
    </row>
    <row r="103" spans="1:16" x14ac:dyDescent="0.25">
      <c r="A103" s="3">
        <v>45852</v>
      </c>
      <c r="B103" s="4">
        <v>15776</v>
      </c>
      <c r="C103" s="2">
        <v>6600</v>
      </c>
      <c r="D103" s="1" t="s">
        <v>1144</v>
      </c>
      <c r="E103" s="1" t="s">
        <v>1145</v>
      </c>
      <c r="F103" s="1" t="s">
        <v>837</v>
      </c>
      <c r="G103" s="1" t="s">
        <v>1029</v>
      </c>
      <c r="H103" s="3">
        <v>45863</v>
      </c>
      <c r="I103" s="1" t="s">
        <v>933</v>
      </c>
      <c r="J103" s="1" t="s">
        <v>66</v>
      </c>
      <c r="K103" s="1" t="s">
        <v>340</v>
      </c>
      <c r="L103" s="1" t="s">
        <v>1146</v>
      </c>
      <c r="M103" s="3">
        <v>45853</v>
      </c>
      <c r="N103" s="1" t="s">
        <v>50</v>
      </c>
      <c r="O103" s="1" t="s">
        <v>936</v>
      </c>
      <c r="P103" s="1">
        <v>1</v>
      </c>
    </row>
    <row r="104" spans="1:16" x14ac:dyDescent="0.25">
      <c r="A104" s="3">
        <v>45852</v>
      </c>
      <c r="B104" s="4">
        <v>92559</v>
      </c>
      <c r="C104" s="2">
        <v>22600</v>
      </c>
      <c r="D104" s="1" t="s">
        <v>1094</v>
      </c>
      <c r="E104" s="1" t="s">
        <v>1095</v>
      </c>
      <c r="F104" s="1" t="s">
        <v>304</v>
      </c>
      <c r="G104" s="1" t="s">
        <v>998</v>
      </c>
      <c r="H104" s="3">
        <v>45882</v>
      </c>
      <c r="I104" s="1" t="s">
        <v>933</v>
      </c>
      <c r="J104" s="1" t="s">
        <v>66</v>
      </c>
      <c r="K104" s="1" t="s">
        <v>996</v>
      </c>
      <c r="L104" s="4">
        <v>4000</v>
      </c>
      <c r="M104" s="3">
        <v>45853</v>
      </c>
      <c r="N104" s="1" t="s">
        <v>57</v>
      </c>
      <c r="O104" s="1" t="s">
        <v>998</v>
      </c>
      <c r="P104" s="1">
        <v>1</v>
      </c>
    </row>
    <row r="105" spans="1:16" x14ac:dyDescent="0.25">
      <c r="A105" s="3">
        <v>45852</v>
      </c>
      <c r="B105" s="4">
        <v>128594</v>
      </c>
      <c r="C105" s="2">
        <v>7998</v>
      </c>
      <c r="D105" s="1" t="s">
        <v>1147</v>
      </c>
      <c r="E105" s="1" t="s">
        <v>1148</v>
      </c>
      <c r="F105" s="1" t="s">
        <v>710</v>
      </c>
      <c r="G105" s="1" t="s">
        <v>940</v>
      </c>
      <c r="H105" s="1" t="s">
        <v>1149</v>
      </c>
      <c r="I105" s="1" t="s">
        <v>933</v>
      </c>
      <c r="J105" s="1" t="s">
        <v>66</v>
      </c>
      <c r="K105" s="1" t="s">
        <v>340</v>
      </c>
      <c r="L105" s="1" t="s">
        <v>1150</v>
      </c>
      <c r="M105" s="3">
        <v>45854</v>
      </c>
      <c r="N105" s="1" t="s">
        <v>712</v>
      </c>
      <c r="O105" s="1" t="s">
        <v>936</v>
      </c>
      <c r="P105" s="1" t="s">
        <v>937</v>
      </c>
    </row>
    <row r="106" spans="1:16" x14ac:dyDescent="0.25">
      <c r="A106" s="3">
        <v>45852</v>
      </c>
      <c r="B106" s="4">
        <v>11996</v>
      </c>
      <c r="C106" s="5">
        <v>145</v>
      </c>
      <c r="D106" s="1" t="s">
        <v>1064</v>
      </c>
      <c r="E106" s="1" t="s">
        <v>1042</v>
      </c>
      <c r="F106" s="1" t="s">
        <v>955</v>
      </c>
      <c r="G106" s="1" t="s">
        <v>940</v>
      </c>
      <c r="H106" s="1" t="s">
        <v>967</v>
      </c>
      <c r="I106" s="1" t="s">
        <v>933</v>
      </c>
      <c r="J106" s="1" t="s">
        <v>951</v>
      </c>
      <c r="K106" s="1" t="s">
        <v>640</v>
      </c>
      <c r="L106" s="1" t="s">
        <v>1151</v>
      </c>
      <c r="M106" s="3">
        <v>45854</v>
      </c>
      <c r="N106" s="1" t="s">
        <v>821</v>
      </c>
      <c r="O106" s="1" t="s">
        <v>936</v>
      </c>
      <c r="P106" s="1">
        <v>1</v>
      </c>
    </row>
    <row r="107" spans="1:16" x14ac:dyDescent="0.25">
      <c r="A107" s="3">
        <v>45852</v>
      </c>
      <c r="B107" s="4">
        <v>8715</v>
      </c>
      <c r="C107" s="5">
        <v>50</v>
      </c>
      <c r="D107" s="1" t="s">
        <v>1152</v>
      </c>
      <c r="E107" s="1" t="s">
        <v>1072</v>
      </c>
      <c r="F107" s="1" t="s">
        <v>955</v>
      </c>
      <c r="G107" s="1" t="s">
        <v>950</v>
      </c>
      <c r="H107" s="1" t="s">
        <v>967</v>
      </c>
      <c r="I107" s="1" t="s">
        <v>933</v>
      </c>
      <c r="J107" s="1" t="s">
        <v>951</v>
      </c>
      <c r="K107" s="1" t="s">
        <v>20</v>
      </c>
      <c r="L107" s="1" t="s">
        <v>1153</v>
      </c>
      <c r="M107" s="3">
        <v>45854</v>
      </c>
      <c r="N107" s="1" t="s">
        <v>821</v>
      </c>
      <c r="O107" s="1" t="s">
        <v>936</v>
      </c>
      <c r="P107" s="1">
        <v>1</v>
      </c>
    </row>
    <row r="108" spans="1:16" x14ac:dyDescent="0.25">
      <c r="A108" s="3">
        <v>45852</v>
      </c>
      <c r="B108" s="4">
        <v>12012</v>
      </c>
      <c r="C108" s="5">
        <v>2740.16</v>
      </c>
      <c r="D108" s="1" t="s">
        <v>1064</v>
      </c>
      <c r="E108" s="1" t="s">
        <v>1042</v>
      </c>
      <c r="F108" s="1" t="s">
        <v>713</v>
      </c>
      <c r="G108" s="1" t="s">
        <v>940</v>
      </c>
      <c r="H108" s="1" t="s">
        <v>967</v>
      </c>
      <c r="I108" s="1" t="s">
        <v>712</v>
      </c>
      <c r="J108" s="1" t="s">
        <v>66</v>
      </c>
      <c r="K108" s="1" t="s">
        <v>340</v>
      </c>
      <c r="L108" s="1" t="s">
        <v>1154</v>
      </c>
      <c r="M108" s="3">
        <v>45854</v>
      </c>
      <c r="N108" s="1" t="s">
        <v>712</v>
      </c>
      <c r="O108" s="1" t="s">
        <v>936</v>
      </c>
      <c r="P108" s="1">
        <v>1</v>
      </c>
    </row>
    <row r="109" spans="1:16" x14ac:dyDescent="0.25">
      <c r="A109" s="3">
        <v>45852</v>
      </c>
      <c r="B109" s="4">
        <v>1537</v>
      </c>
      <c r="C109" s="5">
        <v>42</v>
      </c>
      <c r="D109" s="1" t="s">
        <v>953</v>
      </c>
      <c r="E109" s="1" t="s">
        <v>954</v>
      </c>
      <c r="F109" s="1" t="s">
        <v>304</v>
      </c>
      <c r="G109" s="1" t="s">
        <v>940</v>
      </c>
      <c r="H109" s="1" t="s">
        <v>967</v>
      </c>
      <c r="I109" s="1" t="s">
        <v>933</v>
      </c>
      <c r="J109" s="1" t="s">
        <v>66</v>
      </c>
      <c r="K109" s="1" t="s">
        <v>66</v>
      </c>
      <c r="L109" s="1" t="s">
        <v>1155</v>
      </c>
      <c r="M109" s="3">
        <v>45854</v>
      </c>
      <c r="N109" s="1" t="s">
        <v>57</v>
      </c>
      <c r="O109" s="1" t="s">
        <v>936</v>
      </c>
      <c r="P109" s="1">
        <v>1</v>
      </c>
    </row>
    <row r="110" spans="1:16" x14ac:dyDescent="0.25">
      <c r="A110" s="3">
        <v>45853</v>
      </c>
      <c r="B110" s="1">
        <v>26</v>
      </c>
      <c r="C110" s="2">
        <v>2500</v>
      </c>
      <c r="D110" s="1" t="s">
        <v>1156</v>
      </c>
      <c r="E110" s="1" t="s">
        <v>1157</v>
      </c>
      <c r="F110" s="1" t="s">
        <v>955</v>
      </c>
      <c r="G110" s="1" t="s">
        <v>950</v>
      </c>
      <c r="H110" s="3">
        <v>45868</v>
      </c>
      <c r="I110" s="1" t="s">
        <v>933</v>
      </c>
      <c r="J110" s="1" t="s">
        <v>951</v>
      </c>
      <c r="K110" s="1" t="s">
        <v>340</v>
      </c>
      <c r="L110" s="1" t="s">
        <v>1158</v>
      </c>
      <c r="M110" s="3">
        <v>45855</v>
      </c>
      <c r="N110" s="1" t="s">
        <v>821</v>
      </c>
      <c r="O110" s="1" t="s">
        <v>932</v>
      </c>
      <c r="P110" s="1">
        <v>1</v>
      </c>
    </row>
    <row r="111" spans="1:16" x14ac:dyDescent="0.25">
      <c r="A111" s="3">
        <v>45853</v>
      </c>
      <c r="B111" s="1">
        <v>126</v>
      </c>
      <c r="C111" s="2">
        <v>11336</v>
      </c>
      <c r="D111" s="1" t="s">
        <v>1034</v>
      </c>
      <c r="E111" s="1" t="s">
        <v>1035</v>
      </c>
      <c r="F111" s="1" t="s">
        <v>753</v>
      </c>
      <c r="G111" s="1" t="s">
        <v>1029</v>
      </c>
      <c r="H111" s="3">
        <v>45881</v>
      </c>
      <c r="I111" s="1" t="s">
        <v>933</v>
      </c>
      <c r="J111" s="1" t="s">
        <v>66</v>
      </c>
      <c r="K111" s="1" t="s">
        <v>340</v>
      </c>
      <c r="L111" s="1" t="s">
        <v>1159</v>
      </c>
      <c r="M111" s="3">
        <v>45862</v>
      </c>
      <c r="N111" s="1" t="s">
        <v>57</v>
      </c>
      <c r="O111" s="1" t="s">
        <v>932</v>
      </c>
      <c r="P111" s="1">
        <v>1</v>
      </c>
    </row>
    <row r="112" spans="1:16" x14ac:dyDescent="0.25">
      <c r="A112" s="3">
        <v>45853</v>
      </c>
      <c r="B112" s="4">
        <v>1540</v>
      </c>
      <c r="C112" s="5">
        <v>237</v>
      </c>
      <c r="D112" s="1" t="s">
        <v>953</v>
      </c>
      <c r="E112" s="1" t="s">
        <v>954</v>
      </c>
      <c r="F112" s="1" t="s">
        <v>955</v>
      </c>
      <c r="G112" s="1" t="s">
        <v>950</v>
      </c>
      <c r="H112" s="1" t="s">
        <v>967</v>
      </c>
      <c r="I112" s="1" t="s">
        <v>933</v>
      </c>
      <c r="J112" s="1" t="s">
        <v>951</v>
      </c>
      <c r="K112" s="1" t="s">
        <v>20</v>
      </c>
      <c r="L112" s="1" t="s">
        <v>1160</v>
      </c>
      <c r="M112" s="3">
        <v>45862</v>
      </c>
      <c r="N112" s="1" t="s">
        <v>821</v>
      </c>
      <c r="O112" s="1" t="s">
        <v>936</v>
      </c>
      <c r="P112" s="1">
        <v>1</v>
      </c>
    </row>
    <row r="113" spans="1:16" x14ac:dyDescent="0.25">
      <c r="A113" s="3">
        <v>45853</v>
      </c>
      <c r="B113" s="1">
        <v>900</v>
      </c>
      <c r="C113" s="5">
        <v>40</v>
      </c>
      <c r="D113" s="1" t="s">
        <v>1090</v>
      </c>
      <c r="E113" s="1" t="s">
        <v>1091</v>
      </c>
      <c r="F113" s="1" t="s">
        <v>949</v>
      </c>
      <c r="G113" s="1" t="s">
        <v>940</v>
      </c>
      <c r="H113" s="1" t="s">
        <v>967</v>
      </c>
      <c r="I113" s="1" t="s">
        <v>933</v>
      </c>
      <c r="J113" s="1" t="s">
        <v>951</v>
      </c>
      <c r="K113" s="1" t="s">
        <v>20</v>
      </c>
      <c r="L113" s="1" t="s">
        <v>1161</v>
      </c>
      <c r="M113" s="3">
        <v>45862</v>
      </c>
      <c r="N113" s="1" t="s">
        <v>821</v>
      </c>
      <c r="O113" s="1" t="s">
        <v>936</v>
      </c>
      <c r="P113" s="1">
        <v>1</v>
      </c>
    </row>
    <row r="114" spans="1:16" x14ac:dyDescent="0.25">
      <c r="A114" s="3">
        <v>45853</v>
      </c>
      <c r="B114" s="4">
        <v>29726</v>
      </c>
      <c r="C114" s="5">
        <v>59.9</v>
      </c>
      <c r="D114" s="1" t="s">
        <v>961</v>
      </c>
      <c r="E114" s="1" t="s">
        <v>1162</v>
      </c>
      <c r="F114" s="1" t="s">
        <v>966</v>
      </c>
      <c r="G114" s="1" t="s">
        <v>940</v>
      </c>
      <c r="H114" s="1" t="s">
        <v>967</v>
      </c>
      <c r="I114" s="1" t="s">
        <v>933</v>
      </c>
      <c r="J114" s="1" t="s">
        <v>951</v>
      </c>
      <c r="K114" s="1" t="s">
        <v>20</v>
      </c>
      <c r="L114" s="1" t="s">
        <v>1163</v>
      </c>
      <c r="M114" s="3">
        <v>45862</v>
      </c>
      <c r="N114" s="1" t="s">
        <v>821</v>
      </c>
      <c r="O114" s="1" t="s">
        <v>936</v>
      </c>
      <c r="P114" s="1">
        <v>1</v>
      </c>
    </row>
    <row r="115" spans="1:16" x14ac:dyDescent="0.25">
      <c r="A115" s="3">
        <v>45853</v>
      </c>
      <c r="B115" s="4">
        <v>5619</v>
      </c>
      <c r="C115" s="5">
        <v>59.7</v>
      </c>
      <c r="D115" s="1" t="s">
        <v>1008</v>
      </c>
      <c r="E115" s="1" t="s">
        <v>1009</v>
      </c>
      <c r="F115" s="1" t="s">
        <v>966</v>
      </c>
      <c r="G115" s="1" t="s">
        <v>950</v>
      </c>
      <c r="H115" s="1" t="s">
        <v>967</v>
      </c>
      <c r="I115" s="1" t="s">
        <v>933</v>
      </c>
      <c r="J115" s="1" t="s">
        <v>951</v>
      </c>
      <c r="K115" s="1" t="s">
        <v>934</v>
      </c>
      <c r="L115" s="1" t="s">
        <v>1164</v>
      </c>
      <c r="M115" s="3">
        <v>45862</v>
      </c>
      <c r="N115" s="1" t="s">
        <v>821</v>
      </c>
      <c r="O115" s="1" t="s">
        <v>936</v>
      </c>
      <c r="P115" s="1">
        <v>1</v>
      </c>
    </row>
    <row r="116" spans="1:16" x14ac:dyDescent="0.25">
      <c r="A116" s="3">
        <v>45853</v>
      </c>
      <c r="B116" s="1">
        <v>52</v>
      </c>
      <c r="C116" s="5">
        <v>2000</v>
      </c>
      <c r="D116" s="1" t="s">
        <v>1165</v>
      </c>
      <c r="E116" s="1" t="s">
        <v>1166</v>
      </c>
      <c r="F116" s="1" t="s">
        <v>66</v>
      </c>
      <c r="G116" s="1" t="s">
        <v>1082</v>
      </c>
      <c r="H116" s="1" t="s">
        <v>967</v>
      </c>
      <c r="I116" s="1" t="s">
        <v>933</v>
      </c>
      <c r="J116" s="1" t="s">
        <v>66</v>
      </c>
      <c r="K116" s="1" t="s">
        <v>640</v>
      </c>
      <c r="L116" s="1" t="s">
        <v>1167</v>
      </c>
      <c r="M116" s="3">
        <v>45862</v>
      </c>
      <c r="N116" s="1" t="s">
        <v>821</v>
      </c>
      <c r="O116" s="1" t="s">
        <v>936</v>
      </c>
      <c r="P116" s="1">
        <v>1</v>
      </c>
    </row>
    <row r="117" spans="1:16" x14ac:dyDescent="0.25">
      <c r="A117" s="3">
        <v>45853</v>
      </c>
      <c r="B117" s="4">
        <v>1539</v>
      </c>
      <c r="C117" s="5">
        <v>142</v>
      </c>
      <c r="D117" s="1" t="s">
        <v>953</v>
      </c>
      <c r="E117" s="1" t="s">
        <v>954</v>
      </c>
      <c r="F117" s="1" t="s">
        <v>955</v>
      </c>
      <c r="G117" s="1" t="s">
        <v>940</v>
      </c>
      <c r="H117" s="1" t="s">
        <v>967</v>
      </c>
      <c r="I117" s="1" t="s">
        <v>933</v>
      </c>
      <c r="J117" s="1" t="s">
        <v>951</v>
      </c>
      <c r="K117" s="1" t="s">
        <v>20</v>
      </c>
      <c r="L117" s="1" t="s">
        <v>1168</v>
      </c>
      <c r="M117" s="3">
        <v>45862</v>
      </c>
      <c r="N117" s="1" t="s">
        <v>821</v>
      </c>
      <c r="O117" s="1" t="s">
        <v>936</v>
      </c>
      <c r="P117" s="1">
        <v>1</v>
      </c>
    </row>
    <row r="118" spans="1:16" x14ac:dyDescent="0.25">
      <c r="A118" s="3">
        <v>45853</v>
      </c>
      <c r="B118" s="4">
        <v>16469</v>
      </c>
      <c r="C118" s="5">
        <v>153.19999999999999</v>
      </c>
      <c r="D118" s="1" t="s">
        <v>961</v>
      </c>
      <c r="E118" s="1" t="s">
        <v>1162</v>
      </c>
      <c r="F118" s="1" t="s">
        <v>955</v>
      </c>
      <c r="G118" s="1" t="s">
        <v>940</v>
      </c>
      <c r="H118" s="1" t="s">
        <v>967</v>
      </c>
      <c r="I118" s="1" t="s">
        <v>933</v>
      </c>
      <c r="J118" s="1" t="s">
        <v>951</v>
      </c>
      <c r="K118" s="1" t="s">
        <v>20</v>
      </c>
      <c r="L118" s="1" t="s">
        <v>1169</v>
      </c>
      <c r="M118" s="3">
        <v>45862</v>
      </c>
      <c r="N118" s="1" t="s">
        <v>821</v>
      </c>
      <c r="O118" s="1" t="s">
        <v>936</v>
      </c>
      <c r="P118" s="1">
        <v>1</v>
      </c>
    </row>
    <row r="119" spans="1:16" x14ac:dyDescent="0.25">
      <c r="A119" s="3">
        <v>45854</v>
      </c>
      <c r="B119" s="4">
        <v>2315</v>
      </c>
      <c r="C119" s="1">
        <v>250</v>
      </c>
      <c r="D119" s="1" t="s">
        <v>1170</v>
      </c>
      <c r="E119" s="1" t="s">
        <v>1171</v>
      </c>
      <c r="F119" s="1" t="s">
        <v>713</v>
      </c>
      <c r="G119" s="1" t="s">
        <v>940</v>
      </c>
      <c r="H119" s="1" t="s">
        <v>1083</v>
      </c>
      <c r="I119" s="1" t="s">
        <v>933</v>
      </c>
      <c r="J119" s="1" t="s">
        <v>66</v>
      </c>
      <c r="K119" s="1" t="s">
        <v>340</v>
      </c>
      <c r="L119" s="1" t="s">
        <v>1172</v>
      </c>
      <c r="M119" s="3">
        <v>45855</v>
      </c>
      <c r="N119" s="1" t="s">
        <v>712</v>
      </c>
      <c r="O119" s="1" t="s">
        <v>1031</v>
      </c>
      <c r="P119" s="1">
        <v>1</v>
      </c>
    </row>
    <row r="120" spans="1:16" x14ac:dyDescent="0.25">
      <c r="A120" s="3">
        <v>45854</v>
      </c>
      <c r="B120" s="1">
        <v>372</v>
      </c>
      <c r="C120" s="2">
        <v>1000</v>
      </c>
      <c r="D120" s="1" t="s">
        <v>975</v>
      </c>
      <c r="E120" s="1" t="s">
        <v>976</v>
      </c>
      <c r="F120" s="1" t="s">
        <v>955</v>
      </c>
      <c r="G120" s="1" t="s">
        <v>940</v>
      </c>
      <c r="H120" s="3">
        <v>45882</v>
      </c>
      <c r="I120" s="1" t="s">
        <v>933</v>
      </c>
      <c r="J120" s="1" t="s">
        <v>951</v>
      </c>
      <c r="K120" s="1" t="s">
        <v>640</v>
      </c>
      <c r="L120" s="1" t="s">
        <v>1173</v>
      </c>
      <c r="M120" s="3">
        <v>45855</v>
      </c>
      <c r="N120" s="1" t="s">
        <v>821</v>
      </c>
      <c r="O120" s="1" t="s">
        <v>936</v>
      </c>
      <c r="P120" s="1" t="s">
        <v>937</v>
      </c>
    </row>
    <row r="121" spans="1:16" x14ac:dyDescent="0.25">
      <c r="A121" s="3">
        <v>45854</v>
      </c>
      <c r="B121" s="4">
        <v>80436</v>
      </c>
      <c r="C121" s="5">
        <v>276.49</v>
      </c>
      <c r="D121" s="1" t="s">
        <v>1174</v>
      </c>
      <c r="E121" s="1" t="s">
        <v>1175</v>
      </c>
      <c r="F121" s="1" t="s">
        <v>844</v>
      </c>
      <c r="G121" s="1" t="s">
        <v>940</v>
      </c>
      <c r="H121" s="1" t="s">
        <v>967</v>
      </c>
      <c r="I121" s="1" t="s">
        <v>933</v>
      </c>
      <c r="J121" s="1" t="s">
        <v>66</v>
      </c>
      <c r="K121" s="1" t="s">
        <v>340</v>
      </c>
      <c r="L121" s="1" t="s">
        <v>1176</v>
      </c>
      <c r="M121" s="3">
        <v>45855</v>
      </c>
      <c r="N121" s="1" t="s">
        <v>836</v>
      </c>
      <c r="O121" s="1" t="s">
        <v>936</v>
      </c>
      <c r="P121" s="1" t="s">
        <v>937</v>
      </c>
    </row>
    <row r="122" spans="1:16" x14ac:dyDescent="0.25">
      <c r="A122" s="3">
        <v>45854</v>
      </c>
      <c r="B122" s="4">
        <v>16479</v>
      </c>
      <c r="C122" s="5">
        <v>1432.9</v>
      </c>
      <c r="D122" s="1" t="s">
        <v>961</v>
      </c>
      <c r="E122" s="1" t="s">
        <v>1162</v>
      </c>
      <c r="F122" s="1" t="s">
        <v>949</v>
      </c>
      <c r="G122" s="1" t="s">
        <v>950</v>
      </c>
      <c r="H122" s="1" t="s">
        <v>967</v>
      </c>
      <c r="I122" s="1" t="s">
        <v>933</v>
      </c>
      <c r="J122" s="1" t="s">
        <v>951</v>
      </c>
      <c r="K122" s="1" t="s">
        <v>20</v>
      </c>
      <c r="L122" s="1" t="s">
        <v>1177</v>
      </c>
      <c r="M122" s="3">
        <v>45855</v>
      </c>
      <c r="N122" s="1" t="s">
        <v>821</v>
      </c>
      <c r="O122" s="1" t="s">
        <v>936</v>
      </c>
      <c r="P122" s="1">
        <v>1</v>
      </c>
    </row>
    <row r="123" spans="1:16" x14ac:dyDescent="0.25">
      <c r="A123" s="3">
        <v>45854</v>
      </c>
      <c r="B123" s="4">
        <v>315577</v>
      </c>
      <c r="C123" s="5">
        <v>154</v>
      </c>
      <c r="D123" s="1" t="s">
        <v>992</v>
      </c>
      <c r="E123" s="1" t="s">
        <v>993</v>
      </c>
      <c r="F123" s="1" t="s">
        <v>949</v>
      </c>
      <c r="G123" s="1" t="s">
        <v>950</v>
      </c>
      <c r="H123" s="1" t="s">
        <v>967</v>
      </c>
      <c r="I123" s="1" t="s">
        <v>933</v>
      </c>
      <c r="J123" s="1" t="s">
        <v>951</v>
      </c>
      <c r="K123" s="1" t="s">
        <v>817</v>
      </c>
      <c r="L123" s="1" t="s">
        <v>1178</v>
      </c>
      <c r="M123" s="3">
        <v>45855</v>
      </c>
      <c r="N123" s="1" t="s">
        <v>821</v>
      </c>
      <c r="O123" s="1" t="s">
        <v>936</v>
      </c>
      <c r="P123" s="1">
        <v>1</v>
      </c>
    </row>
    <row r="124" spans="1:16" x14ac:dyDescent="0.25">
      <c r="A124" s="3">
        <v>45854</v>
      </c>
      <c r="B124" s="4">
        <v>315578</v>
      </c>
      <c r="C124" s="5">
        <v>135.09</v>
      </c>
      <c r="D124" s="1" t="s">
        <v>992</v>
      </c>
      <c r="E124" s="1" t="s">
        <v>993</v>
      </c>
      <c r="F124" s="1" t="s">
        <v>955</v>
      </c>
      <c r="G124" s="1" t="s">
        <v>950</v>
      </c>
      <c r="H124" s="1" t="s">
        <v>967</v>
      </c>
      <c r="I124" s="1" t="s">
        <v>933</v>
      </c>
      <c r="J124" s="1" t="s">
        <v>951</v>
      </c>
      <c r="K124" s="1" t="s">
        <v>977</v>
      </c>
      <c r="L124" s="1" t="s">
        <v>1114</v>
      </c>
      <c r="M124" s="3">
        <v>45855</v>
      </c>
      <c r="N124" s="1" t="s">
        <v>821</v>
      </c>
      <c r="O124" s="1" t="s">
        <v>936</v>
      </c>
      <c r="P124" s="1">
        <v>1</v>
      </c>
    </row>
    <row r="125" spans="1:16" x14ac:dyDescent="0.25">
      <c r="A125" s="3">
        <v>45855</v>
      </c>
      <c r="B125" s="4">
        <v>3246</v>
      </c>
      <c r="C125" s="5">
        <v>250</v>
      </c>
      <c r="D125" s="1" t="s">
        <v>1179</v>
      </c>
      <c r="E125" s="1" t="s">
        <v>1180</v>
      </c>
      <c r="F125" s="1" t="s">
        <v>245</v>
      </c>
      <c r="G125" s="1" t="s">
        <v>940</v>
      </c>
      <c r="H125" s="1" t="s">
        <v>967</v>
      </c>
      <c r="I125" s="1" t="s">
        <v>1100</v>
      </c>
      <c r="J125" s="1" t="s">
        <v>66</v>
      </c>
      <c r="K125" s="1" t="s">
        <v>340</v>
      </c>
      <c r="L125" s="1" t="s">
        <v>1181</v>
      </c>
      <c r="M125" s="3">
        <v>45855</v>
      </c>
      <c r="N125" s="1" t="s">
        <v>57</v>
      </c>
      <c r="O125" s="1" t="s">
        <v>936</v>
      </c>
      <c r="P125" s="1">
        <v>1</v>
      </c>
    </row>
    <row r="126" spans="1:16" x14ac:dyDescent="0.25">
      <c r="A126" s="3">
        <v>45855</v>
      </c>
      <c r="B126" s="4">
        <v>2246</v>
      </c>
      <c r="C126" s="2">
        <v>1170</v>
      </c>
      <c r="D126" s="1" t="s">
        <v>1182</v>
      </c>
      <c r="E126" s="1" t="s">
        <v>1183</v>
      </c>
      <c r="F126" s="1" t="s">
        <v>66</v>
      </c>
      <c r="G126" s="1" t="s">
        <v>940</v>
      </c>
      <c r="H126" s="3">
        <v>45883</v>
      </c>
      <c r="I126" s="1" t="s">
        <v>933</v>
      </c>
      <c r="J126" s="1" t="s">
        <v>66</v>
      </c>
      <c r="K126" s="1" t="s">
        <v>487</v>
      </c>
      <c r="L126" s="1" t="s">
        <v>1184</v>
      </c>
      <c r="M126" s="3">
        <v>45855</v>
      </c>
      <c r="N126" s="1" t="s">
        <v>821</v>
      </c>
      <c r="O126" s="1" t="s">
        <v>936</v>
      </c>
      <c r="P126" s="1">
        <v>1</v>
      </c>
    </row>
    <row r="127" spans="1:16" x14ac:dyDescent="0.25">
      <c r="A127" s="3">
        <v>45855</v>
      </c>
      <c r="B127" s="4">
        <v>92641</v>
      </c>
      <c r="C127" s="2">
        <v>22600</v>
      </c>
      <c r="D127" s="1" t="s">
        <v>1094</v>
      </c>
      <c r="E127" s="1" t="s">
        <v>1095</v>
      </c>
      <c r="F127" s="1" t="s">
        <v>304</v>
      </c>
      <c r="G127" s="1" t="s">
        <v>998</v>
      </c>
      <c r="H127" s="3">
        <v>45887</v>
      </c>
      <c r="I127" s="1" t="s">
        <v>933</v>
      </c>
      <c r="J127" s="1" t="s">
        <v>66</v>
      </c>
      <c r="K127" s="1" t="s">
        <v>996</v>
      </c>
      <c r="L127" s="4">
        <v>4000</v>
      </c>
      <c r="M127" s="3">
        <v>45855</v>
      </c>
      <c r="N127" s="1" t="s">
        <v>57</v>
      </c>
      <c r="O127" s="1" t="s">
        <v>998</v>
      </c>
      <c r="P127" s="1">
        <v>1</v>
      </c>
    </row>
    <row r="128" spans="1:16" x14ac:dyDescent="0.25">
      <c r="A128" s="3">
        <v>45855</v>
      </c>
      <c r="B128" s="4">
        <v>11101</v>
      </c>
      <c r="C128" s="5">
        <v>38</v>
      </c>
      <c r="D128" s="1" t="s">
        <v>1185</v>
      </c>
      <c r="E128" s="1" t="s">
        <v>1052</v>
      </c>
      <c r="F128" s="1" t="s">
        <v>966</v>
      </c>
      <c r="G128" s="1" t="s">
        <v>950</v>
      </c>
      <c r="H128" s="1" t="s">
        <v>967</v>
      </c>
      <c r="I128" s="1" t="s">
        <v>933</v>
      </c>
      <c r="J128" s="1" t="s">
        <v>951</v>
      </c>
      <c r="K128" s="1" t="s">
        <v>340</v>
      </c>
      <c r="L128" s="1" t="s">
        <v>1186</v>
      </c>
      <c r="M128" s="3">
        <v>45855</v>
      </c>
      <c r="N128" s="1" t="s">
        <v>821</v>
      </c>
      <c r="O128" s="1" t="s">
        <v>936</v>
      </c>
      <c r="P128" s="1">
        <v>1</v>
      </c>
    </row>
    <row r="129" spans="1:16" x14ac:dyDescent="0.25">
      <c r="A129" s="3">
        <v>45855</v>
      </c>
      <c r="B129" s="1">
        <v>81</v>
      </c>
      <c r="C129" s="2">
        <v>3000</v>
      </c>
      <c r="D129" s="1" t="s">
        <v>1187</v>
      </c>
      <c r="E129" s="1" t="s">
        <v>1188</v>
      </c>
      <c r="F129" s="1" t="s">
        <v>949</v>
      </c>
      <c r="G129" s="1" t="s">
        <v>1029</v>
      </c>
      <c r="H129" s="1" t="s">
        <v>1189</v>
      </c>
      <c r="I129" s="1" t="s">
        <v>933</v>
      </c>
      <c r="J129" s="1" t="s">
        <v>951</v>
      </c>
      <c r="K129" s="1" t="s">
        <v>340</v>
      </c>
      <c r="L129" s="1" t="s">
        <v>1190</v>
      </c>
      <c r="M129" s="3">
        <v>45855</v>
      </c>
      <c r="N129" s="1" t="s">
        <v>821</v>
      </c>
      <c r="O129" s="1" t="s">
        <v>936</v>
      </c>
      <c r="P129" s="1" t="s">
        <v>937</v>
      </c>
    </row>
    <row r="130" spans="1:16" x14ac:dyDescent="0.25">
      <c r="A130" s="3">
        <v>45855</v>
      </c>
      <c r="B130" s="1">
        <v>82</v>
      </c>
      <c r="C130" s="2">
        <v>4569.6099999999997</v>
      </c>
      <c r="D130" s="1" t="s">
        <v>1187</v>
      </c>
      <c r="E130" s="1" t="s">
        <v>1188</v>
      </c>
      <c r="F130" s="1" t="s">
        <v>949</v>
      </c>
      <c r="G130" s="1" t="s">
        <v>1029</v>
      </c>
      <c r="H130" s="1" t="s">
        <v>1191</v>
      </c>
      <c r="I130" s="1" t="s">
        <v>933</v>
      </c>
      <c r="J130" s="1" t="s">
        <v>951</v>
      </c>
      <c r="K130" s="1" t="s">
        <v>340</v>
      </c>
      <c r="L130" s="1" t="s">
        <v>1190</v>
      </c>
      <c r="M130" s="3">
        <v>45855</v>
      </c>
      <c r="N130" s="1" t="s">
        <v>821</v>
      </c>
      <c r="O130" s="1" t="s">
        <v>936</v>
      </c>
      <c r="P130" s="1" t="s">
        <v>937</v>
      </c>
    </row>
    <row r="131" spans="1:16" x14ac:dyDescent="0.25">
      <c r="A131" s="3">
        <v>45855</v>
      </c>
      <c r="B131" s="4">
        <v>649634</v>
      </c>
      <c r="C131" s="5">
        <v>130.08000000000001</v>
      </c>
      <c r="D131" s="1"/>
      <c r="E131" s="1"/>
      <c r="F131" s="1" t="s">
        <v>955</v>
      </c>
      <c r="G131" s="1" t="s">
        <v>950</v>
      </c>
      <c r="H131" s="1" t="s">
        <v>967</v>
      </c>
      <c r="I131" s="1" t="s">
        <v>933</v>
      </c>
      <c r="J131" s="1" t="s">
        <v>951</v>
      </c>
      <c r="K131" s="1" t="s">
        <v>977</v>
      </c>
      <c r="L131" s="1" t="s">
        <v>1114</v>
      </c>
      <c r="M131" s="3">
        <v>45855</v>
      </c>
      <c r="N131" s="1" t="s">
        <v>821</v>
      </c>
      <c r="O131" s="1" t="s">
        <v>936</v>
      </c>
      <c r="P131" s="1" t="s">
        <v>937</v>
      </c>
    </row>
    <row r="132" spans="1:16" x14ac:dyDescent="0.25">
      <c r="A132" s="3">
        <v>45855</v>
      </c>
      <c r="B132" s="4">
        <v>1550</v>
      </c>
      <c r="C132" s="5">
        <v>195</v>
      </c>
      <c r="D132" s="1" t="s">
        <v>953</v>
      </c>
      <c r="E132" s="1" t="s">
        <v>1192</v>
      </c>
      <c r="F132" s="1" t="s">
        <v>966</v>
      </c>
      <c r="G132" s="1" t="s">
        <v>950</v>
      </c>
      <c r="H132" s="1" t="s">
        <v>967</v>
      </c>
      <c r="I132" s="1" t="s">
        <v>933</v>
      </c>
      <c r="J132" s="1" t="s">
        <v>951</v>
      </c>
      <c r="K132" s="1" t="s">
        <v>340</v>
      </c>
      <c r="L132" s="1" t="s">
        <v>1193</v>
      </c>
      <c r="M132" s="3">
        <v>45855</v>
      </c>
      <c r="N132" s="1" t="s">
        <v>821</v>
      </c>
      <c r="O132" s="1" t="s">
        <v>936</v>
      </c>
      <c r="P132" s="1">
        <v>1</v>
      </c>
    </row>
    <row r="133" spans="1:16" x14ac:dyDescent="0.25">
      <c r="A133" s="3">
        <v>45855</v>
      </c>
      <c r="B133" s="4">
        <v>225832</v>
      </c>
      <c r="C133" s="5">
        <v>228.81</v>
      </c>
      <c r="D133" s="1" t="s">
        <v>1194</v>
      </c>
      <c r="E133" s="1" t="s">
        <v>1195</v>
      </c>
      <c r="F133" s="1" t="s">
        <v>955</v>
      </c>
      <c r="G133" s="1" t="s">
        <v>950</v>
      </c>
      <c r="H133" s="1" t="s">
        <v>941</v>
      </c>
      <c r="I133" s="1" t="s">
        <v>933</v>
      </c>
      <c r="J133" s="1" t="s">
        <v>951</v>
      </c>
      <c r="K133" s="1" t="s">
        <v>817</v>
      </c>
      <c r="L133" s="1" t="s">
        <v>1196</v>
      </c>
      <c r="M133" s="3">
        <v>45880</v>
      </c>
      <c r="N133" s="1" t="s">
        <v>821</v>
      </c>
      <c r="O133" s="1" t="s">
        <v>998</v>
      </c>
      <c r="P133" s="1">
        <v>1</v>
      </c>
    </row>
    <row r="134" spans="1:16" x14ac:dyDescent="0.25">
      <c r="A134" s="3">
        <v>45856</v>
      </c>
      <c r="B134" s="1">
        <v>16</v>
      </c>
      <c r="C134" s="2">
        <v>1050</v>
      </c>
      <c r="D134" s="1" t="s">
        <v>1197</v>
      </c>
      <c r="E134" s="1" t="s">
        <v>1198</v>
      </c>
      <c r="F134" s="1" t="s">
        <v>710</v>
      </c>
      <c r="G134" s="1" t="s">
        <v>940</v>
      </c>
      <c r="H134" s="3">
        <v>45859</v>
      </c>
      <c r="I134" s="1" t="s">
        <v>933</v>
      </c>
      <c r="J134" s="1" t="s">
        <v>66</v>
      </c>
      <c r="K134" s="1" t="s">
        <v>340</v>
      </c>
      <c r="L134" s="1" t="s">
        <v>1199</v>
      </c>
      <c r="M134" s="3">
        <v>45859</v>
      </c>
      <c r="N134" s="1" t="s">
        <v>712</v>
      </c>
      <c r="O134" s="1" t="s">
        <v>936</v>
      </c>
      <c r="P134" s="1">
        <v>1</v>
      </c>
    </row>
    <row r="135" spans="1:16" x14ac:dyDescent="0.25">
      <c r="A135" s="3">
        <v>45856</v>
      </c>
      <c r="B135" s="1">
        <v>15</v>
      </c>
      <c r="C135" s="2">
        <v>1370</v>
      </c>
      <c r="D135" s="1" t="s">
        <v>1197</v>
      </c>
      <c r="E135" s="1" t="s">
        <v>1198</v>
      </c>
      <c r="F135" s="1" t="s">
        <v>715</v>
      </c>
      <c r="G135" s="1" t="s">
        <v>940</v>
      </c>
      <c r="H135" s="3">
        <v>45859</v>
      </c>
      <c r="I135" s="1" t="s">
        <v>933</v>
      </c>
      <c r="J135" s="1" t="s">
        <v>66</v>
      </c>
      <c r="K135" s="1" t="s">
        <v>340</v>
      </c>
      <c r="L135" s="1" t="s">
        <v>1199</v>
      </c>
      <c r="M135" s="3">
        <v>45859</v>
      </c>
      <c r="N135" s="1" t="s">
        <v>712</v>
      </c>
      <c r="O135" s="1" t="s">
        <v>936</v>
      </c>
      <c r="P135" s="1">
        <v>1</v>
      </c>
    </row>
    <row r="136" spans="1:16" x14ac:dyDescent="0.25">
      <c r="A136" s="3">
        <v>45856</v>
      </c>
      <c r="B136" s="1">
        <v>39</v>
      </c>
      <c r="C136" s="2">
        <v>2640</v>
      </c>
      <c r="D136" s="1" t="s">
        <v>1200</v>
      </c>
      <c r="E136" s="1" t="s">
        <v>1201</v>
      </c>
      <c r="F136" s="1" t="s">
        <v>715</v>
      </c>
      <c r="G136" s="1" t="s">
        <v>940</v>
      </c>
      <c r="H136" s="3">
        <v>45859</v>
      </c>
      <c r="I136" s="1" t="s">
        <v>933</v>
      </c>
      <c r="J136" s="1" t="s">
        <v>66</v>
      </c>
      <c r="K136" s="1" t="s">
        <v>340</v>
      </c>
      <c r="L136" s="1" t="s">
        <v>1202</v>
      </c>
      <c r="M136" s="3">
        <v>45859</v>
      </c>
      <c r="N136" s="1" t="s">
        <v>712</v>
      </c>
      <c r="O136" s="1" t="s">
        <v>936</v>
      </c>
      <c r="P136" s="1" t="s">
        <v>937</v>
      </c>
    </row>
    <row r="137" spans="1:16" x14ac:dyDescent="0.25">
      <c r="A137" s="3">
        <v>45856</v>
      </c>
      <c r="B137" s="4">
        <v>1503795</v>
      </c>
      <c r="C137" s="2">
        <v>1493.5</v>
      </c>
      <c r="D137" s="1" t="s">
        <v>821</v>
      </c>
      <c r="E137" s="1" t="s">
        <v>57</v>
      </c>
      <c r="F137" s="1" t="s">
        <v>949</v>
      </c>
      <c r="G137" s="1" t="s">
        <v>940</v>
      </c>
      <c r="H137" s="1" t="s">
        <v>1132</v>
      </c>
      <c r="I137" s="1" t="s">
        <v>933</v>
      </c>
      <c r="J137" s="1" t="s">
        <v>951</v>
      </c>
      <c r="K137" s="1" t="s">
        <v>340</v>
      </c>
      <c r="L137" s="1" t="s">
        <v>1203</v>
      </c>
      <c r="M137" s="3">
        <v>45859</v>
      </c>
      <c r="N137" s="1" t="s">
        <v>821</v>
      </c>
      <c r="O137" s="1" t="s">
        <v>936</v>
      </c>
      <c r="P137" s="1" t="s">
        <v>937</v>
      </c>
    </row>
    <row r="138" spans="1:16" x14ac:dyDescent="0.25">
      <c r="A138" s="3">
        <v>45856</v>
      </c>
      <c r="B138" s="4">
        <v>1502</v>
      </c>
      <c r="C138" s="5">
        <v>240</v>
      </c>
      <c r="D138" s="1" t="s">
        <v>938</v>
      </c>
      <c r="E138" s="1" t="s">
        <v>1137</v>
      </c>
      <c r="F138" s="1" t="s">
        <v>949</v>
      </c>
      <c r="G138" s="1" t="s">
        <v>940</v>
      </c>
      <c r="H138" s="1" t="s">
        <v>967</v>
      </c>
      <c r="I138" s="1" t="s">
        <v>933</v>
      </c>
      <c r="J138" s="1" t="s">
        <v>951</v>
      </c>
      <c r="K138" s="1" t="s">
        <v>340</v>
      </c>
      <c r="L138" s="1" t="s">
        <v>1204</v>
      </c>
      <c r="M138" s="3">
        <v>45859</v>
      </c>
      <c r="N138" s="1" t="s">
        <v>821</v>
      </c>
      <c r="O138" s="1" t="s">
        <v>936</v>
      </c>
      <c r="P138" s="1">
        <v>1</v>
      </c>
    </row>
    <row r="139" spans="1:16" x14ac:dyDescent="0.25">
      <c r="A139" s="3">
        <v>45856</v>
      </c>
      <c r="B139" s="1">
        <v>197</v>
      </c>
      <c r="C139" s="5">
        <v>170</v>
      </c>
      <c r="D139" s="1" t="s">
        <v>1090</v>
      </c>
      <c r="E139" s="1" t="s">
        <v>1091</v>
      </c>
      <c r="F139" s="1" t="s">
        <v>430</v>
      </c>
      <c r="G139" s="1" t="s">
        <v>940</v>
      </c>
      <c r="H139" s="1" t="s">
        <v>967</v>
      </c>
      <c r="I139" s="1" t="s">
        <v>933</v>
      </c>
      <c r="J139" s="1" t="s">
        <v>66</v>
      </c>
      <c r="K139" s="1" t="s">
        <v>340</v>
      </c>
      <c r="L139" s="1" t="s">
        <v>1205</v>
      </c>
      <c r="M139" s="3">
        <v>45859</v>
      </c>
      <c r="N139" s="1" t="s">
        <v>57</v>
      </c>
      <c r="O139" s="1" t="s">
        <v>936</v>
      </c>
      <c r="P139" s="1">
        <v>1</v>
      </c>
    </row>
    <row r="140" spans="1:16" x14ac:dyDescent="0.25">
      <c r="A140" s="3">
        <v>45857</v>
      </c>
      <c r="B140" s="4">
        <v>2610</v>
      </c>
      <c r="C140" s="2">
        <v>4334.3999999999996</v>
      </c>
      <c r="D140" s="1" t="s">
        <v>1206</v>
      </c>
      <c r="E140" s="1" t="s">
        <v>1207</v>
      </c>
      <c r="F140" s="1" t="s">
        <v>955</v>
      </c>
      <c r="G140" s="1" t="s">
        <v>940</v>
      </c>
      <c r="H140" s="3">
        <v>45871</v>
      </c>
      <c r="I140" s="1" t="s">
        <v>933</v>
      </c>
      <c r="J140" s="1" t="s">
        <v>951</v>
      </c>
      <c r="K140" s="1" t="s">
        <v>20</v>
      </c>
      <c r="L140" s="1" t="s">
        <v>1208</v>
      </c>
      <c r="M140" s="3">
        <v>45859</v>
      </c>
      <c r="N140" s="1" t="s">
        <v>821</v>
      </c>
      <c r="O140" s="1" t="s">
        <v>936</v>
      </c>
      <c r="P140" s="1">
        <v>1</v>
      </c>
    </row>
    <row r="141" spans="1:16" x14ac:dyDescent="0.25">
      <c r="A141" s="3">
        <v>45857</v>
      </c>
      <c r="B141" s="4">
        <v>4070</v>
      </c>
      <c r="C141" s="5">
        <v>66.180000000000007</v>
      </c>
      <c r="D141" s="1" t="s">
        <v>938</v>
      </c>
      <c r="E141" s="1" t="s">
        <v>1137</v>
      </c>
      <c r="F141" s="1" t="s">
        <v>304</v>
      </c>
      <c r="G141" s="1" t="s">
        <v>940</v>
      </c>
      <c r="H141" s="1" t="s">
        <v>967</v>
      </c>
      <c r="I141" s="1" t="s">
        <v>933</v>
      </c>
      <c r="J141" s="1" t="s">
        <v>66</v>
      </c>
      <c r="K141" s="1" t="s">
        <v>996</v>
      </c>
      <c r="L141" s="1" t="s">
        <v>1209</v>
      </c>
      <c r="M141" s="3">
        <v>45859</v>
      </c>
      <c r="N141" s="1" t="s">
        <v>57</v>
      </c>
      <c r="O141" s="1" t="s">
        <v>936</v>
      </c>
      <c r="P141" s="1">
        <v>1</v>
      </c>
    </row>
    <row r="142" spans="1:16" x14ac:dyDescent="0.25">
      <c r="A142" s="3">
        <v>45857</v>
      </c>
      <c r="B142" s="4">
        <v>12086</v>
      </c>
      <c r="C142" s="5">
        <v>154</v>
      </c>
      <c r="D142" s="1" t="s">
        <v>1064</v>
      </c>
      <c r="E142" s="1" t="s">
        <v>1042</v>
      </c>
      <c r="F142" s="1" t="s">
        <v>837</v>
      </c>
      <c r="G142" s="1" t="s">
        <v>940</v>
      </c>
      <c r="H142" s="1" t="s">
        <v>967</v>
      </c>
      <c r="I142" s="1" t="s">
        <v>933</v>
      </c>
      <c r="J142" s="1" t="s">
        <v>66</v>
      </c>
      <c r="K142" s="1" t="s">
        <v>340</v>
      </c>
      <c r="L142" s="1" t="s">
        <v>1210</v>
      </c>
      <c r="M142" s="3">
        <v>45859</v>
      </c>
      <c r="N142" s="1" t="s">
        <v>50</v>
      </c>
      <c r="O142" s="1" t="s">
        <v>936</v>
      </c>
      <c r="P142" s="1">
        <v>1</v>
      </c>
    </row>
    <row r="143" spans="1:16" x14ac:dyDescent="0.25">
      <c r="A143" s="3">
        <v>45857</v>
      </c>
      <c r="B143" s="4">
        <v>8761</v>
      </c>
      <c r="C143" s="5">
        <v>170</v>
      </c>
      <c r="D143" s="1" t="s">
        <v>1211</v>
      </c>
      <c r="E143" s="1" t="s">
        <v>1212</v>
      </c>
      <c r="F143" s="1" t="s">
        <v>304</v>
      </c>
      <c r="G143" s="1" t="s">
        <v>940</v>
      </c>
      <c r="H143" s="1" t="s">
        <v>967</v>
      </c>
      <c r="I143" s="1" t="s">
        <v>933</v>
      </c>
      <c r="J143" s="1" t="s">
        <v>66</v>
      </c>
      <c r="K143" s="1" t="s">
        <v>340</v>
      </c>
      <c r="L143" s="1" t="s">
        <v>1213</v>
      </c>
      <c r="M143" s="3">
        <v>45859</v>
      </c>
      <c r="N143" s="1" t="s">
        <v>57</v>
      </c>
      <c r="O143" s="1" t="s">
        <v>936</v>
      </c>
      <c r="P143" s="1">
        <v>1</v>
      </c>
    </row>
    <row r="144" spans="1:16" x14ac:dyDescent="0.25">
      <c r="A144" s="3">
        <v>45857</v>
      </c>
      <c r="B144" s="4">
        <v>12090</v>
      </c>
      <c r="C144" s="5">
        <v>378</v>
      </c>
      <c r="D144" s="1" t="s">
        <v>1064</v>
      </c>
      <c r="E144" s="1" t="s">
        <v>1042</v>
      </c>
      <c r="F144" s="1" t="s">
        <v>304</v>
      </c>
      <c r="G144" s="1" t="s">
        <v>940</v>
      </c>
      <c r="H144" s="1" t="s">
        <v>967</v>
      </c>
      <c r="I144" s="1" t="s">
        <v>933</v>
      </c>
      <c r="J144" s="1" t="s">
        <v>66</v>
      </c>
      <c r="K144" s="1" t="s">
        <v>996</v>
      </c>
      <c r="L144" s="1" t="s">
        <v>1214</v>
      </c>
      <c r="M144" s="3">
        <v>45859</v>
      </c>
      <c r="N144" s="1" t="s">
        <v>57</v>
      </c>
      <c r="O144" s="1" t="s">
        <v>936</v>
      </c>
      <c r="P144" s="1">
        <v>1</v>
      </c>
    </row>
    <row r="145" spans="1:16" x14ac:dyDescent="0.25">
      <c r="A145" s="3">
        <v>45857</v>
      </c>
      <c r="B145" s="4">
        <v>2976</v>
      </c>
      <c r="C145" s="5">
        <v>69.7</v>
      </c>
      <c r="D145" s="1" t="s">
        <v>961</v>
      </c>
      <c r="E145" s="1" t="s">
        <v>1162</v>
      </c>
      <c r="F145" s="1" t="s">
        <v>723</v>
      </c>
      <c r="G145" s="1" t="s">
        <v>940</v>
      </c>
      <c r="H145" s="1" t="s">
        <v>967</v>
      </c>
      <c r="I145" s="1" t="s">
        <v>933</v>
      </c>
      <c r="J145" s="1" t="s">
        <v>66</v>
      </c>
      <c r="K145" s="1" t="s">
        <v>340</v>
      </c>
      <c r="L145" s="1" t="s">
        <v>1215</v>
      </c>
      <c r="M145" s="3">
        <v>45859</v>
      </c>
      <c r="N145" s="1" t="s">
        <v>726</v>
      </c>
      <c r="O145" s="1" t="s">
        <v>936</v>
      </c>
      <c r="P145" s="1" t="s">
        <v>937</v>
      </c>
    </row>
    <row r="146" spans="1:16" x14ac:dyDescent="0.25">
      <c r="A146" s="3">
        <v>45857</v>
      </c>
      <c r="B146" s="4">
        <v>1391871</v>
      </c>
      <c r="C146" s="5">
        <v>250</v>
      </c>
      <c r="D146" s="1" t="s">
        <v>1216</v>
      </c>
      <c r="E146" s="1" t="s">
        <v>1217</v>
      </c>
      <c r="F146" s="1" t="s">
        <v>955</v>
      </c>
      <c r="G146" s="1" t="s">
        <v>950</v>
      </c>
      <c r="H146" s="1" t="s">
        <v>941</v>
      </c>
      <c r="I146" s="1" t="s">
        <v>933</v>
      </c>
      <c r="J146" s="1" t="s">
        <v>951</v>
      </c>
      <c r="K146" s="1" t="s">
        <v>817</v>
      </c>
      <c r="L146" s="1" t="s">
        <v>1218</v>
      </c>
      <c r="M146" s="3">
        <v>45880</v>
      </c>
      <c r="N146" s="1" t="s">
        <v>821</v>
      </c>
      <c r="O146" s="1" t="s">
        <v>998</v>
      </c>
      <c r="P146" s="1">
        <v>1</v>
      </c>
    </row>
    <row r="147" spans="1:16" x14ac:dyDescent="0.25">
      <c r="A147" s="3">
        <v>45858</v>
      </c>
      <c r="B147" s="4">
        <v>384423</v>
      </c>
      <c r="C147" s="5">
        <v>256.08999999999997</v>
      </c>
      <c r="D147" s="1" t="s">
        <v>1219</v>
      </c>
      <c r="E147" s="1" t="s">
        <v>1220</v>
      </c>
      <c r="F147" s="1" t="s">
        <v>955</v>
      </c>
      <c r="G147" s="1" t="s">
        <v>950</v>
      </c>
      <c r="H147" s="1" t="s">
        <v>967</v>
      </c>
      <c r="I147" s="1" t="s">
        <v>933</v>
      </c>
      <c r="J147" s="1" t="s">
        <v>951</v>
      </c>
      <c r="K147" s="1" t="s">
        <v>817</v>
      </c>
      <c r="L147" s="1" t="s">
        <v>1221</v>
      </c>
      <c r="M147" s="3">
        <v>45859</v>
      </c>
      <c r="N147" s="1" t="s">
        <v>821</v>
      </c>
      <c r="O147" s="1" t="s">
        <v>936</v>
      </c>
      <c r="P147" s="1">
        <v>1</v>
      </c>
    </row>
    <row r="148" spans="1:16" x14ac:dyDescent="0.25">
      <c r="A148" s="3">
        <v>45859</v>
      </c>
      <c r="B148" s="4">
        <v>92714</v>
      </c>
      <c r="C148" s="2">
        <v>22750</v>
      </c>
      <c r="D148" s="1" t="s">
        <v>1094</v>
      </c>
      <c r="E148" s="1" t="s">
        <v>1095</v>
      </c>
      <c r="F148" s="1" t="s">
        <v>304</v>
      </c>
      <c r="G148" s="1" t="s">
        <v>998</v>
      </c>
      <c r="H148" s="3">
        <v>45889</v>
      </c>
      <c r="I148" s="1" t="s">
        <v>933</v>
      </c>
      <c r="J148" s="1" t="s">
        <v>66</v>
      </c>
      <c r="K148" s="1" t="s">
        <v>996</v>
      </c>
      <c r="L148" s="4">
        <v>4000</v>
      </c>
      <c r="M148" s="3">
        <v>45859</v>
      </c>
      <c r="N148" s="1" t="s">
        <v>57</v>
      </c>
      <c r="O148" s="1" t="s">
        <v>998</v>
      </c>
      <c r="P148" s="1">
        <v>1</v>
      </c>
    </row>
    <row r="149" spans="1:16" x14ac:dyDescent="0.25">
      <c r="A149" s="3">
        <v>45859</v>
      </c>
      <c r="B149" s="1">
        <v>340</v>
      </c>
      <c r="C149" s="2">
        <v>4446.33</v>
      </c>
      <c r="D149" s="1" t="s">
        <v>1222</v>
      </c>
      <c r="E149" s="1" t="s">
        <v>1223</v>
      </c>
      <c r="F149" s="1" t="s">
        <v>717</v>
      </c>
      <c r="G149" s="1" t="s">
        <v>940</v>
      </c>
      <c r="H149" s="3">
        <v>45890</v>
      </c>
      <c r="I149" s="1" t="s">
        <v>933</v>
      </c>
      <c r="J149" s="1" t="s">
        <v>66</v>
      </c>
      <c r="K149" s="1" t="s">
        <v>340</v>
      </c>
      <c r="L149" s="1" t="s">
        <v>1150</v>
      </c>
      <c r="M149" s="3">
        <v>45862</v>
      </c>
      <c r="N149" s="1" t="s">
        <v>712</v>
      </c>
      <c r="O149" s="1" t="s">
        <v>936</v>
      </c>
      <c r="P149" s="1" t="s">
        <v>937</v>
      </c>
    </row>
    <row r="150" spans="1:16" x14ac:dyDescent="0.25">
      <c r="A150" s="3">
        <v>45859</v>
      </c>
      <c r="B150" s="4">
        <v>6793371</v>
      </c>
      <c r="C150" s="5">
        <v>826</v>
      </c>
      <c r="D150" s="1" t="s">
        <v>1224</v>
      </c>
      <c r="E150" s="1" t="s">
        <v>1225</v>
      </c>
      <c r="F150" s="1" t="s">
        <v>966</v>
      </c>
      <c r="G150" s="1" t="s">
        <v>940</v>
      </c>
      <c r="H150" s="1" t="s">
        <v>967</v>
      </c>
      <c r="I150" s="1" t="s">
        <v>933</v>
      </c>
      <c r="J150" s="1" t="s">
        <v>951</v>
      </c>
      <c r="K150" s="1" t="s">
        <v>640</v>
      </c>
      <c r="L150" s="1" t="s">
        <v>1226</v>
      </c>
      <c r="M150" s="3">
        <v>45862</v>
      </c>
      <c r="N150" s="1" t="s">
        <v>821</v>
      </c>
      <c r="O150" s="1" t="s">
        <v>936</v>
      </c>
      <c r="P150" s="1">
        <v>1</v>
      </c>
    </row>
    <row r="151" spans="1:16" x14ac:dyDescent="0.25">
      <c r="A151" s="3">
        <v>45859</v>
      </c>
      <c r="B151" s="1">
        <v>83</v>
      </c>
      <c r="C151" s="5">
        <v>250</v>
      </c>
      <c r="D151" s="1" t="s">
        <v>930</v>
      </c>
      <c r="E151" s="1" t="s">
        <v>1110</v>
      </c>
      <c r="F151" s="1" t="s">
        <v>955</v>
      </c>
      <c r="G151" s="1" t="s">
        <v>932</v>
      </c>
      <c r="H151" s="1" t="s">
        <v>967</v>
      </c>
      <c r="I151" s="1" t="s">
        <v>933</v>
      </c>
      <c r="J151" s="1" t="s">
        <v>951</v>
      </c>
      <c r="K151" s="1" t="s">
        <v>20</v>
      </c>
      <c r="L151" s="1" t="s">
        <v>1227</v>
      </c>
      <c r="M151" s="3">
        <v>45862</v>
      </c>
      <c r="N151" s="1" t="s">
        <v>821</v>
      </c>
      <c r="O151" s="1" t="s">
        <v>936</v>
      </c>
      <c r="P151" s="1" t="s">
        <v>937</v>
      </c>
    </row>
    <row r="152" spans="1:16" x14ac:dyDescent="0.25">
      <c r="A152" s="3">
        <v>45859</v>
      </c>
      <c r="B152" s="4">
        <v>316282</v>
      </c>
      <c r="C152" s="5">
        <v>283.01</v>
      </c>
      <c r="D152" s="1" t="s">
        <v>1228</v>
      </c>
      <c r="E152" s="1" t="s">
        <v>993</v>
      </c>
      <c r="F152" s="1" t="s">
        <v>966</v>
      </c>
      <c r="G152" s="1" t="s">
        <v>950</v>
      </c>
      <c r="H152" s="1" t="s">
        <v>967</v>
      </c>
      <c r="I152" s="1" t="s">
        <v>933</v>
      </c>
      <c r="J152" s="1" t="s">
        <v>951</v>
      </c>
      <c r="K152" s="1" t="s">
        <v>817</v>
      </c>
      <c r="L152" s="1" t="s">
        <v>1221</v>
      </c>
      <c r="M152" s="3">
        <v>45862</v>
      </c>
      <c r="N152" s="1" t="s">
        <v>821</v>
      </c>
      <c r="O152" s="1" t="s">
        <v>936</v>
      </c>
      <c r="P152" s="1">
        <v>1</v>
      </c>
    </row>
    <row r="153" spans="1:16" x14ac:dyDescent="0.25">
      <c r="A153" s="3">
        <v>45859</v>
      </c>
      <c r="B153" s="1">
        <v>42</v>
      </c>
      <c r="C153" s="5">
        <v>500</v>
      </c>
      <c r="D153" s="1" t="s">
        <v>1229</v>
      </c>
      <c r="E153" s="1" t="s">
        <v>1230</v>
      </c>
      <c r="F153" s="1" t="s">
        <v>723</v>
      </c>
      <c r="G153" s="1" t="s">
        <v>990</v>
      </c>
      <c r="H153" s="3">
        <v>45870</v>
      </c>
      <c r="I153" s="1" t="s">
        <v>933</v>
      </c>
      <c r="J153" s="1" t="s">
        <v>66</v>
      </c>
      <c r="K153" s="1" t="s">
        <v>340</v>
      </c>
      <c r="L153" s="1" t="s">
        <v>1231</v>
      </c>
      <c r="M153" s="3">
        <v>45862</v>
      </c>
      <c r="N153" s="1" t="s">
        <v>726</v>
      </c>
      <c r="O153" s="1" t="s">
        <v>990</v>
      </c>
      <c r="P153" s="1">
        <v>1</v>
      </c>
    </row>
    <row r="154" spans="1:16" x14ac:dyDescent="0.25">
      <c r="A154" s="3">
        <v>45859</v>
      </c>
      <c r="B154" s="1">
        <v>44</v>
      </c>
      <c r="C154" s="5">
        <v>488</v>
      </c>
      <c r="D154" s="1" t="s">
        <v>1229</v>
      </c>
      <c r="E154" s="1" t="s">
        <v>1230</v>
      </c>
      <c r="F154" s="1" t="s">
        <v>715</v>
      </c>
      <c r="G154" s="1" t="s">
        <v>990</v>
      </c>
      <c r="H154" s="3">
        <v>45870</v>
      </c>
      <c r="I154" s="1" t="s">
        <v>933</v>
      </c>
      <c r="J154" s="1" t="s">
        <v>66</v>
      </c>
      <c r="K154" s="1" t="s">
        <v>340</v>
      </c>
      <c r="L154" s="1" t="s">
        <v>1232</v>
      </c>
      <c r="M154" s="3">
        <v>45862</v>
      </c>
      <c r="N154" s="1" t="s">
        <v>712</v>
      </c>
      <c r="O154" s="1" t="s">
        <v>990</v>
      </c>
      <c r="P154" s="1">
        <v>1</v>
      </c>
    </row>
    <row r="155" spans="1:16" x14ac:dyDescent="0.25">
      <c r="A155" s="3">
        <v>45859</v>
      </c>
      <c r="B155" s="1">
        <v>45</v>
      </c>
      <c r="C155" s="5">
        <v>488</v>
      </c>
      <c r="D155" s="1" t="s">
        <v>1229</v>
      </c>
      <c r="E155" s="1" t="s">
        <v>1230</v>
      </c>
      <c r="F155" s="1" t="s">
        <v>717</v>
      </c>
      <c r="G155" s="1" t="s">
        <v>990</v>
      </c>
      <c r="H155" s="3">
        <v>45870</v>
      </c>
      <c r="I155" s="1" t="s">
        <v>933</v>
      </c>
      <c r="J155" s="1" t="s">
        <v>66</v>
      </c>
      <c r="K155" s="1" t="s">
        <v>340</v>
      </c>
      <c r="L155" s="1" t="s">
        <v>1231</v>
      </c>
      <c r="M155" s="3">
        <v>45862</v>
      </c>
      <c r="N155" s="1" t="s">
        <v>712</v>
      </c>
      <c r="O155" s="1" t="s">
        <v>990</v>
      </c>
      <c r="P155" s="1">
        <v>1</v>
      </c>
    </row>
    <row r="156" spans="1:16" x14ac:dyDescent="0.25">
      <c r="A156" s="3">
        <v>45859</v>
      </c>
      <c r="B156" s="1">
        <v>46</v>
      </c>
      <c r="C156" s="5">
        <v>488</v>
      </c>
      <c r="D156" s="1" t="s">
        <v>1229</v>
      </c>
      <c r="E156" s="1" t="s">
        <v>1230</v>
      </c>
      <c r="F156" s="1" t="s">
        <v>721</v>
      </c>
      <c r="G156" s="1" t="s">
        <v>990</v>
      </c>
      <c r="H156" s="3">
        <v>45870</v>
      </c>
      <c r="I156" s="1" t="s">
        <v>933</v>
      </c>
      <c r="J156" s="1" t="s">
        <v>66</v>
      </c>
      <c r="K156" s="1" t="s">
        <v>340</v>
      </c>
      <c r="L156" s="1" t="s">
        <v>1231</v>
      </c>
      <c r="M156" s="3">
        <v>45862</v>
      </c>
      <c r="N156" s="1" t="s">
        <v>712</v>
      </c>
      <c r="O156" s="1" t="s">
        <v>990</v>
      </c>
      <c r="P156" s="1">
        <v>1</v>
      </c>
    </row>
    <row r="157" spans="1:16" x14ac:dyDescent="0.25">
      <c r="A157" s="3">
        <v>45859</v>
      </c>
      <c r="B157" s="1">
        <v>47</v>
      </c>
      <c r="C157" s="5">
        <v>455</v>
      </c>
      <c r="D157" s="1" t="s">
        <v>1229</v>
      </c>
      <c r="E157" s="1" t="s">
        <v>1230</v>
      </c>
      <c r="F157" s="1" t="s">
        <v>218</v>
      </c>
      <c r="G157" s="1" t="s">
        <v>990</v>
      </c>
      <c r="H157" s="3">
        <v>45870</v>
      </c>
      <c r="I157" s="1" t="s">
        <v>933</v>
      </c>
      <c r="J157" s="1" t="s">
        <v>66</v>
      </c>
      <c r="K157" s="1" t="s">
        <v>340</v>
      </c>
      <c r="L157" s="1" t="s">
        <v>1231</v>
      </c>
      <c r="M157" s="3">
        <v>45862</v>
      </c>
      <c r="N157" s="1" t="s">
        <v>221</v>
      </c>
      <c r="O157" s="1" t="s">
        <v>990</v>
      </c>
      <c r="P157" s="1">
        <v>1</v>
      </c>
    </row>
    <row r="158" spans="1:16" x14ac:dyDescent="0.25">
      <c r="A158" s="3">
        <v>45859</v>
      </c>
      <c r="B158" s="1">
        <v>48</v>
      </c>
      <c r="C158" s="5">
        <v>150</v>
      </c>
      <c r="D158" s="1" t="s">
        <v>1229</v>
      </c>
      <c r="E158" s="1" t="s">
        <v>1230</v>
      </c>
      <c r="F158" s="1" t="s">
        <v>778</v>
      </c>
      <c r="G158" s="1" t="s">
        <v>990</v>
      </c>
      <c r="H158" s="3">
        <v>45870</v>
      </c>
      <c r="I158" s="1" t="s">
        <v>933</v>
      </c>
      <c r="J158" s="1" t="s">
        <v>66</v>
      </c>
      <c r="K158" s="1" t="s">
        <v>340</v>
      </c>
      <c r="L158" s="1" t="s">
        <v>1231</v>
      </c>
      <c r="M158" s="3">
        <v>45862</v>
      </c>
      <c r="N158" s="1" t="s">
        <v>783</v>
      </c>
      <c r="O158" s="1" t="s">
        <v>990</v>
      </c>
      <c r="P158" s="1">
        <v>1</v>
      </c>
    </row>
    <row r="159" spans="1:16" x14ac:dyDescent="0.25">
      <c r="A159" s="3">
        <v>45859</v>
      </c>
      <c r="B159" s="1">
        <v>49</v>
      </c>
      <c r="C159" s="5">
        <v>760</v>
      </c>
      <c r="D159" s="1" t="s">
        <v>1229</v>
      </c>
      <c r="E159" s="1" t="s">
        <v>1230</v>
      </c>
      <c r="F159" s="1" t="s">
        <v>83</v>
      </c>
      <c r="G159" s="1" t="s">
        <v>990</v>
      </c>
      <c r="H159" s="3">
        <v>45870</v>
      </c>
      <c r="I159" s="1" t="s">
        <v>933</v>
      </c>
      <c r="J159" s="1" t="s">
        <v>66</v>
      </c>
      <c r="K159" s="1" t="s">
        <v>340</v>
      </c>
      <c r="L159" s="1" t="s">
        <v>1233</v>
      </c>
      <c r="M159" s="3">
        <v>45862</v>
      </c>
      <c r="N159" s="1" t="s">
        <v>57</v>
      </c>
      <c r="O159" s="1" t="s">
        <v>990</v>
      </c>
      <c r="P159" s="1">
        <v>1</v>
      </c>
    </row>
    <row r="160" spans="1:16" x14ac:dyDescent="0.25">
      <c r="A160" s="3">
        <v>45859</v>
      </c>
      <c r="B160" s="1">
        <v>50</v>
      </c>
      <c r="C160" s="5">
        <v>853</v>
      </c>
      <c r="D160" s="1" t="s">
        <v>1229</v>
      </c>
      <c r="E160" s="1" t="s">
        <v>1230</v>
      </c>
      <c r="F160" s="1" t="s">
        <v>778</v>
      </c>
      <c r="G160" s="1" t="s">
        <v>990</v>
      </c>
      <c r="H160" s="3">
        <v>45870</v>
      </c>
      <c r="I160" s="1" t="s">
        <v>933</v>
      </c>
      <c r="J160" s="1" t="s">
        <v>66</v>
      </c>
      <c r="K160" s="1" t="s">
        <v>340</v>
      </c>
      <c r="L160" s="1" t="s">
        <v>1234</v>
      </c>
      <c r="M160" s="3">
        <v>45862</v>
      </c>
      <c r="N160" s="1" t="s">
        <v>783</v>
      </c>
      <c r="O160" s="1" t="s">
        <v>990</v>
      </c>
      <c r="P160" s="1">
        <v>1</v>
      </c>
    </row>
    <row r="161" spans="1:16" x14ac:dyDescent="0.25">
      <c r="A161" s="3">
        <v>45859</v>
      </c>
      <c r="B161" s="1">
        <v>51</v>
      </c>
      <c r="C161" s="5">
        <v>170</v>
      </c>
      <c r="D161" s="1" t="s">
        <v>1229</v>
      </c>
      <c r="E161" s="1" t="s">
        <v>1230</v>
      </c>
      <c r="F161" s="1" t="s">
        <v>715</v>
      </c>
      <c r="G161" s="1" t="s">
        <v>990</v>
      </c>
      <c r="H161" s="3">
        <v>45870</v>
      </c>
      <c r="I161" s="1" t="s">
        <v>933</v>
      </c>
      <c r="J161" s="1" t="s">
        <v>66</v>
      </c>
      <c r="K161" s="1" t="s">
        <v>340</v>
      </c>
      <c r="L161" s="1" t="s">
        <v>1167</v>
      </c>
      <c r="M161" s="3">
        <v>45862</v>
      </c>
      <c r="N161" s="1" t="s">
        <v>712</v>
      </c>
      <c r="O161" s="1" t="s">
        <v>990</v>
      </c>
      <c r="P161" s="1">
        <v>1</v>
      </c>
    </row>
    <row r="162" spans="1:16" x14ac:dyDescent="0.25">
      <c r="A162" s="3">
        <v>45859</v>
      </c>
      <c r="B162" s="1">
        <v>52</v>
      </c>
      <c r="C162" s="5">
        <v>112</v>
      </c>
      <c r="D162" s="1" t="s">
        <v>1229</v>
      </c>
      <c r="E162" s="1" t="s">
        <v>1230</v>
      </c>
      <c r="F162" s="1" t="s">
        <v>430</v>
      </c>
      <c r="G162" s="1" t="s">
        <v>990</v>
      </c>
      <c r="H162" s="3">
        <v>45870</v>
      </c>
      <c r="I162" s="1" t="s">
        <v>933</v>
      </c>
      <c r="J162" s="1" t="s">
        <v>66</v>
      </c>
      <c r="K162" s="1" t="s">
        <v>340</v>
      </c>
      <c r="L162" s="1" t="s">
        <v>1167</v>
      </c>
      <c r="M162" s="3">
        <v>45862</v>
      </c>
      <c r="N162" s="1" t="s">
        <v>57</v>
      </c>
      <c r="O162" s="1" t="s">
        <v>990</v>
      </c>
      <c r="P162" s="1">
        <v>1</v>
      </c>
    </row>
    <row r="163" spans="1:16" x14ac:dyDescent="0.25">
      <c r="A163" s="3">
        <v>45859</v>
      </c>
      <c r="B163" s="1">
        <v>53</v>
      </c>
      <c r="C163" s="5">
        <v>170</v>
      </c>
      <c r="D163" s="1" t="s">
        <v>1229</v>
      </c>
      <c r="E163" s="1" t="s">
        <v>1230</v>
      </c>
      <c r="F163" s="1" t="s">
        <v>710</v>
      </c>
      <c r="G163" s="1" t="s">
        <v>990</v>
      </c>
      <c r="H163" s="3">
        <v>45870</v>
      </c>
      <c r="I163" s="1" t="s">
        <v>933</v>
      </c>
      <c r="J163" s="1" t="s">
        <v>66</v>
      </c>
      <c r="K163" s="1" t="s">
        <v>340</v>
      </c>
      <c r="L163" s="1" t="s">
        <v>1167</v>
      </c>
      <c r="M163" s="3">
        <v>45862</v>
      </c>
      <c r="N163" s="1" t="s">
        <v>712</v>
      </c>
      <c r="O163" s="1" t="s">
        <v>990</v>
      </c>
      <c r="P163" s="1">
        <v>1</v>
      </c>
    </row>
    <row r="164" spans="1:16" x14ac:dyDescent="0.25">
      <c r="A164" s="3">
        <v>45859</v>
      </c>
      <c r="B164" s="1">
        <v>54</v>
      </c>
      <c r="C164" s="5">
        <v>170</v>
      </c>
      <c r="D164" s="1" t="s">
        <v>1229</v>
      </c>
      <c r="E164" s="1" t="s">
        <v>1230</v>
      </c>
      <c r="F164" s="1" t="s">
        <v>721</v>
      </c>
      <c r="G164" s="1" t="s">
        <v>990</v>
      </c>
      <c r="H164" s="3">
        <v>45870</v>
      </c>
      <c r="I164" s="1" t="s">
        <v>933</v>
      </c>
      <c r="J164" s="1" t="s">
        <v>66</v>
      </c>
      <c r="K164" s="1" t="s">
        <v>340</v>
      </c>
      <c r="L164" s="1" t="s">
        <v>1167</v>
      </c>
      <c r="M164" s="3">
        <v>45862</v>
      </c>
      <c r="N164" s="1" t="s">
        <v>712</v>
      </c>
      <c r="O164" s="1" t="s">
        <v>990</v>
      </c>
      <c r="P164" s="1">
        <v>1</v>
      </c>
    </row>
    <row r="165" spans="1:16" x14ac:dyDescent="0.25">
      <c r="A165" s="3">
        <v>45860</v>
      </c>
      <c r="B165" s="4">
        <v>12113</v>
      </c>
      <c r="C165" s="1">
        <v>895</v>
      </c>
      <c r="D165" s="1" t="s">
        <v>1064</v>
      </c>
      <c r="E165" s="1" t="s">
        <v>1042</v>
      </c>
      <c r="F165" s="1" t="s">
        <v>844</v>
      </c>
      <c r="G165" s="1" t="s">
        <v>940</v>
      </c>
      <c r="H165" s="3">
        <v>45880</v>
      </c>
      <c r="I165" s="1" t="s">
        <v>933</v>
      </c>
      <c r="J165" s="1" t="s">
        <v>66</v>
      </c>
      <c r="K165" s="1" t="s">
        <v>340</v>
      </c>
      <c r="L165" s="1" t="s">
        <v>1235</v>
      </c>
      <c r="M165" s="3">
        <v>45862</v>
      </c>
      <c r="N165" s="1" t="s">
        <v>836</v>
      </c>
      <c r="O165" s="1" t="s">
        <v>936</v>
      </c>
      <c r="P165" s="1">
        <v>1</v>
      </c>
    </row>
    <row r="166" spans="1:16" x14ac:dyDescent="0.25">
      <c r="A166" s="3">
        <v>45860</v>
      </c>
      <c r="B166" s="4">
        <v>4080</v>
      </c>
      <c r="C166" s="5">
        <v>404</v>
      </c>
      <c r="D166" s="1" t="s">
        <v>938</v>
      </c>
      <c r="E166" s="1" t="s">
        <v>1137</v>
      </c>
      <c r="F166" s="1" t="s">
        <v>304</v>
      </c>
      <c r="G166" s="1" t="s">
        <v>950</v>
      </c>
      <c r="H166" s="1" t="s">
        <v>967</v>
      </c>
      <c r="I166" s="1" t="s">
        <v>933</v>
      </c>
      <c r="J166" s="1" t="s">
        <v>66</v>
      </c>
      <c r="K166" s="1" t="s">
        <v>817</v>
      </c>
      <c r="L166" s="1" t="s">
        <v>1236</v>
      </c>
      <c r="M166" s="3">
        <v>45862</v>
      </c>
      <c r="N166" s="1" t="s">
        <v>57</v>
      </c>
      <c r="O166" s="1" t="s">
        <v>936</v>
      </c>
      <c r="P166" s="1">
        <v>1</v>
      </c>
    </row>
    <row r="167" spans="1:16" x14ac:dyDescent="0.25">
      <c r="A167" s="3">
        <v>45860</v>
      </c>
      <c r="B167" s="4">
        <v>4086</v>
      </c>
      <c r="C167" s="5">
        <v>46.22</v>
      </c>
      <c r="D167" s="1" t="s">
        <v>938</v>
      </c>
      <c r="E167" s="1" t="s">
        <v>1137</v>
      </c>
      <c r="F167" s="1" t="s">
        <v>844</v>
      </c>
      <c r="G167" s="1" t="s">
        <v>950</v>
      </c>
      <c r="H167" s="1" t="s">
        <v>967</v>
      </c>
      <c r="I167" s="1" t="s">
        <v>933</v>
      </c>
      <c r="J167" s="1" t="s">
        <v>66</v>
      </c>
      <c r="K167" s="1" t="s">
        <v>340</v>
      </c>
      <c r="L167" s="1" t="s">
        <v>1237</v>
      </c>
      <c r="M167" s="3">
        <v>45862</v>
      </c>
      <c r="N167" s="1" t="s">
        <v>836</v>
      </c>
      <c r="O167" s="1" t="s">
        <v>936</v>
      </c>
      <c r="P167" s="1">
        <v>1</v>
      </c>
    </row>
    <row r="168" spans="1:16" x14ac:dyDescent="0.25">
      <c r="A168" s="3">
        <v>45860</v>
      </c>
      <c r="B168" s="4">
        <v>4087</v>
      </c>
      <c r="C168" s="5">
        <v>165</v>
      </c>
      <c r="D168" s="1" t="s">
        <v>938</v>
      </c>
      <c r="E168" s="1" t="s">
        <v>1137</v>
      </c>
      <c r="F168" s="1" t="s">
        <v>647</v>
      </c>
      <c r="G168" s="1" t="s">
        <v>940</v>
      </c>
      <c r="H168" s="1" t="s">
        <v>967</v>
      </c>
      <c r="I168" s="1" t="s">
        <v>933</v>
      </c>
      <c r="J168" s="1" t="s">
        <v>66</v>
      </c>
      <c r="K168" s="1" t="s">
        <v>340</v>
      </c>
      <c r="L168" s="1" t="s">
        <v>1238</v>
      </c>
      <c r="M168" s="3">
        <v>45862</v>
      </c>
      <c r="N168" s="1" t="s">
        <v>57</v>
      </c>
      <c r="O168" s="1" t="s">
        <v>936</v>
      </c>
      <c r="P168" s="1">
        <v>1</v>
      </c>
    </row>
    <row r="169" spans="1:16" x14ac:dyDescent="0.25">
      <c r="A169" s="3">
        <v>45860</v>
      </c>
      <c r="B169" s="4">
        <v>12112</v>
      </c>
      <c r="C169" s="5">
        <v>90.6</v>
      </c>
      <c r="D169" s="1" t="s">
        <v>1064</v>
      </c>
      <c r="E169" s="1" t="s">
        <v>1042</v>
      </c>
      <c r="F169" s="1" t="s">
        <v>647</v>
      </c>
      <c r="G169" s="1" t="s">
        <v>940</v>
      </c>
      <c r="H169" s="1" t="s">
        <v>967</v>
      </c>
      <c r="I169" s="1" t="s">
        <v>933</v>
      </c>
      <c r="J169" s="1" t="s">
        <v>66</v>
      </c>
      <c r="K169" s="1" t="s">
        <v>340</v>
      </c>
      <c r="L169" s="1" t="s">
        <v>1239</v>
      </c>
      <c r="M169" s="3">
        <v>45862</v>
      </c>
      <c r="N169" s="1" t="s">
        <v>57</v>
      </c>
      <c r="O169" s="1" t="s">
        <v>936</v>
      </c>
      <c r="P169" s="1">
        <v>1</v>
      </c>
    </row>
    <row r="170" spans="1:16" x14ac:dyDescent="0.25">
      <c r="A170" s="3">
        <v>45860</v>
      </c>
      <c r="B170" s="4">
        <v>3373</v>
      </c>
      <c r="C170" s="5">
        <v>985</v>
      </c>
      <c r="D170" s="1" t="s">
        <v>1240</v>
      </c>
      <c r="E170" s="1" t="s">
        <v>1241</v>
      </c>
      <c r="F170" s="1" t="s">
        <v>949</v>
      </c>
      <c r="G170" s="1" t="s">
        <v>940</v>
      </c>
      <c r="H170" s="3">
        <v>45890</v>
      </c>
      <c r="I170" s="1" t="s">
        <v>933</v>
      </c>
      <c r="J170" s="1" t="s">
        <v>951</v>
      </c>
      <c r="K170" s="1" t="s">
        <v>340</v>
      </c>
      <c r="L170" s="1" t="s">
        <v>1242</v>
      </c>
      <c r="M170" s="3">
        <v>45862</v>
      </c>
      <c r="N170" s="1" t="s">
        <v>821</v>
      </c>
      <c r="O170" s="1" t="s">
        <v>936</v>
      </c>
      <c r="P170" s="1">
        <v>1</v>
      </c>
    </row>
    <row r="171" spans="1:16" x14ac:dyDescent="0.25">
      <c r="A171" s="3">
        <v>45860</v>
      </c>
      <c r="B171" s="4">
        <v>51515</v>
      </c>
      <c r="C171" s="5">
        <v>600</v>
      </c>
      <c r="D171" s="1" t="s">
        <v>992</v>
      </c>
      <c r="E171" s="1" t="s">
        <v>1243</v>
      </c>
      <c r="F171" s="1" t="s">
        <v>949</v>
      </c>
      <c r="G171" s="1" t="s">
        <v>940</v>
      </c>
      <c r="H171" s="1" t="s">
        <v>941</v>
      </c>
      <c r="I171" s="1" t="s">
        <v>933</v>
      </c>
      <c r="J171" s="1" t="s">
        <v>951</v>
      </c>
      <c r="K171" s="1" t="s">
        <v>66</v>
      </c>
      <c r="L171" s="1" t="s">
        <v>1244</v>
      </c>
      <c r="M171" s="3">
        <v>45880</v>
      </c>
      <c r="N171" s="1" t="s">
        <v>821</v>
      </c>
      <c r="O171" s="1" t="s">
        <v>998</v>
      </c>
      <c r="P171" s="1">
        <v>1</v>
      </c>
    </row>
    <row r="172" spans="1:16" x14ac:dyDescent="0.25">
      <c r="A172" s="3">
        <v>45860</v>
      </c>
      <c r="B172" s="4">
        <v>227500</v>
      </c>
      <c r="C172" s="5">
        <v>223.09</v>
      </c>
      <c r="D172" s="1" t="s">
        <v>1194</v>
      </c>
      <c r="E172" s="1" t="s">
        <v>1195</v>
      </c>
      <c r="F172" s="1" t="s">
        <v>955</v>
      </c>
      <c r="G172" s="1" t="s">
        <v>950</v>
      </c>
      <c r="H172" s="1" t="s">
        <v>941</v>
      </c>
      <c r="I172" s="1" t="s">
        <v>933</v>
      </c>
      <c r="J172" s="1" t="s">
        <v>951</v>
      </c>
      <c r="K172" s="1" t="s">
        <v>817</v>
      </c>
      <c r="L172" s="1" t="s">
        <v>1218</v>
      </c>
      <c r="M172" s="3">
        <v>45880</v>
      </c>
      <c r="N172" s="1" t="s">
        <v>821</v>
      </c>
      <c r="O172" s="1" t="s">
        <v>998</v>
      </c>
      <c r="P172" s="1">
        <v>1</v>
      </c>
    </row>
    <row r="173" spans="1:16" x14ac:dyDescent="0.25">
      <c r="A173" s="3">
        <v>45861</v>
      </c>
      <c r="B173" s="4">
        <v>4996</v>
      </c>
      <c r="C173" s="5">
        <v>250</v>
      </c>
      <c r="D173" s="1" t="s">
        <v>1120</v>
      </c>
      <c r="E173" s="1" t="s">
        <v>1121</v>
      </c>
      <c r="F173" s="1" t="s">
        <v>955</v>
      </c>
      <c r="G173" s="1" t="s">
        <v>950</v>
      </c>
      <c r="H173" s="1" t="s">
        <v>967</v>
      </c>
      <c r="I173" s="1" t="s">
        <v>933</v>
      </c>
      <c r="J173" s="1" t="s">
        <v>951</v>
      </c>
      <c r="K173" s="1" t="s">
        <v>340</v>
      </c>
      <c r="L173" s="1" t="s">
        <v>1245</v>
      </c>
      <c r="M173" s="3">
        <v>45862</v>
      </c>
      <c r="N173" s="1" t="s">
        <v>821</v>
      </c>
      <c r="O173" s="1" t="s">
        <v>936</v>
      </c>
      <c r="P173" s="1">
        <v>2</v>
      </c>
    </row>
    <row r="174" spans="1:16" x14ac:dyDescent="0.25">
      <c r="A174" s="3">
        <v>45861</v>
      </c>
      <c r="B174" s="4">
        <v>5010</v>
      </c>
      <c r="C174" s="5">
        <v>179</v>
      </c>
      <c r="D174" s="1" t="s">
        <v>1120</v>
      </c>
      <c r="E174" s="1" t="s">
        <v>1121</v>
      </c>
      <c r="F174" s="1" t="s">
        <v>304</v>
      </c>
      <c r="G174" s="1" t="s">
        <v>950</v>
      </c>
      <c r="H174" s="1" t="s">
        <v>967</v>
      </c>
      <c r="I174" s="1" t="s">
        <v>933</v>
      </c>
      <c r="J174" s="1" t="s">
        <v>66</v>
      </c>
      <c r="K174" s="1" t="s">
        <v>996</v>
      </c>
      <c r="L174" s="1" t="s">
        <v>1246</v>
      </c>
      <c r="M174" s="3">
        <v>45862</v>
      </c>
      <c r="N174" s="1" t="s">
        <v>57</v>
      </c>
      <c r="O174" s="1" t="s">
        <v>936</v>
      </c>
      <c r="P174" s="1">
        <v>1</v>
      </c>
    </row>
    <row r="175" spans="1:16" x14ac:dyDescent="0.25">
      <c r="A175" s="3">
        <v>45861</v>
      </c>
      <c r="B175" s="4">
        <v>96510</v>
      </c>
      <c r="C175" s="5">
        <v>32.97</v>
      </c>
      <c r="D175" s="1" t="s">
        <v>985</v>
      </c>
      <c r="E175" s="1" t="s">
        <v>986</v>
      </c>
      <c r="F175" s="1" t="s">
        <v>966</v>
      </c>
      <c r="G175" s="1" t="s">
        <v>950</v>
      </c>
      <c r="H175" s="1" t="s">
        <v>967</v>
      </c>
      <c r="I175" s="1" t="s">
        <v>933</v>
      </c>
      <c r="J175" s="1" t="s">
        <v>951</v>
      </c>
      <c r="K175" s="1" t="s">
        <v>817</v>
      </c>
      <c r="L175" s="1" t="s">
        <v>1247</v>
      </c>
      <c r="M175" s="3">
        <v>45862</v>
      </c>
      <c r="N175" s="1" t="s">
        <v>1248</v>
      </c>
      <c r="O175" s="1" t="s">
        <v>936</v>
      </c>
      <c r="P175" s="1">
        <v>1</v>
      </c>
    </row>
    <row r="176" spans="1:16" x14ac:dyDescent="0.25">
      <c r="A176" s="3">
        <v>45861</v>
      </c>
      <c r="B176" s="4">
        <v>8787</v>
      </c>
      <c r="C176" s="5">
        <v>924</v>
      </c>
      <c r="D176" s="1" t="s">
        <v>1152</v>
      </c>
      <c r="E176" s="1" t="s">
        <v>1072</v>
      </c>
      <c r="F176" s="1" t="s">
        <v>955</v>
      </c>
      <c r="G176" s="1" t="s">
        <v>940</v>
      </c>
      <c r="H176" s="1" t="s">
        <v>967</v>
      </c>
      <c r="I176" s="1" t="s">
        <v>933</v>
      </c>
      <c r="J176" s="1" t="s">
        <v>951</v>
      </c>
      <c r="K176" s="1" t="s">
        <v>340</v>
      </c>
      <c r="L176" s="1" t="s">
        <v>1249</v>
      </c>
      <c r="M176" s="3">
        <v>45862</v>
      </c>
      <c r="N176" s="1" t="s">
        <v>821</v>
      </c>
      <c r="O176" s="1" t="s">
        <v>936</v>
      </c>
      <c r="P176" s="1">
        <v>1</v>
      </c>
    </row>
    <row r="177" spans="1:16" x14ac:dyDescent="0.25">
      <c r="A177" s="3">
        <v>45861</v>
      </c>
      <c r="B177" s="4">
        <v>92771</v>
      </c>
      <c r="C177" s="5">
        <v>28400</v>
      </c>
      <c r="D177" s="1" t="s">
        <v>1094</v>
      </c>
      <c r="E177" s="1" t="s">
        <v>1095</v>
      </c>
      <c r="F177" s="1" t="s">
        <v>304</v>
      </c>
      <c r="G177" s="1" t="s">
        <v>998</v>
      </c>
      <c r="H177" s="3">
        <v>45891</v>
      </c>
      <c r="I177" s="1" t="s">
        <v>933</v>
      </c>
      <c r="J177" s="1" t="s">
        <v>66</v>
      </c>
      <c r="K177" s="1" t="s">
        <v>996</v>
      </c>
      <c r="L177" s="4">
        <v>5000</v>
      </c>
      <c r="M177" s="3">
        <v>45862</v>
      </c>
      <c r="N177" s="1" t="s">
        <v>57</v>
      </c>
      <c r="O177" s="1" t="s">
        <v>998</v>
      </c>
      <c r="P177" s="1">
        <v>1</v>
      </c>
    </row>
    <row r="178" spans="1:16" x14ac:dyDescent="0.25">
      <c r="A178" s="3">
        <v>45861</v>
      </c>
      <c r="B178" s="1">
        <v>128</v>
      </c>
      <c r="C178" s="5">
        <v>11336</v>
      </c>
      <c r="D178" s="1" t="s">
        <v>1034</v>
      </c>
      <c r="E178" s="1" t="s">
        <v>1035</v>
      </c>
      <c r="F178" s="1" t="s">
        <v>594</v>
      </c>
      <c r="G178" s="1" t="s">
        <v>1029</v>
      </c>
      <c r="H178" s="3">
        <v>45883</v>
      </c>
      <c r="I178" s="1" t="s">
        <v>933</v>
      </c>
      <c r="J178" s="1" t="s">
        <v>66</v>
      </c>
      <c r="K178" s="1" t="s">
        <v>340</v>
      </c>
      <c r="L178" s="1" t="s">
        <v>1036</v>
      </c>
      <c r="M178" s="3">
        <v>45862</v>
      </c>
      <c r="N178" s="1" t="s">
        <v>57</v>
      </c>
      <c r="O178" s="1" t="s">
        <v>932</v>
      </c>
      <c r="P178" s="1">
        <v>1</v>
      </c>
    </row>
    <row r="179" spans="1:16" x14ac:dyDescent="0.25">
      <c r="A179" s="3">
        <v>45861</v>
      </c>
      <c r="B179" s="4">
        <v>651408</v>
      </c>
      <c r="C179" s="5">
        <v>253.46</v>
      </c>
      <c r="D179" s="1" t="s">
        <v>973</v>
      </c>
      <c r="E179" s="1" t="s">
        <v>1068</v>
      </c>
      <c r="F179" s="1" t="s">
        <v>949</v>
      </c>
      <c r="G179" s="1" t="s">
        <v>950</v>
      </c>
      <c r="H179" s="1" t="s">
        <v>967</v>
      </c>
      <c r="I179" s="1" t="s">
        <v>933</v>
      </c>
      <c r="J179" s="1" t="s">
        <v>951</v>
      </c>
      <c r="K179" s="1" t="s">
        <v>996</v>
      </c>
      <c r="L179" s="1" t="s">
        <v>1221</v>
      </c>
      <c r="M179" s="3">
        <v>45862</v>
      </c>
      <c r="N179" s="1" t="s">
        <v>821</v>
      </c>
      <c r="O179" s="1" t="s">
        <v>972</v>
      </c>
      <c r="P179" s="1">
        <v>1</v>
      </c>
    </row>
    <row r="180" spans="1:16" x14ac:dyDescent="0.25">
      <c r="A180" s="3">
        <v>45861</v>
      </c>
      <c r="B180" s="4">
        <v>707617</v>
      </c>
      <c r="C180" s="5">
        <v>292</v>
      </c>
      <c r="D180" s="1" t="s">
        <v>1250</v>
      </c>
      <c r="E180" s="1" t="s">
        <v>1251</v>
      </c>
      <c r="F180" s="1" t="s">
        <v>955</v>
      </c>
      <c r="G180" s="1" t="s">
        <v>950</v>
      </c>
      <c r="H180" s="1" t="s">
        <v>941</v>
      </c>
      <c r="I180" s="1" t="s">
        <v>933</v>
      </c>
      <c r="J180" s="1" t="s">
        <v>951</v>
      </c>
      <c r="K180" s="1" t="s">
        <v>817</v>
      </c>
      <c r="L180" s="1" t="s">
        <v>1252</v>
      </c>
      <c r="M180" s="3">
        <v>45880</v>
      </c>
      <c r="N180" s="1"/>
      <c r="O180" s="1" t="s">
        <v>1031</v>
      </c>
      <c r="P180" s="1" t="s">
        <v>937</v>
      </c>
    </row>
    <row r="181" spans="1:16" x14ac:dyDescent="0.25">
      <c r="A181" s="3">
        <v>45862</v>
      </c>
      <c r="B181" s="4">
        <v>69925</v>
      </c>
      <c r="C181" s="5">
        <v>2402.9499999999998</v>
      </c>
      <c r="D181" s="1" t="s">
        <v>1253</v>
      </c>
      <c r="E181" s="1" t="s">
        <v>1099</v>
      </c>
      <c r="F181" s="1" t="s">
        <v>748</v>
      </c>
      <c r="G181" s="1" t="s">
        <v>1254</v>
      </c>
      <c r="H181" s="3">
        <v>45894</v>
      </c>
      <c r="I181" s="1" t="s">
        <v>933</v>
      </c>
      <c r="J181" s="1" t="s">
        <v>66</v>
      </c>
      <c r="K181" s="1" t="s">
        <v>340</v>
      </c>
      <c r="L181" s="1" t="s">
        <v>1255</v>
      </c>
      <c r="M181" s="3">
        <v>45868</v>
      </c>
      <c r="N181" s="1" t="s">
        <v>75</v>
      </c>
      <c r="O181" s="1" t="s">
        <v>936</v>
      </c>
      <c r="P181" s="1">
        <v>1</v>
      </c>
    </row>
    <row r="182" spans="1:16" x14ac:dyDescent="0.25">
      <c r="A182" s="3">
        <v>45862</v>
      </c>
      <c r="B182" s="4">
        <v>69926</v>
      </c>
      <c r="C182" s="5">
        <v>2246.98</v>
      </c>
      <c r="D182" s="1" t="s">
        <v>1253</v>
      </c>
      <c r="E182" s="1" t="s">
        <v>1099</v>
      </c>
      <c r="F182" s="1" t="s">
        <v>650</v>
      </c>
      <c r="G182" s="1" t="s">
        <v>1254</v>
      </c>
      <c r="H182" s="3">
        <v>45894</v>
      </c>
      <c r="I182" s="1" t="s">
        <v>933</v>
      </c>
      <c r="J182" s="1" t="s">
        <v>66</v>
      </c>
      <c r="K182" s="1" t="s">
        <v>340</v>
      </c>
      <c r="L182" s="1" t="s">
        <v>1256</v>
      </c>
      <c r="M182" s="3">
        <v>45868</v>
      </c>
      <c r="N182" s="1" t="s">
        <v>57</v>
      </c>
      <c r="O182" s="1" t="s">
        <v>936</v>
      </c>
      <c r="P182" s="1">
        <v>1</v>
      </c>
    </row>
    <row r="183" spans="1:16" x14ac:dyDescent="0.25">
      <c r="A183" s="3">
        <v>45862</v>
      </c>
      <c r="B183" s="4">
        <v>60294</v>
      </c>
      <c r="C183" s="5">
        <v>114</v>
      </c>
      <c r="D183" s="1" t="s">
        <v>992</v>
      </c>
      <c r="E183" s="1" t="s">
        <v>1243</v>
      </c>
      <c r="F183" s="1" t="s">
        <v>955</v>
      </c>
      <c r="G183" s="1" t="s">
        <v>950</v>
      </c>
      <c r="H183" s="1" t="s">
        <v>941</v>
      </c>
      <c r="I183" s="1" t="s">
        <v>933</v>
      </c>
      <c r="J183" s="1" t="s">
        <v>951</v>
      </c>
      <c r="K183" s="1" t="s">
        <v>817</v>
      </c>
      <c r="L183" s="1" t="s">
        <v>1257</v>
      </c>
      <c r="M183" s="3">
        <v>45880</v>
      </c>
      <c r="N183" s="1" t="s">
        <v>821</v>
      </c>
      <c r="O183" s="1" t="s">
        <v>998</v>
      </c>
      <c r="P183" s="1">
        <v>1</v>
      </c>
    </row>
    <row r="184" spans="1:16" x14ac:dyDescent="0.25">
      <c r="A184" s="3">
        <v>45862</v>
      </c>
      <c r="B184" s="4">
        <v>24072025</v>
      </c>
      <c r="C184" s="5">
        <v>22000</v>
      </c>
      <c r="D184" s="1" t="s">
        <v>1258</v>
      </c>
      <c r="E184" s="1" t="s">
        <v>1259</v>
      </c>
      <c r="F184" s="1" t="s">
        <v>955</v>
      </c>
      <c r="G184" s="1" t="s">
        <v>1260</v>
      </c>
      <c r="H184" s="3">
        <v>45862</v>
      </c>
      <c r="I184" s="1" t="s">
        <v>933</v>
      </c>
      <c r="J184" s="1" t="s">
        <v>951</v>
      </c>
      <c r="K184" s="1" t="s">
        <v>100</v>
      </c>
      <c r="L184" s="1" t="s">
        <v>1261</v>
      </c>
      <c r="M184" s="3">
        <v>45887</v>
      </c>
      <c r="N184" s="1" t="s">
        <v>821</v>
      </c>
      <c r="O184" s="1" t="s">
        <v>937</v>
      </c>
      <c r="P184" s="1" t="s">
        <v>937</v>
      </c>
    </row>
    <row r="185" spans="1:16" x14ac:dyDescent="0.25">
      <c r="A185" s="3">
        <v>45863</v>
      </c>
      <c r="B185" s="1">
        <v>3</v>
      </c>
      <c r="C185" s="5">
        <v>987.77</v>
      </c>
      <c r="D185" s="1" t="s">
        <v>1262</v>
      </c>
      <c r="E185" s="1" t="s">
        <v>1263</v>
      </c>
      <c r="F185" s="1" t="s">
        <v>955</v>
      </c>
      <c r="G185" s="1" t="s">
        <v>990</v>
      </c>
      <c r="H185" s="3">
        <v>45875</v>
      </c>
      <c r="I185" s="1" t="s">
        <v>933</v>
      </c>
      <c r="J185" s="1" t="s">
        <v>951</v>
      </c>
      <c r="K185" s="1" t="s">
        <v>20</v>
      </c>
      <c r="L185" s="1" t="s">
        <v>1264</v>
      </c>
      <c r="M185" s="3">
        <v>45870</v>
      </c>
      <c r="N185" s="1" t="s">
        <v>821</v>
      </c>
      <c r="O185" s="1" t="s">
        <v>936</v>
      </c>
      <c r="P185" s="1" t="s">
        <v>937</v>
      </c>
    </row>
    <row r="186" spans="1:16" x14ac:dyDescent="0.25">
      <c r="A186" s="3">
        <v>45863</v>
      </c>
      <c r="B186" s="4">
        <v>1566</v>
      </c>
      <c r="C186" s="5">
        <v>182</v>
      </c>
      <c r="D186" s="1" t="s">
        <v>1265</v>
      </c>
      <c r="E186" s="1" t="s">
        <v>1266</v>
      </c>
      <c r="F186" s="1" t="s">
        <v>955</v>
      </c>
      <c r="G186" s="1" t="s">
        <v>950</v>
      </c>
      <c r="H186" s="1" t="s">
        <v>941</v>
      </c>
      <c r="I186" s="1" t="s">
        <v>933</v>
      </c>
      <c r="J186" s="1" t="s">
        <v>951</v>
      </c>
      <c r="K186" s="1" t="s">
        <v>817</v>
      </c>
      <c r="L186" s="1" t="s">
        <v>1267</v>
      </c>
      <c r="M186" s="3">
        <v>45880</v>
      </c>
      <c r="N186" s="1" t="s">
        <v>821</v>
      </c>
      <c r="O186" s="1" t="s">
        <v>998</v>
      </c>
      <c r="P186" s="1" t="s">
        <v>937</v>
      </c>
    </row>
    <row r="187" spans="1:16" x14ac:dyDescent="0.25">
      <c r="A187" s="3">
        <v>45863</v>
      </c>
      <c r="B187" s="4">
        <v>14435</v>
      </c>
      <c r="C187" s="5">
        <v>175.29</v>
      </c>
      <c r="D187" s="1" t="s">
        <v>1268</v>
      </c>
      <c r="E187" s="1" t="s">
        <v>1269</v>
      </c>
      <c r="F187" s="1" t="s">
        <v>955</v>
      </c>
      <c r="G187" s="1" t="s">
        <v>950</v>
      </c>
      <c r="H187" s="1" t="s">
        <v>941</v>
      </c>
      <c r="I187" s="1" t="s">
        <v>933</v>
      </c>
      <c r="J187" s="1" t="s">
        <v>951</v>
      </c>
      <c r="K187" s="1" t="s">
        <v>817</v>
      </c>
      <c r="L187" s="1" t="s">
        <v>1267</v>
      </c>
      <c r="M187" s="3">
        <v>45880</v>
      </c>
      <c r="N187" s="1" t="s">
        <v>821</v>
      </c>
      <c r="O187" s="1" t="s">
        <v>998</v>
      </c>
      <c r="P187" s="1">
        <v>1</v>
      </c>
    </row>
    <row r="188" spans="1:16" x14ac:dyDescent="0.25">
      <c r="A188" s="3">
        <v>45863</v>
      </c>
      <c r="B188" s="4">
        <v>316815</v>
      </c>
      <c r="C188" s="5">
        <v>315</v>
      </c>
      <c r="D188" s="1" t="s">
        <v>992</v>
      </c>
      <c r="E188" s="1" t="s">
        <v>1243</v>
      </c>
      <c r="F188" s="1" t="s">
        <v>66</v>
      </c>
      <c r="G188" s="1" t="s">
        <v>950</v>
      </c>
      <c r="H188" s="1" t="s">
        <v>941</v>
      </c>
      <c r="I188" s="1" t="s">
        <v>933</v>
      </c>
      <c r="J188" s="1" t="s">
        <v>66</v>
      </c>
      <c r="K188" s="1" t="s">
        <v>817</v>
      </c>
      <c r="L188" s="1" t="s">
        <v>1270</v>
      </c>
      <c r="M188" s="3">
        <v>45880</v>
      </c>
      <c r="N188" s="1" t="s">
        <v>821</v>
      </c>
      <c r="O188" s="1" t="s">
        <v>998</v>
      </c>
      <c r="P188" s="1">
        <v>1</v>
      </c>
    </row>
    <row r="189" spans="1:16" x14ac:dyDescent="0.25">
      <c r="A189" s="3">
        <v>45864</v>
      </c>
      <c r="B189" s="1">
        <v>27</v>
      </c>
      <c r="C189" s="5">
        <v>300</v>
      </c>
      <c r="D189" s="1" t="s">
        <v>1271</v>
      </c>
      <c r="E189" s="1" t="s">
        <v>1272</v>
      </c>
      <c r="F189" s="1" t="s">
        <v>639</v>
      </c>
      <c r="G189" s="1" t="s">
        <v>940</v>
      </c>
      <c r="H189" s="1" t="s">
        <v>941</v>
      </c>
      <c r="I189" s="1" t="s">
        <v>933</v>
      </c>
      <c r="J189" s="1" t="s">
        <v>66</v>
      </c>
      <c r="K189" s="1" t="s">
        <v>977</v>
      </c>
      <c r="L189" s="1" t="s">
        <v>1273</v>
      </c>
      <c r="M189" s="3">
        <v>45880</v>
      </c>
      <c r="N189" s="1" t="s">
        <v>98</v>
      </c>
      <c r="O189" s="1" t="s">
        <v>936</v>
      </c>
      <c r="P189" s="1">
        <v>1</v>
      </c>
    </row>
    <row r="190" spans="1:16" x14ac:dyDescent="0.25">
      <c r="A190" s="3">
        <v>45864</v>
      </c>
      <c r="B190" s="4">
        <v>6777</v>
      </c>
      <c r="C190" s="5">
        <v>24.68</v>
      </c>
      <c r="D190" s="1" t="s">
        <v>985</v>
      </c>
      <c r="E190" s="1" t="s">
        <v>986</v>
      </c>
      <c r="F190" s="1" t="s">
        <v>966</v>
      </c>
      <c r="G190" s="1" t="s">
        <v>950</v>
      </c>
      <c r="H190" s="1" t="s">
        <v>941</v>
      </c>
      <c r="I190" s="1" t="s">
        <v>933</v>
      </c>
      <c r="J190" s="1" t="s">
        <v>951</v>
      </c>
      <c r="K190" s="1" t="s">
        <v>817</v>
      </c>
      <c r="L190" s="1" t="s">
        <v>1274</v>
      </c>
      <c r="M190" s="3">
        <v>45880</v>
      </c>
      <c r="N190" s="1" t="s">
        <v>821</v>
      </c>
      <c r="O190" s="1" t="s">
        <v>936</v>
      </c>
      <c r="P190" s="1">
        <v>1</v>
      </c>
    </row>
    <row r="191" spans="1:16" x14ac:dyDescent="0.25">
      <c r="A191" s="3">
        <v>45864</v>
      </c>
      <c r="B191" s="4">
        <v>27564</v>
      </c>
      <c r="C191" s="5">
        <v>250</v>
      </c>
      <c r="D191" s="1" t="s">
        <v>969</v>
      </c>
      <c r="E191" s="1" t="s">
        <v>1115</v>
      </c>
      <c r="F191" s="1" t="s">
        <v>66</v>
      </c>
      <c r="G191" s="1" t="s">
        <v>950</v>
      </c>
      <c r="H191" s="1" t="s">
        <v>941</v>
      </c>
      <c r="I191" s="1" t="s">
        <v>933</v>
      </c>
      <c r="J191" s="1" t="s">
        <v>66</v>
      </c>
      <c r="K191" s="1" t="s">
        <v>66</v>
      </c>
      <c r="L191" s="1" t="s">
        <v>1275</v>
      </c>
      <c r="M191" s="3">
        <v>45880</v>
      </c>
      <c r="N191" s="1" t="s">
        <v>821</v>
      </c>
      <c r="O191" s="1" t="s">
        <v>998</v>
      </c>
      <c r="P191" s="1">
        <v>1</v>
      </c>
    </row>
    <row r="192" spans="1:16" x14ac:dyDescent="0.25">
      <c r="A192" s="3">
        <v>45866</v>
      </c>
      <c r="B192" s="1">
        <v>345</v>
      </c>
      <c r="C192" s="5">
        <v>4446</v>
      </c>
      <c r="D192" s="1" t="s">
        <v>1222</v>
      </c>
      <c r="E192" s="1" t="s">
        <v>1223</v>
      </c>
      <c r="F192" s="1" t="s">
        <v>66</v>
      </c>
      <c r="G192" s="1" t="s">
        <v>940</v>
      </c>
      <c r="H192" s="3">
        <v>45897</v>
      </c>
      <c r="I192" s="1" t="s">
        <v>933</v>
      </c>
      <c r="J192" s="1" t="s">
        <v>66</v>
      </c>
      <c r="K192" s="1" t="s">
        <v>340</v>
      </c>
      <c r="L192" s="1" t="s">
        <v>1150</v>
      </c>
      <c r="M192" s="3">
        <v>45868</v>
      </c>
      <c r="N192" s="1" t="s">
        <v>821</v>
      </c>
      <c r="O192" s="1" t="s">
        <v>936</v>
      </c>
      <c r="P192" s="1" t="s">
        <v>937</v>
      </c>
    </row>
    <row r="193" spans="1:16" x14ac:dyDescent="0.25">
      <c r="A193" s="3">
        <v>45866</v>
      </c>
      <c r="B193" s="1">
        <v>147</v>
      </c>
      <c r="C193" s="5">
        <v>5220</v>
      </c>
      <c r="D193" s="1" t="s">
        <v>1276</v>
      </c>
      <c r="E193" s="1" t="s">
        <v>1277</v>
      </c>
      <c r="F193" s="1" t="s">
        <v>833</v>
      </c>
      <c r="G193" s="1" t="s">
        <v>1029</v>
      </c>
      <c r="H193" s="3">
        <v>45888</v>
      </c>
      <c r="I193" s="1" t="s">
        <v>933</v>
      </c>
      <c r="J193" s="1" t="s">
        <v>66</v>
      </c>
      <c r="K193" s="1" t="s">
        <v>340</v>
      </c>
      <c r="L193" s="1" t="s">
        <v>1278</v>
      </c>
      <c r="M193" s="3">
        <v>45868</v>
      </c>
      <c r="N193" s="1" t="s">
        <v>836</v>
      </c>
      <c r="O193" s="1" t="s">
        <v>936</v>
      </c>
      <c r="P193" s="1">
        <v>1</v>
      </c>
    </row>
    <row r="194" spans="1:16" x14ac:dyDescent="0.25">
      <c r="A194" s="3">
        <v>45866</v>
      </c>
      <c r="B194" s="4">
        <v>69965</v>
      </c>
      <c r="C194" s="5">
        <v>3126.9</v>
      </c>
      <c r="D194" s="1" t="s">
        <v>1253</v>
      </c>
      <c r="E194" s="1" t="s">
        <v>1099</v>
      </c>
      <c r="F194" s="1" t="s">
        <v>745</v>
      </c>
      <c r="G194" s="1" t="s">
        <v>1254</v>
      </c>
      <c r="H194" s="3">
        <v>45926</v>
      </c>
      <c r="I194" s="1" t="s">
        <v>50</v>
      </c>
      <c r="J194" s="1" t="s">
        <v>66</v>
      </c>
      <c r="K194" s="1" t="s">
        <v>340</v>
      </c>
      <c r="L194" s="1" t="s">
        <v>1279</v>
      </c>
      <c r="M194" s="3">
        <v>45868</v>
      </c>
      <c r="N194" s="1" t="s">
        <v>50</v>
      </c>
      <c r="O194" s="1" t="s">
        <v>936</v>
      </c>
      <c r="P194" s="1">
        <v>1</v>
      </c>
    </row>
    <row r="195" spans="1:16" x14ac:dyDescent="0.25">
      <c r="A195" s="3">
        <v>45866</v>
      </c>
      <c r="B195" s="4">
        <v>69976</v>
      </c>
      <c r="C195" s="5">
        <v>4525.75</v>
      </c>
      <c r="D195" s="1" t="s">
        <v>1253</v>
      </c>
      <c r="E195" s="1" t="s">
        <v>1099</v>
      </c>
      <c r="F195" s="1" t="s">
        <v>837</v>
      </c>
      <c r="G195" s="1" t="s">
        <v>1254</v>
      </c>
      <c r="H195" s="3">
        <v>45926</v>
      </c>
      <c r="I195" s="1" t="s">
        <v>933</v>
      </c>
      <c r="J195" s="1" t="s">
        <v>66</v>
      </c>
      <c r="K195" s="1" t="s">
        <v>340</v>
      </c>
      <c r="L195" s="1" t="s">
        <v>1256</v>
      </c>
      <c r="M195" s="3">
        <v>45868</v>
      </c>
      <c r="N195" s="1" t="s">
        <v>50</v>
      </c>
      <c r="O195" s="1" t="s">
        <v>936</v>
      </c>
      <c r="P195" s="1">
        <v>1</v>
      </c>
    </row>
    <row r="196" spans="1:16" x14ac:dyDescent="0.25">
      <c r="A196" s="3">
        <v>45866</v>
      </c>
      <c r="B196" s="1">
        <v>148</v>
      </c>
      <c r="C196" s="5">
        <v>10000</v>
      </c>
      <c r="D196" s="1" t="s">
        <v>1276</v>
      </c>
      <c r="E196" s="1" t="s">
        <v>1277</v>
      </c>
      <c r="F196" s="1" t="s">
        <v>867</v>
      </c>
      <c r="G196" s="1" t="s">
        <v>1029</v>
      </c>
      <c r="H196" s="3">
        <v>45888</v>
      </c>
      <c r="I196" s="1" t="s">
        <v>933</v>
      </c>
      <c r="J196" s="1" t="s">
        <v>66</v>
      </c>
      <c r="K196" s="1" t="s">
        <v>340</v>
      </c>
      <c r="L196" s="1" t="s">
        <v>1280</v>
      </c>
      <c r="M196" s="3">
        <v>45868</v>
      </c>
      <c r="N196" s="1" t="s">
        <v>57</v>
      </c>
      <c r="O196" s="1" t="s">
        <v>936</v>
      </c>
      <c r="P196" s="1">
        <v>1</v>
      </c>
    </row>
    <row r="197" spans="1:16" x14ac:dyDescent="0.25">
      <c r="A197" s="3">
        <v>45866</v>
      </c>
      <c r="B197" s="1">
        <v>149</v>
      </c>
      <c r="C197" s="5">
        <v>5000</v>
      </c>
      <c r="D197" s="1" t="s">
        <v>1276</v>
      </c>
      <c r="E197" s="1" t="s">
        <v>1277</v>
      </c>
      <c r="F197" s="1" t="s">
        <v>748</v>
      </c>
      <c r="G197" s="1" t="s">
        <v>1029</v>
      </c>
      <c r="H197" s="3">
        <v>45889</v>
      </c>
      <c r="I197" s="1" t="s">
        <v>933</v>
      </c>
      <c r="J197" s="1" t="s">
        <v>66</v>
      </c>
      <c r="K197" s="1" t="s">
        <v>340</v>
      </c>
      <c r="L197" s="1" t="s">
        <v>1281</v>
      </c>
      <c r="M197" s="3">
        <v>45868</v>
      </c>
      <c r="N197" s="1" t="s">
        <v>75</v>
      </c>
      <c r="O197" s="1" t="s">
        <v>936</v>
      </c>
      <c r="P197" s="1">
        <v>1</v>
      </c>
    </row>
    <row r="198" spans="1:16" x14ac:dyDescent="0.25">
      <c r="A198" s="3">
        <v>45866</v>
      </c>
      <c r="B198" s="1">
        <v>149</v>
      </c>
      <c r="C198" s="5">
        <v>5000</v>
      </c>
      <c r="D198" s="1" t="s">
        <v>1276</v>
      </c>
      <c r="E198" s="1" t="s">
        <v>1277</v>
      </c>
      <c r="F198" s="1" t="s">
        <v>693</v>
      </c>
      <c r="G198" s="1" t="s">
        <v>1029</v>
      </c>
      <c r="H198" s="3">
        <v>45889</v>
      </c>
      <c r="I198" s="1" t="s">
        <v>933</v>
      </c>
      <c r="J198" s="1" t="s">
        <v>66</v>
      </c>
      <c r="K198" s="1" t="s">
        <v>340</v>
      </c>
      <c r="L198" s="1" t="s">
        <v>1281</v>
      </c>
      <c r="M198" s="3">
        <v>45868</v>
      </c>
      <c r="N198" s="1" t="s">
        <v>383</v>
      </c>
      <c r="O198" s="1" t="s">
        <v>936</v>
      </c>
      <c r="P198" s="1">
        <v>1</v>
      </c>
    </row>
    <row r="199" spans="1:16" x14ac:dyDescent="0.25">
      <c r="A199" s="3">
        <v>45866</v>
      </c>
      <c r="B199" s="4">
        <v>1249</v>
      </c>
      <c r="C199" s="5">
        <v>26</v>
      </c>
      <c r="D199" s="1" t="s">
        <v>1134</v>
      </c>
      <c r="E199" s="1" t="s">
        <v>1282</v>
      </c>
      <c r="F199" s="1" t="s">
        <v>955</v>
      </c>
      <c r="G199" s="1" t="s">
        <v>940</v>
      </c>
      <c r="H199" s="1" t="s">
        <v>941</v>
      </c>
      <c r="I199" s="1" t="s">
        <v>933</v>
      </c>
      <c r="J199" s="1" t="s">
        <v>951</v>
      </c>
      <c r="K199" s="1" t="s">
        <v>817</v>
      </c>
      <c r="L199" s="1" t="s">
        <v>1283</v>
      </c>
      <c r="M199" s="3">
        <v>45880</v>
      </c>
      <c r="N199" s="1" t="s">
        <v>57</v>
      </c>
      <c r="O199" s="1" t="s">
        <v>936</v>
      </c>
      <c r="P199" s="1">
        <v>1</v>
      </c>
    </row>
    <row r="200" spans="1:16" x14ac:dyDescent="0.25">
      <c r="A200" s="3">
        <v>45866</v>
      </c>
      <c r="B200" s="4">
        <v>22043</v>
      </c>
      <c r="C200" s="5">
        <v>56</v>
      </c>
      <c r="D200" s="1" t="s">
        <v>938</v>
      </c>
      <c r="E200" s="1" t="s">
        <v>939</v>
      </c>
      <c r="F200" s="1" t="s">
        <v>719</v>
      </c>
      <c r="G200" s="1" t="s">
        <v>940</v>
      </c>
      <c r="H200" s="1" t="s">
        <v>941</v>
      </c>
      <c r="I200" s="1" t="s">
        <v>933</v>
      </c>
      <c r="J200" s="1"/>
      <c r="K200" s="1" t="s">
        <v>340</v>
      </c>
      <c r="L200" s="1" t="s">
        <v>1284</v>
      </c>
      <c r="M200" s="3">
        <v>45880</v>
      </c>
      <c r="N200" s="1"/>
      <c r="O200" s="1" t="s">
        <v>936</v>
      </c>
      <c r="P200" s="1"/>
    </row>
    <row r="201" spans="1:16" x14ac:dyDescent="0.25">
      <c r="A201" s="3">
        <v>45867</v>
      </c>
      <c r="B201" s="4">
        <v>2526</v>
      </c>
      <c r="C201" s="5">
        <v>15300</v>
      </c>
      <c r="D201" s="1" t="s">
        <v>1285</v>
      </c>
      <c r="E201" s="1" t="s">
        <v>1286</v>
      </c>
      <c r="F201" s="1" t="s">
        <v>955</v>
      </c>
      <c r="G201" s="1" t="s">
        <v>932</v>
      </c>
      <c r="H201" s="3">
        <v>45888</v>
      </c>
      <c r="I201" s="1" t="s">
        <v>933</v>
      </c>
      <c r="J201" s="1" t="s">
        <v>951</v>
      </c>
      <c r="K201" s="1" t="s">
        <v>20</v>
      </c>
      <c r="L201" s="1" t="s">
        <v>1287</v>
      </c>
      <c r="M201" s="3">
        <v>45868</v>
      </c>
      <c r="N201" s="1" t="s">
        <v>821</v>
      </c>
      <c r="O201" s="1" t="s">
        <v>932</v>
      </c>
      <c r="P201" s="1">
        <v>1</v>
      </c>
    </row>
    <row r="202" spans="1:16" x14ac:dyDescent="0.25">
      <c r="A202" s="3">
        <v>45867</v>
      </c>
      <c r="B202" s="4">
        <v>51208</v>
      </c>
      <c r="C202" s="5">
        <v>16920</v>
      </c>
      <c r="D202" s="1" t="s">
        <v>973</v>
      </c>
      <c r="E202" s="1" t="s">
        <v>1068</v>
      </c>
      <c r="F202" s="1" t="s">
        <v>304</v>
      </c>
      <c r="G202" s="1" t="s">
        <v>998</v>
      </c>
      <c r="H202" s="3">
        <v>45883</v>
      </c>
      <c r="I202" s="1" t="s">
        <v>933</v>
      </c>
      <c r="J202" s="1" t="s">
        <v>66</v>
      </c>
      <c r="K202" s="1" t="s">
        <v>996</v>
      </c>
      <c r="L202" s="4">
        <v>3000</v>
      </c>
      <c r="M202" s="3">
        <v>45868</v>
      </c>
      <c r="N202" s="1" t="s">
        <v>57</v>
      </c>
      <c r="O202" s="1" t="s">
        <v>998</v>
      </c>
      <c r="P202" s="1">
        <v>1</v>
      </c>
    </row>
    <row r="203" spans="1:16" x14ac:dyDescent="0.25">
      <c r="A203" s="3">
        <v>45867</v>
      </c>
      <c r="B203" s="1">
        <v>18</v>
      </c>
      <c r="C203" s="5">
        <v>1100</v>
      </c>
      <c r="D203" s="1" t="s">
        <v>1197</v>
      </c>
      <c r="E203" s="1" t="s">
        <v>1198</v>
      </c>
      <c r="F203" s="1" t="s">
        <v>710</v>
      </c>
      <c r="G203" s="1" t="s">
        <v>940</v>
      </c>
      <c r="H203" s="3">
        <v>45880</v>
      </c>
      <c r="I203" s="1" t="s">
        <v>933</v>
      </c>
      <c r="J203" s="1" t="s">
        <v>66</v>
      </c>
      <c r="K203" s="1" t="s">
        <v>340</v>
      </c>
      <c r="L203" s="1" t="s">
        <v>1288</v>
      </c>
      <c r="M203" s="3">
        <v>45868</v>
      </c>
      <c r="N203" s="1" t="s">
        <v>712</v>
      </c>
      <c r="O203" s="1" t="s">
        <v>936</v>
      </c>
      <c r="P203" s="1">
        <v>1</v>
      </c>
    </row>
    <row r="204" spans="1:16" x14ac:dyDescent="0.25">
      <c r="A204" s="3">
        <v>45867</v>
      </c>
      <c r="B204" s="1">
        <v>18</v>
      </c>
      <c r="C204" s="5">
        <v>1050</v>
      </c>
      <c r="D204" s="1" t="s">
        <v>1197</v>
      </c>
      <c r="E204" s="1" t="s">
        <v>1198</v>
      </c>
      <c r="F204" s="1" t="s">
        <v>721</v>
      </c>
      <c r="G204" s="1" t="s">
        <v>940</v>
      </c>
      <c r="H204" s="3">
        <v>45880</v>
      </c>
      <c r="I204" s="1" t="s">
        <v>933</v>
      </c>
      <c r="J204" s="1" t="s">
        <v>66</v>
      </c>
      <c r="K204" s="1" t="s">
        <v>340</v>
      </c>
      <c r="L204" s="1" t="s">
        <v>1288</v>
      </c>
      <c r="M204" s="3">
        <v>45868</v>
      </c>
      <c r="N204" s="1" t="s">
        <v>712</v>
      </c>
      <c r="O204" s="1" t="s">
        <v>936</v>
      </c>
      <c r="P204" s="1">
        <v>1</v>
      </c>
    </row>
    <row r="205" spans="1:16" x14ac:dyDescent="0.25">
      <c r="A205" s="3">
        <v>45867</v>
      </c>
      <c r="B205" s="1">
        <v>18</v>
      </c>
      <c r="C205" s="5">
        <v>2500</v>
      </c>
      <c r="D205" s="1" t="s">
        <v>1197</v>
      </c>
      <c r="E205" s="1" t="s">
        <v>1198</v>
      </c>
      <c r="F205" s="1" t="s">
        <v>719</v>
      </c>
      <c r="G205" s="1" t="s">
        <v>940</v>
      </c>
      <c r="H205" s="3">
        <v>45880</v>
      </c>
      <c r="I205" s="1" t="s">
        <v>933</v>
      </c>
      <c r="J205" s="1" t="s">
        <v>66</v>
      </c>
      <c r="K205" s="1" t="s">
        <v>340</v>
      </c>
      <c r="L205" s="1" t="s">
        <v>1289</v>
      </c>
      <c r="M205" s="3">
        <v>45868</v>
      </c>
      <c r="N205" s="1" t="s">
        <v>712</v>
      </c>
      <c r="O205" s="1" t="s">
        <v>936</v>
      </c>
      <c r="P205" s="1">
        <v>1</v>
      </c>
    </row>
    <row r="206" spans="1:16" x14ac:dyDescent="0.25">
      <c r="A206" s="3">
        <v>45867</v>
      </c>
      <c r="B206" s="1">
        <v>18</v>
      </c>
      <c r="C206" s="5">
        <v>700</v>
      </c>
      <c r="D206" s="1" t="s">
        <v>1197</v>
      </c>
      <c r="E206" s="1" t="s">
        <v>1198</v>
      </c>
      <c r="F206" s="1" t="s">
        <v>717</v>
      </c>
      <c r="G206" s="1" t="s">
        <v>940</v>
      </c>
      <c r="H206" s="3">
        <v>45880</v>
      </c>
      <c r="I206" s="1" t="s">
        <v>933</v>
      </c>
      <c r="J206" s="1" t="s">
        <v>66</v>
      </c>
      <c r="K206" s="1" t="s">
        <v>340</v>
      </c>
      <c r="L206" s="1" t="s">
        <v>1288</v>
      </c>
      <c r="M206" s="3">
        <v>45868</v>
      </c>
      <c r="N206" s="1" t="s">
        <v>712</v>
      </c>
      <c r="O206" s="1" t="s">
        <v>936</v>
      </c>
      <c r="P206" s="1">
        <v>1</v>
      </c>
    </row>
    <row r="207" spans="1:16" x14ac:dyDescent="0.25">
      <c r="A207" s="3">
        <v>45867</v>
      </c>
      <c r="B207" s="4">
        <v>51209</v>
      </c>
      <c r="C207" s="5">
        <v>11280</v>
      </c>
      <c r="D207" s="1" t="s">
        <v>973</v>
      </c>
      <c r="E207" s="1" t="s">
        <v>1068</v>
      </c>
      <c r="F207" s="1" t="s">
        <v>304</v>
      </c>
      <c r="G207" s="1" t="s">
        <v>998</v>
      </c>
      <c r="H207" s="3">
        <v>45883</v>
      </c>
      <c r="I207" s="1" t="s">
        <v>933</v>
      </c>
      <c r="J207" s="1" t="s">
        <v>66</v>
      </c>
      <c r="K207" s="1" t="s">
        <v>996</v>
      </c>
      <c r="L207" s="4">
        <v>2000</v>
      </c>
      <c r="M207" s="3">
        <v>45868</v>
      </c>
      <c r="N207" s="1" t="s">
        <v>57</v>
      </c>
      <c r="O207" s="1" t="s">
        <v>998</v>
      </c>
      <c r="P207" s="1">
        <v>1</v>
      </c>
    </row>
    <row r="208" spans="1:16" x14ac:dyDescent="0.25">
      <c r="A208" s="3">
        <v>45867</v>
      </c>
      <c r="B208" s="4">
        <v>22084</v>
      </c>
      <c r="C208" s="5">
        <v>960</v>
      </c>
      <c r="D208" s="1" t="s">
        <v>938</v>
      </c>
      <c r="E208" s="1" t="s">
        <v>939</v>
      </c>
      <c r="F208" s="1" t="s">
        <v>304</v>
      </c>
      <c r="G208" s="1" t="s">
        <v>940</v>
      </c>
      <c r="H208" s="1" t="s">
        <v>941</v>
      </c>
      <c r="I208" s="1" t="s">
        <v>933</v>
      </c>
      <c r="J208" s="1" t="s">
        <v>66</v>
      </c>
      <c r="K208" s="1" t="s">
        <v>340</v>
      </c>
      <c r="L208" s="1" t="s">
        <v>1290</v>
      </c>
      <c r="M208" s="3">
        <v>45880</v>
      </c>
      <c r="N208" s="1" t="s">
        <v>57</v>
      </c>
      <c r="O208" s="1" t="s">
        <v>936</v>
      </c>
      <c r="P208" s="1">
        <v>1</v>
      </c>
    </row>
    <row r="209" spans="1:16" x14ac:dyDescent="0.25">
      <c r="A209" s="3">
        <v>45868</v>
      </c>
      <c r="B209" s="4">
        <v>10276</v>
      </c>
      <c r="C209" s="5">
        <v>1171.2</v>
      </c>
      <c r="D209" s="1" t="s">
        <v>1291</v>
      </c>
      <c r="E209" s="1" t="s">
        <v>1292</v>
      </c>
      <c r="F209" s="1" t="s">
        <v>66</v>
      </c>
      <c r="G209" s="1" t="s">
        <v>940</v>
      </c>
      <c r="H209" s="3">
        <v>45898</v>
      </c>
      <c r="I209" s="1" t="s">
        <v>933</v>
      </c>
      <c r="J209" s="1" t="s">
        <v>66</v>
      </c>
      <c r="K209" s="1" t="s">
        <v>340</v>
      </c>
      <c r="L209" s="1" t="s">
        <v>1293</v>
      </c>
      <c r="M209" s="3">
        <v>45870</v>
      </c>
      <c r="N209" s="1" t="s">
        <v>821</v>
      </c>
      <c r="O209" s="1" t="s">
        <v>936</v>
      </c>
      <c r="P209" s="1" t="s">
        <v>937</v>
      </c>
    </row>
    <row r="210" spans="1:16" x14ac:dyDescent="0.25">
      <c r="A210" s="3">
        <v>45868</v>
      </c>
      <c r="B210" s="1">
        <v>753</v>
      </c>
      <c r="C210" s="5">
        <v>1518</v>
      </c>
      <c r="D210" s="1" t="s">
        <v>1294</v>
      </c>
      <c r="E210" s="1" t="s">
        <v>1295</v>
      </c>
      <c r="F210" s="1" t="s">
        <v>66</v>
      </c>
      <c r="G210" s="1" t="s">
        <v>950</v>
      </c>
      <c r="H210" s="3">
        <v>45889</v>
      </c>
      <c r="I210" s="1" t="s">
        <v>933</v>
      </c>
      <c r="J210" s="1" t="s">
        <v>66</v>
      </c>
      <c r="K210" s="1" t="s">
        <v>340</v>
      </c>
      <c r="L210" s="1" t="s">
        <v>1296</v>
      </c>
      <c r="M210" s="3">
        <v>45870</v>
      </c>
      <c r="N210" s="1" t="s">
        <v>821</v>
      </c>
      <c r="O210" s="1" t="s">
        <v>936</v>
      </c>
      <c r="P210" s="1">
        <v>1</v>
      </c>
    </row>
    <row r="211" spans="1:16" x14ac:dyDescent="0.25">
      <c r="A211" s="3">
        <v>45868</v>
      </c>
      <c r="B211" s="1">
        <v>42</v>
      </c>
      <c r="C211" s="5">
        <v>1900</v>
      </c>
      <c r="D211" s="1" t="s">
        <v>1200</v>
      </c>
      <c r="E211" s="1" t="s">
        <v>1201</v>
      </c>
      <c r="F211" s="1" t="s">
        <v>66</v>
      </c>
      <c r="G211" s="1" t="s">
        <v>940</v>
      </c>
      <c r="H211" s="3">
        <v>45877</v>
      </c>
      <c r="I211" s="1" t="s">
        <v>933</v>
      </c>
      <c r="J211" s="1" t="s">
        <v>66</v>
      </c>
      <c r="K211" s="1" t="s">
        <v>340</v>
      </c>
      <c r="L211" s="1" t="s">
        <v>1297</v>
      </c>
      <c r="M211" s="3">
        <v>45870</v>
      </c>
      <c r="N211" s="1" t="s">
        <v>821</v>
      </c>
      <c r="O211" s="1" t="s">
        <v>936</v>
      </c>
      <c r="P211" s="1" t="s">
        <v>937</v>
      </c>
    </row>
    <row r="212" spans="1:16" x14ac:dyDescent="0.25">
      <c r="A212" s="3">
        <v>45868</v>
      </c>
      <c r="B212" s="4">
        <v>748847</v>
      </c>
      <c r="C212" s="5">
        <v>166.51</v>
      </c>
      <c r="D212" s="1" t="s">
        <v>1298</v>
      </c>
      <c r="E212" s="1" t="s">
        <v>1299</v>
      </c>
      <c r="F212" s="1" t="s">
        <v>955</v>
      </c>
      <c r="G212" s="1" t="s">
        <v>950</v>
      </c>
      <c r="H212" s="1" t="s">
        <v>941</v>
      </c>
      <c r="I212" s="1" t="s">
        <v>933</v>
      </c>
      <c r="J212" s="1" t="s">
        <v>951</v>
      </c>
      <c r="K212" s="1" t="s">
        <v>817</v>
      </c>
      <c r="L212" s="1" t="s">
        <v>1267</v>
      </c>
      <c r="M212" s="3">
        <v>45880</v>
      </c>
      <c r="N212" s="1" t="s">
        <v>821</v>
      </c>
      <c r="O212" s="1" t="s">
        <v>998</v>
      </c>
      <c r="P212" s="1">
        <v>1</v>
      </c>
    </row>
    <row r="213" spans="1:16" x14ac:dyDescent="0.25">
      <c r="A213" s="3">
        <v>45868</v>
      </c>
      <c r="B213" s="4">
        <v>52982</v>
      </c>
      <c r="C213" s="5">
        <v>54</v>
      </c>
      <c r="D213" s="1" t="s">
        <v>1300</v>
      </c>
      <c r="E213" s="1" t="s">
        <v>1301</v>
      </c>
      <c r="F213" s="1" t="s">
        <v>955</v>
      </c>
      <c r="G213" s="1" t="s">
        <v>950</v>
      </c>
      <c r="H213" s="1" t="s">
        <v>941</v>
      </c>
      <c r="I213" s="1" t="s">
        <v>933</v>
      </c>
      <c r="J213" s="1" t="s">
        <v>951</v>
      </c>
      <c r="K213" s="1" t="s">
        <v>817</v>
      </c>
      <c r="L213" s="1" t="s">
        <v>1302</v>
      </c>
      <c r="M213" s="3">
        <v>45880</v>
      </c>
      <c r="N213" s="1" t="s">
        <v>821</v>
      </c>
      <c r="O213" s="1" t="s">
        <v>998</v>
      </c>
      <c r="P213" s="1">
        <v>1</v>
      </c>
    </row>
    <row r="214" spans="1:16" x14ac:dyDescent="0.25">
      <c r="A214" s="3">
        <v>45868</v>
      </c>
      <c r="B214" s="4">
        <v>18755</v>
      </c>
      <c r="C214" s="5">
        <v>207.49</v>
      </c>
      <c r="D214" s="1" t="s">
        <v>992</v>
      </c>
      <c r="E214" s="1" t="s">
        <v>1243</v>
      </c>
      <c r="F214" s="1" t="s">
        <v>955</v>
      </c>
      <c r="G214" s="1" t="s">
        <v>950</v>
      </c>
      <c r="H214" s="1" t="s">
        <v>941</v>
      </c>
      <c r="I214" s="1" t="s">
        <v>933</v>
      </c>
      <c r="J214" s="1" t="s">
        <v>951</v>
      </c>
      <c r="K214" s="1" t="s">
        <v>817</v>
      </c>
      <c r="L214" s="1" t="s">
        <v>1257</v>
      </c>
      <c r="M214" s="3">
        <v>45880</v>
      </c>
      <c r="N214" s="1" t="s">
        <v>821</v>
      </c>
      <c r="O214" s="1" t="s">
        <v>998</v>
      </c>
      <c r="P214" s="1">
        <v>1</v>
      </c>
    </row>
    <row r="215" spans="1:16" x14ac:dyDescent="0.25">
      <c r="A215" s="3">
        <v>45868</v>
      </c>
      <c r="B215" s="4">
        <v>1375317</v>
      </c>
      <c r="C215" s="5">
        <v>157.02000000000001</v>
      </c>
      <c r="D215" s="1" t="s">
        <v>1303</v>
      </c>
      <c r="E215" s="1" t="s">
        <v>1304</v>
      </c>
      <c r="F215" s="1" t="s">
        <v>955</v>
      </c>
      <c r="G215" s="1" t="s">
        <v>950</v>
      </c>
      <c r="H215" s="1" t="s">
        <v>959</v>
      </c>
      <c r="I215" s="1" t="s">
        <v>933</v>
      </c>
      <c r="J215" s="1" t="s">
        <v>951</v>
      </c>
      <c r="K215" s="1" t="s">
        <v>817</v>
      </c>
      <c r="L215" s="1" t="s">
        <v>1257</v>
      </c>
      <c r="M215" s="3">
        <v>45880</v>
      </c>
      <c r="N215" s="1" t="s">
        <v>821</v>
      </c>
      <c r="O215" s="1" t="s">
        <v>937</v>
      </c>
      <c r="P215" s="1">
        <v>1</v>
      </c>
    </row>
    <row r="216" spans="1:16" x14ac:dyDescent="0.25">
      <c r="A216" s="3">
        <v>45868</v>
      </c>
      <c r="B216" s="4">
        <v>29811</v>
      </c>
      <c r="C216" s="5">
        <v>134.4</v>
      </c>
      <c r="D216" s="1" t="s">
        <v>961</v>
      </c>
      <c r="E216" s="1" t="s">
        <v>1162</v>
      </c>
      <c r="F216" s="1" t="s">
        <v>966</v>
      </c>
      <c r="G216" s="1" t="s">
        <v>950</v>
      </c>
      <c r="H216" s="1" t="s">
        <v>941</v>
      </c>
      <c r="I216" s="1" t="s">
        <v>933</v>
      </c>
      <c r="J216" s="1" t="s">
        <v>951</v>
      </c>
      <c r="K216" s="1" t="s">
        <v>817</v>
      </c>
      <c r="L216" s="1" t="s">
        <v>1305</v>
      </c>
      <c r="M216" s="3">
        <v>45880</v>
      </c>
      <c r="N216" s="1" t="s">
        <v>821</v>
      </c>
      <c r="O216" s="1" t="s">
        <v>936</v>
      </c>
      <c r="P216" s="1">
        <v>1</v>
      </c>
    </row>
    <row r="217" spans="1:16" x14ac:dyDescent="0.25">
      <c r="A217" s="3">
        <v>45868</v>
      </c>
      <c r="B217" s="4">
        <v>36952</v>
      </c>
      <c r="C217" s="5">
        <v>163.52000000000001</v>
      </c>
      <c r="D217" s="1" t="s">
        <v>1306</v>
      </c>
      <c r="E217" s="1" t="s">
        <v>1307</v>
      </c>
      <c r="F217" s="1" t="s">
        <v>955</v>
      </c>
      <c r="G217" s="1" t="s">
        <v>950</v>
      </c>
      <c r="H217" s="1" t="s">
        <v>941</v>
      </c>
      <c r="I217" s="1" t="s">
        <v>933</v>
      </c>
      <c r="J217" s="1" t="s">
        <v>951</v>
      </c>
      <c r="K217" s="1" t="s">
        <v>817</v>
      </c>
      <c r="L217" s="1" t="s">
        <v>1308</v>
      </c>
      <c r="M217" s="3">
        <v>45880</v>
      </c>
      <c r="N217" s="1" t="s">
        <v>821</v>
      </c>
      <c r="O217" s="1" t="s">
        <v>998</v>
      </c>
      <c r="P217" s="1" t="s">
        <v>937</v>
      </c>
    </row>
    <row r="218" spans="1:16" x14ac:dyDescent="0.25">
      <c r="A218" s="3">
        <v>45868</v>
      </c>
      <c r="B218" s="4">
        <v>279127</v>
      </c>
      <c r="C218" s="5">
        <v>136.58000000000001</v>
      </c>
      <c r="D218" s="1" t="s">
        <v>1309</v>
      </c>
      <c r="E218" s="1" t="s">
        <v>1310</v>
      </c>
      <c r="F218" s="1" t="s">
        <v>66</v>
      </c>
      <c r="G218" s="1" t="s">
        <v>950</v>
      </c>
      <c r="H218" s="1" t="s">
        <v>941</v>
      </c>
      <c r="I218" s="1" t="s">
        <v>933</v>
      </c>
      <c r="J218" s="1" t="s">
        <v>66</v>
      </c>
      <c r="K218" s="1" t="s">
        <v>817</v>
      </c>
      <c r="L218" s="1" t="s">
        <v>1311</v>
      </c>
      <c r="M218" s="3">
        <v>45880</v>
      </c>
      <c r="N218" s="1" t="s">
        <v>821</v>
      </c>
      <c r="O218" s="1" t="s">
        <v>937</v>
      </c>
      <c r="P218" s="1" t="s">
        <v>937</v>
      </c>
    </row>
    <row r="219" spans="1:16" x14ac:dyDescent="0.25">
      <c r="A219" s="3">
        <v>45868</v>
      </c>
      <c r="B219" s="4">
        <v>80635</v>
      </c>
      <c r="C219" s="5">
        <v>740.5</v>
      </c>
      <c r="D219" s="1" t="s">
        <v>1174</v>
      </c>
      <c r="E219" s="1" t="s">
        <v>1312</v>
      </c>
      <c r="F219" s="1" t="s">
        <v>844</v>
      </c>
      <c r="G219" s="1" t="s">
        <v>940</v>
      </c>
      <c r="H219" s="1" t="s">
        <v>941</v>
      </c>
      <c r="I219" s="1" t="s">
        <v>836</v>
      </c>
      <c r="J219" s="1" t="s">
        <v>66</v>
      </c>
      <c r="K219" s="1" t="s">
        <v>340</v>
      </c>
      <c r="L219" s="1" t="s">
        <v>1313</v>
      </c>
      <c r="M219" s="3">
        <v>45880</v>
      </c>
      <c r="N219" s="1" t="s">
        <v>836</v>
      </c>
      <c r="O219" s="1" t="s">
        <v>936</v>
      </c>
      <c r="P219" s="1" t="s">
        <v>937</v>
      </c>
    </row>
    <row r="220" spans="1:16" x14ac:dyDescent="0.25">
      <c r="A220" s="3">
        <v>45868</v>
      </c>
      <c r="B220" s="4">
        <v>80634</v>
      </c>
      <c r="C220" s="5">
        <v>813</v>
      </c>
      <c r="D220" s="1" t="s">
        <v>1174</v>
      </c>
      <c r="E220" s="1" t="s">
        <v>1314</v>
      </c>
      <c r="F220" s="1" t="s">
        <v>867</v>
      </c>
      <c r="G220" s="1" t="s">
        <v>940</v>
      </c>
      <c r="H220" s="1" t="s">
        <v>941</v>
      </c>
      <c r="I220" s="1" t="s">
        <v>933</v>
      </c>
      <c r="J220" s="1" t="s">
        <v>66</v>
      </c>
      <c r="K220" s="1" t="s">
        <v>340</v>
      </c>
      <c r="L220" s="1" t="s">
        <v>1315</v>
      </c>
      <c r="M220" s="3">
        <v>45880</v>
      </c>
      <c r="N220" s="1" t="s">
        <v>57</v>
      </c>
      <c r="O220" s="1" t="s">
        <v>936</v>
      </c>
      <c r="P220" s="1">
        <v>1</v>
      </c>
    </row>
    <row r="221" spans="1:16" x14ac:dyDescent="0.25">
      <c r="A221" s="3">
        <v>45869</v>
      </c>
      <c r="B221" s="4">
        <v>475947</v>
      </c>
      <c r="C221" s="5">
        <v>7565</v>
      </c>
      <c r="D221" s="1" t="s">
        <v>1316</v>
      </c>
      <c r="E221" s="1" t="s">
        <v>1317</v>
      </c>
      <c r="F221" s="1" t="s">
        <v>844</v>
      </c>
      <c r="G221" s="1" t="s">
        <v>1260</v>
      </c>
      <c r="H221" s="1" t="s">
        <v>1083</v>
      </c>
      <c r="I221" s="1" t="s">
        <v>933</v>
      </c>
      <c r="J221" s="1" t="s">
        <v>66</v>
      </c>
      <c r="K221" s="1" t="s">
        <v>340</v>
      </c>
      <c r="L221" s="1" t="s">
        <v>1318</v>
      </c>
      <c r="M221" s="3">
        <v>45870</v>
      </c>
      <c r="N221" s="1" t="s">
        <v>836</v>
      </c>
      <c r="O221" s="1" t="s">
        <v>936</v>
      </c>
      <c r="P221" s="1" t="s">
        <v>937</v>
      </c>
    </row>
    <row r="222" spans="1:16" x14ac:dyDescent="0.25">
      <c r="A222" s="3">
        <v>45869</v>
      </c>
      <c r="B222" s="4">
        <v>22268</v>
      </c>
      <c r="C222" s="5">
        <v>2230</v>
      </c>
      <c r="D222" s="1" t="s">
        <v>1319</v>
      </c>
      <c r="E222" s="1" t="s">
        <v>1320</v>
      </c>
      <c r="F222" s="1" t="s">
        <v>955</v>
      </c>
      <c r="G222" s="1" t="s">
        <v>990</v>
      </c>
      <c r="H222" s="3">
        <v>45884</v>
      </c>
      <c r="I222" s="1" t="s">
        <v>933</v>
      </c>
      <c r="J222" s="1" t="s">
        <v>951</v>
      </c>
      <c r="K222" s="1" t="s">
        <v>20</v>
      </c>
      <c r="L222" s="1" t="s">
        <v>1321</v>
      </c>
      <c r="M222" s="3">
        <v>45870</v>
      </c>
      <c r="N222" s="1" t="s">
        <v>821</v>
      </c>
      <c r="O222" s="1" t="s">
        <v>936</v>
      </c>
      <c r="P222" s="1">
        <v>1</v>
      </c>
    </row>
    <row r="223" spans="1:16" x14ac:dyDescent="0.25">
      <c r="A223" s="3">
        <v>45869</v>
      </c>
      <c r="B223" s="4">
        <v>29848</v>
      </c>
      <c r="C223" s="5">
        <v>80</v>
      </c>
      <c r="D223" s="1" t="s">
        <v>961</v>
      </c>
      <c r="E223" s="1" t="s">
        <v>1162</v>
      </c>
      <c r="F223" s="1" t="s">
        <v>955</v>
      </c>
      <c r="G223" s="1" t="s">
        <v>950</v>
      </c>
      <c r="H223" s="1" t="s">
        <v>941</v>
      </c>
      <c r="I223" s="1" t="s">
        <v>933</v>
      </c>
      <c r="J223" s="1" t="s">
        <v>951</v>
      </c>
      <c r="K223" s="1" t="s">
        <v>20</v>
      </c>
      <c r="L223" s="1" t="s">
        <v>1322</v>
      </c>
      <c r="M223" s="3">
        <v>45880</v>
      </c>
      <c r="N223" s="1" t="s">
        <v>821</v>
      </c>
      <c r="O223" s="1" t="s">
        <v>936</v>
      </c>
      <c r="P223" s="1">
        <v>1</v>
      </c>
    </row>
    <row r="224" spans="1:16" x14ac:dyDescent="0.25">
      <c r="A224" s="3">
        <v>45869</v>
      </c>
      <c r="B224" s="1">
        <v>10</v>
      </c>
      <c r="C224" s="5">
        <v>224</v>
      </c>
      <c r="D224" s="1" t="s">
        <v>1323</v>
      </c>
      <c r="E224" s="1" t="s">
        <v>1324</v>
      </c>
      <c r="F224" s="1" t="s">
        <v>867</v>
      </c>
      <c r="G224" s="1" t="s">
        <v>940</v>
      </c>
      <c r="H224" s="1" t="s">
        <v>941</v>
      </c>
      <c r="I224" s="1" t="s">
        <v>933</v>
      </c>
      <c r="J224" s="1" t="s">
        <v>66</v>
      </c>
      <c r="K224" s="1" t="s">
        <v>340</v>
      </c>
      <c r="L224" s="1" t="s">
        <v>1325</v>
      </c>
      <c r="M224" s="3">
        <v>45880</v>
      </c>
      <c r="N224" s="1" t="s">
        <v>57</v>
      </c>
      <c r="O224" s="1" t="s">
        <v>936</v>
      </c>
      <c r="P224" s="1">
        <v>1</v>
      </c>
    </row>
    <row r="225" spans="1:16" x14ac:dyDescent="0.25">
      <c r="A225" s="3">
        <v>45870</v>
      </c>
      <c r="B225" s="4">
        <v>3201</v>
      </c>
      <c r="C225" s="5">
        <v>3434</v>
      </c>
      <c r="D225" s="1" t="s">
        <v>1134</v>
      </c>
      <c r="E225" s="1" t="s">
        <v>1282</v>
      </c>
      <c r="F225" s="1" t="s">
        <v>955</v>
      </c>
      <c r="G225" s="1" t="s">
        <v>940</v>
      </c>
      <c r="H225" s="3">
        <v>45890</v>
      </c>
      <c r="I225" s="1" t="s">
        <v>933</v>
      </c>
      <c r="J225" s="1" t="s">
        <v>951</v>
      </c>
      <c r="K225" s="1" t="s">
        <v>20</v>
      </c>
      <c r="L225" s="1" t="s">
        <v>1326</v>
      </c>
      <c r="M225" s="3">
        <v>45870</v>
      </c>
      <c r="N225" s="1" t="s">
        <v>821</v>
      </c>
      <c r="O225" s="1" t="s">
        <v>936</v>
      </c>
      <c r="P225" s="1">
        <v>1</v>
      </c>
    </row>
    <row r="226" spans="1:16" x14ac:dyDescent="0.25">
      <c r="A226" s="3">
        <v>45870</v>
      </c>
      <c r="B226" s="1">
        <v>1</v>
      </c>
      <c r="C226" s="5">
        <v>4406.3999999999996</v>
      </c>
      <c r="D226" s="1" t="s">
        <v>1327</v>
      </c>
      <c r="E226" s="1" t="s">
        <v>1328</v>
      </c>
      <c r="F226" s="1" t="s">
        <v>955</v>
      </c>
      <c r="G226" s="1" t="s">
        <v>940</v>
      </c>
      <c r="H226" s="3">
        <v>45890</v>
      </c>
      <c r="I226" s="1" t="s">
        <v>933</v>
      </c>
      <c r="J226" s="1" t="s">
        <v>951</v>
      </c>
      <c r="K226" s="1" t="s">
        <v>20</v>
      </c>
      <c r="L226" s="1" t="s">
        <v>1329</v>
      </c>
      <c r="M226" s="3">
        <v>45870</v>
      </c>
      <c r="N226" s="1" t="s">
        <v>821</v>
      </c>
      <c r="O226" s="1" t="s">
        <v>936</v>
      </c>
      <c r="P226" s="1" t="s">
        <v>937</v>
      </c>
    </row>
    <row r="227" spans="1:16" x14ac:dyDescent="0.25">
      <c r="A227" s="3">
        <v>45870</v>
      </c>
      <c r="B227" s="4">
        <v>51493</v>
      </c>
      <c r="C227" s="5">
        <v>11280</v>
      </c>
      <c r="D227" s="1" t="s">
        <v>973</v>
      </c>
      <c r="E227" s="1" t="s">
        <v>1068</v>
      </c>
      <c r="F227" s="1" t="s">
        <v>304</v>
      </c>
      <c r="G227" s="1" t="s">
        <v>998</v>
      </c>
      <c r="H227" s="3">
        <v>45886</v>
      </c>
      <c r="I227" s="1" t="s">
        <v>933</v>
      </c>
      <c r="J227" s="1" t="s">
        <v>66</v>
      </c>
      <c r="K227" s="1" t="s">
        <v>996</v>
      </c>
      <c r="L227" s="4">
        <v>2000</v>
      </c>
      <c r="M227" s="3">
        <v>45873</v>
      </c>
      <c r="N227" s="1" t="s">
        <v>57</v>
      </c>
      <c r="O227" s="1" t="s">
        <v>998</v>
      </c>
      <c r="P227" s="1">
        <v>1</v>
      </c>
    </row>
    <row r="228" spans="1:16" x14ac:dyDescent="0.25">
      <c r="A228" s="3">
        <v>45870</v>
      </c>
      <c r="B228" s="1">
        <v>19</v>
      </c>
      <c r="C228" s="5">
        <v>2000</v>
      </c>
      <c r="D228" s="1" t="s">
        <v>1197</v>
      </c>
      <c r="E228" s="1" t="s">
        <v>1198</v>
      </c>
      <c r="F228" s="1" t="s">
        <v>713</v>
      </c>
      <c r="G228" s="1" t="s">
        <v>940</v>
      </c>
      <c r="H228" s="3">
        <v>45884</v>
      </c>
      <c r="I228" s="1" t="s">
        <v>933</v>
      </c>
      <c r="J228" s="1" t="s">
        <v>66</v>
      </c>
      <c r="K228" s="1" t="s">
        <v>340</v>
      </c>
      <c r="L228" s="1" t="s">
        <v>1330</v>
      </c>
      <c r="M228" s="3">
        <v>45873</v>
      </c>
      <c r="N228" s="1" t="s">
        <v>712</v>
      </c>
      <c r="O228" s="1" t="s">
        <v>936</v>
      </c>
      <c r="P228" s="1">
        <v>1</v>
      </c>
    </row>
    <row r="229" spans="1:16" x14ac:dyDescent="0.25">
      <c r="A229" s="3">
        <v>45870</v>
      </c>
      <c r="B229" s="4">
        <v>7534</v>
      </c>
      <c r="C229" s="5">
        <v>3500</v>
      </c>
      <c r="D229" s="1" t="s">
        <v>1331</v>
      </c>
      <c r="E229" s="1" t="s">
        <v>1332</v>
      </c>
      <c r="F229" s="1" t="s">
        <v>955</v>
      </c>
      <c r="G229" s="1" t="s">
        <v>940</v>
      </c>
      <c r="H229" s="3">
        <v>45889</v>
      </c>
      <c r="I229" s="1" t="s">
        <v>933</v>
      </c>
      <c r="J229" s="1" t="s">
        <v>951</v>
      </c>
      <c r="K229" s="1" t="s">
        <v>20</v>
      </c>
      <c r="L229" s="1" t="s">
        <v>1333</v>
      </c>
      <c r="M229" s="3">
        <v>45873</v>
      </c>
      <c r="N229" s="1" t="s">
        <v>821</v>
      </c>
      <c r="O229" s="1" t="s">
        <v>936</v>
      </c>
      <c r="P229" s="1">
        <v>1</v>
      </c>
    </row>
    <row r="230" spans="1:16" x14ac:dyDescent="0.25">
      <c r="A230" s="3">
        <v>45870</v>
      </c>
      <c r="B230" s="4">
        <v>7533</v>
      </c>
      <c r="C230" s="5">
        <v>3500</v>
      </c>
      <c r="D230" s="1" t="s">
        <v>1331</v>
      </c>
      <c r="E230" s="1" t="s">
        <v>1332</v>
      </c>
      <c r="F230" s="1" t="s">
        <v>955</v>
      </c>
      <c r="G230" s="1" t="s">
        <v>940</v>
      </c>
      <c r="H230" s="3">
        <v>45889</v>
      </c>
      <c r="I230" s="1" t="s">
        <v>933</v>
      </c>
      <c r="J230" s="1" t="s">
        <v>951</v>
      </c>
      <c r="K230" s="1" t="s">
        <v>20</v>
      </c>
      <c r="L230" s="1" t="s">
        <v>1334</v>
      </c>
      <c r="M230" s="3">
        <v>45873</v>
      </c>
      <c r="N230" s="1" t="s">
        <v>821</v>
      </c>
      <c r="O230" s="1" t="s">
        <v>936</v>
      </c>
      <c r="P230" s="1">
        <v>1</v>
      </c>
    </row>
    <row r="231" spans="1:16" x14ac:dyDescent="0.25">
      <c r="A231" s="3">
        <v>45870</v>
      </c>
      <c r="B231" s="4">
        <v>51494</v>
      </c>
      <c r="C231" s="5">
        <v>11280</v>
      </c>
      <c r="D231" s="1" t="s">
        <v>973</v>
      </c>
      <c r="E231" s="1" t="s">
        <v>1068</v>
      </c>
      <c r="F231" s="1" t="s">
        <v>304</v>
      </c>
      <c r="G231" s="1" t="s">
        <v>998</v>
      </c>
      <c r="H231" s="3">
        <v>45886</v>
      </c>
      <c r="I231" s="1" t="s">
        <v>933</v>
      </c>
      <c r="J231" s="1" t="s">
        <v>66</v>
      </c>
      <c r="K231" s="1" t="s">
        <v>996</v>
      </c>
      <c r="L231" s="4">
        <v>2000</v>
      </c>
      <c r="M231" s="3">
        <v>45873</v>
      </c>
      <c r="N231" s="1" t="s">
        <v>57</v>
      </c>
      <c r="O231" s="1" t="s">
        <v>998</v>
      </c>
      <c r="P231" s="1">
        <v>1</v>
      </c>
    </row>
    <row r="232" spans="1:16" x14ac:dyDescent="0.25">
      <c r="A232" s="3">
        <v>45870</v>
      </c>
      <c r="B232" s="4">
        <v>7106</v>
      </c>
      <c r="C232" s="5">
        <v>46</v>
      </c>
      <c r="D232" s="1" t="s">
        <v>1008</v>
      </c>
      <c r="E232" s="1" t="s">
        <v>1009</v>
      </c>
      <c r="F232" s="1" t="s">
        <v>966</v>
      </c>
      <c r="G232" s="1" t="s">
        <v>950</v>
      </c>
      <c r="H232" s="1" t="s">
        <v>941</v>
      </c>
      <c r="I232" s="1" t="s">
        <v>933</v>
      </c>
      <c r="J232" s="1" t="s">
        <v>951</v>
      </c>
      <c r="K232" s="1" t="s">
        <v>817</v>
      </c>
      <c r="L232" s="1" t="s">
        <v>1335</v>
      </c>
      <c r="M232" s="3">
        <v>45880</v>
      </c>
      <c r="N232" s="1" t="s">
        <v>821</v>
      </c>
      <c r="O232" s="1" t="s">
        <v>936</v>
      </c>
      <c r="P232" s="1">
        <v>1</v>
      </c>
    </row>
    <row r="233" spans="1:16" x14ac:dyDescent="0.25">
      <c r="A233" s="3">
        <v>45870</v>
      </c>
      <c r="B233" s="1">
        <v>159</v>
      </c>
      <c r="C233" s="5">
        <v>300</v>
      </c>
      <c r="D233" s="1" t="s">
        <v>1336</v>
      </c>
      <c r="E233" s="1" t="s">
        <v>1337</v>
      </c>
      <c r="F233" s="1" t="s">
        <v>647</v>
      </c>
      <c r="G233" s="1" t="s">
        <v>940</v>
      </c>
      <c r="H233" s="1" t="s">
        <v>941</v>
      </c>
      <c r="I233" s="1" t="s">
        <v>933</v>
      </c>
      <c r="J233" s="1" t="s">
        <v>66</v>
      </c>
      <c r="K233" s="1" t="s">
        <v>340</v>
      </c>
      <c r="L233" s="1" t="s">
        <v>1338</v>
      </c>
      <c r="M233" s="3">
        <v>45880</v>
      </c>
      <c r="N233" s="1" t="s">
        <v>57</v>
      </c>
      <c r="O233" s="1" t="s">
        <v>936</v>
      </c>
      <c r="P233" s="1">
        <v>1</v>
      </c>
    </row>
    <row r="234" spans="1:16" x14ac:dyDescent="0.25">
      <c r="A234" s="3">
        <v>45870</v>
      </c>
      <c r="B234" s="1">
        <v>160</v>
      </c>
      <c r="C234" s="5">
        <v>70</v>
      </c>
      <c r="D234" s="1" t="s">
        <v>1336</v>
      </c>
      <c r="E234" s="1" t="s">
        <v>1337</v>
      </c>
      <c r="F234" s="1" t="s">
        <v>650</v>
      </c>
      <c r="G234" s="1" t="s">
        <v>940</v>
      </c>
      <c r="H234" s="1" t="s">
        <v>941</v>
      </c>
      <c r="I234" s="1" t="s">
        <v>933</v>
      </c>
      <c r="J234" s="1" t="s">
        <v>66</v>
      </c>
      <c r="K234" s="1" t="s">
        <v>340</v>
      </c>
      <c r="L234" s="1" t="s">
        <v>1339</v>
      </c>
      <c r="M234" s="3">
        <v>45880</v>
      </c>
      <c r="N234" s="1" t="s">
        <v>57</v>
      </c>
      <c r="O234" s="1" t="s">
        <v>936</v>
      </c>
      <c r="P234" s="1">
        <v>1</v>
      </c>
    </row>
    <row r="235" spans="1:16" x14ac:dyDescent="0.25">
      <c r="A235" s="3">
        <v>45871</v>
      </c>
      <c r="B235" s="4">
        <v>22310</v>
      </c>
      <c r="C235" s="5">
        <v>920</v>
      </c>
      <c r="D235" s="1" t="s">
        <v>1340</v>
      </c>
      <c r="E235" s="1" t="s">
        <v>1341</v>
      </c>
      <c r="F235" s="1" t="s">
        <v>833</v>
      </c>
      <c r="G235" s="1" t="s">
        <v>940</v>
      </c>
      <c r="H235" s="1" t="s">
        <v>941</v>
      </c>
      <c r="I235" s="1" t="s">
        <v>933</v>
      </c>
      <c r="J235" s="1" t="s">
        <v>66</v>
      </c>
      <c r="K235" s="1" t="s">
        <v>66</v>
      </c>
      <c r="L235" s="1" t="s">
        <v>1342</v>
      </c>
      <c r="M235" s="3">
        <v>45880</v>
      </c>
      <c r="N235" s="1" t="s">
        <v>836</v>
      </c>
      <c r="O235" s="1" t="s">
        <v>1343</v>
      </c>
      <c r="P235" s="1" t="s">
        <v>937</v>
      </c>
    </row>
    <row r="236" spans="1:16" x14ac:dyDescent="0.25">
      <c r="A236" s="3">
        <v>45871</v>
      </c>
      <c r="B236" s="4">
        <v>387010</v>
      </c>
      <c r="C236" s="5">
        <v>165.64</v>
      </c>
      <c r="D236" s="1" t="s">
        <v>969</v>
      </c>
      <c r="E236" s="1" t="s">
        <v>1115</v>
      </c>
      <c r="F236" s="1" t="s">
        <v>955</v>
      </c>
      <c r="G236" s="1" t="s">
        <v>950</v>
      </c>
      <c r="H236" s="1" t="s">
        <v>941</v>
      </c>
      <c r="I236" s="1" t="s">
        <v>933</v>
      </c>
      <c r="J236" s="1" t="s">
        <v>951</v>
      </c>
      <c r="K236" s="1" t="s">
        <v>817</v>
      </c>
      <c r="L236" s="1" t="s">
        <v>1257</v>
      </c>
      <c r="M236" s="3">
        <v>45880</v>
      </c>
      <c r="N236" s="1" t="s">
        <v>821</v>
      </c>
      <c r="O236" s="1" t="s">
        <v>998</v>
      </c>
      <c r="P236" s="1">
        <v>1</v>
      </c>
    </row>
    <row r="237" spans="1:16" x14ac:dyDescent="0.25">
      <c r="A237" s="3">
        <v>45873</v>
      </c>
      <c r="B237" s="4">
        <v>1028</v>
      </c>
      <c r="C237" s="5">
        <v>685</v>
      </c>
      <c r="D237" s="1" t="s">
        <v>1126</v>
      </c>
      <c r="E237" s="1" t="s">
        <v>1127</v>
      </c>
      <c r="F237" s="1" t="s">
        <v>66</v>
      </c>
      <c r="G237" s="1" t="s">
        <v>940</v>
      </c>
      <c r="H237" s="3">
        <v>45890</v>
      </c>
      <c r="I237" s="1" t="s">
        <v>933</v>
      </c>
      <c r="J237" s="1" t="s">
        <v>66</v>
      </c>
      <c r="K237" s="1" t="s">
        <v>640</v>
      </c>
      <c r="L237" s="1" t="s">
        <v>1344</v>
      </c>
      <c r="M237" s="3">
        <v>45873</v>
      </c>
      <c r="N237" s="1" t="s">
        <v>821</v>
      </c>
      <c r="O237" s="1" t="s">
        <v>936</v>
      </c>
      <c r="P237" s="1">
        <v>1</v>
      </c>
    </row>
    <row r="238" spans="1:16" x14ac:dyDescent="0.25">
      <c r="A238" s="3">
        <v>45873</v>
      </c>
      <c r="B238" s="4">
        <v>1028</v>
      </c>
      <c r="C238" s="5">
        <v>1600</v>
      </c>
      <c r="D238" s="1" t="s">
        <v>1126</v>
      </c>
      <c r="E238" s="1" t="s">
        <v>1127</v>
      </c>
      <c r="F238" s="1" t="s">
        <v>619</v>
      </c>
      <c r="G238" s="1" t="s">
        <v>940</v>
      </c>
      <c r="H238" s="3">
        <v>45890</v>
      </c>
      <c r="I238" s="1" t="s">
        <v>933</v>
      </c>
      <c r="J238" s="1" t="s">
        <v>66</v>
      </c>
      <c r="K238" s="1" t="s">
        <v>340</v>
      </c>
      <c r="L238" s="1" t="s">
        <v>1345</v>
      </c>
      <c r="M238" s="3">
        <v>45873</v>
      </c>
      <c r="N238" s="1" t="s">
        <v>383</v>
      </c>
      <c r="O238" s="1" t="s">
        <v>936</v>
      </c>
      <c r="P238" s="1">
        <v>1</v>
      </c>
    </row>
    <row r="239" spans="1:16" x14ac:dyDescent="0.25">
      <c r="A239" s="3">
        <v>45873</v>
      </c>
      <c r="B239" s="4">
        <v>1028</v>
      </c>
      <c r="C239" s="5">
        <v>1030</v>
      </c>
      <c r="D239" s="1" t="s">
        <v>1126</v>
      </c>
      <c r="E239" s="1" t="s">
        <v>1127</v>
      </c>
      <c r="F239" s="1" t="s">
        <v>844</v>
      </c>
      <c r="G239" s="1" t="s">
        <v>1260</v>
      </c>
      <c r="H239" s="3">
        <v>45890</v>
      </c>
      <c r="I239" s="1" t="s">
        <v>933</v>
      </c>
      <c r="J239" s="1" t="s">
        <v>66</v>
      </c>
      <c r="K239" s="1" t="s">
        <v>340</v>
      </c>
      <c r="L239" s="1" t="s">
        <v>1346</v>
      </c>
      <c r="M239" s="3">
        <v>45873</v>
      </c>
      <c r="N239" s="1" t="s">
        <v>836</v>
      </c>
      <c r="O239" s="1" t="s">
        <v>936</v>
      </c>
      <c r="P239" s="1">
        <v>1</v>
      </c>
    </row>
    <row r="240" spans="1:16" x14ac:dyDescent="0.25">
      <c r="A240" s="3">
        <v>45873</v>
      </c>
      <c r="B240" s="4">
        <v>1028</v>
      </c>
      <c r="C240" s="5">
        <v>750</v>
      </c>
      <c r="D240" s="1" t="s">
        <v>1126</v>
      </c>
      <c r="E240" s="1" t="s">
        <v>1127</v>
      </c>
      <c r="F240" s="1" t="s">
        <v>833</v>
      </c>
      <c r="G240" s="1" t="s">
        <v>940</v>
      </c>
      <c r="H240" s="3">
        <v>45890</v>
      </c>
      <c r="I240" s="1" t="s">
        <v>836</v>
      </c>
      <c r="J240" s="1" t="s">
        <v>66</v>
      </c>
      <c r="K240" s="1" t="s">
        <v>340</v>
      </c>
      <c r="L240" s="1" t="s">
        <v>1347</v>
      </c>
      <c r="M240" s="3">
        <v>45873</v>
      </c>
      <c r="N240" s="1" t="s">
        <v>836</v>
      </c>
      <c r="O240" s="1" t="s">
        <v>936</v>
      </c>
      <c r="P240" s="1">
        <v>1</v>
      </c>
    </row>
    <row r="241" spans="1:16" x14ac:dyDescent="0.25">
      <c r="A241" s="3">
        <v>45873</v>
      </c>
      <c r="B241" s="4">
        <v>1028</v>
      </c>
      <c r="C241" s="5">
        <v>5700</v>
      </c>
      <c r="D241" s="1" t="s">
        <v>1126</v>
      </c>
      <c r="E241" s="1" t="s">
        <v>1127</v>
      </c>
      <c r="F241" s="1" t="s">
        <v>955</v>
      </c>
      <c r="G241" s="1" t="s">
        <v>940</v>
      </c>
      <c r="H241" s="3">
        <v>45890</v>
      </c>
      <c r="I241" s="1" t="s">
        <v>933</v>
      </c>
      <c r="J241" s="1" t="s">
        <v>951</v>
      </c>
      <c r="K241" s="1" t="s">
        <v>340</v>
      </c>
      <c r="L241" s="1" t="s">
        <v>1348</v>
      </c>
      <c r="M241" s="3">
        <v>45873</v>
      </c>
      <c r="N241" s="1" t="s">
        <v>821</v>
      </c>
      <c r="O241" s="1" t="s">
        <v>936</v>
      </c>
      <c r="P241" s="1">
        <v>1</v>
      </c>
    </row>
    <row r="242" spans="1:16" x14ac:dyDescent="0.25">
      <c r="A242" s="3">
        <v>45873</v>
      </c>
      <c r="B242" s="4">
        <v>1028</v>
      </c>
      <c r="C242" s="5">
        <v>2600</v>
      </c>
      <c r="D242" s="1" t="s">
        <v>1126</v>
      </c>
      <c r="E242" s="1" t="s">
        <v>1127</v>
      </c>
      <c r="F242" s="1" t="s">
        <v>955</v>
      </c>
      <c r="G242" s="1" t="s">
        <v>940</v>
      </c>
      <c r="H242" s="3">
        <v>45890</v>
      </c>
      <c r="I242" s="1" t="s">
        <v>933</v>
      </c>
      <c r="J242" s="1" t="s">
        <v>951</v>
      </c>
      <c r="K242" s="1" t="s">
        <v>640</v>
      </c>
      <c r="L242" s="1" t="s">
        <v>1349</v>
      </c>
      <c r="M242" s="3">
        <v>45873</v>
      </c>
      <c r="N242" s="1" t="s">
        <v>821</v>
      </c>
      <c r="O242" s="1" t="s">
        <v>936</v>
      </c>
      <c r="P242" s="1">
        <v>1</v>
      </c>
    </row>
    <row r="243" spans="1:16" x14ac:dyDescent="0.25">
      <c r="A243" s="3">
        <v>45873</v>
      </c>
      <c r="B243" s="4">
        <v>1028</v>
      </c>
      <c r="C243" s="5">
        <v>380</v>
      </c>
      <c r="D243" s="1" t="s">
        <v>1126</v>
      </c>
      <c r="E243" s="1" t="s">
        <v>1127</v>
      </c>
      <c r="F243" s="1" t="s">
        <v>833</v>
      </c>
      <c r="G243" s="1" t="s">
        <v>940</v>
      </c>
      <c r="H243" s="3">
        <v>45890</v>
      </c>
      <c r="I243" s="1" t="s">
        <v>836</v>
      </c>
      <c r="J243" s="1" t="s">
        <v>66</v>
      </c>
      <c r="K243" s="1" t="s">
        <v>340</v>
      </c>
      <c r="L243" s="1" t="s">
        <v>1350</v>
      </c>
      <c r="M243" s="3">
        <v>45873</v>
      </c>
      <c r="N243" s="1" t="s">
        <v>836</v>
      </c>
      <c r="O243" s="1" t="s">
        <v>936</v>
      </c>
      <c r="P243" s="1">
        <v>1</v>
      </c>
    </row>
    <row r="244" spans="1:16" x14ac:dyDescent="0.25">
      <c r="A244" s="3">
        <v>45873</v>
      </c>
      <c r="B244" s="4">
        <v>1028</v>
      </c>
      <c r="C244" s="5">
        <v>480</v>
      </c>
      <c r="D244" s="1" t="s">
        <v>1126</v>
      </c>
      <c r="E244" s="1" t="s">
        <v>1127</v>
      </c>
      <c r="F244" s="1" t="s">
        <v>949</v>
      </c>
      <c r="G244" s="1" t="s">
        <v>940</v>
      </c>
      <c r="H244" s="3">
        <v>45890</v>
      </c>
      <c r="I244" s="1" t="s">
        <v>933</v>
      </c>
      <c r="J244" s="1" t="s">
        <v>951</v>
      </c>
      <c r="K244" s="1" t="s">
        <v>340</v>
      </c>
      <c r="L244" s="1" t="s">
        <v>1351</v>
      </c>
      <c r="M244" s="3">
        <v>45873</v>
      </c>
      <c r="N244" s="1" t="s">
        <v>821</v>
      </c>
      <c r="O244" s="1" t="s">
        <v>936</v>
      </c>
      <c r="P244" s="1">
        <v>1</v>
      </c>
    </row>
    <row r="245" spans="1:16" x14ac:dyDescent="0.25">
      <c r="A245" s="3">
        <v>45873</v>
      </c>
      <c r="B245" s="4">
        <v>1028</v>
      </c>
      <c r="C245" s="5">
        <v>7200</v>
      </c>
      <c r="D245" s="1" t="s">
        <v>1126</v>
      </c>
      <c r="E245" s="1" t="s">
        <v>1127</v>
      </c>
      <c r="F245" s="1" t="s">
        <v>966</v>
      </c>
      <c r="G245" s="1" t="s">
        <v>940</v>
      </c>
      <c r="H245" s="3">
        <v>45890</v>
      </c>
      <c r="I245" s="1" t="s">
        <v>933</v>
      </c>
      <c r="J245" s="1" t="s">
        <v>951</v>
      </c>
      <c r="K245" s="1" t="s">
        <v>20</v>
      </c>
      <c r="L245" s="1" t="s">
        <v>1352</v>
      </c>
      <c r="M245" s="3">
        <v>45873</v>
      </c>
      <c r="N245" s="1" t="s">
        <v>821</v>
      </c>
      <c r="O245" s="1" t="s">
        <v>936</v>
      </c>
      <c r="P245" s="1">
        <v>1</v>
      </c>
    </row>
    <row r="246" spans="1:16" x14ac:dyDescent="0.25">
      <c r="A246" s="3">
        <v>45873</v>
      </c>
      <c r="B246" s="4">
        <v>1028</v>
      </c>
      <c r="C246" s="5">
        <v>350</v>
      </c>
      <c r="D246" s="1" t="s">
        <v>1126</v>
      </c>
      <c r="E246" s="1" t="s">
        <v>1127</v>
      </c>
      <c r="F246" s="1" t="s">
        <v>833</v>
      </c>
      <c r="G246" s="1" t="s">
        <v>940</v>
      </c>
      <c r="H246" s="3">
        <v>45890</v>
      </c>
      <c r="I246" s="1" t="s">
        <v>933</v>
      </c>
      <c r="J246" s="1" t="s">
        <v>66</v>
      </c>
      <c r="K246" s="1" t="s">
        <v>340</v>
      </c>
      <c r="L246" s="1" t="s">
        <v>1353</v>
      </c>
      <c r="M246" s="3">
        <v>45873</v>
      </c>
      <c r="N246" s="1" t="s">
        <v>836</v>
      </c>
      <c r="O246" s="1" t="s">
        <v>936</v>
      </c>
      <c r="P246" s="1">
        <v>1</v>
      </c>
    </row>
    <row r="247" spans="1:16" x14ac:dyDescent="0.25">
      <c r="A247" s="3">
        <v>45873</v>
      </c>
      <c r="B247" s="1">
        <v>11</v>
      </c>
      <c r="C247" s="5">
        <v>112683</v>
      </c>
      <c r="D247" s="1" t="s">
        <v>1354</v>
      </c>
      <c r="E247" s="1" t="s">
        <v>1355</v>
      </c>
      <c r="F247" s="1" t="s">
        <v>955</v>
      </c>
      <c r="G247" s="1" t="s">
        <v>940</v>
      </c>
      <c r="H247" s="3">
        <v>45884</v>
      </c>
      <c r="I247" s="1" t="s">
        <v>933</v>
      </c>
      <c r="J247" s="1" t="s">
        <v>951</v>
      </c>
      <c r="K247" s="1" t="s">
        <v>20</v>
      </c>
      <c r="L247" s="1" t="s">
        <v>1356</v>
      </c>
      <c r="M247" s="3">
        <v>45873</v>
      </c>
      <c r="N247" s="1" t="s">
        <v>821</v>
      </c>
      <c r="O247" s="1" t="s">
        <v>936</v>
      </c>
      <c r="P247" s="1" t="s">
        <v>937</v>
      </c>
    </row>
    <row r="248" spans="1:16" x14ac:dyDescent="0.25">
      <c r="A248" s="3">
        <v>45873</v>
      </c>
      <c r="B248" s="4">
        <v>2340</v>
      </c>
      <c r="C248" s="5">
        <v>100</v>
      </c>
      <c r="D248" s="1" t="s">
        <v>1170</v>
      </c>
      <c r="E248" s="1" t="s">
        <v>1171</v>
      </c>
      <c r="F248" s="1" t="s">
        <v>844</v>
      </c>
      <c r="G248" s="1" t="s">
        <v>1260</v>
      </c>
      <c r="H248" s="3">
        <v>45879</v>
      </c>
      <c r="I248" s="1" t="s">
        <v>933</v>
      </c>
      <c r="J248" s="1" t="s">
        <v>66</v>
      </c>
      <c r="K248" s="1" t="s">
        <v>340</v>
      </c>
      <c r="L248" s="1" t="s">
        <v>1357</v>
      </c>
      <c r="M248" s="3">
        <v>45873</v>
      </c>
      <c r="N248" s="1" t="s">
        <v>836</v>
      </c>
      <c r="O248" s="1" t="s">
        <v>1031</v>
      </c>
      <c r="P248" s="1">
        <v>1</v>
      </c>
    </row>
    <row r="249" spans="1:16" x14ac:dyDescent="0.25">
      <c r="A249" s="3">
        <v>45873</v>
      </c>
      <c r="B249" s="1">
        <v>197</v>
      </c>
      <c r="C249" s="5">
        <v>8400</v>
      </c>
      <c r="D249" s="1" t="s">
        <v>1358</v>
      </c>
      <c r="E249" s="1" t="s">
        <v>1359</v>
      </c>
      <c r="F249" s="1" t="s">
        <v>799</v>
      </c>
      <c r="G249" s="1" t="s">
        <v>1029</v>
      </c>
      <c r="H249" s="3">
        <v>45889</v>
      </c>
      <c r="I249" s="1" t="s">
        <v>933</v>
      </c>
      <c r="J249" s="1" t="s">
        <v>66</v>
      </c>
      <c r="K249" s="1" t="s">
        <v>934</v>
      </c>
      <c r="L249" s="1" t="s">
        <v>1360</v>
      </c>
      <c r="M249" s="3">
        <v>45873</v>
      </c>
      <c r="N249" s="1" t="s">
        <v>57</v>
      </c>
      <c r="O249" s="1" t="s">
        <v>936</v>
      </c>
      <c r="P249" s="1">
        <v>1</v>
      </c>
    </row>
    <row r="250" spans="1:16" x14ac:dyDescent="0.25">
      <c r="A250" s="3">
        <v>45873</v>
      </c>
      <c r="B250" s="1">
        <v>82</v>
      </c>
      <c r="C250" s="5">
        <v>7000</v>
      </c>
      <c r="D250" s="1" t="s">
        <v>1361</v>
      </c>
      <c r="E250" s="1" t="s">
        <v>1362</v>
      </c>
      <c r="F250" s="1" t="s">
        <v>66</v>
      </c>
      <c r="G250" s="1" t="s">
        <v>1029</v>
      </c>
      <c r="H250" s="3">
        <v>45894</v>
      </c>
      <c r="I250" s="1" t="s">
        <v>933</v>
      </c>
      <c r="J250" s="1" t="s">
        <v>66</v>
      </c>
      <c r="K250" s="1" t="s">
        <v>100</v>
      </c>
      <c r="L250" s="1" t="s">
        <v>1363</v>
      </c>
      <c r="M250" s="3">
        <v>45873</v>
      </c>
      <c r="N250" s="1" t="s">
        <v>821</v>
      </c>
      <c r="O250" s="1" t="s">
        <v>932</v>
      </c>
      <c r="P250" s="1">
        <v>1</v>
      </c>
    </row>
    <row r="251" spans="1:16" x14ac:dyDescent="0.25">
      <c r="A251" s="3">
        <v>45874</v>
      </c>
      <c r="B251" s="1">
        <v>22</v>
      </c>
      <c r="C251" s="5">
        <v>70</v>
      </c>
      <c r="D251" s="1" t="s">
        <v>1364</v>
      </c>
      <c r="E251" s="1" t="s">
        <v>1365</v>
      </c>
      <c r="F251" s="1" t="s">
        <v>955</v>
      </c>
      <c r="G251" s="1" t="s">
        <v>1058</v>
      </c>
      <c r="H251" s="3">
        <v>45879</v>
      </c>
      <c r="I251" s="1" t="s">
        <v>933</v>
      </c>
      <c r="J251" s="1" t="s">
        <v>951</v>
      </c>
      <c r="K251" s="1" t="s">
        <v>934</v>
      </c>
      <c r="L251" s="1" t="s">
        <v>1366</v>
      </c>
      <c r="M251" s="3">
        <v>45873</v>
      </c>
      <c r="N251" s="1" t="s">
        <v>821</v>
      </c>
      <c r="O251" s="1" t="s">
        <v>936</v>
      </c>
      <c r="P251" s="1">
        <v>1</v>
      </c>
    </row>
    <row r="252" spans="1:16" x14ac:dyDescent="0.25">
      <c r="A252" s="3">
        <v>45874</v>
      </c>
      <c r="B252" s="1">
        <v>22</v>
      </c>
      <c r="C252" s="5">
        <v>70</v>
      </c>
      <c r="D252" s="1" t="s">
        <v>1364</v>
      </c>
      <c r="E252" s="1" t="s">
        <v>1365</v>
      </c>
      <c r="F252" s="1" t="s">
        <v>955</v>
      </c>
      <c r="G252" s="1" t="s">
        <v>1058</v>
      </c>
      <c r="H252" s="3">
        <v>45879</v>
      </c>
      <c r="I252" s="1" t="s">
        <v>933</v>
      </c>
      <c r="J252" s="1" t="s">
        <v>951</v>
      </c>
      <c r="K252" s="1" t="s">
        <v>934</v>
      </c>
      <c r="L252" s="1" t="s">
        <v>1366</v>
      </c>
      <c r="M252" s="3">
        <v>45873</v>
      </c>
      <c r="N252" s="1" t="s">
        <v>821</v>
      </c>
      <c r="O252" s="1" t="s">
        <v>936</v>
      </c>
      <c r="P252" s="1">
        <v>1</v>
      </c>
    </row>
    <row r="253" spans="1:16" x14ac:dyDescent="0.25">
      <c r="A253" s="3">
        <v>45874</v>
      </c>
      <c r="B253" s="1">
        <v>22</v>
      </c>
      <c r="C253" s="5">
        <v>70</v>
      </c>
      <c r="D253" s="1" t="s">
        <v>1364</v>
      </c>
      <c r="E253" s="1" t="s">
        <v>1365</v>
      </c>
      <c r="F253" s="1" t="s">
        <v>955</v>
      </c>
      <c r="G253" s="1" t="s">
        <v>1058</v>
      </c>
      <c r="H253" s="3">
        <v>45879</v>
      </c>
      <c r="I253" s="1" t="s">
        <v>933</v>
      </c>
      <c r="J253" s="1" t="s">
        <v>951</v>
      </c>
      <c r="K253" s="1" t="s">
        <v>934</v>
      </c>
      <c r="L253" s="1" t="s">
        <v>1366</v>
      </c>
      <c r="M253" s="3">
        <v>45873</v>
      </c>
      <c r="N253" s="1" t="s">
        <v>821</v>
      </c>
      <c r="O253" s="1" t="s">
        <v>936</v>
      </c>
      <c r="P253" s="1">
        <v>1</v>
      </c>
    </row>
    <row r="254" spans="1:16" x14ac:dyDescent="0.25">
      <c r="A254" s="3">
        <v>45874</v>
      </c>
      <c r="B254" s="1">
        <v>22</v>
      </c>
      <c r="C254" s="5">
        <v>70</v>
      </c>
      <c r="D254" s="1" t="s">
        <v>1364</v>
      </c>
      <c r="E254" s="1" t="s">
        <v>1365</v>
      </c>
      <c r="F254" s="1" t="s">
        <v>955</v>
      </c>
      <c r="G254" s="1" t="s">
        <v>1058</v>
      </c>
      <c r="H254" s="3">
        <v>45879</v>
      </c>
      <c r="I254" s="1" t="s">
        <v>933</v>
      </c>
      <c r="J254" s="1" t="s">
        <v>951</v>
      </c>
      <c r="K254" s="1" t="s">
        <v>934</v>
      </c>
      <c r="L254" s="1" t="s">
        <v>1366</v>
      </c>
      <c r="M254" s="3">
        <v>45873</v>
      </c>
      <c r="N254" s="1" t="s">
        <v>821</v>
      </c>
      <c r="O254" s="1" t="s">
        <v>936</v>
      </c>
      <c r="P254" s="1">
        <v>1</v>
      </c>
    </row>
    <row r="255" spans="1:16" x14ac:dyDescent="0.25">
      <c r="A255" s="3">
        <v>45874</v>
      </c>
      <c r="B255" s="1">
        <v>22</v>
      </c>
      <c r="C255" s="5">
        <v>150</v>
      </c>
      <c r="D255" s="1" t="s">
        <v>1364</v>
      </c>
      <c r="E255" s="1" t="s">
        <v>1365</v>
      </c>
      <c r="F255" s="1" t="s">
        <v>955</v>
      </c>
      <c r="G255" s="1" t="s">
        <v>1058</v>
      </c>
      <c r="H255" s="3">
        <v>45879</v>
      </c>
      <c r="I255" s="1" t="s">
        <v>933</v>
      </c>
      <c r="J255" s="1" t="s">
        <v>951</v>
      </c>
      <c r="K255" s="1" t="s">
        <v>340</v>
      </c>
      <c r="L255" s="1" t="s">
        <v>1367</v>
      </c>
      <c r="M255" s="3">
        <v>45873</v>
      </c>
      <c r="N255" s="1" t="s">
        <v>821</v>
      </c>
      <c r="O255" s="1" t="s">
        <v>936</v>
      </c>
      <c r="P255" s="1">
        <v>1</v>
      </c>
    </row>
    <row r="256" spans="1:16" x14ac:dyDescent="0.25">
      <c r="A256" s="3">
        <v>45874</v>
      </c>
      <c r="B256" s="1">
        <v>22</v>
      </c>
      <c r="C256" s="5">
        <v>70</v>
      </c>
      <c r="D256" s="1" t="s">
        <v>1364</v>
      </c>
      <c r="E256" s="1" t="s">
        <v>1365</v>
      </c>
      <c r="F256" s="1" t="s">
        <v>955</v>
      </c>
      <c r="G256" s="1" t="s">
        <v>1058</v>
      </c>
      <c r="H256" s="3">
        <v>45879</v>
      </c>
      <c r="I256" s="1" t="s">
        <v>933</v>
      </c>
      <c r="J256" s="1" t="s">
        <v>951</v>
      </c>
      <c r="K256" s="1" t="s">
        <v>934</v>
      </c>
      <c r="L256" s="1" t="s">
        <v>1366</v>
      </c>
      <c r="M256" s="3">
        <v>45873</v>
      </c>
      <c r="N256" s="1" t="s">
        <v>821</v>
      </c>
      <c r="O256" s="1" t="s">
        <v>936</v>
      </c>
      <c r="P256" s="1">
        <v>1</v>
      </c>
    </row>
    <row r="257" spans="1:16" x14ac:dyDescent="0.25">
      <c r="A257" s="3">
        <v>45874</v>
      </c>
      <c r="B257" s="1">
        <v>22</v>
      </c>
      <c r="C257" s="5">
        <v>70</v>
      </c>
      <c r="D257" s="1" t="s">
        <v>1364</v>
      </c>
      <c r="E257" s="1" t="s">
        <v>1365</v>
      </c>
      <c r="F257" s="1" t="s">
        <v>955</v>
      </c>
      <c r="G257" s="1" t="s">
        <v>1058</v>
      </c>
      <c r="H257" s="3">
        <v>45879</v>
      </c>
      <c r="I257" s="1" t="s">
        <v>933</v>
      </c>
      <c r="J257" s="1" t="s">
        <v>951</v>
      </c>
      <c r="K257" s="1" t="s">
        <v>934</v>
      </c>
      <c r="L257" s="1" t="s">
        <v>1366</v>
      </c>
      <c r="M257" s="3">
        <v>45873</v>
      </c>
      <c r="N257" s="1" t="s">
        <v>821</v>
      </c>
      <c r="O257" s="1" t="s">
        <v>936</v>
      </c>
      <c r="P257" s="1">
        <v>1</v>
      </c>
    </row>
    <row r="258" spans="1:16" x14ac:dyDescent="0.25">
      <c r="A258" s="3">
        <v>45874</v>
      </c>
      <c r="B258" s="1">
        <v>22</v>
      </c>
      <c r="C258" s="5">
        <v>250</v>
      </c>
      <c r="D258" s="1" t="s">
        <v>1364</v>
      </c>
      <c r="E258" s="1" t="s">
        <v>1365</v>
      </c>
      <c r="F258" s="1" t="s">
        <v>778</v>
      </c>
      <c r="G258" s="1" t="s">
        <v>1058</v>
      </c>
      <c r="H258" s="3">
        <v>45879</v>
      </c>
      <c r="I258" s="1" t="s">
        <v>933</v>
      </c>
      <c r="J258" s="1" t="s">
        <v>66</v>
      </c>
      <c r="K258" s="1" t="s">
        <v>340</v>
      </c>
      <c r="L258" s="1" t="s">
        <v>1366</v>
      </c>
      <c r="M258" s="3">
        <v>45873</v>
      </c>
      <c r="N258" s="1" t="s">
        <v>783</v>
      </c>
      <c r="O258" s="1" t="s">
        <v>936</v>
      </c>
      <c r="P258" s="1">
        <v>1</v>
      </c>
    </row>
    <row r="259" spans="1:16" x14ac:dyDescent="0.25">
      <c r="A259" s="3">
        <v>45874</v>
      </c>
      <c r="B259" s="1">
        <v>22</v>
      </c>
      <c r="C259" s="5">
        <v>70</v>
      </c>
      <c r="D259" s="1" t="s">
        <v>1364</v>
      </c>
      <c r="E259" s="1" t="s">
        <v>1365</v>
      </c>
      <c r="F259" s="1" t="s">
        <v>955</v>
      </c>
      <c r="G259" s="1" t="s">
        <v>1058</v>
      </c>
      <c r="H259" s="3">
        <v>45879</v>
      </c>
      <c r="I259" s="1" t="s">
        <v>933</v>
      </c>
      <c r="J259" s="1" t="s">
        <v>951</v>
      </c>
      <c r="K259" s="1" t="s">
        <v>934</v>
      </c>
      <c r="L259" s="1" t="s">
        <v>1366</v>
      </c>
      <c r="M259" s="3">
        <v>45873</v>
      </c>
      <c r="N259" s="1" t="s">
        <v>821</v>
      </c>
      <c r="O259" s="1" t="s">
        <v>936</v>
      </c>
      <c r="P259" s="1">
        <v>1</v>
      </c>
    </row>
    <row r="260" spans="1:16" x14ac:dyDescent="0.25">
      <c r="A260" s="3">
        <v>45874</v>
      </c>
      <c r="B260" s="1">
        <v>22</v>
      </c>
      <c r="C260" s="5">
        <v>250</v>
      </c>
      <c r="D260" s="1" t="s">
        <v>1364</v>
      </c>
      <c r="E260" s="1" t="s">
        <v>1365</v>
      </c>
      <c r="F260" s="1" t="s">
        <v>759</v>
      </c>
      <c r="G260" s="1" t="s">
        <v>1058</v>
      </c>
      <c r="H260" s="3">
        <v>45879</v>
      </c>
      <c r="I260" s="1" t="s">
        <v>933</v>
      </c>
      <c r="J260" s="1" t="s">
        <v>66</v>
      </c>
      <c r="K260" s="1" t="s">
        <v>340</v>
      </c>
      <c r="L260" s="1" t="s">
        <v>1366</v>
      </c>
      <c r="M260" s="3">
        <v>45873</v>
      </c>
      <c r="N260" s="1" t="s">
        <v>75</v>
      </c>
      <c r="O260" s="1" t="s">
        <v>936</v>
      </c>
      <c r="P260" s="1">
        <v>1</v>
      </c>
    </row>
    <row r="261" spans="1:16" x14ac:dyDescent="0.25">
      <c r="A261" s="3">
        <v>45874</v>
      </c>
      <c r="B261" s="1">
        <v>22</v>
      </c>
      <c r="C261" s="5">
        <v>70</v>
      </c>
      <c r="D261" s="1" t="s">
        <v>1364</v>
      </c>
      <c r="E261" s="1" t="s">
        <v>1365</v>
      </c>
      <c r="F261" s="1" t="s">
        <v>955</v>
      </c>
      <c r="G261" s="1" t="s">
        <v>1058</v>
      </c>
      <c r="H261" s="3">
        <v>45879</v>
      </c>
      <c r="I261" s="1" t="s">
        <v>933</v>
      </c>
      <c r="J261" s="1" t="s">
        <v>951</v>
      </c>
      <c r="K261" s="1" t="s">
        <v>934</v>
      </c>
      <c r="L261" s="1" t="s">
        <v>1366</v>
      </c>
      <c r="M261" s="3">
        <v>45873</v>
      </c>
      <c r="N261" s="1" t="s">
        <v>821</v>
      </c>
      <c r="O261" s="1" t="s">
        <v>936</v>
      </c>
      <c r="P261" s="1">
        <v>1</v>
      </c>
    </row>
    <row r="262" spans="1:16" x14ac:dyDescent="0.25">
      <c r="A262" s="3">
        <v>45874</v>
      </c>
      <c r="B262" s="1">
        <v>22</v>
      </c>
      <c r="C262" s="5">
        <v>70</v>
      </c>
      <c r="D262" s="1" t="s">
        <v>1364</v>
      </c>
      <c r="E262" s="1" t="s">
        <v>1365</v>
      </c>
      <c r="F262" s="1" t="s">
        <v>955</v>
      </c>
      <c r="G262" s="1" t="s">
        <v>1058</v>
      </c>
      <c r="H262" s="3">
        <v>45879</v>
      </c>
      <c r="I262" s="1" t="s">
        <v>933</v>
      </c>
      <c r="J262" s="1" t="s">
        <v>951</v>
      </c>
      <c r="K262" s="1" t="s">
        <v>934</v>
      </c>
      <c r="L262" s="1" t="s">
        <v>1366</v>
      </c>
      <c r="M262" s="3">
        <v>45873</v>
      </c>
      <c r="N262" s="1" t="s">
        <v>821</v>
      </c>
      <c r="O262" s="1" t="s">
        <v>936</v>
      </c>
      <c r="P262" s="1">
        <v>1</v>
      </c>
    </row>
    <row r="263" spans="1:16" x14ac:dyDescent="0.25">
      <c r="A263" s="3">
        <v>45874</v>
      </c>
      <c r="B263" s="1">
        <v>22</v>
      </c>
      <c r="C263" s="5">
        <v>70</v>
      </c>
      <c r="D263" s="1" t="s">
        <v>1364</v>
      </c>
      <c r="E263" s="1" t="s">
        <v>1365</v>
      </c>
      <c r="F263" s="1" t="s">
        <v>955</v>
      </c>
      <c r="G263" s="1" t="s">
        <v>1058</v>
      </c>
      <c r="H263" s="3">
        <v>45879</v>
      </c>
      <c r="I263" s="1" t="s">
        <v>933</v>
      </c>
      <c r="J263" s="1" t="s">
        <v>951</v>
      </c>
      <c r="K263" s="1" t="s">
        <v>934</v>
      </c>
      <c r="L263" s="1" t="s">
        <v>1366</v>
      </c>
      <c r="M263" s="3">
        <v>45873</v>
      </c>
      <c r="N263" s="1" t="s">
        <v>821</v>
      </c>
      <c r="O263" s="1" t="s">
        <v>936</v>
      </c>
      <c r="P263" s="1">
        <v>1</v>
      </c>
    </row>
    <row r="264" spans="1:16" x14ac:dyDescent="0.25">
      <c r="A264" s="3">
        <v>45874</v>
      </c>
      <c r="B264" s="1">
        <v>22</v>
      </c>
      <c r="C264" s="5">
        <v>70</v>
      </c>
      <c r="D264" s="1" t="s">
        <v>1364</v>
      </c>
      <c r="E264" s="1" t="s">
        <v>1365</v>
      </c>
      <c r="F264" s="1" t="s">
        <v>955</v>
      </c>
      <c r="G264" s="1" t="s">
        <v>1058</v>
      </c>
      <c r="H264" s="3">
        <v>45879</v>
      </c>
      <c r="I264" s="1" t="s">
        <v>933</v>
      </c>
      <c r="J264" s="1" t="s">
        <v>951</v>
      </c>
      <c r="K264" s="1" t="s">
        <v>934</v>
      </c>
      <c r="L264" s="1" t="s">
        <v>1366</v>
      </c>
      <c r="M264" s="3">
        <v>45873</v>
      </c>
      <c r="N264" s="1" t="s">
        <v>821</v>
      </c>
      <c r="O264" s="1" t="s">
        <v>936</v>
      </c>
      <c r="P264" s="1">
        <v>1</v>
      </c>
    </row>
    <row r="265" spans="1:16" x14ac:dyDescent="0.25">
      <c r="A265" s="3">
        <v>45874</v>
      </c>
      <c r="B265" s="4">
        <v>1382</v>
      </c>
      <c r="C265" s="5">
        <v>4500</v>
      </c>
      <c r="D265" s="1" t="s">
        <v>1368</v>
      </c>
      <c r="E265" s="1" t="s">
        <v>31</v>
      </c>
      <c r="F265" s="1" t="s">
        <v>955</v>
      </c>
      <c r="G265" s="1" t="s">
        <v>932</v>
      </c>
      <c r="H265" s="3">
        <v>45893</v>
      </c>
      <c r="I265" s="1" t="s">
        <v>933</v>
      </c>
      <c r="J265" s="1" t="s">
        <v>951</v>
      </c>
      <c r="K265" s="1" t="s">
        <v>20</v>
      </c>
      <c r="L265" s="1" t="s">
        <v>1369</v>
      </c>
      <c r="M265" s="3">
        <v>45876</v>
      </c>
      <c r="N265" s="1" t="s">
        <v>821</v>
      </c>
      <c r="O265" s="1" t="s">
        <v>936</v>
      </c>
      <c r="P265" s="1">
        <v>1</v>
      </c>
    </row>
    <row r="266" spans="1:16" x14ac:dyDescent="0.25">
      <c r="A266" s="3">
        <v>45874</v>
      </c>
      <c r="B266" s="1">
        <v>12</v>
      </c>
      <c r="C266" s="5">
        <v>2560</v>
      </c>
      <c r="D266" s="1" t="s">
        <v>1370</v>
      </c>
      <c r="E266" s="1" t="s">
        <v>1371</v>
      </c>
      <c r="F266" s="1" t="s">
        <v>721</v>
      </c>
      <c r="G266" s="1" t="s">
        <v>940</v>
      </c>
      <c r="H266" s="1" t="s">
        <v>941</v>
      </c>
      <c r="I266" s="1" t="s">
        <v>712</v>
      </c>
      <c r="J266" s="1"/>
      <c r="K266" s="1" t="s">
        <v>340</v>
      </c>
      <c r="L266" s="1" t="s">
        <v>1372</v>
      </c>
      <c r="M266" s="3">
        <v>45880</v>
      </c>
      <c r="N266" s="1" t="s">
        <v>712</v>
      </c>
      <c r="O266" s="1" t="s">
        <v>936</v>
      </c>
      <c r="P266" s="1"/>
    </row>
    <row r="267" spans="1:16" x14ac:dyDescent="0.25">
      <c r="A267" s="3">
        <v>45874</v>
      </c>
      <c r="B267" s="1">
        <v>161</v>
      </c>
      <c r="C267" s="5">
        <v>180</v>
      </c>
      <c r="D267" s="1" t="s">
        <v>1336</v>
      </c>
      <c r="E267" s="1" t="s">
        <v>1337</v>
      </c>
      <c r="F267" s="1" t="s">
        <v>639</v>
      </c>
      <c r="G267" s="1" t="s">
        <v>940</v>
      </c>
      <c r="H267" s="1" t="s">
        <v>941</v>
      </c>
      <c r="I267" s="1" t="s">
        <v>933</v>
      </c>
      <c r="J267" s="1" t="s">
        <v>66</v>
      </c>
      <c r="K267" s="1" t="s">
        <v>340</v>
      </c>
      <c r="L267" s="1" t="s">
        <v>1373</v>
      </c>
      <c r="M267" s="3">
        <v>45880</v>
      </c>
      <c r="N267" s="1" t="s">
        <v>98</v>
      </c>
      <c r="O267" s="1" t="s">
        <v>936</v>
      </c>
      <c r="P267" s="1">
        <v>1</v>
      </c>
    </row>
    <row r="268" spans="1:16" x14ac:dyDescent="0.25">
      <c r="A268" s="3">
        <v>45875</v>
      </c>
      <c r="B268" s="1">
        <v>20</v>
      </c>
      <c r="C268" s="5">
        <v>550</v>
      </c>
      <c r="D268" s="1" t="s">
        <v>1197</v>
      </c>
      <c r="E268" s="1" t="s">
        <v>1198</v>
      </c>
      <c r="F268" s="1" t="s">
        <v>723</v>
      </c>
      <c r="G268" s="1" t="s">
        <v>940</v>
      </c>
      <c r="H268" s="3">
        <v>45875</v>
      </c>
      <c r="I268" s="1" t="s">
        <v>933</v>
      </c>
      <c r="J268" s="1" t="s">
        <v>66</v>
      </c>
      <c r="K268" s="1" t="s">
        <v>340</v>
      </c>
      <c r="L268" s="1" t="s">
        <v>1374</v>
      </c>
      <c r="M268" s="3">
        <v>45875</v>
      </c>
      <c r="N268" s="1" t="s">
        <v>726</v>
      </c>
      <c r="O268" s="1" t="s">
        <v>936</v>
      </c>
      <c r="P268" s="1">
        <v>1</v>
      </c>
    </row>
    <row r="269" spans="1:16" x14ac:dyDescent="0.25">
      <c r="A269" s="3">
        <v>45875</v>
      </c>
      <c r="B269" s="1">
        <v>20</v>
      </c>
      <c r="C269" s="5">
        <v>1150</v>
      </c>
      <c r="D269" s="1" t="s">
        <v>1197</v>
      </c>
      <c r="E269" s="1" t="s">
        <v>1198</v>
      </c>
      <c r="F269" s="1" t="s">
        <v>710</v>
      </c>
      <c r="G269" s="1" t="s">
        <v>940</v>
      </c>
      <c r="H269" s="3">
        <v>45875</v>
      </c>
      <c r="I269" s="1" t="s">
        <v>933</v>
      </c>
      <c r="J269" s="1" t="s">
        <v>66</v>
      </c>
      <c r="K269" s="1" t="s">
        <v>340</v>
      </c>
      <c r="L269" s="1" t="s">
        <v>1375</v>
      </c>
      <c r="M269" s="3">
        <v>45875</v>
      </c>
      <c r="N269" s="1" t="s">
        <v>712</v>
      </c>
      <c r="O269" s="1" t="s">
        <v>936</v>
      </c>
      <c r="P269" s="1">
        <v>1</v>
      </c>
    </row>
    <row r="270" spans="1:16" x14ac:dyDescent="0.25">
      <c r="A270" s="3">
        <v>45875</v>
      </c>
      <c r="B270" s="4">
        <v>1458</v>
      </c>
      <c r="C270" s="5">
        <v>37100</v>
      </c>
      <c r="D270" s="1" t="s">
        <v>1376</v>
      </c>
      <c r="E270" s="1" t="s">
        <v>1377</v>
      </c>
      <c r="F270" s="1" t="s">
        <v>955</v>
      </c>
      <c r="G270" s="1" t="s">
        <v>1029</v>
      </c>
      <c r="H270" s="3">
        <v>45890</v>
      </c>
      <c r="I270" s="1" t="s">
        <v>933</v>
      </c>
      <c r="J270" s="1" t="s">
        <v>951</v>
      </c>
      <c r="K270" s="1" t="s">
        <v>340</v>
      </c>
      <c r="L270" s="1" t="s">
        <v>1378</v>
      </c>
      <c r="M270" s="3">
        <v>45876</v>
      </c>
      <c r="N270" s="1" t="s">
        <v>821</v>
      </c>
      <c r="O270" s="1" t="s">
        <v>936</v>
      </c>
      <c r="P270" s="1" t="s">
        <v>937</v>
      </c>
    </row>
    <row r="271" spans="1:16" x14ac:dyDescent="0.25">
      <c r="A271" s="3">
        <v>45875</v>
      </c>
      <c r="B271" s="4">
        <v>51833</v>
      </c>
      <c r="C271" s="5">
        <v>11380</v>
      </c>
      <c r="D271" s="1" t="s">
        <v>973</v>
      </c>
      <c r="E271" s="1" t="s">
        <v>1068</v>
      </c>
      <c r="F271" s="1" t="s">
        <v>304</v>
      </c>
      <c r="G271" s="1" t="s">
        <v>998</v>
      </c>
      <c r="H271" s="3">
        <v>45891</v>
      </c>
      <c r="I271" s="1" t="s">
        <v>933</v>
      </c>
      <c r="J271" s="1" t="s">
        <v>66</v>
      </c>
      <c r="K271" s="1" t="s">
        <v>996</v>
      </c>
      <c r="L271" s="4">
        <v>2000</v>
      </c>
      <c r="M271" s="3">
        <v>45876</v>
      </c>
      <c r="N271" s="1" t="s">
        <v>57</v>
      </c>
      <c r="O271" s="1" t="s">
        <v>998</v>
      </c>
      <c r="P271" s="1">
        <v>1</v>
      </c>
    </row>
    <row r="272" spans="1:16" x14ac:dyDescent="0.25">
      <c r="A272" s="3">
        <v>45875</v>
      </c>
      <c r="B272" s="4">
        <v>92344</v>
      </c>
      <c r="C272" s="5">
        <v>4394.95</v>
      </c>
      <c r="D272" s="1" t="s">
        <v>1379</v>
      </c>
      <c r="E272" s="1" t="s">
        <v>1380</v>
      </c>
      <c r="F272" s="1" t="s">
        <v>837</v>
      </c>
      <c r="G272" s="1" t="s">
        <v>940</v>
      </c>
      <c r="H272" s="3">
        <v>45905</v>
      </c>
      <c r="I272" s="1" t="s">
        <v>836</v>
      </c>
      <c r="J272" s="1" t="s">
        <v>66</v>
      </c>
      <c r="K272" s="1" t="s">
        <v>340</v>
      </c>
      <c r="L272" s="1" t="s">
        <v>1381</v>
      </c>
      <c r="M272" s="3">
        <v>45876</v>
      </c>
      <c r="N272" s="1" t="s">
        <v>50</v>
      </c>
      <c r="O272" s="1" t="s">
        <v>936</v>
      </c>
      <c r="P272" s="1">
        <v>1</v>
      </c>
    </row>
    <row r="273" spans="1:16" x14ac:dyDescent="0.25">
      <c r="A273" s="3">
        <v>45875</v>
      </c>
      <c r="B273" s="4">
        <v>1075</v>
      </c>
      <c r="C273" s="5">
        <v>6325</v>
      </c>
      <c r="D273" s="1" t="s">
        <v>1382</v>
      </c>
      <c r="E273" s="1" t="s">
        <v>1383</v>
      </c>
      <c r="F273" s="1" t="s">
        <v>218</v>
      </c>
      <c r="G273" s="1" t="s">
        <v>1029</v>
      </c>
      <c r="H273" s="3">
        <v>45890</v>
      </c>
      <c r="I273" s="1" t="s">
        <v>933</v>
      </c>
      <c r="J273" s="1" t="s">
        <v>66</v>
      </c>
      <c r="K273" s="1" t="s">
        <v>100</v>
      </c>
      <c r="L273" s="1" t="s">
        <v>1384</v>
      </c>
      <c r="M273" s="3">
        <v>45880</v>
      </c>
      <c r="N273" s="1" t="s">
        <v>221</v>
      </c>
      <c r="O273" s="1" t="s">
        <v>1031</v>
      </c>
      <c r="P273" s="1" t="s">
        <v>937</v>
      </c>
    </row>
    <row r="274" spans="1:16" x14ac:dyDescent="0.25">
      <c r="A274" s="3">
        <v>45875</v>
      </c>
      <c r="B274" s="4">
        <v>51832</v>
      </c>
      <c r="C274" s="5">
        <v>11380</v>
      </c>
      <c r="D274" s="1" t="s">
        <v>973</v>
      </c>
      <c r="E274" s="1" t="s">
        <v>1068</v>
      </c>
      <c r="F274" s="1" t="s">
        <v>304</v>
      </c>
      <c r="G274" s="1" t="s">
        <v>998</v>
      </c>
      <c r="H274" s="3">
        <v>45891</v>
      </c>
      <c r="I274" s="1" t="s">
        <v>933</v>
      </c>
      <c r="J274" s="1" t="s">
        <v>66</v>
      </c>
      <c r="K274" s="1" t="s">
        <v>996</v>
      </c>
      <c r="L274" s="4">
        <v>2000</v>
      </c>
      <c r="M274" s="3">
        <v>45876</v>
      </c>
      <c r="N274" s="1" t="s">
        <v>57</v>
      </c>
      <c r="O274" s="1" t="s">
        <v>998</v>
      </c>
      <c r="P274" s="1">
        <v>1</v>
      </c>
    </row>
    <row r="275" spans="1:16" x14ac:dyDescent="0.25">
      <c r="A275" s="3">
        <v>45875</v>
      </c>
      <c r="B275" s="4">
        <v>3270</v>
      </c>
      <c r="C275" s="5">
        <v>720</v>
      </c>
      <c r="D275" s="1" t="s">
        <v>1385</v>
      </c>
      <c r="E275" s="1" t="s">
        <v>1386</v>
      </c>
      <c r="F275" s="1" t="s">
        <v>715</v>
      </c>
      <c r="G275" s="1" t="s">
        <v>940</v>
      </c>
      <c r="H275" s="1" t="s">
        <v>941</v>
      </c>
      <c r="I275" s="1" t="s">
        <v>933</v>
      </c>
      <c r="J275" s="1" t="s">
        <v>66</v>
      </c>
      <c r="K275" s="1" t="s">
        <v>340</v>
      </c>
      <c r="L275" s="1" t="s">
        <v>1387</v>
      </c>
      <c r="M275" s="3">
        <v>45880</v>
      </c>
      <c r="N275" s="1" t="s">
        <v>712</v>
      </c>
      <c r="O275" s="1" t="s">
        <v>1010</v>
      </c>
      <c r="P275" s="1">
        <v>1</v>
      </c>
    </row>
    <row r="276" spans="1:16" x14ac:dyDescent="0.25">
      <c r="A276" s="3">
        <v>45876</v>
      </c>
      <c r="B276" s="1">
        <v>21</v>
      </c>
      <c r="C276" s="5">
        <v>1230</v>
      </c>
      <c r="D276" s="1" t="s">
        <v>1197</v>
      </c>
      <c r="E276" s="1" t="s">
        <v>1198</v>
      </c>
      <c r="F276" s="1" t="s">
        <v>721</v>
      </c>
      <c r="G276" s="1" t="s">
        <v>940</v>
      </c>
      <c r="H276" s="3">
        <v>45884</v>
      </c>
      <c r="I276" s="1" t="s">
        <v>933</v>
      </c>
      <c r="J276" s="1" t="s">
        <v>66</v>
      </c>
      <c r="K276" s="1" t="s">
        <v>340</v>
      </c>
      <c r="L276" s="1" t="s">
        <v>1388</v>
      </c>
      <c r="M276" s="3">
        <v>45877</v>
      </c>
      <c r="N276" s="1" t="s">
        <v>712</v>
      </c>
      <c r="O276" s="1" t="s">
        <v>936</v>
      </c>
      <c r="P276" s="1">
        <v>1</v>
      </c>
    </row>
    <row r="277" spans="1:16" x14ac:dyDescent="0.25">
      <c r="A277" s="3">
        <v>45876</v>
      </c>
      <c r="B277" s="1">
        <v>21</v>
      </c>
      <c r="C277" s="5">
        <v>1200</v>
      </c>
      <c r="D277" s="1" t="s">
        <v>1197</v>
      </c>
      <c r="E277" s="1" t="s">
        <v>1198</v>
      </c>
      <c r="F277" s="1" t="s">
        <v>717</v>
      </c>
      <c r="G277" s="1" t="s">
        <v>940</v>
      </c>
      <c r="H277" s="3">
        <v>45884</v>
      </c>
      <c r="I277" s="1" t="s">
        <v>933</v>
      </c>
      <c r="J277" s="1" t="s">
        <v>66</v>
      </c>
      <c r="K277" s="1" t="s">
        <v>340</v>
      </c>
      <c r="L277" s="1" t="s">
        <v>1388</v>
      </c>
      <c r="M277" s="3">
        <v>45877</v>
      </c>
      <c r="N277" s="1" t="s">
        <v>712</v>
      </c>
      <c r="O277" s="1" t="s">
        <v>936</v>
      </c>
      <c r="P277" s="1">
        <v>1</v>
      </c>
    </row>
    <row r="278" spans="1:16" x14ac:dyDescent="0.25">
      <c r="A278" s="3">
        <v>45876</v>
      </c>
      <c r="B278" s="4">
        <v>4390</v>
      </c>
      <c r="C278" s="5">
        <v>75</v>
      </c>
      <c r="D278" s="1" t="s">
        <v>1152</v>
      </c>
      <c r="E278" s="1" t="s">
        <v>1389</v>
      </c>
      <c r="F278" s="1" t="s">
        <v>650</v>
      </c>
      <c r="G278" s="1" t="s">
        <v>940</v>
      </c>
      <c r="H278" s="1" t="s">
        <v>941</v>
      </c>
      <c r="I278" s="1" t="s">
        <v>933</v>
      </c>
      <c r="J278" s="1" t="s">
        <v>66</v>
      </c>
      <c r="K278" s="1" t="s">
        <v>340</v>
      </c>
      <c r="L278" s="1" t="s">
        <v>1390</v>
      </c>
      <c r="M278" s="3">
        <v>45880</v>
      </c>
      <c r="N278" s="1" t="s">
        <v>57</v>
      </c>
      <c r="O278" s="1" t="s">
        <v>936</v>
      </c>
      <c r="P278" s="1">
        <v>1</v>
      </c>
    </row>
    <row r="279" spans="1:16" x14ac:dyDescent="0.25">
      <c r="A279" s="3">
        <v>45876</v>
      </c>
      <c r="B279" s="1">
        <v>27</v>
      </c>
      <c r="C279" s="5">
        <v>870</v>
      </c>
      <c r="D279" s="1" t="s">
        <v>1370</v>
      </c>
      <c r="E279" s="1" t="s">
        <v>1371</v>
      </c>
      <c r="F279" s="1" t="s">
        <v>639</v>
      </c>
      <c r="G279" s="1" t="s">
        <v>940</v>
      </c>
      <c r="H279" s="1" t="s">
        <v>941</v>
      </c>
      <c r="I279" s="1" t="s">
        <v>933</v>
      </c>
      <c r="J279" s="1" t="s">
        <v>66</v>
      </c>
      <c r="K279" s="1" t="s">
        <v>977</v>
      </c>
      <c r="L279" s="1" t="s">
        <v>1391</v>
      </c>
      <c r="M279" s="3">
        <v>45880</v>
      </c>
      <c r="N279" s="1" t="s">
        <v>98</v>
      </c>
      <c r="O279" s="1" t="s">
        <v>1343</v>
      </c>
      <c r="P279" s="1" t="s">
        <v>937</v>
      </c>
    </row>
    <row r="280" spans="1:16" x14ac:dyDescent="0.25">
      <c r="A280" s="3">
        <v>45877</v>
      </c>
      <c r="B280" s="1" t="s">
        <v>1392</v>
      </c>
      <c r="C280" s="5">
        <v>1869.17</v>
      </c>
      <c r="D280" s="1" t="s">
        <v>1393</v>
      </c>
      <c r="E280" s="1" t="s">
        <v>1394</v>
      </c>
      <c r="F280" s="1" t="s">
        <v>526</v>
      </c>
      <c r="G280" s="1" t="s">
        <v>1029</v>
      </c>
      <c r="H280" s="3">
        <v>45891</v>
      </c>
      <c r="I280" s="1" t="s">
        <v>933</v>
      </c>
      <c r="J280" s="1" t="s">
        <v>66</v>
      </c>
      <c r="K280" s="1" t="s">
        <v>340</v>
      </c>
      <c r="L280" s="1" t="s">
        <v>1395</v>
      </c>
      <c r="M280" s="3">
        <v>45876</v>
      </c>
      <c r="N280" s="1" t="s">
        <v>520</v>
      </c>
      <c r="O280" s="1" t="s">
        <v>1031</v>
      </c>
      <c r="P280" s="1">
        <v>1</v>
      </c>
    </row>
    <row r="281" spans="1:16" x14ac:dyDescent="0.25">
      <c r="A281" s="3">
        <v>45877</v>
      </c>
      <c r="B281" s="1">
        <v>356</v>
      </c>
      <c r="C281" s="5">
        <v>7000</v>
      </c>
      <c r="D281" s="1" t="s">
        <v>1222</v>
      </c>
      <c r="E281" s="1" t="s">
        <v>1223</v>
      </c>
      <c r="F281" s="1" t="s">
        <v>1131</v>
      </c>
      <c r="G281" s="1" t="s">
        <v>940</v>
      </c>
      <c r="H281" s="3">
        <v>45908</v>
      </c>
      <c r="I281" s="1" t="s">
        <v>933</v>
      </c>
      <c r="J281" s="1" t="s">
        <v>1131</v>
      </c>
      <c r="K281" s="1" t="s">
        <v>340</v>
      </c>
      <c r="L281" s="1" t="s">
        <v>1396</v>
      </c>
      <c r="M281" s="3">
        <v>45880</v>
      </c>
      <c r="N281" s="1" t="s">
        <v>821</v>
      </c>
      <c r="O281" s="1" t="s">
        <v>936</v>
      </c>
      <c r="P281" s="1" t="s">
        <v>937</v>
      </c>
    </row>
    <row r="282" spans="1:16" x14ac:dyDescent="0.25">
      <c r="A282" s="3">
        <v>45877</v>
      </c>
      <c r="B282" s="4">
        <v>22546</v>
      </c>
      <c r="C282" s="5">
        <v>220</v>
      </c>
      <c r="D282" s="1" t="s">
        <v>938</v>
      </c>
      <c r="E282" s="1" t="s">
        <v>939</v>
      </c>
      <c r="F282" s="1" t="s">
        <v>66</v>
      </c>
      <c r="G282" s="1" t="s">
        <v>940</v>
      </c>
      <c r="H282" s="1" t="s">
        <v>959</v>
      </c>
      <c r="I282" s="1" t="s">
        <v>933</v>
      </c>
      <c r="J282" s="1" t="s">
        <v>66</v>
      </c>
      <c r="K282" s="1" t="s">
        <v>340</v>
      </c>
      <c r="L282" s="1" t="s">
        <v>1397</v>
      </c>
      <c r="M282" s="3">
        <v>45880</v>
      </c>
      <c r="N282" s="1" t="s">
        <v>821</v>
      </c>
      <c r="O282" s="1" t="s">
        <v>936</v>
      </c>
      <c r="P282" s="1">
        <v>1</v>
      </c>
    </row>
    <row r="283" spans="1:16" x14ac:dyDescent="0.25">
      <c r="A283" s="3">
        <v>45877</v>
      </c>
      <c r="B283" s="1" t="s">
        <v>1398</v>
      </c>
      <c r="C283" s="5">
        <v>42</v>
      </c>
      <c r="D283" s="1" t="s">
        <v>1399</v>
      </c>
      <c r="E283" s="1" t="s">
        <v>1400</v>
      </c>
      <c r="F283" s="1" t="s">
        <v>66</v>
      </c>
      <c r="G283" s="1" t="s">
        <v>950</v>
      </c>
      <c r="H283" s="1" t="s">
        <v>941</v>
      </c>
      <c r="I283" s="1" t="s">
        <v>933</v>
      </c>
      <c r="J283" s="1" t="s">
        <v>66</v>
      </c>
      <c r="K283" s="1" t="s">
        <v>66</v>
      </c>
      <c r="L283" s="1" t="s">
        <v>1401</v>
      </c>
      <c r="M283" s="3">
        <v>45880</v>
      </c>
      <c r="N283" s="1" t="s">
        <v>821</v>
      </c>
      <c r="O283" s="1" t="s">
        <v>936</v>
      </c>
      <c r="P283" s="1">
        <v>1</v>
      </c>
    </row>
    <row r="284" spans="1:16" x14ac:dyDescent="0.25">
      <c r="A284" s="3">
        <v>45877</v>
      </c>
      <c r="B284" s="4">
        <v>12349</v>
      </c>
      <c r="C284" s="5">
        <v>135</v>
      </c>
      <c r="D284" s="1" t="s">
        <v>1064</v>
      </c>
      <c r="E284" s="1" t="s">
        <v>1042</v>
      </c>
      <c r="F284" s="1" t="s">
        <v>594</v>
      </c>
      <c r="G284" s="1" t="s">
        <v>940</v>
      </c>
      <c r="H284" s="1" t="s">
        <v>941</v>
      </c>
      <c r="I284" s="1" t="s">
        <v>1100</v>
      </c>
      <c r="J284" s="1" t="s">
        <v>66</v>
      </c>
      <c r="K284" s="1" t="s">
        <v>340</v>
      </c>
      <c r="L284" s="1" t="s">
        <v>1402</v>
      </c>
      <c r="M284" s="3">
        <v>45880</v>
      </c>
      <c r="N284" s="1" t="s">
        <v>57</v>
      </c>
      <c r="O284" s="1" t="s">
        <v>936</v>
      </c>
      <c r="P284" s="1">
        <v>1</v>
      </c>
    </row>
    <row r="285" spans="1:16" x14ac:dyDescent="0.25">
      <c r="A285" s="3">
        <v>45877</v>
      </c>
      <c r="B285" s="1">
        <v>603</v>
      </c>
      <c r="C285" s="5">
        <v>3150</v>
      </c>
      <c r="D285" s="1" t="s">
        <v>1403</v>
      </c>
      <c r="E285" s="1" t="s">
        <v>1404</v>
      </c>
      <c r="F285" s="1" t="s">
        <v>837</v>
      </c>
      <c r="G285" s="1" t="s">
        <v>940</v>
      </c>
      <c r="H285" s="3">
        <v>45898</v>
      </c>
      <c r="I285" s="1" t="s">
        <v>933</v>
      </c>
      <c r="J285" s="1" t="s">
        <v>66</v>
      </c>
      <c r="K285" s="1" t="s">
        <v>340</v>
      </c>
      <c r="L285" s="1" t="s">
        <v>1405</v>
      </c>
      <c r="M285" s="3">
        <v>45882</v>
      </c>
      <c r="N285" s="1" t="s">
        <v>50</v>
      </c>
      <c r="O285" s="1" t="s">
        <v>1031</v>
      </c>
      <c r="P285" s="1">
        <v>1</v>
      </c>
    </row>
    <row r="286" spans="1:16" x14ac:dyDescent="0.25">
      <c r="A286" s="3">
        <v>45877</v>
      </c>
      <c r="B286" s="4">
        <v>7137</v>
      </c>
      <c r="C286" s="5">
        <v>108.49</v>
      </c>
      <c r="D286" s="1" t="s">
        <v>1008</v>
      </c>
      <c r="E286" s="1" t="s">
        <v>1009</v>
      </c>
      <c r="F286" s="1" t="s">
        <v>966</v>
      </c>
      <c r="G286" s="1" t="s">
        <v>940</v>
      </c>
      <c r="H286" s="1" t="s">
        <v>941</v>
      </c>
      <c r="I286" s="1" t="s">
        <v>933</v>
      </c>
      <c r="J286" s="1" t="s">
        <v>951</v>
      </c>
      <c r="K286" s="1" t="s">
        <v>66</v>
      </c>
      <c r="L286" s="1" t="s">
        <v>1406</v>
      </c>
      <c r="M286" s="3">
        <v>45883</v>
      </c>
      <c r="N286" s="1" t="s">
        <v>821</v>
      </c>
      <c r="O286" s="1" t="s">
        <v>936</v>
      </c>
      <c r="P286" s="1">
        <v>1</v>
      </c>
    </row>
    <row r="287" spans="1:16" x14ac:dyDescent="0.25">
      <c r="A287" s="3">
        <v>45878</v>
      </c>
      <c r="B287" s="4">
        <v>52103</v>
      </c>
      <c r="C287" s="5">
        <v>8535</v>
      </c>
      <c r="D287" s="1" t="s">
        <v>973</v>
      </c>
      <c r="E287" s="1" t="s">
        <v>1068</v>
      </c>
      <c r="F287" s="1" t="s">
        <v>304</v>
      </c>
      <c r="G287" s="1" t="s">
        <v>998</v>
      </c>
      <c r="H287" s="3">
        <v>45895</v>
      </c>
      <c r="I287" s="1" t="s">
        <v>933</v>
      </c>
      <c r="J287" s="1" t="s">
        <v>66</v>
      </c>
      <c r="K287" s="1" t="s">
        <v>996</v>
      </c>
      <c r="L287" s="4">
        <v>1500</v>
      </c>
      <c r="M287" s="3">
        <v>45880</v>
      </c>
      <c r="N287" s="1" t="s">
        <v>57</v>
      </c>
      <c r="O287" s="1" t="s">
        <v>998</v>
      </c>
      <c r="P287" s="1">
        <v>1</v>
      </c>
    </row>
    <row r="288" spans="1:16" x14ac:dyDescent="0.25">
      <c r="A288" s="3">
        <v>45878</v>
      </c>
      <c r="B288" s="4">
        <v>52104</v>
      </c>
      <c r="C288" s="1" t="s">
        <v>1407</v>
      </c>
      <c r="D288" s="1" t="s">
        <v>973</v>
      </c>
      <c r="E288" s="1" t="s">
        <v>1068</v>
      </c>
      <c r="F288" s="1" t="s">
        <v>304</v>
      </c>
      <c r="G288" s="1" t="s">
        <v>998</v>
      </c>
      <c r="H288" s="3">
        <v>45895</v>
      </c>
      <c r="I288" s="1" t="s">
        <v>933</v>
      </c>
      <c r="J288" s="1" t="s">
        <v>66</v>
      </c>
      <c r="K288" s="1" t="s">
        <v>996</v>
      </c>
      <c r="L288" s="4">
        <v>1000</v>
      </c>
      <c r="M288" s="3">
        <v>45880</v>
      </c>
      <c r="N288" s="1" t="s">
        <v>57</v>
      </c>
      <c r="O288" s="1" t="s">
        <v>998</v>
      </c>
      <c r="P288" s="1">
        <v>1</v>
      </c>
    </row>
    <row r="289" spans="1:16" x14ac:dyDescent="0.25">
      <c r="A289" s="3">
        <v>45878</v>
      </c>
      <c r="B289" s="4">
        <v>2719</v>
      </c>
      <c r="C289" s="5">
        <v>5952</v>
      </c>
      <c r="D289" s="1" t="s">
        <v>1206</v>
      </c>
      <c r="E289" s="1" t="s">
        <v>1207</v>
      </c>
      <c r="F289" s="1" t="s">
        <v>955</v>
      </c>
      <c r="G289" s="1" t="s">
        <v>940</v>
      </c>
      <c r="H289" s="3">
        <v>45892</v>
      </c>
      <c r="I289" s="1" t="s">
        <v>933</v>
      </c>
      <c r="J289" s="1" t="s">
        <v>951</v>
      </c>
      <c r="K289" s="1" t="s">
        <v>20</v>
      </c>
      <c r="L289" s="1" t="s">
        <v>1408</v>
      </c>
      <c r="M289" s="3">
        <v>45880</v>
      </c>
      <c r="N289" s="1" t="s">
        <v>821</v>
      </c>
      <c r="O289" s="1" t="s">
        <v>936</v>
      </c>
      <c r="P289" s="1">
        <v>1</v>
      </c>
    </row>
    <row r="290" spans="1:16" x14ac:dyDescent="0.25">
      <c r="A290" s="3">
        <v>45878</v>
      </c>
      <c r="B290" s="4">
        <v>2721</v>
      </c>
      <c r="C290" s="5">
        <v>5952</v>
      </c>
      <c r="D290" s="1" t="s">
        <v>1206</v>
      </c>
      <c r="E290" s="1" t="s">
        <v>1207</v>
      </c>
      <c r="F290" s="1" t="s">
        <v>955</v>
      </c>
      <c r="G290" s="1" t="s">
        <v>940</v>
      </c>
      <c r="H290" s="3">
        <v>45892</v>
      </c>
      <c r="I290" s="1" t="s">
        <v>933</v>
      </c>
      <c r="J290" s="1" t="s">
        <v>951</v>
      </c>
      <c r="K290" s="1" t="s">
        <v>20</v>
      </c>
      <c r="L290" s="1" t="s">
        <v>1409</v>
      </c>
      <c r="M290" s="3">
        <v>45880</v>
      </c>
      <c r="N290" s="1" t="s">
        <v>821</v>
      </c>
      <c r="O290" s="1" t="s">
        <v>936</v>
      </c>
      <c r="P290" s="1">
        <v>1</v>
      </c>
    </row>
    <row r="291" spans="1:16" x14ac:dyDescent="0.25">
      <c r="A291" s="3">
        <v>45878</v>
      </c>
      <c r="B291" s="4">
        <v>52105</v>
      </c>
      <c r="C291" s="5">
        <v>5690</v>
      </c>
      <c r="D291" s="1" t="s">
        <v>973</v>
      </c>
      <c r="E291" s="1" t="s">
        <v>1068</v>
      </c>
      <c r="F291" s="1" t="s">
        <v>304</v>
      </c>
      <c r="G291" s="1" t="s">
        <v>998</v>
      </c>
      <c r="H291" s="3">
        <v>45895</v>
      </c>
      <c r="I291" s="1" t="s">
        <v>933</v>
      </c>
      <c r="J291" s="1" t="s">
        <v>66</v>
      </c>
      <c r="K291" s="1" t="s">
        <v>996</v>
      </c>
      <c r="L291" s="4">
        <v>1000</v>
      </c>
      <c r="M291" s="3">
        <v>45880</v>
      </c>
      <c r="N291" s="1" t="s">
        <v>57</v>
      </c>
      <c r="O291" s="1" t="s">
        <v>998</v>
      </c>
      <c r="P291" s="1">
        <v>1</v>
      </c>
    </row>
    <row r="292" spans="1:16" x14ac:dyDescent="0.25">
      <c r="A292" s="3">
        <v>45878</v>
      </c>
      <c r="B292" s="4">
        <v>665387</v>
      </c>
      <c r="C292" s="5">
        <v>397</v>
      </c>
      <c r="D292" s="1" t="s">
        <v>973</v>
      </c>
      <c r="E292" s="1" t="s">
        <v>1068</v>
      </c>
      <c r="F292" s="1" t="s">
        <v>66</v>
      </c>
      <c r="G292" s="1" t="s">
        <v>950</v>
      </c>
      <c r="H292" s="1" t="s">
        <v>941</v>
      </c>
      <c r="I292" s="1" t="s">
        <v>933</v>
      </c>
      <c r="J292" s="1" t="s">
        <v>66</v>
      </c>
      <c r="K292" s="1" t="s">
        <v>996</v>
      </c>
      <c r="L292" s="1" t="s">
        <v>1410</v>
      </c>
      <c r="M292" s="3">
        <v>45883</v>
      </c>
      <c r="N292" s="1" t="s">
        <v>821</v>
      </c>
      <c r="O292" s="1" t="s">
        <v>998</v>
      </c>
      <c r="P292" s="1">
        <v>1</v>
      </c>
    </row>
    <row r="293" spans="1:16" x14ac:dyDescent="0.25">
      <c r="A293" s="3">
        <v>45880</v>
      </c>
      <c r="B293" s="1">
        <v>23</v>
      </c>
      <c r="C293" s="5">
        <v>1180</v>
      </c>
      <c r="D293" s="1" t="s">
        <v>1197</v>
      </c>
      <c r="E293" s="1" t="s">
        <v>1198</v>
      </c>
      <c r="F293" s="1" t="s">
        <v>837</v>
      </c>
      <c r="G293" s="1" t="s">
        <v>940</v>
      </c>
      <c r="H293" s="3">
        <v>45891</v>
      </c>
      <c r="I293" s="1" t="s">
        <v>50</v>
      </c>
      <c r="J293" s="1" t="s">
        <v>66</v>
      </c>
      <c r="K293" s="1" t="s">
        <v>340</v>
      </c>
      <c r="L293" s="1" t="s">
        <v>1411</v>
      </c>
      <c r="M293" s="3">
        <v>45880</v>
      </c>
      <c r="N293" s="1" t="s">
        <v>50</v>
      </c>
      <c r="O293" s="1" t="s">
        <v>936</v>
      </c>
      <c r="P293" s="1">
        <v>1</v>
      </c>
    </row>
    <row r="294" spans="1:16" x14ac:dyDescent="0.25">
      <c r="A294" s="3">
        <v>45880</v>
      </c>
      <c r="B294" s="4">
        <v>6350</v>
      </c>
      <c r="C294" s="5">
        <v>1200</v>
      </c>
      <c r="D294" s="1" t="s">
        <v>1106</v>
      </c>
      <c r="E294" s="1" t="s">
        <v>1107</v>
      </c>
      <c r="F294" s="1" t="s">
        <v>966</v>
      </c>
      <c r="G294" s="1" t="s">
        <v>932</v>
      </c>
      <c r="H294" s="3">
        <v>45894</v>
      </c>
      <c r="I294" s="1" t="s">
        <v>933</v>
      </c>
      <c r="J294" s="1" t="s">
        <v>951</v>
      </c>
      <c r="K294" s="1" t="s">
        <v>817</v>
      </c>
      <c r="L294" s="1" t="s">
        <v>1108</v>
      </c>
      <c r="M294" s="3">
        <v>45880</v>
      </c>
      <c r="N294" s="1" t="s">
        <v>821</v>
      </c>
      <c r="O294" s="1" t="s">
        <v>932</v>
      </c>
      <c r="P294" s="1">
        <v>1</v>
      </c>
    </row>
    <row r="295" spans="1:16" x14ac:dyDescent="0.25">
      <c r="A295" s="3">
        <v>45880</v>
      </c>
      <c r="B295" s="1">
        <v>59</v>
      </c>
      <c r="C295" s="5">
        <v>245</v>
      </c>
      <c r="D295" s="1" t="s">
        <v>1229</v>
      </c>
      <c r="E295" s="1" t="s">
        <v>1230</v>
      </c>
      <c r="F295" s="1" t="s">
        <v>176</v>
      </c>
      <c r="G295" s="1" t="s">
        <v>990</v>
      </c>
      <c r="H295" s="3">
        <v>45897</v>
      </c>
      <c r="I295" s="1" t="s">
        <v>933</v>
      </c>
      <c r="J295" s="1" t="s">
        <v>66</v>
      </c>
      <c r="K295" s="1" t="s">
        <v>640</v>
      </c>
      <c r="L295" s="1" t="s">
        <v>1412</v>
      </c>
      <c r="M295" s="3">
        <v>45881</v>
      </c>
      <c r="N295" s="1" t="s">
        <v>181</v>
      </c>
      <c r="O295" s="1" t="s">
        <v>990</v>
      </c>
      <c r="P295" s="1">
        <v>1</v>
      </c>
    </row>
    <row r="296" spans="1:16" x14ac:dyDescent="0.25">
      <c r="A296" s="3">
        <v>45880</v>
      </c>
      <c r="B296" s="1">
        <v>70</v>
      </c>
      <c r="C296" s="5">
        <v>55</v>
      </c>
      <c r="D296" s="1" t="s">
        <v>1229</v>
      </c>
      <c r="E296" s="1" t="s">
        <v>1230</v>
      </c>
      <c r="F296" s="1" t="s">
        <v>719</v>
      </c>
      <c r="G296" s="1" t="s">
        <v>990</v>
      </c>
      <c r="H296" s="3">
        <v>45897</v>
      </c>
      <c r="I296" s="1" t="s">
        <v>933</v>
      </c>
      <c r="J296" s="1" t="s">
        <v>66</v>
      </c>
      <c r="K296" s="1" t="s">
        <v>340</v>
      </c>
      <c r="L296" s="1" t="s">
        <v>1413</v>
      </c>
      <c r="M296" s="3">
        <v>45881</v>
      </c>
      <c r="N296" s="1" t="s">
        <v>712</v>
      </c>
      <c r="O296" s="1" t="s">
        <v>990</v>
      </c>
      <c r="P296" s="1">
        <v>1</v>
      </c>
    </row>
    <row r="297" spans="1:16" x14ac:dyDescent="0.25">
      <c r="A297" s="3">
        <v>45880</v>
      </c>
      <c r="B297" s="1">
        <v>69</v>
      </c>
      <c r="C297" s="5">
        <v>1423</v>
      </c>
      <c r="D297" s="1" t="s">
        <v>1229</v>
      </c>
      <c r="E297" s="1" t="s">
        <v>1230</v>
      </c>
      <c r="F297" s="1" t="s">
        <v>837</v>
      </c>
      <c r="G297" s="1" t="s">
        <v>990</v>
      </c>
      <c r="H297" s="3">
        <v>45897</v>
      </c>
      <c r="I297" s="1" t="s">
        <v>933</v>
      </c>
      <c r="J297" s="1" t="s">
        <v>66</v>
      </c>
      <c r="K297" s="1" t="s">
        <v>340</v>
      </c>
      <c r="L297" s="1" t="s">
        <v>1414</v>
      </c>
      <c r="M297" s="3">
        <v>45881</v>
      </c>
      <c r="N297" s="1" t="s">
        <v>50</v>
      </c>
      <c r="O297" s="1" t="s">
        <v>990</v>
      </c>
      <c r="P297" s="1">
        <v>1</v>
      </c>
    </row>
    <row r="298" spans="1:16" x14ac:dyDescent="0.25">
      <c r="A298" s="3">
        <v>45880</v>
      </c>
      <c r="B298" s="1">
        <v>68</v>
      </c>
      <c r="C298" s="5">
        <v>190</v>
      </c>
      <c r="D298" s="1" t="s">
        <v>1229</v>
      </c>
      <c r="E298" s="1" t="s">
        <v>1230</v>
      </c>
      <c r="F298" s="1" t="s">
        <v>713</v>
      </c>
      <c r="G298" s="1" t="s">
        <v>990</v>
      </c>
      <c r="H298" s="3">
        <v>45897</v>
      </c>
      <c r="I298" s="1" t="s">
        <v>933</v>
      </c>
      <c r="J298" s="1" t="s">
        <v>66</v>
      </c>
      <c r="K298" s="1" t="s">
        <v>340</v>
      </c>
      <c r="L298" s="1" t="s">
        <v>1415</v>
      </c>
      <c r="M298" s="3">
        <v>45881</v>
      </c>
      <c r="N298" s="1" t="s">
        <v>712</v>
      </c>
      <c r="O298" s="1" t="s">
        <v>990</v>
      </c>
      <c r="P298" s="1">
        <v>1</v>
      </c>
    </row>
    <row r="299" spans="1:16" x14ac:dyDescent="0.25">
      <c r="A299" s="3">
        <v>45880</v>
      </c>
      <c r="B299" s="1">
        <v>67</v>
      </c>
      <c r="C299" s="5">
        <v>206</v>
      </c>
      <c r="D299" s="1" t="s">
        <v>1229</v>
      </c>
      <c r="E299" s="1" t="s">
        <v>1230</v>
      </c>
      <c r="F299" s="1" t="s">
        <v>723</v>
      </c>
      <c r="G299" s="1" t="s">
        <v>990</v>
      </c>
      <c r="H299" s="3">
        <v>45897</v>
      </c>
      <c r="I299" s="1" t="s">
        <v>933</v>
      </c>
      <c r="J299" s="1" t="s">
        <v>66</v>
      </c>
      <c r="K299" s="1" t="s">
        <v>340</v>
      </c>
      <c r="L299" s="1" t="s">
        <v>1416</v>
      </c>
      <c r="M299" s="3">
        <v>45881</v>
      </c>
      <c r="N299" s="1" t="s">
        <v>726</v>
      </c>
      <c r="O299" s="1" t="s">
        <v>990</v>
      </c>
      <c r="P299" s="1">
        <v>1</v>
      </c>
    </row>
    <row r="300" spans="1:16" x14ac:dyDescent="0.25">
      <c r="A300" s="3">
        <v>45880</v>
      </c>
      <c r="B300" s="1">
        <v>66</v>
      </c>
      <c r="C300" s="5">
        <v>510</v>
      </c>
      <c r="D300" s="1" t="s">
        <v>1229</v>
      </c>
      <c r="E300" s="1" t="s">
        <v>1230</v>
      </c>
      <c r="F300" s="1" t="s">
        <v>451</v>
      </c>
      <c r="G300" s="1" t="s">
        <v>990</v>
      </c>
      <c r="H300" s="3">
        <v>45897</v>
      </c>
      <c r="I300" s="1" t="s">
        <v>933</v>
      </c>
      <c r="J300" s="1" t="s">
        <v>66</v>
      </c>
      <c r="K300" s="1" t="s">
        <v>100</v>
      </c>
      <c r="L300" s="1" t="s">
        <v>1417</v>
      </c>
      <c r="M300" s="3">
        <v>45881</v>
      </c>
      <c r="N300" s="1" t="s">
        <v>212</v>
      </c>
      <c r="O300" s="1" t="s">
        <v>990</v>
      </c>
      <c r="P300" s="1">
        <v>1</v>
      </c>
    </row>
    <row r="301" spans="1:16" x14ac:dyDescent="0.25">
      <c r="A301" s="3">
        <v>45880</v>
      </c>
      <c r="B301" s="1">
        <v>64</v>
      </c>
      <c r="C301" s="5">
        <v>100</v>
      </c>
      <c r="D301" s="1" t="s">
        <v>1229</v>
      </c>
      <c r="E301" s="1" t="s">
        <v>1230</v>
      </c>
      <c r="F301" s="1" t="s">
        <v>697</v>
      </c>
      <c r="G301" s="1" t="s">
        <v>990</v>
      </c>
      <c r="H301" s="3">
        <v>45897</v>
      </c>
      <c r="I301" s="1" t="s">
        <v>933</v>
      </c>
      <c r="J301" s="1" t="s">
        <v>66</v>
      </c>
      <c r="K301" s="1" t="s">
        <v>340</v>
      </c>
      <c r="L301" s="1" t="s">
        <v>1418</v>
      </c>
      <c r="M301" s="3">
        <v>45881</v>
      </c>
      <c r="N301" s="1" t="s">
        <v>383</v>
      </c>
      <c r="O301" s="1" t="s">
        <v>990</v>
      </c>
      <c r="P301" s="1">
        <v>1</v>
      </c>
    </row>
    <row r="302" spans="1:16" x14ac:dyDescent="0.25">
      <c r="A302" s="3">
        <v>45880</v>
      </c>
      <c r="B302" s="1">
        <v>65</v>
      </c>
      <c r="C302" s="5">
        <v>100</v>
      </c>
      <c r="D302" s="1" t="s">
        <v>1229</v>
      </c>
      <c r="E302" s="1" t="s">
        <v>1230</v>
      </c>
      <c r="F302" s="1" t="s">
        <v>693</v>
      </c>
      <c r="G302" s="1" t="s">
        <v>990</v>
      </c>
      <c r="H302" s="3">
        <v>45897</v>
      </c>
      <c r="I302" s="1" t="s">
        <v>933</v>
      </c>
      <c r="J302" s="1" t="s">
        <v>66</v>
      </c>
      <c r="K302" s="1" t="s">
        <v>340</v>
      </c>
      <c r="L302" s="1" t="s">
        <v>1419</v>
      </c>
      <c r="M302" s="3">
        <v>45881</v>
      </c>
      <c r="N302" s="1" t="s">
        <v>383</v>
      </c>
      <c r="O302" s="1" t="s">
        <v>990</v>
      </c>
      <c r="P302" s="1">
        <v>1</v>
      </c>
    </row>
    <row r="303" spans="1:16" x14ac:dyDescent="0.25">
      <c r="A303" s="3">
        <v>45880</v>
      </c>
      <c r="B303" s="1">
        <v>63</v>
      </c>
      <c r="C303" s="5">
        <v>100</v>
      </c>
      <c r="D303" s="1" t="s">
        <v>1229</v>
      </c>
      <c r="E303" s="1" t="s">
        <v>1230</v>
      </c>
      <c r="F303" s="1" t="s">
        <v>650</v>
      </c>
      <c r="G303" s="1" t="s">
        <v>990</v>
      </c>
      <c r="H303" s="3">
        <v>45897</v>
      </c>
      <c r="I303" s="1" t="s">
        <v>933</v>
      </c>
      <c r="J303" s="1" t="s">
        <v>66</v>
      </c>
      <c r="K303" s="1" t="s">
        <v>340</v>
      </c>
      <c r="L303" s="1" t="s">
        <v>1420</v>
      </c>
      <c r="M303" s="3">
        <v>45881</v>
      </c>
      <c r="N303" s="1" t="s">
        <v>57</v>
      </c>
      <c r="O303" s="1" t="s">
        <v>990</v>
      </c>
      <c r="P303" s="1">
        <v>1</v>
      </c>
    </row>
    <row r="304" spans="1:16" x14ac:dyDescent="0.25">
      <c r="A304" s="3">
        <v>45880</v>
      </c>
      <c r="B304" s="1">
        <v>62</v>
      </c>
      <c r="C304" s="5">
        <v>190</v>
      </c>
      <c r="D304" s="1" t="s">
        <v>1229</v>
      </c>
      <c r="E304" s="1" t="s">
        <v>1230</v>
      </c>
      <c r="F304" s="1" t="s">
        <v>719</v>
      </c>
      <c r="G304" s="1" t="s">
        <v>990</v>
      </c>
      <c r="H304" s="3">
        <v>45897</v>
      </c>
      <c r="I304" s="1" t="s">
        <v>933</v>
      </c>
      <c r="J304" s="1" t="s">
        <v>66</v>
      </c>
      <c r="K304" s="1" t="s">
        <v>340</v>
      </c>
      <c r="L304" s="1" t="s">
        <v>1421</v>
      </c>
      <c r="M304" s="3">
        <v>45881</v>
      </c>
      <c r="N304" s="1" t="s">
        <v>712</v>
      </c>
      <c r="O304" s="1" t="s">
        <v>990</v>
      </c>
      <c r="P304" s="1">
        <v>1</v>
      </c>
    </row>
    <row r="305" spans="1:16" x14ac:dyDescent="0.25">
      <c r="A305" s="3">
        <v>45880</v>
      </c>
      <c r="B305" s="1">
        <v>61</v>
      </c>
      <c r="C305" s="5">
        <v>245</v>
      </c>
      <c r="D305" s="1" t="s">
        <v>1229</v>
      </c>
      <c r="E305" s="1" t="s">
        <v>1230</v>
      </c>
      <c r="F305" s="1" t="s">
        <v>729</v>
      </c>
      <c r="G305" s="1" t="s">
        <v>990</v>
      </c>
      <c r="H305" s="3">
        <v>45897</v>
      </c>
      <c r="I305" s="1" t="s">
        <v>933</v>
      </c>
      <c r="J305" s="1" t="s">
        <v>66</v>
      </c>
      <c r="K305" s="1" t="s">
        <v>340</v>
      </c>
      <c r="L305" s="1" t="s">
        <v>1422</v>
      </c>
      <c r="M305" s="3">
        <v>45881</v>
      </c>
      <c r="N305" s="1" t="s">
        <v>181</v>
      </c>
      <c r="O305" s="1" t="s">
        <v>990</v>
      </c>
      <c r="P305" s="1">
        <v>1</v>
      </c>
    </row>
    <row r="306" spans="1:16" x14ac:dyDescent="0.25">
      <c r="A306" s="3">
        <v>45880</v>
      </c>
      <c r="B306" s="1">
        <v>60</v>
      </c>
      <c r="C306" s="5">
        <v>755</v>
      </c>
      <c r="D306" s="1" t="s">
        <v>1229</v>
      </c>
      <c r="E306" s="1" t="s">
        <v>1230</v>
      </c>
      <c r="F306" s="1" t="s">
        <v>844</v>
      </c>
      <c r="G306" s="1" t="s">
        <v>990</v>
      </c>
      <c r="H306" s="3">
        <v>45897</v>
      </c>
      <c r="I306" s="1" t="s">
        <v>933</v>
      </c>
      <c r="J306" s="1" t="s">
        <v>66</v>
      </c>
      <c r="K306" s="1" t="s">
        <v>340</v>
      </c>
      <c r="L306" s="1" t="s">
        <v>1423</v>
      </c>
      <c r="M306" s="3">
        <v>45881</v>
      </c>
      <c r="N306" s="1" t="s">
        <v>836</v>
      </c>
      <c r="O306" s="1" t="s">
        <v>990</v>
      </c>
      <c r="P306" s="1">
        <v>1</v>
      </c>
    </row>
    <row r="307" spans="1:16" x14ac:dyDescent="0.25">
      <c r="A307" s="3">
        <v>45880</v>
      </c>
      <c r="B307" s="1">
        <v>59</v>
      </c>
      <c r="C307" s="5">
        <v>190</v>
      </c>
      <c r="D307" s="1" t="s">
        <v>1229</v>
      </c>
      <c r="E307" s="1" t="s">
        <v>1230</v>
      </c>
      <c r="F307" s="1" t="s">
        <v>717</v>
      </c>
      <c r="G307" s="1" t="s">
        <v>990</v>
      </c>
      <c r="H307" s="3">
        <v>45897</v>
      </c>
      <c r="I307" s="1" t="s">
        <v>933</v>
      </c>
      <c r="J307" s="1" t="s">
        <v>66</v>
      </c>
      <c r="K307" s="1" t="s">
        <v>340</v>
      </c>
      <c r="L307" s="1" t="s">
        <v>1418</v>
      </c>
      <c r="M307" s="3">
        <v>45881</v>
      </c>
      <c r="N307" s="1" t="s">
        <v>712</v>
      </c>
      <c r="O307" s="1" t="s">
        <v>990</v>
      </c>
      <c r="P307" s="1">
        <v>1</v>
      </c>
    </row>
    <row r="308" spans="1:16" x14ac:dyDescent="0.25">
      <c r="A308" s="3">
        <v>45880</v>
      </c>
      <c r="B308" s="1">
        <v>58</v>
      </c>
      <c r="C308" s="5">
        <v>526</v>
      </c>
      <c r="D308" s="1" t="s">
        <v>1229</v>
      </c>
      <c r="E308" s="1" t="s">
        <v>1230</v>
      </c>
      <c r="F308" s="1" t="s">
        <v>639</v>
      </c>
      <c r="G308" s="1" t="s">
        <v>990</v>
      </c>
      <c r="H308" s="3">
        <v>45897</v>
      </c>
      <c r="I308" s="1" t="s">
        <v>933</v>
      </c>
      <c r="J308" s="1" t="s">
        <v>66</v>
      </c>
      <c r="K308" s="1" t="s">
        <v>340</v>
      </c>
      <c r="L308" s="1" t="s">
        <v>1424</v>
      </c>
      <c r="M308" s="3">
        <v>45881</v>
      </c>
      <c r="N308" s="1" t="s">
        <v>98</v>
      </c>
      <c r="O308" s="1" t="s">
        <v>990</v>
      </c>
      <c r="P308" s="1">
        <v>1</v>
      </c>
    </row>
    <row r="309" spans="1:16" x14ac:dyDescent="0.25">
      <c r="A309" s="3">
        <v>45881</v>
      </c>
      <c r="B309" s="1">
        <v>24</v>
      </c>
      <c r="C309" s="5">
        <v>250</v>
      </c>
      <c r="D309" s="1" t="s">
        <v>1197</v>
      </c>
      <c r="E309" s="1" t="s">
        <v>1198</v>
      </c>
      <c r="F309" s="1" t="s">
        <v>955</v>
      </c>
      <c r="G309" s="1" t="s">
        <v>990</v>
      </c>
      <c r="H309" s="3">
        <v>45897</v>
      </c>
      <c r="I309" s="1" t="s">
        <v>933</v>
      </c>
      <c r="J309" s="1" t="s">
        <v>951</v>
      </c>
      <c r="K309" s="1" t="s">
        <v>640</v>
      </c>
      <c r="L309" s="1" t="s">
        <v>1425</v>
      </c>
      <c r="M309" s="3">
        <v>45881</v>
      </c>
      <c r="N309" s="1" t="s">
        <v>821</v>
      </c>
      <c r="O309" s="1" t="s">
        <v>936</v>
      </c>
      <c r="P309" s="1">
        <v>1</v>
      </c>
    </row>
    <row r="310" spans="1:16" x14ac:dyDescent="0.25">
      <c r="A310" s="3">
        <v>45881</v>
      </c>
      <c r="B310" s="1">
        <v>10</v>
      </c>
      <c r="C310" s="5">
        <v>3600</v>
      </c>
      <c r="D310" s="1" t="s">
        <v>1426</v>
      </c>
      <c r="E310" s="1" t="s">
        <v>1427</v>
      </c>
      <c r="F310" s="1" t="s">
        <v>867</v>
      </c>
      <c r="G310" s="1" t="s">
        <v>932</v>
      </c>
      <c r="H310" s="3">
        <v>45897</v>
      </c>
      <c r="I310" s="1" t="s">
        <v>933</v>
      </c>
      <c r="J310" s="1" t="s">
        <v>66</v>
      </c>
      <c r="K310" s="1" t="s">
        <v>340</v>
      </c>
      <c r="L310" s="1" t="s">
        <v>1428</v>
      </c>
      <c r="M310" s="3">
        <v>45882</v>
      </c>
      <c r="N310" s="1" t="s">
        <v>57</v>
      </c>
      <c r="O310" s="1" t="s">
        <v>936</v>
      </c>
      <c r="P310" s="1">
        <v>1</v>
      </c>
    </row>
    <row r="311" spans="1:16" x14ac:dyDescent="0.25">
      <c r="A311" s="3">
        <v>45881</v>
      </c>
      <c r="B311" s="4">
        <v>52328</v>
      </c>
      <c r="C311" s="5">
        <v>8535</v>
      </c>
      <c r="D311" s="1" t="s">
        <v>973</v>
      </c>
      <c r="E311" s="1" t="s">
        <v>1068</v>
      </c>
      <c r="F311" s="1" t="s">
        <v>304</v>
      </c>
      <c r="G311" s="1" t="s">
        <v>998</v>
      </c>
      <c r="H311" s="3">
        <v>45897</v>
      </c>
      <c r="I311" s="1" t="s">
        <v>933</v>
      </c>
      <c r="J311" s="1" t="s">
        <v>66</v>
      </c>
      <c r="K311" s="1" t="s">
        <v>996</v>
      </c>
      <c r="L311" s="4">
        <v>1500</v>
      </c>
      <c r="M311" s="3">
        <v>45882</v>
      </c>
      <c r="N311" s="1" t="s">
        <v>57</v>
      </c>
      <c r="O311" s="1" t="s">
        <v>998</v>
      </c>
      <c r="P311" s="1">
        <v>1</v>
      </c>
    </row>
    <row r="312" spans="1:16" x14ac:dyDescent="0.25">
      <c r="A312" s="3">
        <v>45881</v>
      </c>
      <c r="B312" s="4">
        <v>25329</v>
      </c>
      <c r="C312" s="5">
        <v>11380</v>
      </c>
      <c r="D312" s="1" t="s">
        <v>973</v>
      </c>
      <c r="E312" s="1" t="s">
        <v>1068</v>
      </c>
      <c r="F312" s="1" t="s">
        <v>304</v>
      </c>
      <c r="G312" s="1" t="s">
        <v>998</v>
      </c>
      <c r="H312" s="3">
        <v>45897</v>
      </c>
      <c r="I312" s="1" t="s">
        <v>933</v>
      </c>
      <c r="J312" s="1" t="s">
        <v>66</v>
      </c>
      <c r="K312" s="1" t="s">
        <v>996</v>
      </c>
      <c r="L312" s="4">
        <v>2000</v>
      </c>
      <c r="M312" s="3">
        <v>45882</v>
      </c>
      <c r="N312" s="1" t="s">
        <v>57</v>
      </c>
      <c r="O312" s="1" t="s">
        <v>998</v>
      </c>
      <c r="P312" s="1">
        <v>1</v>
      </c>
    </row>
    <row r="313" spans="1:16" x14ac:dyDescent="0.25">
      <c r="A313" s="3">
        <v>45881</v>
      </c>
      <c r="B313" s="4">
        <v>3250</v>
      </c>
      <c r="C313" s="5">
        <v>170</v>
      </c>
      <c r="D313" s="1" t="s">
        <v>1134</v>
      </c>
      <c r="E313" s="1" t="s">
        <v>1282</v>
      </c>
      <c r="F313" s="1" t="s">
        <v>955</v>
      </c>
      <c r="G313" s="1" t="s">
        <v>940</v>
      </c>
      <c r="H313" s="1" t="s">
        <v>941</v>
      </c>
      <c r="I313" s="1" t="s">
        <v>933</v>
      </c>
      <c r="J313" s="1" t="s">
        <v>951</v>
      </c>
      <c r="K313" s="1" t="s">
        <v>20</v>
      </c>
      <c r="L313" s="1" t="s">
        <v>1429</v>
      </c>
      <c r="M313" s="3">
        <v>45918</v>
      </c>
      <c r="N313" s="1" t="s">
        <v>821</v>
      </c>
      <c r="O313" s="1" t="s">
        <v>936</v>
      </c>
      <c r="P313" s="1">
        <v>1</v>
      </c>
    </row>
    <row r="314" spans="1:16" x14ac:dyDescent="0.25">
      <c r="A314" s="3">
        <v>45882</v>
      </c>
      <c r="B314" s="4">
        <v>70225</v>
      </c>
      <c r="C314" s="5">
        <v>523</v>
      </c>
      <c r="D314" s="1" t="s">
        <v>1430</v>
      </c>
      <c r="E314" s="1" t="s">
        <v>1099</v>
      </c>
      <c r="F314" s="1" t="s">
        <v>837</v>
      </c>
      <c r="G314" s="1" t="s">
        <v>1260</v>
      </c>
      <c r="H314" s="3">
        <v>45897</v>
      </c>
      <c r="I314" s="1" t="s">
        <v>933</v>
      </c>
      <c r="J314" s="1" t="s">
        <v>66</v>
      </c>
      <c r="K314" s="1" t="s">
        <v>340</v>
      </c>
      <c r="L314" s="1" t="s">
        <v>1431</v>
      </c>
      <c r="M314" s="3">
        <v>45883</v>
      </c>
      <c r="N314" s="1" t="s">
        <v>50</v>
      </c>
      <c r="O314" s="1" t="s">
        <v>937</v>
      </c>
      <c r="P314" s="1">
        <v>1</v>
      </c>
    </row>
    <row r="315" spans="1:16" x14ac:dyDescent="0.25">
      <c r="A315" s="3">
        <v>45882</v>
      </c>
      <c r="B315" s="4">
        <v>7145</v>
      </c>
      <c r="C315" s="5">
        <v>191</v>
      </c>
      <c r="D315" s="1" t="s">
        <v>1008</v>
      </c>
      <c r="E315" s="1" t="s">
        <v>1009</v>
      </c>
      <c r="F315" s="1" t="s">
        <v>966</v>
      </c>
      <c r="G315" s="1" t="s">
        <v>950</v>
      </c>
      <c r="H315" s="3">
        <v>45903</v>
      </c>
      <c r="I315" s="1" t="s">
        <v>933</v>
      </c>
      <c r="J315" s="1" t="s">
        <v>951</v>
      </c>
      <c r="K315" s="1" t="s">
        <v>66</v>
      </c>
      <c r="L315" s="1" t="s">
        <v>1432</v>
      </c>
      <c r="M315" s="3">
        <v>45882</v>
      </c>
      <c r="N315" s="1" t="s">
        <v>821</v>
      </c>
      <c r="O315" s="1" t="s">
        <v>936</v>
      </c>
      <c r="P315" s="1">
        <v>1</v>
      </c>
    </row>
    <row r="316" spans="1:16" x14ac:dyDescent="0.25">
      <c r="A316" s="3">
        <v>45882</v>
      </c>
      <c r="B316" s="1">
        <v>17</v>
      </c>
      <c r="C316" s="5">
        <v>5300</v>
      </c>
      <c r="D316" s="1" t="s">
        <v>1433</v>
      </c>
      <c r="E316" s="1" t="s">
        <v>1434</v>
      </c>
      <c r="F316" s="1" t="s">
        <v>475</v>
      </c>
      <c r="G316" s="1" t="s">
        <v>1029</v>
      </c>
      <c r="H316" s="3">
        <v>45898</v>
      </c>
      <c r="I316" s="1" t="s">
        <v>933</v>
      </c>
      <c r="J316" s="1" t="s">
        <v>66</v>
      </c>
      <c r="K316" s="1" t="s">
        <v>640</v>
      </c>
      <c r="L316" s="1" t="s">
        <v>1435</v>
      </c>
      <c r="M316" s="3">
        <v>45883</v>
      </c>
      <c r="N316" s="1" t="s">
        <v>57</v>
      </c>
      <c r="O316" s="1" t="s">
        <v>1031</v>
      </c>
      <c r="P316" s="1" t="s">
        <v>937</v>
      </c>
    </row>
    <row r="317" spans="1:16" x14ac:dyDescent="0.25">
      <c r="A317" s="3">
        <v>45882</v>
      </c>
      <c r="B317" s="1">
        <v>132</v>
      </c>
      <c r="C317" s="5">
        <v>10428</v>
      </c>
      <c r="D317" s="1" t="s">
        <v>1436</v>
      </c>
      <c r="E317" s="1" t="s">
        <v>1437</v>
      </c>
      <c r="F317" s="1" t="s">
        <v>955</v>
      </c>
      <c r="G317" s="1" t="s">
        <v>940</v>
      </c>
      <c r="H317" s="3">
        <v>45896</v>
      </c>
      <c r="I317" s="1" t="s">
        <v>933</v>
      </c>
      <c r="J317" s="1" t="s">
        <v>951</v>
      </c>
      <c r="K317" s="1" t="s">
        <v>20</v>
      </c>
      <c r="L317" s="1" t="s">
        <v>1438</v>
      </c>
      <c r="M317" s="3">
        <v>45883</v>
      </c>
      <c r="N317" s="1" t="s">
        <v>821</v>
      </c>
      <c r="O317" s="1" t="s">
        <v>936</v>
      </c>
      <c r="P317" s="1">
        <v>1</v>
      </c>
    </row>
    <row r="318" spans="1:16" x14ac:dyDescent="0.25">
      <c r="A318" s="3">
        <v>45882</v>
      </c>
      <c r="B318" s="4">
        <v>70236</v>
      </c>
      <c r="C318" s="5">
        <v>237.11</v>
      </c>
      <c r="D318" s="1" t="s">
        <v>1439</v>
      </c>
      <c r="E318" s="1" t="s">
        <v>1099</v>
      </c>
      <c r="F318" s="1" t="s">
        <v>650</v>
      </c>
      <c r="G318" s="1" t="s">
        <v>940</v>
      </c>
      <c r="H318" s="3">
        <v>45912</v>
      </c>
      <c r="I318" s="1" t="s">
        <v>933</v>
      </c>
      <c r="J318" s="1" t="s">
        <v>66</v>
      </c>
      <c r="K318" s="1" t="s">
        <v>340</v>
      </c>
      <c r="L318" s="1" t="s">
        <v>1440</v>
      </c>
      <c r="M318" s="3">
        <v>45883</v>
      </c>
      <c r="N318" s="1" t="s">
        <v>57</v>
      </c>
      <c r="O318" s="1" t="s">
        <v>937</v>
      </c>
      <c r="P318" s="1">
        <v>1</v>
      </c>
    </row>
    <row r="319" spans="1:16" x14ac:dyDescent="0.25">
      <c r="A319" s="3">
        <v>45882</v>
      </c>
      <c r="B319" s="1">
        <v>388</v>
      </c>
      <c r="C319" s="5">
        <v>700</v>
      </c>
      <c r="D319" s="1" t="s">
        <v>1441</v>
      </c>
      <c r="E319" s="1" t="s">
        <v>1442</v>
      </c>
      <c r="F319" s="1" t="s">
        <v>966</v>
      </c>
      <c r="G319" s="1" t="s">
        <v>950</v>
      </c>
      <c r="H319" s="1" t="s">
        <v>941</v>
      </c>
      <c r="I319" s="1" t="s">
        <v>933</v>
      </c>
      <c r="J319" s="1" t="s">
        <v>951</v>
      </c>
      <c r="K319" s="1" t="s">
        <v>66</v>
      </c>
      <c r="L319" s="1" t="s">
        <v>1443</v>
      </c>
      <c r="M319" s="3">
        <v>45883</v>
      </c>
      <c r="N319" s="1" t="s">
        <v>821</v>
      </c>
      <c r="O319" s="1" t="s">
        <v>936</v>
      </c>
      <c r="P319" s="1">
        <v>1</v>
      </c>
    </row>
    <row r="320" spans="1:16" x14ac:dyDescent="0.25">
      <c r="A320" s="3">
        <v>45883</v>
      </c>
      <c r="B320" s="1">
        <v>330</v>
      </c>
      <c r="C320" s="5">
        <v>240</v>
      </c>
      <c r="D320" s="1" t="s">
        <v>1444</v>
      </c>
      <c r="E320" s="1" t="s">
        <v>1445</v>
      </c>
      <c r="F320" s="1" t="s">
        <v>304</v>
      </c>
      <c r="G320" s="1" t="s">
        <v>940</v>
      </c>
      <c r="H320" s="1" t="s">
        <v>941</v>
      </c>
      <c r="I320" s="1" t="s">
        <v>1100</v>
      </c>
      <c r="J320" s="1" t="s">
        <v>66</v>
      </c>
      <c r="K320" s="1" t="s">
        <v>340</v>
      </c>
      <c r="L320" s="1" t="s">
        <v>1446</v>
      </c>
      <c r="M320" s="3">
        <v>45883</v>
      </c>
      <c r="N320" s="1" t="s">
        <v>57</v>
      </c>
      <c r="O320" s="1" t="s">
        <v>936</v>
      </c>
      <c r="P320" s="1">
        <v>1</v>
      </c>
    </row>
    <row r="321" spans="1:16" x14ac:dyDescent="0.25">
      <c r="A321" s="3">
        <v>45883</v>
      </c>
      <c r="B321" s="1">
        <v>202</v>
      </c>
      <c r="C321" s="5">
        <v>12063</v>
      </c>
      <c r="D321" s="1" t="s">
        <v>1023</v>
      </c>
      <c r="E321" s="1" t="s">
        <v>1447</v>
      </c>
      <c r="F321" s="1" t="s">
        <v>955</v>
      </c>
      <c r="G321" s="1" t="s">
        <v>1029</v>
      </c>
      <c r="H321" s="3">
        <v>45897</v>
      </c>
      <c r="I321" s="1" t="s">
        <v>933</v>
      </c>
      <c r="J321" s="1" t="s">
        <v>951</v>
      </c>
      <c r="K321" s="1" t="s">
        <v>66</v>
      </c>
      <c r="L321" s="1" t="s">
        <v>1448</v>
      </c>
      <c r="M321" s="3">
        <v>45884</v>
      </c>
      <c r="N321" s="1" t="s">
        <v>821</v>
      </c>
      <c r="O321" s="1" t="s">
        <v>936</v>
      </c>
      <c r="P321" s="1">
        <v>1</v>
      </c>
    </row>
    <row r="322" spans="1:16" x14ac:dyDescent="0.25">
      <c r="A322" s="3">
        <v>45883</v>
      </c>
      <c r="B322" s="1">
        <v>189</v>
      </c>
      <c r="C322" s="5">
        <v>1080</v>
      </c>
      <c r="D322" s="1" t="s">
        <v>1449</v>
      </c>
      <c r="E322" s="1" t="s">
        <v>1450</v>
      </c>
      <c r="F322" s="1" t="s">
        <v>710</v>
      </c>
      <c r="G322" s="1" t="s">
        <v>940</v>
      </c>
      <c r="H322" s="3">
        <v>45896</v>
      </c>
      <c r="I322" s="1" t="s">
        <v>933</v>
      </c>
      <c r="J322" s="1" t="s">
        <v>66</v>
      </c>
      <c r="K322" s="1" t="s">
        <v>340</v>
      </c>
      <c r="L322" s="1" t="s">
        <v>1451</v>
      </c>
      <c r="M322" s="3">
        <v>45884</v>
      </c>
      <c r="N322" s="1" t="s">
        <v>712</v>
      </c>
      <c r="O322" s="1" t="s">
        <v>936</v>
      </c>
      <c r="P322" s="1" t="s">
        <v>937</v>
      </c>
    </row>
    <row r="323" spans="1:16" x14ac:dyDescent="0.25">
      <c r="A323" s="3">
        <v>45883</v>
      </c>
      <c r="B323" s="4">
        <v>7532</v>
      </c>
      <c r="C323" s="5">
        <v>24000</v>
      </c>
      <c r="D323" s="1" t="s">
        <v>1331</v>
      </c>
      <c r="E323" s="1" t="s">
        <v>1332</v>
      </c>
      <c r="F323" s="1" t="s">
        <v>955</v>
      </c>
      <c r="G323" s="1" t="s">
        <v>940</v>
      </c>
      <c r="H323" s="3">
        <v>45899</v>
      </c>
      <c r="I323" s="1" t="s">
        <v>933</v>
      </c>
      <c r="J323" s="1" t="s">
        <v>951</v>
      </c>
      <c r="K323" s="1" t="s">
        <v>20</v>
      </c>
      <c r="L323" s="1" t="s">
        <v>1452</v>
      </c>
      <c r="M323" s="3">
        <v>45884</v>
      </c>
      <c r="N323" s="1" t="s">
        <v>821</v>
      </c>
      <c r="O323" s="1" t="s">
        <v>936</v>
      </c>
      <c r="P323" s="1">
        <v>1</v>
      </c>
    </row>
    <row r="324" spans="1:16" x14ac:dyDescent="0.25">
      <c r="A324" s="3">
        <v>45884</v>
      </c>
      <c r="B324" s="4">
        <v>662782</v>
      </c>
      <c r="C324" s="5">
        <v>64.989999999999995</v>
      </c>
      <c r="D324" s="1" t="s">
        <v>973</v>
      </c>
      <c r="E324" s="1" t="s">
        <v>1068</v>
      </c>
      <c r="F324" s="1" t="s">
        <v>430</v>
      </c>
      <c r="G324" s="1" t="s">
        <v>950</v>
      </c>
      <c r="H324" s="1" t="s">
        <v>1124</v>
      </c>
      <c r="I324" s="1" t="s">
        <v>933</v>
      </c>
      <c r="J324" s="1" t="s">
        <v>66</v>
      </c>
      <c r="K324" s="1" t="s">
        <v>996</v>
      </c>
      <c r="L324" s="1" t="s">
        <v>1453</v>
      </c>
      <c r="M324" s="3">
        <v>45884</v>
      </c>
      <c r="N324" s="1" t="s">
        <v>57</v>
      </c>
      <c r="O324" s="1" t="s">
        <v>998</v>
      </c>
      <c r="P324" s="1">
        <v>1</v>
      </c>
    </row>
    <row r="325" spans="1:16" x14ac:dyDescent="0.25">
      <c r="A325" s="3">
        <v>45884</v>
      </c>
      <c r="B325" s="1">
        <v>2</v>
      </c>
      <c r="C325" s="5">
        <v>169</v>
      </c>
      <c r="D325" s="1" t="s">
        <v>992</v>
      </c>
      <c r="E325" s="1" t="s">
        <v>1243</v>
      </c>
      <c r="F325" s="1" t="s">
        <v>66</v>
      </c>
      <c r="G325" s="1" t="s">
        <v>950</v>
      </c>
      <c r="H325" s="1" t="s">
        <v>959</v>
      </c>
      <c r="I325" s="1" t="s">
        <v>933</v>
      </c>
      <c r="J325" s="1" t="s">
        <v>66</v>
      </c>
      <c r="K325" s="1" t="s">
        <v>66</v>
      </c>
      <c r="L325" s="1" t="s">
        <v>1454</v>
      </c>
      <c r="M325" s="3">
        <v>45884</v>
      </c>
      <c r="N325" s="1" t="s">
        <v>821</v>
      </c>
      <c r="O325" s="1" t="s">
        <v>998</v>
      </c>
      <c r="P325" s="1">
        <v>1</v>
      </c>
    </row>
    <row r="326" spans="1:16" x14ac:dyDescent="0.25">
      <c r="A326" s="3">
        <v>45884</v>
      </c>
      <c r="B326" s="4">
        <v>231545</v>
      </c>
      <c r="C326" s="5">
        <v>151</v>
      </c>
      <c r="D326" s="1" t="s">
        <v>1194</v>
      </c>
      <c r="E326" s="1" t="s">
        <v>1195</v>
      </c>
      <c r="F326" s="1" t="s">
        <v>955</v>
      </c>
      <c r="G326" s="1" t="s">
        <v>950</v>
      </c>
      <c r="H326" s="1" t="s">
        <v>959</v>
      </c>
      <c r="I326" s="1" t="s">
        <v>933</v>
      </c>
      <c r="J326" s="1" t="s">
        <v>951</v>
      </c>
      <c r="K326" s="1" t="s">
        <v>66</v>
      </c>
      <c r="L326" s="1" t="s">
        <v>1455</v>
      </c>
      <c r="M326" s="3">
        <v>45884</v>
      </c>
      <c r="N326" s="1" t="s">
        <v>821</v>
      </c>
      <c r="O326" s="1" t="s">
        <v>998</v>
      </c>
      <c r="P326" s="1">
        <v>1</v>
      </c>
    </row>
    <row r="327" spans="1:16" x14ac:dyDescent="0.25">
      <c r="A327" s="3">
        <v>45884</v>
      </c>
      <c r="B327" s="4">
        <v>1518215</v>
      </c>
      <c r="C327" s="5">
        <v>12954</v>
      </c>
      <c r="D327" s="1" t="s">
        <v>1376</v>
      </c>
      <c r="E327" s="1" t="s">
        <v>1259</v>
      </c>
      <c r="F327" s="1" t="s">
        <v>647</v>
      </c>
      <c r="G327" s="1" t="s">
        <v>1029</v>
      </c>
      <c r="H327" s="1" t="s">
        <v>959</v>
      </c>
      <c r="I327" s="1" t="s">
        <v>933</v>
      </c>
      <c r="J327" s="1" t="s">
        <v>66</v>
      </c>
      <c r="K327" s="1" t="s">
        <v>340</v>
      </c>
      <c r="L327" s="1" t="s">
        <v>1456</v>
      </c>
      <c r="M327" s="3">
        <v>45884</v>
      </c>
      <c r="N327" s="1"/>
      <c r="O327" s="1" t="s">
        <v>1457</v>
      </c>
      <c r="P327" s="1" t="s">
        <v>937</v>
      </c>
    </row>
    <row r="328" spans="1:16" x14ac:dyDescent="0.25">
      <c r="A328" s="3">
        <v>45884</v>
      </c>
      <c r="B328" s="4">
        <v>2590</v>
      </c>
      <c r="C328" s="5">
        <v>14000</v>
      </c>
      <c r="D328" s="1" t="s">
        <v>1285</v>
      </c>
      <c r="E328" s="1" t="s">
        <v>1286</v>
      </c>
      <c r="F328" s="1" t="s">
        <v>32</v>
      </c>
      <c r="G328" s="1" t="s">
        <v>932</v>
      </c>
      <c r="H328" s="3">
        <v>45903</v>
      </c>
      <c r="I328" s="1" t="s">
        <v>933</v>
      </c>
      <c r="J328" s="1" t="s">
        <v>66</v>
      </c>
      <c r="K328" s="1" t="s">
        <v>20</v>
      </c>
      <c r="L328" s="1" t="s">
        <v>1458</v>
      </c>
      <c r="M328" s="3">
        <v>45887</v>
      </c>
      <c r="N328" s="1" t="s">
        <v>25</v>
      </c>
      <c r="O328" s="1" t="s">
        <v>932</v>
      </c>
      <c r="P328" s="1">
        <v>1</v>
      </c>
    </row>
    <row r="329" spans="1:16" x14ac:dyDescent="0.25">
      <c r="A329" s="3">
        <v>45884</v>
      </c>
      <c r="B329" s="1">
        <v>799</v>
      </c>
      <c r="C329" s="5">
        <v>2376</v>
      </c>
      <c r="D329" s="1" t="s">
        <v>1459</v>
      </c>
      <c r="E329" s="1" t="s">
        <v>1460</v>
      </c>
      <c r="F329" s="1" t="s">
        <v>966</v>
      </c>
      <c r="G329" s="1" t="s">
        <v>940</v>
      </c>
      <c r="H329" s="3">
        <v>45900</v>
      </c>
      <c r="I329" s="1" t="s">
        <v>933</v>
      </c>
      <c r="J329" s="1" t="s">
        <v>951</v>
      </c>
      <c r="K329" s="1" t="s">
        <v>20</v>
      </c>
      <c r="L329" s="1" t="s">
        <v>1461</v>
      </c>
      <c r="M329" s="3">
        <v>45887</v>
      </c>
      <c r="N329" s="1" t="s">
        <v>821</v>
      </c>
      <c r="O329" s="1" t="s">
        <v>990</v>
      </c>
      <c r="P329" s="1">
        <v>1</v>
      </c>
    </row>
    <row r="330" spans="1:16" x14ac:dyDescent="0.25">
      <c r="A330" s="3">
        <v>45884</v>
      </c>
      <c r="B330" s="4">
        <v>662780</v>
      </c>
      <c r="C330" s="5">
        <v>361</v>
      </c>
      <c r="D330" s="1" t="s">
        <v>973</v>
      </c>
      <c r="E330" s="1" t="s">
        <v>1068</v>
      </c>
      <c r="F330" s="1" t="s">
        <v>66</v>
      </c>
      <c r="G330" s="1" t="s">
        <v>950</v>
      </c>
      <c r="H330" s="1" t="s">
        <v>959</v>
      </c>
      <c r="I330" s="1" t="s">
        <v>933</v>
      </c>
      <c r="J330" s="1" t="s">
        <v>66</v>
      </c>
      <c r="K330" s="1" t="s">
        <v>996</v>
      </c>
      <c r="L330" s="1" t="s">
        <v>1462</v>
      </c>
      <c r="M330" s="3">
        <v>45884</v>
      </c>
      <c r="N330" s="1" t="s">
        <v>821</v>
      </c>
      <c r="O330" s="1" t="s">
        <v>998</v>
      </c>
      <c r="P330" s="1">
        <v>1</v>
      </c>
    </row>
    <row r="331" spans="1:16" x14ac:dyDescent="0.25">
      <c r="A331" s="3">
        <v>45885</v>
      </c>
      <c r="B331" s="4">
        <v>3725</v>
      </c>
      <c r="C331" s="5">
        <v>1005</v>
      </c>
      <c r="D331" s="1" t="s">
        <v>1179</v>
      </c>
      <c r="E331" s="1" t="s">
        <v>1180</v>
      </c>
      <c r="F331" s="1" t="s">
        <v>710</v>
      </c>
      <c r="G331" s="1" t="s">
        <v>940</v>
      </c>
      <c r="H331" s="1" t="s">
        <v>941</v>
      </c>
      <c r="I331" s="1" t="s">
        <v>712</v>
      </c>
      <c r="J331" s="1" t="s">
        <v>66</v>
      </c>
      <c r="K331" s="1" t="s">
        <v>340</v>
      </c>
      <c r="L331" s="1" t="s">
        <v>1463</v>
      </c>
      <c r="M331" s="3">
        <v>45885</v>
      </c>
      <c r="N331" s="1" t="s">
        <v>712</v>
      </c>
      <c r="O331" s="1" t="s">
        <v>936</v>
      </c>
      <c r="P331" s="1">
        <v>1</v>
      </c>
    </row>
    <row r="332" spans="1:16" x14ac:dyDescent="0.25">
      <c r="A332" s="3">
        <v>45885</v>
      </c>
      <c r="B332" s="1">
        <v>278</v>
      </c>
      <c r="C332" s="5">
        <v>236</v>
      </c>
      <c r="D332" s="1" t="s">
        <v>1464</v>
      </c>
      <c r="E332" s="1" t="s">
        <v>1465</v>
      </c>
      <c r="F332" s="1" t="s">
        <v>949</v>
      </c>
      <c r="G332" s="1" t="s">
        <v>950</v>
      </c>
      <c r="H332" s="1" t="s">
        <v>941</v>
      </c>
      <c r="I332" s="1" t="s">
        <v>933</v>
      </c>
      <c r="J332" s="1" t="s">
        <v>951</v>
      </c>
      <c r="K332" s="1" t="s">
        <v>66</v>
      </c>
      <c r="L332" s="1" t="s">
        <v>1466</v>
      </c>
      <c r="M332" s="3">
        <v>45885</v>
      </c>
      <c r="N332" s="1" t="s">
        <v>821</v>
      </c>
      <c r="O332" s="1" t="s">
        <v>936</v>
      </c>
      <c r="P332" s="1">
        <v>1</v>
      </c>
    </row>
    <row r="333" spans="1:16" x14ac:dyDescent="0.25">
      <c r="A333" s="3">
        <v>45885</v>
      </c>
      <c r="B333" s="4">
        <v>3287</v>
      </c>
      <c r="C333" s="5">
        <v>565</v>
      </c>
      <c r="D333" s="1" t="s">
        <v>1179</v>
      </c>
      <c r="E333" s="1" t="s">
        <v>1180</v>
      </c>
      <c r="F333" s="1" t="s">
        <v>710</v>
      </c>
      <c r="G333" s="1" t="s">
        <v>940</v>
      </c>
      <c r="H333" s="1" t="s">
        <v>941</v>
      </c>
      <c r="I333" s="1" t="s">
        <v>712</v>
      </c>
      <c r="J333" s="1" t="s">
        <v>66</v>
      </c>
      <c r="K333" s="1" t="s">
        <v>340</v>
      </c>
      <c r="L333" s="1" t="s">
        <v>1467</v>
      </c>
      <c r="M333" s="3">
        <v>45885</v>
      </c>
      <c r="N333" s="1" t="s">
        <v>712</v>
      </c>
      <c r="O333" s="1" t="s">
        <v>936</v>
      </c>
      <c r="P333" s="1">
        <v>1</v>
      </c>
    </row>
    <row r="334" spans="1:16" x14ac:dyDescent="0.25">
      <c r="A334" s="3">
        <v>45885</v>
      </c>
      <c r="B334" s="4">
        <v>22789</v>
      </c>
      <c r="C334" s="5">
        <v>290</v>
      </c>
      <c r="D334" s="1" t="s">
        <v>938</v>
      </c>
      <c r="E334" s="1" t="s">
        <v>939</v>
      </c>
      <c r="F334" s="1" t="s">
        <v>430</v>
      </c>
      <c r="G334" s="1" t="s">
        <v>940</v>
      </c>
      <c r="H334" s="1" t="s">
        <v>941</v>
      </c>
      <c r="I334" s="1" t="s">
        <v>933</v>
      </c>
      <c r="J334" s="1" t="s">
        <v>66</v>
      </c>
      <c r="K334" s="1" t="s">
        <v>340</v>
      </c>
      <c r="L334" s="1" t="s">
        <v>1468</v>
      </c>
      <c r="M334" s="3">
        <v>45885</v>
      </c>
      <c r="N334" s="1" t="s">
        <v>57</v>
      </c>
      <c r="O334" s="1" t="s">
        <v>936</v>
      </c>
      <c r="P334" s="1">
        <v>1</v>
      </c>
    </row>
    <row r="335" spans="1:16" x14ac:dyDescent="0.25">
      <c r="A335" s="3">
        <v>45885</v>
      </c>
      <c r="B335" s="1">
        <v>27</v>
      </c>
      <c r="C335" s="5">
        <v>250</v>
      </c>
      <c r="D335" s="1" t="s">
        <v>1197</v>
      </c>
      <c r="E335" s="1" t="s">
        <v>1198</v>
      </c>
      <c r="F335" s="1" t="s">
        <v>955</v>
      </c>
      <c r="G335" s="1" t="s">
        <v>940</v>
      </c>
      <c r="H335" s="3">
        <v>45898</v>
      </c>
      <c r="I335" s="1" t="s">
        <v>933</v>
      </c>
      <c r="J335" s="1" t="s">
        <v>951</v>
      </c>
      <c r="K335" s="1" t="s">
        <v>340</v>
      </c>
      <c r="L335" s="1" t="s">
        <v>1469</v>
      </c>
      <c r="M335" s="3">
        <v>45887</v>
      </c>
      <c r="N335" s="1" t="s">
        <v>821</v>
      </c>
      <c r="O335" s="1" t="s">
        <v>936</v>
      </c>
      <c r="P335" s="1">
        <v>1</v>
      </c>
    </row>
    <row r="336" spans="1:16" x14ac:dyDescent="0.25">
      <c r="A336" s="3">
        <v>45885</v>
      </c>
      <c r="B336" s="4">
        <v>8277</v>
      </c>
      <c r="C336" s="5">
        <v>25450</v>
      </c>
      <c r="D336" s="1" t="s">
        <v>973</v>
      </c>
      <c r="E336" s="1" t="s">
        <v>1068</v>
      </c>
      <c r="F336" s="1" t="s">
        <v>66</v>
      </c>
      <c r="G336" s="1" t="s">
        <v>998</v>
      </c>
      <c r="H336" s="3">
        <v>45899</v>
      </c>
      <c r="I336" s="1" t="s">
        <v>933</v>
      </c>
      <c r="J336" s="1" t="s">
        <v>66</v>
      </c>
      <c r="K336" s="1" t="s">
        <v>996</v>
      </c>
      <c r="L336" s="1">
        <v>5000</v>
      </c>
      <c r="M336" s="3">
        <v>45887</v>
      </c>
      <c r="N336" s="1" t="s">
        <v>821</v>
      </c>
      <c r="O336" s="1" t="s">
        <v>998</v>
      </c>
      <c r="P336" s="1">
        <v>1</v>
      </c>
    </row>
    <row r="337" spans="1:16" x14ac:dyDescent="0.25">
      <c r="A337" s="3">
        <v>45886</v>
      </c>
      <c r="B337" s="4">
        <v>52731</v>
      </c>
      <c r="C337" s="5">
        <v>5740</v>
      </c>
      <c r="D337" s="1" t="s">
        <v>973</v>
      </c>
      <c r="E337" s="1" t="s">
        <v>1068</v>
      </c>
      <c r="F337" s="1" t="s">
        <v>304</v>
      </c>
      <c r="G337" s="1" t="s">
        <v>998</v>
      </c>
      <c r="H337" s="3">
        <v>45901</v>
      </c>
      <c r="I337" s="1" t="s">
        <v>933</v>
      </c>
      <c r="J337" s="1" t="s">
        <v>66</v>
      </c>
      <c r="K337" s="1" t="s">
        <v>996</v>
      </c>
      <c r="L337" s="4">
        <v>1000</v>
      </c>
      <c r="M337" s="3">
        <v>45887</v>
      </c>
      <c r="N337" s="1" t="s">
        <v>57</v>
      </c>
      <c r="O337" s="1" t="s">
        <v>998</v>
      </c>
      <c r="P337" s="1">
        <v>1</v>
      </c>
    </row>
    <row r="338" spans="1:16" x14ac:dyDescent="0.25">
      <c r="A338" s="3">
        <v>45886</v>
      </c>
      <c r="B338" s="4">
        <v>52732</v>
      </c>
      <c r="C338" s="5">
        <v>5740</v>
      </c>
      <c r="D338" s="1" t="s">
        <v>973</v>
      </c>
      <c r="E338" s="1" t="s">
        <v>1068</v>
      </c>
      <c r="F338" s="1" t="s">
        <v>304</v>
      </c>
      <c r="G338" s="1" t="s">
        <v>998</v>
      </c>
      <c r="H338" s="3">
        <v>45901</v>
      </c>
      <c r="I338" s="1" t="s">
        <v>933</v>
      </c>
      <c r="J338" s="1" t="s">
        <v>66</v>
      </c>
      <c r="K338" s="1" t="s">
        <v>996</v>
      </c>
      <c r="L338" s="4">
        <v>1000</v>
      </c>
      <c r="M338" s="3">
        <v>45887</v>
      </c>
      <c r="N338" s="1" t="s">
        <v>57</v>
      </c>
      <c r="O338" s="1" t="s">
        <v>998</v>
      </c>
      <c r="P338" s="1">
        <v>1</v>
      </c>
    </row>
    <row r="339" spans="1:16" x14ac:dyDescent="0.25">
      <c r="A339" s="3">
        <v>45886</v>
      </c>
      <c r="B339" s="4">
        <v>52733</v>
      </c>
      <c r="C339" s="5">
        <v>5740</v>
      </c>
      <c r="D339" s="1" t="s">
        <v>973</v>
      </c>
      <c r="E339" s="1" t="s">
        <v>1068</v>
      </c>
      <c r="F339" s="1" t="s">
        <v>304</v>
      </c>
      <c r="G339" s="1" t="s">
        <v>998</v>
      </c>
      <c r="H339" s="3">
        <v>45901</v>
      </c>
      <c r="I339" s="1" t="s">
        <v>933</v>
      </c>
      <c r="J339" s="1" t="s">
        <v>66</v>
      </c>
      <c r="K339" s="1" t="s">
        <v>996</v>
      </c>
      <c r="L339" s="4">
        <v>1000</v>
      </c>
      <c r="M339" s="3">
        <v>45887</v>
      </c>
      <c r="N339" s="1" t="s">
        <v>57</v>
      </c>
      <c r="O339" s="1" t="s">
        <v>998</v>
      </c>
      <c r="P339" s="1">
        <v>1</v>
      </c>
    </row>
    <row r="340" spans="1:16" x14ac:dyDescent="0.25">
      <c r="A340" s="3">
        <v>45886</v>
      </c>
      <c r="B340" s="4">
        <v>52774</v>
      </c>
      <c r="C340" s="5">
        <v>5700</v>
      </c>
      <c r="D340" s="1" t="s">
        <v>973</v>
      </c>
      <c r="E340" s="1" t="s">
        <v>1068</v>
      </c>
      <c r="F340" s="1" t="s">
        <v>304</v>
      </c>
      <c r="G340" s="1" t="s">
        <v>998</v>
      </c>
      <c r="H340" s="3">
        <v>45901</v>
      </c>
      <c r="I340" s="1" t="s">
        <v>933</v>
      </c>
      <c r="J340" s="1" t="s">
        <v>66</v>
      </c>
      <c r="K340" s="1" t="s">
        <v>996</v>
      </c>
      <c r="L340" s="4">
        <v>1000</v>
      </c>
      <c r="M340" s="3">
        <v>45887</v>
      </c>
      <c r="N340" s="1" t="s">
        <v>57</v>
      </c>
      <c r="O340" s="1" t="s">
        <v>998</v>
      </c>
      <c r="P340" s="1">
        <v>1</v>
      </c>
    </row>
    <row r="341" spans="1:16" x14ac:dyDescent="0.25">
      <c r="A341" s="3">
        <v>45887</v>
      </c>
      <c r="B341" s="4">
        <v>2271</v>
      </c>
      <c r="C341" s="5">
        <v>69.5</v>
      </c>
      <c r="D341" s="1" t="s">
        <v>938</v>
      </c>
      <c r="E341" s="1" t="s">
        <v>939</v>
      </c>
      <c r="F341" s="1" t="s">
        <v>66</v>
      </c>
      <c r="G341" s="1" t="s">
        <v>940</v>
      </c>
      <c r="H341" s="1" t="s">
        <v>941</v>
      </c>
      <c r="I341" s="1" t="s">
        <v>933</v>
      </c>
      <c r="J341" s="1" t="s">
        <v>66</v>
      </c>
      <c r="K341" s="1" t="s">
        <v>66</v>
      </c>
      <c r="L341" s="1" t="s">
        <v>1470</v>
      </c>
      <c r="M341" s="3">
        <v>45885</v>
      </c>
      <c r="N341" s="1" t="s">
        <v>821</v>
      </c>
      <c r="O341" s="1" t="s">
        <v>936</v>
      </c>
      <c r="P341" s="1">
        <v>1</v>
      </c>
    </row>
    <row r="342" spans="1:16" x14ac:dyDescent="0.25">
      <c r="A342" s="3">
        <v>45887</v>
      </c>
      <c r="B342" s="1">
        <v>70</v>
      </c>
      <c r="C342" s="5">
        <v>160</v>
      </c>
      <c r="D342" s="1" t="s">
        <v>1471</v>
      </c>
      <c r="E342" s="1" t="s">
        <v>1472</v>
      </c>
      <c r="F342" s="1" t="s">
        <v>966</v>
      </c>
      <c r="G342" s="1" t="s">
        <v>940</v>
      </c>
      <c r="H342" s="3">
        <v>45903</v>
      </c>
      <c r="I342" s="1" t="s">
        <v>933</v>
      </c>
      <c r="J342" s="1" t="s">
        <v>951</v>
      </c>
      <c r="K342" s="1" t="s">
        <v>66</v>
      </c>
      <c r="L342" s="1" t="s">
        <v>1473</v>
      </c>
      <c r="M342" s="3">
        <v>45887</v>
      </c>
      <c r="N342" s="1" t="s">
        <v>821</v>
      </c>
      <c r="O342" s="1" t="s">
        <v>936</v>
      </c>
      <c r="P342" s="1">
        <v>1</v>
      </c>
    </row>
    <row r="343" spans="1:16" x14ac:dyDescent="0.25">
      <c r="A343" s="3">
        <v>45887</v>
      </c>
      <c r="B343" s="4">
        <v>1523</v>
      </c>
      <c r="C343" s="5">
        <v>2200</v>
      </c>
      <c r="D343" s="1" t="s">
        <v>1080</v>
      </c>
      <c r="E343" s="1" t="s">
        <v>1081</v>
      </c>
      <c r="F343" s="1" t="s">
        <v>949</v>
      </c>
      <c r="G343" s="1" t="s">
        <v>940</v>
      </c>
      <c r="H343" s="1" t="s">
        <v>1474</v>
      </c>
      <c r="I343" s="1" t="s">
        <v>933</v>
      </c>
      <c r="J343" s="1" t="s">
        <v>951</v>
      </c>
      <c r="K343" s="1" t="s">
        <v>66</v>
      </c>
      <c r="L343" s="1" t="s">
        <v>1475</v>
      </c>
      <c r="M343" s="3">
        <v>45887</v>
      </c>
      <c r="N343" s="1" t="s">
        <v>821</v>
      </c>
      <c r="O343" s="1" t="s">
        <v>936</v>
      </c>
      <c r="P343" s="1">
        <v>1</v>
      </c>
    </row>
    <row r="344" spans="1:16" x14ac:dyDescent="0.25">
      <c r="A344" s="3">
        <v>45887</v>
      </c>
      <c r="B344" s="4">
        <v>52776</v>
      </c>
      <c r="C344" s="5">
        <v>2820</v>
      </c>
      <c r="D344" s="1" t="s">
        <v>973</v>
      </c>
      <c r="E344" s="1" t="s">
        <v>1068</v>
      </c>
      <c r="F344" s="1" t="s">
        <v>955</v>
      </c>
      <c r="G344" s="1" t="s">
        <v>950</v>
      </c>
      <c r="H344" s="3">
        <v>45901</v>
      </c>
      <c r="I344" s="1" t="s">
        <v>933</v>
      </c>
      <c r="J344" s="1" t="s">
        <v>951</v>
      </c>
      <c r="K344" s="1" t="s">
        <v>996</v>
      </c>
      <c r="L344" s="1" t="s">
        <v>1476</v>
      </c>
      <c r="M344" s="3">
        <v>45887</v>
      </c>
      <c r="N344" s="1" t="s">
        <v>821</v>
      </c>
      <c r="O344" s="1" t="s">
        <v>998</v>
      </c>
      <c r="P344" s="1">
        <v>1</v>
      </c>
    </row>
    <row r="345" spans="1:16" x14ac:dyDescent="0.25">
      <c r="A345" s="3">
        <v>45888</v>
      </c>
      <c r="B345" s="4">
        <v>93285</v>
      </c>
      <c r="C345" s="5">
        <v>22760</v>
      </c>
      <c r="D345" s="1" t="s">
        <v>1094</v>
      </c>
      <c r="E345" s="1" t="s">
        <v>1095</v>
      </c>
      <c r="F345" s="1" t="s">
        <v>304</v>
      </c>
      <c r="G345" s="1" t="s">
        <v>998</v>
      </c>
      <c r="H345" s="3">
        <v>45918</v>
      </c>
      <c r="I345" s="1" t="s">
        <v>933</v>
      </c>
      <c r="J345" s="1" t="s">
        <v>66</v>
      </c>
      <c r="K345" s="1" t="s">
        <v>66</v>
      </c>
      <c r="L345" s="1">
        <v>4000</v>
      </c>
      <c r="M345" s="3">
        <v>45888</v>
      </c>
      <c r="N345" s="1" t="s">
        <v>57</v>
      </c>
      <c r="O345" s="1" t="s">
        <v>998</v>
      </c>
      <c r="P345" s="1">
        <v>1</v>
      </c>
    </row>
    <row r="346" spans="1:16" x14ac:dyDescent="0.25">
      <c r="A346" s="3">
        <v>45888</v>
      </c>
      <c r="B346" s="4">
        <v>22362</v>
      </c>
      <c r="C346" s="5">
        <v>403</v>
      </c>
      <c r="D346" s="1" t="s">
        <v>1319</v>
      </c>
      <c r="E346" s="1" t="s">
        <v>1320</v>
      </c>
      <c r="F346" s="1" t="s">
        <v>955</v>
      </c>
      <c r="G346" s="1" t="s">
        <v>990</v>
      </c>
      <c r="H346" s="3">
        <v>45902</v>
      </c>
      <c r="I346" s="1" t="s">
        <v>933</v>
      </c>
      <c r="J346" s="1" t="s">
        <v>951</v>
      </c>
      <c r="K346" s="1" t="s">
        <v>20</v>
      </c>
      <c r="L346" s="1" t="s">
        <v>1477</v>
      </c>
      <c r="M346" s="3">
        <v>45888</v>
      </c>
      <c r="N346" s="1" t="s">
        <v>821</v>
      </c>
      <c r="O346" s="1" t="s">
        <v>936</v>
      </c>
      <c r="P346" s="1">
        <v>1</v>
      </c>
    </row>
    <row r="347" spans="1:16" x14ac:dyDescent="0.25">
      <c r="A347" s="3">
        <v>45888</v>
      </c>
      <c r="B347" s="1">
        <v>71</v>
      </c>
      <c r="C347" s="5">
        <v>705</v>
      </c>
      <c r="D347" s="1" t="s">
        <v>1478</v>
      </c>
      <c r="E347" s="1" t="s">
        <v>1230</v>
      </c>
      <c r="F347" s="1" t="s">
        <v>955</v>
      </c>
      <c r="G347" s="1" t="s">
        <v>940</v>
      </c>
      <c r="H347" s="3">
        <v>45904</v>
      </c>
      <c r="I347" s="1" t="s">
        <v>933</v>
      </c>
      <c r="J347" s="1" t="s">
        <v>951</v>
      </c>
      <c r="K347" s="1" t="s">
        <v>66</v>
      </c>
      <c r="L347" s="1" t="s">
        <v>1479</v>
      </c>
      <c r="M347" s="3">
        <v>45888</v>
      </c>
      <c r="N347" s="1" t="s">
        <v>821</v>
      </c>
      <c r="O347" s="1" t="s">
        <v>1480</v>
      </c>
      <c r="P347" s="1">
        <v>1</v>
      </c>
    </row>
    <row r="348" spans="1:16" x14ac:dyDescent="0.25">
      <c r="A348" s="3">
        <v>45888</v>
      </c>
      <c r="B348" s="1">
        <v>72</v>
      </c>
      <c r="C348" s="5">
        <v>1600</v>
      </c>
      <c r="D348" s="1" t="s">
        <v>1478</v>
      </c>
      <c r="E348" s="1" t="s">
        <v>1230</v>
      </c>
      <c r="F348" s="1" t="s">
        <v>955</v>
      </c>
      <c r="G348" s="1" t="s">
        <v>940</v>
      </c>
      <c r="H348" s="3">
        <v>45904</v>
      </c>
      <c r="I348" s="1" t="s">
        <v>933</v>
      </c>
      <c r="J348" s="1" t="s">
        <v>951</v>
      </c>
      <c r="K348" s="1" t="s">
        <v>66</v>
      </c>
      <c r="L348" s="1" t="s">
        <v>1481</v>
      </c>
      <c r="M348" s="3">
        <v>45888</v>
      </c>
      <c r="N348" s="1" t="s">
        <v>821</v>
      </c>
      <c r="O348" s="1" t="s">
        <v>1480</v>
      </c>
      <c r="P348" s="1">
        <v>1</v>
      </c>
    </row>
    <row r="349" spans="1:16" x14ac:dyDescent="0.25">
      <c r="A349" s="3">
        <v>45888</v>
      </c>
      <c r="B349" s="1">
        <v>73</v>
      </c>
      <c r="C349" s="5">
        <v>50</v>
      </c>
      <c r="D349" s="1" t="s">
        <v>1478</v>
      </c>
      <c r="E349" s="1" t="s">
        <v>1230</v>
      </c>
      <c r="F349" s="1" t="s">
        <v>955</v>
      </c>
      <c r="G349" s="1" t="s">
        <v>940</v>
      </c>
      <c r="H349" s="3">
        <v>45904</v>
      </c>
      <c r="I349" s="1" t="s">
        <v>933</v>
      </c>
      <c r="J349" s="1" t="s">
        <v>951</v>
      </c>
      <c r="K349" s="1" t="s">
        <v>66</v>
      </c>
      <c r="L349" s="1" t="s">
        <v>1482</v>
      </c>
      <c r="M349" s="3">
        <v>45888</v>
      </c>
      <c r="N349" s="1" t="s">
        <v>821</v>
      </c>
      <c r="O349" s="1" t="s">
        <v>1480</v>
      </c>
      <c r="P349" s="1">
        <v>1</v>
      </c>
    </row>
    <row r="350" spans="1:16" x14ac:dyDescent="0.25">
      <c r="A350" s="3">
        <v>45888</v>
      </c>
      <c r="B350" s="1">
        <v>74</v>
      </c>
      <c r="C350" s="5">
        <v>800</v>
      </c>
      <c r="D350" s="1" t="s">
        <v>1478</v>
      </c>
      <c r="E350" s="1" t="s">
        <v>1230</v>
      </c>
      <c r="F350" s="1" t="s">
        <v>955</v>
      </c>
      <c r="G350" s="1" t="s">
        <v>940</v>
      </c>
      <c r="H350" s="3">
        <v>45904</v>
      </c>
      <c r="I350" s="1" t="s">
        <v>933</v>
      </c>
      <c r="J350" s="1" t="s">
        <v>951</v>
      </c>
      <c r="K350" s="1" t="s">
        <v>66</v>
      </c>
      <c r="L350" s="1" t="s">
        <v>1483</v>
      </c>
      <c r="M350" s="3">
        <v>45888</v>
      </c>
      <c r="N350" s="1" t="s">
        <v>821</v>
      </c>
      <c r="O350" s="1" t="s">
        <v>1480</v>
      </c>
      <c r="P350" s="1">
        <v>1</v>
      </c>
    </row>
    <row r="351" spans="1:16" x14ac:dyDescent="0.25">
      <c r="A351" s="3">
        <v>45888</v>
      </c>
      <c r="B351" s="1">
        <v>33</v>
      </c>
      <c r="C351" s="5">
        <v>690</v>
      </c>
      <c r="D351" s="1" t="s">
        <v>1370</v>
      </c>
      <c r="E351" s="1" t="s">
        <v>1371</v>
      </c>
      <c r="F351" s="1" t="s">
        <v>451</v>
      </c>
      <c r="G351" s="1" t="s">
        <v>940</v>
      </c>
      <c r="H351" s="1" t="s">
        <v>941</v>
      </c>
      <c r="I351" s="1" t="s">
        <v>1484</v>
      </c>
      <c r="J351" s="1" t="s">
        <v>66</v>
      </c>
      <c r="K351" s="1" t="s">
        <v>100</v>
      </c>
      <c r="L351" s="1" t="s">
        <v>1485</v>
      </c>
      <c r="M351" s="3">
        <v>45896</v>
      </c>
      <c r="N351" s="1" t="s">
        <v>212</v>
      </c>
      <c r="O351" s="1" t="s">
        <v>936</v>
      </c>
      <c r="P351" s="1" t="s">
        <v>937</v>
      </c>
    </row>
    <row r="352" spans="1:16" x14ac:dyDescent="0.25">
      <c r="A352" s="3">
        <v>45888</v>
      </c>
      <c r="B352" s="1">
        <v>34</v>
      </c>
      <c r="C352" s="5">
        <v>850</v>
      </c>
      <c r="D352" s="1" t="s">
        <v>1370</v>
      </c>
      <c r="E352" s="1" t="s">
        <v>1371</v>
      </c>
      <c r="F352" s="1" t="s">
        <v>844</v>
      </c>
      <c r="G352" s="1" t="s">
        <v>940</v>
      </c>
      <c r="H352" s="1" t="s">
        <v>941</v>
      </c>
      <c r="I352" s="1" t="s">
        <v>836</v>
      </c>
      <c r="J352" s="1" t="s">
        <v>66</v>
      </c>
      <c r="K352" s="1" t="s">
        <v>340</v>
      </c>
      <c r="L352" s="1" t="s">
        <v>1486</v>
      </c>
      <c r="M352" s="3">
        <v>45896</v>
      </c>
      <c r="N352" s="1" t="s">
        <v>836</v>
      </c>
      <c r="O352" s="1" t="s">
        <v>936</v>
      </c>
      <c r="P352" s="1" t="s">
        <v>937</v>
      </c>
    </row>
    <row r="353" spans="1:16" x14ac:dyDescent="0.25">
      <c r="A353" s="3">
        <v>45889</v>
      </c>
      <c r="B353" s="4">
        <v>70369</v>
      </c>
      <c r="C353" s="5">
        <v>1262</v>
      </c>
      <c r="D353" s="1" t="s">
        <v>1253</v>
      </c>
      <c r="E353" s="1" t="s">
        <v>1487</v>
      </c>
      <c r="F353" s="1" t="s">
        <v>867</v>
      </c>
      <c r="G353" s="1" t="s">
        <v>940</v>
      </c>
      <c r="H353" s="3">
        <v>45919</v>
      </c>
      <c r="I353" s="1" t="s">
        <v>933</v>
      </c>
      <c r="J353" s="1" t="s">
        <v>66</v>
      </c>
      <c r="K353" s="1" t="s">
        <v>340</v>
      </c>
      <c r="L353" s="1" t="s">
        <v>1488</v>
      </c>
      <c r="M353" s="3">
        <v>45891</v>
      </c>
      <c r="N353" s="1" t="s">
        <v>57</v>
      </c>
      <c r="O353" s="1" t="s">
        <v>936</v>
      </c>
      <c r="P353" s="1">
        <v>1</v>
      </c>
    </row>
    <row r="354" spans="1:16" x14ac:dyDescent="0.25">
      <c r="A354" s="3">
        <v>45889</v>
      </c>
      <c r="B354" s="4">
        <v>2608</v>
      </c>
      <c r="C354" s="5">
        <v>6220</v>
      </c>
      <c r="D354" s="1" t="s">
        <v>1285</v>
      </c>
      <c r="E354" s="1" t="s">
        <v>1286</v>
      </c>
      <c r="F354" s="1" t="s">
        <v>955</v>
      </c>
      <c r="G354" s="1" t="s">
        <v>932</v>
      </c>
      <c r="H354" s="3">
        <v>45909</v>
      </c>
      <c r="I354" s="1" t="s">
        <v>933</v>
      </c>
      <c r="J354" s="1" t="s">
        <v>951</v>
      </c>
      <c r="K354" s="1" t="s">
        <v>20</v>
      </c>
      <c r="L354" s="1" t="e" cm="1">
        <f t="array" ref="L354">- PLATAFORMA SKY JACK ( REFORMA COBERTURA BARRACOES )</f>
        <v>#NAME?</v>
      </c>
      <c r="M354" s="3">
        <v>45891</v>
      </c>
      <c r="N354" s="1" t="s">
        <v>821</v>
      </c>
      <c r="O354" s="1" t="s">
        <v>932</v>
      </c>
      <c r="P354" s="1">
        <v>1</v>
      </c>
    </row>
    <row r="355" spans="1:16" x14ac:dyDescent="0.25">
      <c r="A355" s="3">
        <v>45889</v>
      </c>
      <c r="B355" s="4">
        <v>44459</v>
      </c>
      <c r="C355" s="5">
        <v>2704</v>
      </c>
      <c r="D355" s="1" t="s">
        <v>1489</v>
      </c>
      <c r="E355" s="1" t="s">
        <v>1490</v>
      </c>
      <c r="F355" s="1" t="s">
        <v>304</v>
      </c>
      <c r="G355" s="1" t="s">
        <v>940</v>
      </c>
      <c r="H355" s="3">
        <v>45919</v>
      </c>
      <c r="I355" s="1" t="s">
        <v>933</v>
      </c>
      <c r="J355" s="1" t="s">
        <v>66</v>
      </c>
      <c r="K355" s="1" t="s">
        <v>996</v>
      </c>
      <c r="L355" s="1" t="s">
        <v>1491</v>
      </c>
      <c r="M355" s="3">
        <v>45891</v>
      </c>
      <c r="N355" s="1" t="s">
        <v>57</v>
      </c>
      <c r="O355" s="1" t="s">
        <v>936</v>
      </c>
      <c r="P355" s="1">
        <v>1</v>
      </c>
    </row>
    <row r="356" spans="1:16" x14ac:dyDescent="0.25">
      <c r="A356" s="3">
        <v>45889</v>
      </c>
      <c r="B356" s="4">
        <v>146537</v>
      </c>
      <c r="C356" s="5">
        <v>1981.3</v>
      </c>
      <c r="D356" s="1" t="s">
        <v>1492</v>
      </c>
      <c r="E356" s="1" t="s">
        <v>1493</v>
      </c>
      <c r="F356" s="1" t="s">
        <v>430</v>
      </c>
      <c r="G356" s="1" t="s">
        <v>1260</v>
      </c>
      <c r="H356" s="3">
        <v>45919</v>
      </c>
      <c r="I356" s="1" t="s">
        <v>933</v>
      </c>
      <c r="J356" s="1" t="s">
        <v>66</v>
      </c>
      <c r="K356" s="1" t="s">
        <v>100</v>
      </c>
      <c r="L356" s="1" t="s">
        <v>1494</v>
      </c>
      <c r="M356" s="3">
        <v>45891</v>
      </c>
      <c r="N356" s="1" t="s">
        <v>57</v>
      </c>
      <c r="O356" s="1" t="s">
        <v>936</v>
      </c>
      <c r="P356" s="1">
        <v>1</v>
      </c>
    </row>
    <row r="357" spans="1:16" x14ac:dyDescent="0.25">
      <c r="A357" s="3">
        <v>45890</v>
      </c>
      <c r="B357" s="1">
        <v>26</v>
      </c>
      <c r="C357" s="5">
        <v>570</v>
      </c>
      <c r="D357" s="1" t="s">
        <v>1495</v>
      </c>
      <c r="E357" s="1" t="s">
        <v>1365</v>
      </c>
      <c r="F357" s="1" t="s">
        <v>955</v>
      </c>
      <c r="G357" s="1" t="s">
        <v>1058</v>
      </c>
      <c r="H357" s="3">
        <v>45906</v>
      </c>
      <c r="I357" s="1" t="s">
        <v>933</v>
      </c>
      <c r="J357" s="1" t="s">
        <v>951</v>
      </c>
      <c r="K357" s="1" t="s">
        <v>934</v>
      </c>
      <c r="L357" s="1" t="s">
        <v>1496</v>
      </c>
      <c r="M357" s="3">
        <v>45891</v>
      </c>
      <c r="N357" s="1" t="s">
        <v>821</v>
      </c>
      <c r="O357" s="1" t="s">
        <v>1497</v>
      </c>
      <c r="P357" s="1" t="s">
        <v>937</v>
      </c>
    </row>
    <row r="358" spans="1:16" x14ac:dyDescent="0.25">
      <c r="A358" s="3">
        <v>45890</v>
      </c>
      <c r="B358" s="4">
        <v>1468</v>
      </c>
      <c r="C358" s="5">
        <v>14539</v>
      </c>
      <c r="D358" s="1" t="s">
        <v>1498</v>
      </c>
      <c r="E358" s="1" t="s">
        <v>1499</v>
      </c>
      <c r="F358" s="1" t="s">
        <v>955</v>
      </c>
      <c r="G358" s="1" t="s">
        <v>1500</v>
      </c>
      <c r="H358" s="3">
        <v>45813</v>
      </c>
      <c r="I358" s="1" t="s">
        <v>933</v>
      </c>
      <c r="J358" s="1" t="s">
        <v>951</v>
      </c>
      <c r="K358" s="1" t="s">
        <v>340</v>
      </c>
      <c r="L358" s="1" t="s">
        <v>1501</v>
      </c>
      <c r="M358" s="3">
        <v>45891</v>
      </c>
      <c r="N358" s="1" t="s">
        <v>821</v>
      </c>
      <c r="O358" s="1" t="s">
        <v>936</v>
      </c>
      <c r="P358" s="1">
        <v>1</v>
      </c>
    </row>
    <row r="359" spans="1:16" x14ac:dyDescent="0.25">
      <c r="A359" s="3">
        <v>45890</v>
      </c>
      <c r="B359" s="1">
        <v>28</v>
      </c>
      <c r="C359" s="5">
        <v>250</v>
      </c>
      <c r="D359" s="1" t="s">
        <v>1197</v>
      </c>
      <c r="E359" s="1" t="s">
        <v>1198</v>
      </c>
      <c r="F359" s="1" t="s">
        <v>650</v>
      </c>
      <c r="G359" s="1" t="s">
        <v>940</v>
      </c>
      <c r="H359" s="3">
        <v>45814</v>
      </c>
      <c r="I359" s="1" t="s">
        <v>933</v>
      </c>
      <c r="J359" s="1" t="s">
        <v>66</v>
      </c>
      <c r="K359" s="1" t="s">
        <v>340</v>
      </c>
      <c r="L359" s="1" t="s">
        <v>1502</v>
      </c>
      <c r="M359" s="3">
        <v>45891</v>
      </c>
      <c r="N359" s="1" t="s">
        <v>57</v>
      </c>
      <c r="O359" s="1" t="s">
        <v>936</v>
      </c>
      <c r="P359" s="1">
        <v>1</v>
      </c>
    </row>
    <row r="360" spans="1:16" x14ac:dyDescent="0.25">
      <c r="A360" s="3">
        <v>45890</v>
      </c>
      <c r="B360" s="4">
        <v>53096</v>
      </c>
      <c r="C360" s="5">
        <v>3090</v>
      </c>
      <c r="D360" s="1" t="s">
        <v>973</v>
      </c>
      <c r="E360" s="1" t="s">
        <v>1068</v>
      </c>
      <c r="F360" s="1" t="s">
        <v>955</v>
      </c>
      <c r="G360" s="1" t="s">
        <v>998</v>
      </c>
      <c r="H360" s="3">
        <v>45906</v>
      </c>
      <c r="I360" s="1" t="s">
        <v>933</v>
      </c>
      <c r="J360" s="1" t="s">
        <v>951</v>
      </c>
      <c r="K360" s="1" t="s">
        <v>996</v>
      </c>
      <c r="L360" s="1" t="s">
        <v>1503</v>
      </c>
      <c r="M360" s="3">
        <v>45891</v>
      </c>
      <c r="N360" s="1" t="s">
        <v>821</v>
      </c>
      <c r="O360" s="1" t="s">
        <v>998</v>
      </c>
      <c r="P360" s="1">
        <v>1</v>
      </c>
    </row>
    <row r="361" spans="1:16" x14ac:dyDescent="0.25">
      <c r="A361" s="3">
        <v>45891</v>
      </c>
      <c r="B361" s="4">
        <v>49944</v>
      </c>
      <c r="C361" s="5">
        <v>7660.15</v>
      </c>
      <c r="D361" s="1" t="s">
        <v>1504</v>
      </c>
      <c r="E361" s="1" t="s">
        <v>1505</v>
      </c>
      <c r="F361" s="1" t="s">
        <v>594</v>
      </c>
      <c r="G361" s="1" t="s">
        <v>940</v>
      </c>
      <c r="H361" s="3">
        <v>45920</v>
      </c>
      <c r="I361" s="1" t="s">
        <v>933</v>
      </c>
      <c r="J361" s="1" t="s">
        <v>66</v>
      </c>
      <c r="K361" s="1" t="s">
        <v>340</v>
      </c>
      <c r="L361" s="1" t="s">
        <v>1506</v>
      </c>
      <c r="M361" s="3">
        <v>45892</v>
      </c>
      <c r="N361" s="1" t="s">
        <v>57</v>
      </c>
      <c r="O361" s="1" t="s">
        <v>936</v>
      </c>
      <c r="P361" s="1">
        <v>1</v>
      </c>
    </row>
    <row r="362" spans="1:16" x14ac:dyDescent="0.25">
      <c r="A362" s="3">
        <v>45891</v>
      </c>
      <c r="B362" s="1">
        <v>5</v>
      </c>
      <c r="C362" s="5">
        <v>24500</v>
      </c>
      <c r="D362" s="1" t="s">
        <v>1262</v>
      </c>
      <c r="E362" s="1" t="s">
        <v>1507</v>
      </c>
      <c r="F362" s="1" t="s">
        <v>955</v>
      </c>
      <c r="G362" s="1" t="s">
        <v>940</v>
      </c>
      <c r="H362" s="3">
        <v>45909</v>
      </c>
      <c r="I362" s="1" t="s">
        <v>933</v>
      </c>
      <c r="J362" s="1" t="s">
        <v>951</v>
      </c>
      <c r="K362" s="1" t="s">
        <v>20</v>
      </c>
      <c r="L362" s="1" t="s">
        <v>1508</v>
      </c>
      <c r="M362" s="3">
        <v>45894</v>
      </c>
      <c r="N362" s="1" t="s">
        <v>821</v>
      </c>
      <c r="O362" s="1" t="s">
        <v>936</v>
      </c>
      <c r="P362" s="1" t="s">
        <v>937</v>
      </c>
    </row>
    <row r="363" spans="1:16" x14ac:dyDescent="0.25">
      <c r="A363" s="3">
        <v>45892</v>
      </c>
      <c r="B363" s="4">
        <v>1656</v>
      </c>
      <c r="C363" s="5">
        <v>73</v>
      </c>
      <c r="D363" s="1" t="s">
        <v>953</v>
      </c>
      <c r="E363" s="1" t="s">
        <v>958</v>
      </c>
      <c r="F363" s="1" t="s">
        <v>955</v>
      </c>
      <c r="G363" s="1" t="s">
        <v>1058</v>
      </c>
      <c r="H363" s="1" t="s">
        <v>941</v>
      </c>
      <c r="I363" s="1" t="s">
        <v>933</v>
      </c>
      <c r="J363" s="1" t="s">
        <v>951</v>
      </c>
      <c r="K363" s="1" t="s">
        <v>66</v>
      </c>
      <c r="L363" s="1" t="s">
        <v>1509</v>
      </c>
      <c r="M363" s="3">
        <v>45892</v>
      </c>
      <c r="N363" s="1" t="s">
        <v>821</v>
      </c>
      <c r="O363" s="1" t="s">
        <v>936</v>
      </c>
      <c r="P363" s="1">
        <v>1</v>
      </c>
    </row>
    <row r="364" spans="1:16" x14ac:dyDescent="0.25">
      <c r="A364" s="3">
        <v>45892</v>
      </c>
      <c r="B364" s="4">
        <v>1655</v>
      </c>
      <c r="C364" s="5">
        <v>46</v>
      </c>
      <c r="D364" s="1" t="s">
        <v>953</v>
      </c>
      <c r="E364" s="1" t="s">
        <v>958</v>
      </c>
      <c r="F364" s="1" t="s">
        <v>966</v>
      </c>
      <c r="G364" s="1" t="s">
        <v>950</v>
      </c>
      <c r="H364" s="1" t="s">
        <v>941</v>
      </c>
      <c r="I364" s="1" t="s">
        <v>933</v>
      </c>
      <c r="J364" s="1" t="s">
        <v>951</v>
      </c>
      <c r="K364" s="1" t="s">
        <v>66</v>
      </c>
      <c r="L364" s="1" t="s">
        <v>1510</v>
      </c>
      <c r="M364" s="3">
        <v>45892</v>
      </c>
      <c r="N364" s="1" t="s">
        <v>821</v>
      </c>
      <c r="O364" s="1" t="s">
        <v>936</v>
      </c>
      <c r="P364" s="1">
        <v>1</v>
      </c>
    </row>
    <row r="365" spans="1:16" x14ac:dyDescent="0.25">
      <c r="A365" s="3">
        <v>45894</v>
      </c>
      <c r="B365" s="1">
        <v>131</v>
      </c>
      <c r="C365" s="5">
        <v>2090</v>
      </c>
      <c r="D365" s="1" t="s">
        <v>1511</v>
      </c>
      <c r="E365" s="1" t="s">
        <v>1512</v>
      </c>
      <c r="F365" s="1" t="s">
        <v>955</v>
      </c>
      <c r="G365" s="1" t="s">
        <v>932</v>
      </c>
      <c r="H365" s="3">
        <v>45901</v>
      </c>
      <c r="I365" s="1" t="s">
        <v>933</v>
      </c>
      <c r="J365" s="1" t="s">
        <v>951</v>
      </c>
      <c r="K365" s="1" t="s">
        <v>340</v>
      </c>
      <c r="L365" s="1" t="s">
        <v>1513</v>
      </c>
      <c r="M365" s="3">
        <v>45894</v>
      </c>
      <c r="N365" s="1" t="s">
        <v>821</v>
      </c>
      <c r="O365" s="1" t="s">
        <v>1514</v>
      </c>
      <c r="P365" s="1">
        <v>1</v>
      </c>
    </row>
    <row r="366" spans="1:16" x14ac:dyDescent="0.25">
      <c r="A366" s="3">
        <v>45894</v>
      </c>
      <c r="B366" s="4">
        <v>35488</v>
      </c>
      <c r="C366" s="5">
        <v>699</v>
      </c>
      <c r="D366" s="1" t="s">
        <v>1515</v>
      </c>
      <c r="E366" s="1" t="s">
        <v>1516</v>
      </c>
      <c r="F366" s="1" t="s">
        <v>966</v>
      </c>
      <c r="G366" s="1" t="s">
        <v>950</v>
      </c>
      <c r="H366" s="1" t="s">
        <v>941</v>
      </c>
      <c r="I366" s="1" t="s">
        <v>933</v>
      </c>
      <c r="J366" s="1" t="s">
        <v>951</v>
      </c>
      <c r="K366" s="1" t="s">
        <v>934</v>
      </c>
      <c r="L366" s="1" t="s">
        <v>1517</v>
      </c>
      <c r="M366" s="3">
        <v>45894</v>
      </c>
      <c r="N366" s="1" t="s">
        <v>821</v>
      </c>
      <c r="O366" s="1" t="s">
        <v>936</v>
      </c>
      <c r="P366" s="1" t="s">
        <v>937</v>
      </c>
    </row>
    <row r="367" spans="1:16" x14ac:dyDescent="0.25">
      <c r="A367" s="3">
        <v>45894</v>
      </c>
      <c r="B367" s="1">
        <v>29</v>
      </c>
      <c r="C367" s="5">
        <v>2100</v>
      </c>
      <c r="D367" s="1" t="s">
        <v>1518</v>
      </c>
      <c r="E367" s="1" t="s">
        <v>1519</v>
      </c>
      <c r="F367" s="1" t="s">
        <v>713</v>
      </c>
      <c r="G367" s="1" t="s">
        <v>940</v>
      </c>
      <c r="H367" s="3">
        <v>45909</v>
      </c>
      <c r="I367" s="1" t="s">
        <v>933</v>
      </c>
      <c r="J367" s="1" t="s">
        <v>66</v>
      </c>
      <c r="K367" s="1" t="s">
        <v>340</v>
      </c>
      <c r="L367" s="1" t="s">
        <v>1520</v>
      </c>
      <c r="M367" s="3">
        <v>45894</v>
      </c>
      <c r="N367" s="1" t="s">
        <v>712</v>
      </c>
      <c r="O367" s="1" t="s">
        <v>936</v>
      </c>
      <c r="P367" s="1">
        <v>1</v>
      </c>
    </row>
    <row r="368" spans="1:16" x14ac:dyDescent="0.25">
      <c r="A368" s="3">
        <v>45894</v>
      </c>
      <c r="B368" s="4">
        <v>1077</v>
      </c>
      <c r="C368" s="5">
        <v>7000</v>
      </c>
      <c r="D368" s="1" t="s">
        <v>1521</v>
      </c>
      <c r="E368" s="1" t="s">
        <v>1522</v>
      </c>
      <c r="F368" s="1" t="s">
        <v>955</v>
      </c>
      <c r="G368" s="1" t="s">
        <v>932</v>
      </c>
      <c r="H368" s="3">
        <v>45909</v>
      </c>
      <c r="I368" s="1" t="s">
        <v>933</v>
      </c>
      <c r="J368" s="1" t="s">
        <v>951</v>
      </c>
      <c r="K368" s="1" t="s">
        <v>20</v>
      </c>
      <c r="L368" s="1" t="s">
        <v>1523</v>
      </c>
      <c r="M368" s="3">
        <v>45894</v>
      </c>
      <c r="N368" s="1" t="s">
        <v>821</v>
      </c>
      <c r="O368" s="1" t="s">
        <v>937</v>
      </c>
      <c r="P368" s="1">
        <v>1</v>
      </c>
    </row>
    <row r="369" spans="1:16" x14ac:dyDescent="0.25">
      <c r="A369" s="3">
        <v>45894</v>
      </c>
      <c r="B369" s="1">
        <v>79</v>
      </c>
      <c r="C369" s="5">
        <v>705</v>
      </c>
      <c r="D369" s="1" t="s">
        <v>1229</v>
      </c>
      <c r="E369" s="1" t="s">
        <v>1230</v>
      </c>
      <c r="F369" s="1" t="s">
        <v>99</v>
      </c>
      <c r="G369" s="1" t="s">
        <v>940</v>
      </c>
      <c r="H369" s="3">
        <v>45910</v>
      </c>
      <c r="I369" s="1" t="s">
        <v>933</v>
      </c>
      <c r="J369" s="1" t="s">
        <v>66</v>
      </c>
      <c r="K369" s="1" t="s">
        <v>100</v>
      </c>
      <c r="L369" s="1" t="s">
        <v>1524</v>
      </c>
      <c r="M369" s="3">
        <v>45896</v>
      </c>
      <c r="N369" s="1" t="s">
        <v>103</v>
      </c>
      <c r="O369" s="1" t="s">
        <v>990</v>
      </c>
      <c r="P369" s="1">
        <v>1</v>
      </c>
    </row>
    <row r="370" spans="1:16" x14ac:dyDescent="0.25">
      <c r="A370" s="3">
        <v>45894</v>
      </c>
      <c r="B370" s="1">
        <v>80</v>
      </c>
      <c r="C370" s="5">
        <v>1600</v>
      </c>
      <c r="D370" s="1" t="s">
        <v>1229</v>
      </c>
      <c r="E370" s="1" t="s">
        <v>1230</v>
      </c>
      <c r="F370" s="1" t="s">
        <v>717</v>
      </c>
      <c r="G370" s="1" t="s">
        <v>940</v>
      </c>
      <c r="H370" s="3">
        <v>45910</v>
      </c>
      <c r="I370" s="1" t="s">
        <v>712</v>
      </c>
      <c r="J370" s="1" t="s">
        <v>66</v>
      </c>
      <c r="K370" s="1" t="s">
        <v>340</v>
      </c>
      <c r="L370" s="1" t="s">
        <v>1525</v>
      </c>
      <c r="M370" s="3">
        <v>45896</v>
      </c>
      <c r="N370" s="1" t="s">
        <v>712</v>
      </c>
      <c r="O370" s="1" t="s">
        <v>990</v>
      </c>
      <c r="P370" s="1">
        <v>1</v>
      </c>
    </row>
    <row r="371" spans="1:16" x14ac:dyDescent="0.25">
      <c r="A371" s="3">
        <v>45894</v>
      </c>
      <c r="B371" s="1">
        <v>81</v>
      </c>
      <c r="C371" s="5">
        <v>50</v>
      </c>
      <c r="D371" s="1" t="s">
        <v>1229</v>
      </c>
      <c r="E371" s="1" t="s">
        <v>1230</v>
      </c>
      <c r="F371" s="1" t="s">
        <v>451</v>
      </c>
      <c r="G371" s="1" t="s">
        <v>940</v>
      </c>
      <c r="H371" s="3">
        <v>45910</v>
      </c>
      <c r="I371" s="1" t="s">
        <v>933</v>
      </c>
      <c r="J371" s="1" t="s">
        <v>66</v>
      </c>
      <c r="K371" s="1" t="s">
        <v>100</v>
      </c>
      <c r="L371" s="1" t="s">
        <v>1526</v>
      </c>
      <c r="M371" s="3">
        <v>45896</v>
      </c>
      <c r="N371" s="1" t="s">
        <v>212</v>
      </c>
      <c r="O371" s="1" t="s">
        <v>990</v>
      </c>
      <c r="P371" s="1">
        <v>1</v>
      </c>
    </row>
    <row r="372" spans="1:16" x14ac:dyDescent="0.25">
      <c r="A372" s="3">
        <v>45894</v>
      </c>
      <c r="B372" s="1">
        <v>82</v>
      </c>
      <c r="C372" s="5">
        <v>800</v>
      </c>
      <c r="D372" s="1" t="s">
        <v>1229</v>
      </c>
      <c r="E372" s="1" t="s">
        <v>1230</v>
      </c>
      <c r="F372" s="1" t="s">
        <v>110</v>
      </c>
      <c r="G372" s="1" t="s">
        <v>940</v>
      </c>
      <c r="H372" s="3">
        <v>45910</v>
      </c>
      <c r="I372" s="1" t="s">
        <v>933</v>
      </c>
      <c r="J372" s="1" t="s">
        <v>66</v>
      </c>
      <c r="K372" s="1" t="s">
        <v>100</v>
      </c>
      <c r="L372" s="1" t="s">
        <v>1527</v>
      </c>
      <c r="M372" s="3">
        <v>45896</v>
      </c>
      <c r="N372" s="1" t="s">
        <v>115</v>
      </c>
      <c r="O372" s="1" t="s">
        <v>990</v>
      </c>
      <c r="P372" s="1">
        <v>1</v>
      </c>
    </row>
    <row r="373" spans="1:16" x14ac:dyDescent="0.25">
      <c r="A373" s="3">
        <v>45894</v>
      </c>
      <c r="B373" s="1">
        <v>196</v>
      </c>
      <c r="C373" s="5">
        <v>450</v>
      </c>
      <c r="D373" s="1" t="s">
        <v>1528</v>
      </c>
      <c r="E373" s="1" t="s">
        <v>1529</v>
      </c>
      <c r="F373" s="1" t="s">
        <v>955</v>
      </c>
      <c r="G373" s="1" t="s">
        <v>940</v>
      </c>
      <c r="H373" s="3">
        <v>45910</v>
      </c>
      <c r="I373" s="1" t="s">
        <v>933</v>
      </c>
      <c r="J373" s="1" t="s">
        <v>951</v>
      </c>
      <c r="K373" s="1" t="s">
        <v>340</v>
      </c>
      <c r="L373" s="1" t="s">
        <v>1530</v>
      </c>
      <c r="M373" s="3">
        <v>45896</v>
      </c>
      <c r="N373" s="1" t="s">
        <v>821</v>
      </c>
      <c r="O373" s="1" t="s">
        <v>936</v>
      </c>
      <c r="P373" s="1" t="s">
        <v>937</v>
      </c>
    </row>
    <row r="374" spans="1:16" x14ac:dyDescent="0.25">
      <c r="A374" s="3">
        <v>45894</v>
      </c>
      <c r="B374" s="4">
        <v>1054</v>
      </c>
      <c r="C374" s="5">
        <v>780</v>
      </c>
      <c r="D374" s="1" t="s">
        <v>1074</v>
      </c>
      <c r="E374" s="1" t="s">
        <v>1075</v>
      </c>
      <c r="F374" s="1" t="s">
        <v>759</v>
      </c>
      <c r="G374" s="1" t="s">
        <v>1058</v>
      </c>
      <c r="H374" s="3">
        <v>45909</v>
      </c>
      <c r="I374" s="1" t="s">
        <v>933</v>
      </c>
      <c r="J374" s="1" t="s">
        <v>66</v>
      </c>
      <c r="K374" s="1" t="s">
        <v>340</v>
      </c>
      <c r="L374" s="1" t="s">
        <v>1366</v>
      </c>
      <c r="M374" s="3">
        <v>45895</v>
      </c>
      <c r="N374" s="1" t="s">
        <v>75</v>
      </c>
      <c r="O374" s="1" t="s">
        <v>936</v>
      </c>
      <c r="P374" s="1">
        <v>2</v>
      </c>
    </row>
    <row r="375" spans="1:16" x14ac:dyDescent="0.25">
      <c r="A375" s="3">
        <v>45894</v>
      </c>
      <c r="B375" s="4">
        <v>1054</v>
      </c>
      <c r="C375" s="5">
        <v>280</v>
      </c>
      <c r="D375" s="1" t="s">
        <v>1074</v>
      </c>
      <c r="E375" s="1" t="s">
        <v>1075</v>
      </c>
      <c r="F375" s="1" t="s">
        <v>717</v>
      </c>
      <c r="G375" s="1" t="s">
        <v>1058</v>
      </c>
      <c r="H375" s="3">
        <v>45909</v>
      </c>
      <c r="I375" s="1" t="s">
        <v>933</v>
      </c>
      <c r="J375" s="1" t="s">
        <v>66</v>
      </c>
      <c r="K375" s="1" t="s">
        <v>340</v>
      </c>
      <c r="L375" s="1" t="s">
        <v>1366</v>
      </c>
      <c r="M375" s="3">
        <v>45895</v>
      </c>
      <c r="N375" s="1" t="s">
        <v>712</v>
      </c>
      <c r="O375" s="1" t="s">
        <v>936</v>
      </c>
      <c r="P375" s="1">
        <v>2</v>
      </c>
    </row>
    <row r="376" spans="1:16" x14ac:dyDescent="0.25">
      <c r="A376" s="3">
        <v>45894</v>
      </c>
      <c r="B376" s="4">
        <v>1054</v>
      </c>
      <c r="C376" s="5">
        <v>280</v>
      </c>
      <c r="D376" s="1" t="s">
        <v>1074</v>
      </c>
      <c r="E376" s="1" t="s">
        <v>1075</v>
      </c>
      <c r="F376" s="1" t="s">
        <v>721</v>
      </c>
      <c r="G376" s="1" t="s">
        <v>1058</v>
      </c>
      <c r="H376" s="3">
        <v>45909</v>
      </c>
      <c r="I376" s="1" t="s">
        <v>933</v>
      </c>
      <c r="J376" s="1" t="s">
        <v>66</v>
      </c>
      <c r="K376" s="1" t="s">
        <v>340</v>
      </c>
      <c r="L376" s="1" t="s">
        <v>1366</v>
      </c>
      <c r="M376" s="3">
        <v>45895</v>
      </c>
      <c r="N376" s="1" t="s">
        <v>712</v>
      </c>
      <c r="O376" s="1" t="s">
        <v>936</v>
      </c>
      <c r="P376" s="1">
        <v>2</v>
      </c>
    </row>
    <row r="377" spans="1:16" x14ac:dyDescent="0.25">
      <c r="A377" s="3">
        <v>45894</v>
      </c>
      <c r="B377" s="4">
        <v>1054</v>
      </c>
      <c r="C377" s="5">
        <v>280</v>
      </c>
      <c r="D377" s="1" t="s">
        <v>1074</v>
      </c>
      <c r="E377" s="1" t="s">
        <v>1075</v>
      </c>
      <c r="F377" s="1" t="s">
        <v>713</v>
      </c>
      <c r="G377" s="1" t="s">
        <v>1058</v>
      </c>
      <c r="H377" s="3">
        <v>45909</v>
      </c>
      <c r="I377" s="1" t="s">
        <v>933</v>
      </c>
      <c r="J377" s="1"/>
      <c r="K377" s="1" t="s">
        <v>340</v>
      </c>
      <c r="L377" s="1" t="s">
        <v>1531</v>
      </c>
      <c r="M377" s="3">
        <v>45896</v>
      </c>
      <c r="N377" s="1"/>
      <c r="O377" s="1"/>
      <c r="P377" s="1"/>
    </row>
    <row r="378" spans="1:16" x14ac:dyDescent="0.25">
      <c r="A378" s="3">
        <v>45894</v>
      </c>
      <c r="B378" s="4">
        <v>1054</v>
      </c>
      <c r="C378" s="5">
        <v>350</v>
      </c>
      <c r="D378" s="1" t="s">
        <v>1074</v>
      </c>
      <c r="E378" s="1" t="s">
        <v>1075</v>
      </c>
      <c r="F378" s="1" t="s">
        <v>955</v>
      </c>
      <c r="G378" s="1" t="s">
        <v>1058</v>
      </c>
      <c r="H378" s="3">
        <v>45909</v>
      </c>
      <c r="I378" s="1" t="s">
        <v>933</v>
      </c>
      <c r="J378" s="1" t="s">
        <v>951</v>
      </c>
      <c r="K378" s="1" t="s">
        <v>340</v>
      </c>
      <c r="L378" s="1" t="s">
        <v>1532</v>
      </c>
      <c r="M378" s="3">
        <v>45895</v>
      </c>
      <c r="N378" s="1" t="s">
        <v>821</v>
      </c>
      <c r="O378" s="1" t="s">
        <v>936</v>
      </c>
      <c r="P378" s="1">
        <v>2</v>
      </c>
    </row>
    <row r="379" spans="1:16" x14ac:dyDescent="0.25">
      <c r="A379" s="3">
        <v>45894</v>
      </c>
      <c r="B379" s="4">
        <v>1054</v>
      </c>
      <c r="C379" s="5">
        <v>280</v>
      </c>
      <c r="D379" s="1" t="s">
        <v>1074</v>
      </c>
      <c r="E379" s="1" t="s">
        <v>1075</v>
      </c>
      <c r="F379" s="1" t="s">
        <v>723</v>
      </c>
      <c r="G379" s="1" t="s">
        <v>1058</v>
      </c>
      <c r="H379" s="3">
        <v>45909</v>
      </c>
      <c r="I379" s="1" t="s">
        <v>933</v>
      </c>
      <c r="J379" s="1" t="s">
        <v>66</v>
      </c>
      <c r="K379" s="1" t="s">
        <v>340</v>
      </c>
      <c r="L379" s="1" t="s">
        <v>1366</v>
      </c>
      <c r="M379" s="3">
        <v>45895</v>
      </c>
      <c r="N379" s="1" t="s">
        <v>726</v>
      </c>
      <c r="O379" s="1" t="s">
        <v>936</v>
      </c>
      <c r="P379" s="1">
        <v>2</v>
      </c>
    </row>
    <row r="380" spans="1:16" x14ac:dyDescent="0.25">
      <c r="A380" s="3">
        <v>45894</v>
      </c>
      <c r="B380" s="4">
        <v>1054</v>
      </c>
      <c r="C380" s="5">
        <v>280</v>
      </c>
      <c r="D380" s="1" t="s">
        <v>1074</v>
      </c>
      <c r="E380" s="1" t="s">
        <v>1075</v>
      </c>
      <c r="F380" s="1" t="s">
        <v>955</v>
      </c>
      <c r="G380" s="1" t="s">
        <v>1058</v>
      </c>
      <c r="H380" s="3">
        <v>45909</v>
      </c>
      <c r="I380" s="1" t="s">
        <v>933</v>
      </c>
      <c r="J380" s="1" t="s">
        <v>951</v>
      </c>
      <c r="K380" s="1" t="s">
        <v>340</v>
      </c>
      <c r="L380" s="1" t="s">
        <v>1533</v>
      </c>
      <c r="M380" s="3">
        <v>45895</v>
      </c>
      <c r="N380" s="1" t="s">
        <v>821</v>
      </c>
      <c r="O380" s="1" t="s">
        <v>936</v>
      </c>
      <c r="P380" s="1">
        <v>2</v>
      </c>
    </row>
    <row r="381" spans="1:16" x14ac:dyDescent="0.25">
      <c r="A381" s="3">
        <v>45894</v>
      </c>
      <c r="B381" s="4">
        <v>1054</v>
      </c>
      <c r="C381" s="5">
        <v>250</v>
      </c>
      <c r="D381" s="1" t="s">
        <v>1074</v>
      </c>
      <c r="E381" s="1" t="s">
        <v>1075</v>
      </c>
      <c r="F381" s="1" t="s">
        <v>955</v>
      </c>
      <c r="G381" s="1" t="s">
        <v>1058</v>
      </c>
      <c r="H381" s="3">
        <v>45909</v>
      </c>
      <c r="I381" s="1" t="s">
        <v>933</v>
      </c>
      <c r="J381" s="1" t="s">
        <v>951</v>
      </c>
      <c r="K381" s="1" t="s">
        <v>340</v>
      </c>
      <c r="L381" s="1" t="s">
        <v>1534</v>
      </c>
      <c r="M381" s="3">
        <v>45895</v>
      </c>
      <c r="N381" s="1" t="s">
        <v>821</v>
      </c>
      <c r="O381" s="1" t="s">
        <v>936</v>
      </c>
      <c r="P381" s="1">
        <v>2</v>
      </c>
    </row>
    <row r="382" spans="1:16" x14ac:dyDescent="0.25">
      <c r="A382" s="3">
        <v>45894</v>
      </c>
      <c r="B382" s="4">
        <v>1054</v>
      </c>
      <c r="C382" s="5">
        <v>380</v>
      </c>
      <c r="D382" s="1" t="s">
        <v>1074</v>
      </c>
      <c r="E382" s="1" t="s">
        <v>1075</v>
      </c>
      <c r="F382" s="1" t="s">
        <v>955</v>
      </c>
      <c r="G382" s="1" t="s">
        <v>1058</v>
      </c>
      <c r="H382" s="3">
        <v>45909</v>
      </c>
      <c r="I382" s="1" t="s">
        <v>933</v>
      </c>
      <c r="J382" s="1" t="s">
        <v>951</v>
      </c>
      <c r="K382" s="1" t="s">
        <v>340</v>
      </c>
      <c r="L382" s="1" t="s">
        <v>1532</v>
      </c>
      <c r="M382" s="3">
        <v>45895</v>
      </c>
      <c r="N382" s="1" t="s">
        <v>821</v>
      </c>
      <c r="O382" s="1" t="s">
        <v>936</v>
      </c>
      <c r="P382" s="1">
        <v>2</v>
      </c>
    </row>
    <row r="383" spans="1:16" x14ac:dyDescent="0.25">
      <c r="A383" s="3">
        <v>45894</v>
      </c>
      <c r="B383" s="4">
        <v>1054</v>
      </c>
      <c r="C383" s="5">
        <v>230</v>
      </c>
      <c r="D383" s="1" t="s">
        <v>1074</v>
      </c>
      <c r="E383" s="1" t="s">
        <v>1075</v>
      </c>
      <c r="F383" s="1" t="s">
        <v>778</v>
      </c>
      <c r="G383" s="1" t="s">
        <v>1058</v>
      </c>
      <c r="H383" s="3">
        <v>45909</v>
      </c>
      <c r="I383" s="1" t="s">
        <v>933</v>
      </c>
      <c r="J383" s="1" t="s">
        <v>66</v>
      </c>
      <c r="K383" s="1" t="s">
        <v>340</v>
      </c>
      <c r="L383" s="1" t="s">
        <v>1535</v>
      </c>
      <c r="M383" s="3">
        <v>45895</v>
      </c>
      <c r="N383" s="1" t="s">
        <v>783</v>
      </c>
      <c r="O383" s="1" t="s">
        <v>936</v>
      </c>
      <c r="P383" s="1">
        <v>2</v>
      </c>
    </row>
    <row r="384" spans="1:16" x14ac:dyDescent="0.25">
      <c r="A384" s="3">
        <v>45894</v>
      </c>
      <c r="B384" s="4">
        <v>1054</v>
      </c>
      <c r="C384" s="5">
        <v>230</v>
      </c>
      <c r="D384" s="1" t="s">
        <v>1074</v>
      </c>
      <c r="E384" s="1" t="s">
        <v>1075</v>
      </c>
      <c r="F384" s="1" t="s">
        <v>778</v>
      </c>
      <c r="G384" s="1" t="s">
        <v>1058</v>
      </c>
      <c r="H384" s="3">
        <v>45909</v>
      </c>
      <c r="I384" s="1" t="s">
        <v>933</v>
      </c>
      <c r="J384" s="1" t="s">
        <v>66</v>
      </c>
      <c r="K384" s="1" t="s">
        <v>340</v>
      </c>
      <c r="L384" s="1" t="s">
        <v>1536</v>
      </c>
      <c r="M384" s="3">
        <v>45895</v>
      </c>
      <c r="N384" s="1" t="s">
        <v>783</v>
      </c>
      <c r="O384" s="1" t="s">
        <v>936</v>
      </c>
      <c r="P384" s="1">
        <v>2</v>
      </c>
    </row>
    <row r="385" spans="1:16" x14ac:dyDescent="0.25">
      <c r="A385" s="3">
        <v>45895</v>
      </c>
      <c r="B385" s="4">
        <v>1052</v>
      </c>
      <c r="C385" s="5">
        <v>80</v>
      </c>
      <c r="D385" s="1" t="s">
        <v>1074</v>
      </c>
      <c r="E385" s="1" t="s">
        <v>1075</v>
      </c>
      <c r="F385" s="1" t="s">
        <v>955</v>
      </c>
      <c r="G385" s="1" t="s">
        <v>1058</v>
      </c>
      <c r="H385" s="3">
        <v>45909</v>
      </c>
      <c r="I385" s="1" t="s">
        <v>933</v>
      </c>
      <c r="J385" s="1" t="s">
        <v>951</v>
      </c>
      <c r="K385" s="1" t="s">
        <v>340</v>
      </c>
      <c r="L385" s="1" t="s">
        <v>1537</v>
      </c>
      <c r="M385" s="3">
        <v>45895</v>
      </c>
      <c r="N385" s="1" t="s">
        <v>821</v>
      </c>
      <c r="O385" s="1" t="s">
        <v>936</v>
      </c>
      <c r="P385" s="1">
        <v>1</v>
      </c>
    </row>
    <row r="386" spans="1:16" x14ac:dyDescent="0.25">
      <c r="A386" s="3">
        <v>45895</v>
      </c>
      <c r="B386" s="4">
        <v>1052</v>
      </c>
      <c r="C386" s="5">
        <v>80</v>
      </c>
      <c r="D386" s="1" t="s">
        <v>1074</v>
      </c>
      <c r="E386" s="1" t="s">
        <v>1075</v>
      </c>
      <c r="F386" s="1" t="s">
        <v>955</v>
      </c>
      <c r="G386" s="1" t="s">
        <v>1058</v>
      </c>
      <c r="H386" s="3">
        <v>45909</v>
      </c>
      <c r="I386" s="1" t="s">
        <v>933</v>
      </c>
      <c r="J386" s="1" t="s">
        <v>951</v>
      </c>
      <c r="K386" s="1" t="s">
        <v>340</v>
      </c>
      <c r="L386" s="1" t="s">
        <v>1538</v>
      </c>
      <c r="M386" s="3">
        <v>45895</v>
      </c>
      <c r="N386" s="1"/>
      <c r="O386" s="1" t="s">
        <v>936</v>
      </c>
      <c r="P386" s="1">
        <v>1</v>
      </c>
    </row>
    <row r="387" spans="1:16" x14ac:dyDescent="0.25">
      <c r="A387" s="3">
        <v>45895</v>
      </c>
      <c r="B387" s="4">
        <v>1052</v>
      </c>
      <c r="C387" s="5">
        <v>80</v>
      </c>
      <c r="D387" s="1" t="s">
        <v>1074</v>
      </c>
      <c r="E387" s="1" t="s">
        <v>1075</v>
      </c>
      <c r="F387" s="1" t="s">
        <v>955</v>
      </c>
      <c r="G387" s="1" t="s">
        <v>1058</v>
      </c>
      <c r="H387" s="3">
        <v>45909</v>
      </c>
      <c r="I387" s="1" t="s">
        <v>933</v>
      </c>
      <c r="J387" s="1" t="s">
        <v>951</v>
      </c>
      <c r="K387" s="1" t="s">
        <v>340</v>
      </c>
      <c r="L387" s="1" t="s">
        <v>1539</v>
      </c>
      <c r="M387" s="3">
        <v>45895</v>
      </c>
      <c r="N387" s="1"/>
      <c r="O387" s="1" t="s">
        <v>936</v>
      </c>
      <c r="P387" s="1">
        <v>1</v>
      </c>
    </row>
    <row r="388" spans="1:16" x14ac:dyDescent="0.25">
      <c r="A388" s="3">
        <v>45895</v>
      </c>
      <c r="B388" s="4">
        <v>1052</v>
      </c>
      <c r="C388" s="5">
        <v>80</v>
      </c>
      <c r="D388" s="1" t="s">
        <v>1074</v>
      </c>
      <c r="E388" s="1" t="s">
        <v>1075</v>
      </c>
      <c r="F388" s="1" t="s">
        <v>955</v>
      </c>
      <c r="G388" s="1" t="s">
        <v>1058</v>
      </c>
      <c r="H388" s="3">
        <v>45909</v>
      </c>
      <c r="I388" s="1" t="s">
        <v>933</v>
      </c>
      <c r="J388" s="1"/>
      <c r="K388" s="1" t="s">
        <v>340</v>
      </c>
      <c r="L388" s="1" t="s">
        <v>1540</v>
      </c>
      <c r="M388" s="3">
        <v>45895</v>
      </c>
      <c r="N388" s="1"/>
      <c r="O388" s="1" t="s">
        <v>936</v>
      </c>
      <c r="P388" s="1"/>
    </row>
    <row r="389" spans="1:16" x14ac:dyDescent="0.25">
      <c r="A389" s="3">
        <v>45895</v>
      </c>
      <c r="B389" s="4">
        <v>1052</v>
      </c>
      <c r="C389" s="5">
        <v>80</v>
      </c>
      <c r="D389" s="1" t="s">
        <v>1074</v>
      </c>
      <c r="E389" s="1" t="s">
        <v>1075</v>
      </c>
      <c r="F389" s="1" t="s">
        <v>955</v>
      </c>
      <c r="G389" s="1" t="s">
        <v>1058</v>
      </c>
      <c r="H389" s="3">
        <v>45909</v>
      </c>
      <c r="I389" s="1" t="s">
        <v>933</v>
      </c>
      <c r="J389" s="1" t="s">
        <v>951</v>
      </c>
      <c r="K389" s="1" t="s">
        <v>340</v>
      </c>
      <c r="L389" s="1" t="s">
        <v>1541</v>
      </c>
      <c r="M389" s="3">
        <v>45895</v>
      </c>
      <c r="N389" s="1"/>
      <c r="O389" s="1" t="s">
        <v>936</v>
      </c>
      <c r="P389" s="1">
        <v>1</v>
      </c>
    </row>
    <row r="390" spans="1:16" x14ac:dyDescent="0.25">
      <c r="A390" s="3">
        <v>45895</v>
      </c>
      <c r="B390" s="4">
        <v>1052</v>
      </c>
      <c r="C390" s="5">
        <v>80</v>
      </c>
      <c r="D390" s="1" t="s">
        <v>1074</v>
      </c>
      <c r="E390" s="1" t="s">
        <v>1075</v>
      </c>
      <c r="F390" s="1" t="s">
        <v>955</v>
      </c>
      <c r="G390" s="1" t="s">
        <v>1058</v>
      </c>
      <c r="H390" s="3">
        <v>45909</v>
      </c>
      <c r="I390" s="1" t="s">
        <v>933</v>
      </c>
      <c r="J390" s="1" t="s">
        <v>951</v>
      </c>
      <c r="K390" s="1" t="s">
        <v>340</v>
      </c>
      <c r="L390" s="1" t="s">
        <v>1542</v>
      </c>
      <c r="M390" s="3">
        <v>45895</v>
      </c>
      <c r="N390" s="1"/>
      <c r="O390" s="1" t="s">
        <v>936</v>
      </c>
      <c r="P390" s="1">
        <v>1</v>
      </c>
    </row>
    <row r="391" spans="1:16" x14ac:dyDescent="0.25">
      <c r="A391" s="3">
        <v>45895</v>
      </c>
      <c r="B391" s="4">
        <v>1052</v>
      </c>
      <c r="C391" s="5">
        <v>80</v>
      </c>
      <c r="D391" s="1" t="s">
        <v>1074</v>
      </c>
      <c r="E391" s="1" t="s">
        <v>1075</v>
      </c>
      <c r="F391" s="1" t="s">
        <v>955</v>
      </c>
      <c r="G391" s="1" t="s">
        <v>1058</v>
      </c>
      <c r="H391" s="3">
        <v>45909</v>
      </c>
      <c r="I391" s="1" t="s">
        <v>933</v>
      </c>
      <c r="J391" s="1" t="s">
        <v>951</v>
      </c>
      <c r="K391" s="1" t="s">
        <v>340</v>
      </c>
      <c r="L391" s="1" t="s">
        <v>1543</v>
      </c>
      <c r="M391" s="3">
        <v>45895</v>
      </c>
      <c r="N391" s="1"/>
      <c r="O391" s="1" t="s">
        <v>936</v>
      </c>
      <c r="P391" s="1">
        <v>1</v>
      </c>
    </row>
    <row r="392" spans="1:16" x14ac:dyDescent="0.25">
      <c r="A392" s="3">
        <v>45895</v>
      </c>
      <c r="B392" s="4">
        <v>1052</v>
      </c>
      <c r="C392" s="5">
        <v>80</v>
      </c>
      <c r="D392" s="1" t="s">
        <v>1074</v>
      </c>
      <c r="E392" s="1" t="s">
        <v>1075</v>
      </c>
      <c r="F392" s="1" t="s">
        <v>955</v>
      </c>
      <c r="G392" s="1" t="s">
        <v>1058</v>
      </c>
      <c r="H392" s="3">
        <v>45909</v>
      </c>
      <c r="I392" s="1" t="s">
        <v>933</v>
      </c>
      <c r="J392" s="1" t="s">
        <v>951</v>
      </c>
      <c r="K392" s="1" t="s">
        <v>340</v>
      </c>
      <c r="L392" s="1" t="s">
        <v>1544</v>
      </c>
      <c r="M392" s="3">
        <v>45895</v>
      </c>
      <c r="N392" s="1"/>
      <c r="O392" s="1" t="s">
        <v>936</v>
      </c>
      <c r="P392" s="1">
        <v>1</v>
      </c>
    </row>
    <row r="393" spans="1:16" x14ac:dyDescent="0.25">
      <c r="A393" s="3">
        <v>45895</v>
      </c>
      <c r="B393" s="4">
        <v>1052</v>
      </c>
      <c r="C393" s="5">
        <v>80</v>
      </c>
      <c r="D393" s="1" t="s">
        <v>1074</v>
      </c>
      <c r="E393" s="1" t="s">
        <v>1075</v>
      </c>
      <c r="F393" s="1" t="s">
        <v>955</v>
      </c>
      <c r="G393" s="1" t="s">
        <v>1058</v>
      </c>
      <c r="H393" s="3">
        <v>45909</v>
      </c>
      <c r="I393" s="1" t="s">
        <v>933</v>
      </c>
      <c r="J393" s="1" t="s">
        <v>951</v>
      </c>
      <c r="K393" s="1" t="s">
        <v>340</v>
      </c>
      <c r="L393" s="1" t="s">
        <v>1545</v>
      </c>
      <c r="M393" s="3">
        <v>45895</v>
      </c>
      <c r="N393" s="1"/>
      <c r="O393" s="1" t="s">
        <v>936</v>
      </c>
      <c r="P393" s="1">
        <v>1</v>
      </c>
    </row>
    <row r="394" spans="1:16" x14ac:dyDescent="0.25">
      <c r="A394" s="3">
        <v>45895</v>
      </c>
      <c r="B394" s="4">
        <v>1052</v>
      </c>
      <c r="C394" s="5">
        <v>80</v>
      </c>
      <c r="D394" s="1" t="s">
        <v>1074</v>
      </c>
      <c r="E394" s="1" t="s">
        <v>1075</v>
      </c>
      <c r="F394" s="1" t="s">
        <v>955</v>
      </c>
      <c r="G394" s="1" t="s">
        <v>1058</v>
      </c>
      <c r="H394" s="3">
        <v>45909</v>
      </c>
      <c r="I394" s="1" t="s">
        <v>933</v>
      </c>
      <c r="J394" s="1" t="s">
        <v>951</v>
      </c>
      <c r="K394" s="1" t="s">
        <v>340</v>
      </c>
      <c r="L394" s="1" t="s">
        <v>1546</v>
      </c>
      <c r="M394" s="3">
        <v>45895</v>
      </c>
      <c r="N394" s="1"/>
      <c r="O394" s="1" t="s">
        <v>936</v>
      </c>
      <c r="P394" s="1">
        <v>1</v>
      </c>
    </row>
    <row r="395" spans="1:16" x14ac:dyDescent="0.25">
      <c r="A395" s="3">
        <v>45895</v>
      </c>
      <c r="B395" s="4">
        <v>1052</v>
      </c>
      <c r="C395" s="5">
        <v>80</v>
      </c>
      <c r="D395" s="1" t="s">
        <v>1074</v>
      </c>
      <c r="E395" s="1" t="s">
        <v>1075</v>
      </c>
      <c r="F395" s="1" t="s">
        <v>955</v>
      </c>
      <c r="G395" s="1" t="s">
        <v>1058</v>
      </c>
      <c r="H395" s="3">
        <v>45909</v>
      </c>
      <c r="I395" s="1" t="s">
        <v>933</v>
      </c>
      <c r="J395" s="1" t="s">
        <v>951</v>
      </c>
      <c r="K395" s="1" t="s">
        <v>340</v>
      </c>
      <c r="L395" s="1" t="s">
        <v>1547</v>
      </c>
      <c r="M395" s="3">
        <v>45895</v>
      </c>
      <c r="N395" s="1"/>
      <c r="O395" s="1" t="s">
        <v>936</v>
      </c>
      <c r="P395" s="1">
        <v>1</v>
      </c>
    </row>
    <row r="396" spans="1:16" x14ac:dyDescent="0.25">
      <c r="A396" s="3">
        <v>45895</v>
      </c>
      <c r="B396" s="4">
        <v>1052</v>
      </c>
      <c r="C396" s="5">
        <v>80</v>
      </c>
      <c r="D396" s="1" t="s">
        <v>1074</v>
      </c>
      <c r="E396" s="1" t="s">
        <v>1075</v>
      </c>
      <c r="F396" s="1" t="s">
        <v>955</v>
      </c>
      <c r="G396" s="1" t="s">
        <v>1058</v>
      </c>
      <c r="H396" s="3">
        <v>45909</v>
      </c>
      <c r="I396" s="1" t="s">
        <v>933</v>
      </c>
      <c r="J396" s="1" t="s">
        <v>951</v>
      </c>
      <c r="K396" s="1" t="s">
        <v>340</v>
      </c>
      <c r="L396" s="1" t="s">
        <v>1548</v>
      </c>
      <c r="M396" s="3">
        <v>45895</v>
      </c>
      <c r="N396" s="1"/>
      <c r="O396" s="1" t="s">
        <v>936</v>
      </c>
      <c r="P396" s="1">
        <v>1</v>
      </c>
    </row>
    <row r="397" spans="1:16" x14ac:dyDescent="0.25">
      <c r="A397" s="3">
        <v>45895</v>
      </c>
      <c r="B397" s="4">
        <v>1052</v>
      </c>
      <c r="C397" s="5">
        <v>80</v>
      </c>
      <c r="D397" s="1" t="s">
        <v>1074</v>
      </c>
      <c r="E397" s="1" t="s">
        <v>1075</v>
      </c>
      <c r="F397" s="1" t="s">
        <v>955</v>
      </c>
      <c r="G397" s="1" t="s">
        <v>1058</v>
      </c>
      <c r="H397" s="3">
        <v>45909</v>
      </c>
      <c r="I397" s="1" t="s">
        <v>933</v>
      </c>
      <c r="J397" s="1" t="s">
        <v>951</v>
      </c>
      <c r="K397" s="1" t="s">
        <v>340</v>
      </c>
      <c r="L397" s="1" t="s">
        <v>1549</v>
      </c>
      <c r="M397" s="3">
        <v>45895</v>
      </c>
      <c r="N397" s="1"/>
      <c r="O397" s="1" t="s">
        <v>936</v>
      </c>
      <c r="P397" s="1">
        <v>1</v>
      </c>
    </row>
    <row r="398" spans="1:16" x14ac:dyDescent="0.25">
      <c r="A398" s="3">
        <v>45895</v>
      </c>
      <c r="B398" s="4">
        <v>1052</v>
      </c>
      <c r="C398" s="5">
        <v>80</v>
      </c>
      <c r="D398" s="1" t="s">
        <v>1074</v>
      </c>
      <c r="E398" s="1" t="s">
        <v>1075</v>
      </c>
      <c r="F398" s="1" t="s">
        <v>955</v>
      </c>
      <c r="G398" s="1" t="s">
        <v>1058</v>
      </c>
      <c r="H398" s="3">
        <v>45909</v>
      </c>
      <c r="I398" s="1" t="s">
        <v>933</v>
      </c>
      <c r="J398" s="1" t="s">
        <v>951</v>
      </c>
      <c r="K398" s="1" t="s">
        <v>340</v>
      </c>
      <c r="L398" s="1" t="s">
        <v>1550</v>
      </c>
      <c r="M398" s="3">
        <v>45895</v>
      </c>
      <c r="N398" s="1"/>
      <c r="O398" s="1" t="s">
        <v>936</v>
      </c>
      <c r="P398" s="1">
        <v>1</v>
      </c>
    </row>
    <row r="399" spans="1:16" x14ac:dyDescent="0.25">
      <c r="A399" s="3">
        <v>45895</v>
      </c>
      <c r="B399" s="4">
        <v>1052</v>
      </c>
      <c r="C399" s="5">
        <v>80</v>
      </c>
      <c r="D399" s="1" t="s">
        <v>1074</v>
      </c>
      <c r="E399" s="1" t="s">
        <v>1075</v>
      </c>
      <c r="F399" s="1" t="s">
        <v>955</v>
      </c>
      <c r="G399" s="1" t="s">
        <v>1058</v>
      </c>
      <c r="H399" s="3">
        <v>45909</v>
      </c>
      <c r="I399" s="1" t="s">
        <v>933</v>
      </c>
      <c r="J399" s="1" t="s">
        <v>951</v>
      </c>
      <c r="K399" s="1" t="s">
        <v>340</v>
      </c>
      <c r="L399" s="1" t="s">
        <v>1549</v>
      </c>
      <c r="M399" s="3">
        <v>45895</v>
      </c>
      <c r="N399" s="1"/>
      <c r="O399" s="1" t="s">
        <v>936</v>
      </c>
      <c r="P399" s="1">
        <v>1</v>
      </c>
    </row>
    <row r="400" spans="1:16" x14ac:dyDescent="0.25">
      <c r="A400" s="3">
        <v>45895</v>
      </c>
      <c r="B400" s="4">
        <v>1052</v>
      </c>
      <c r="C400" s="5">
        <v>80</v>
      </c>
      <c r="D400" s="1" t="s">
        <v>1074</v>
      </c>
      <c r="E400" s="1" t="s">
        <v>1075</v>
      </c>
      <c r="F400" s="1" t="s">
        <v>955</v>
      </c>
      <c r="G400" s="1" t="s">
        <v>1058</v>
      </c>
      <c r="H400" s="3">
        <v>45909</v>
      </c>
      <c r="I400" s="1" t="s">
        <v>933</v>
      </c>
      <c r="J400" s="1" t="s">
        <v>951</v>
      </c>
      <c r="K400" s="1" t="s">
        <v>340</v>
      </c>
      <c r="L400" s="1" t="s">
        <v>1551</v>
      </c>
      <c r="M400" s="3">
        <v>45895</v>
      </c>
      <c r="N400" s="1" t="s">
        <v>821</v>
      </c>
      <c r="O400" s="1" t="s">
        <v>936</v>
      </c>
      <c r="P400" s="1">
        <v>1</v>
      </c>
    </row>
    <row r="401" spans="1:16" x14ac:dyDescent="0.25">
      <c r="A401" s="3">
        <v>45895</v>
      </c>
      <c r="B401" s="4">
        <v>1052</v>
      </c>
      <c r="C401" s="5">
        <v>80</v>
      </c>
      <c r="D401" s="1" t="s">
        <v>1074</v>
      </c>
      <c r="E401" s="1" t="s">
        <v>1075</v>
      </c>
      <c r="F401" s="1" t="s">
        <v>955</v>
      </c>
      <c r="G401" s="1" t="s">
        <v>1058</v>
      </c>
      <c r="H401" s="3">
        <v>45909</v>
      </c>
      <c r="I401" s="1" t="s">
        <v>933</v>
      </c>
      <c r="J401" s="1" t="s">
        <v>951</v>
      </c>
      <c r="K401" s="1" t="s">
        <v>340</v>
      </c>
      <c r="L401" s="1" t="s">
        <v>1550</v>
      </c>
      <c r="M401" s="3">
        <v>45895</v>
      </c>
      <c r="N401" s="1" t="s">
        <v>821</v>
      </c>
      <c r="O401" s="1" t="s">
        <v>936</v>
      </c>
      <c r="P401" s="1">
        <v>1</v>
      </c>
    </row>
    <row r="402" spans="1:16" x14ac:dyDescent="0.25">
      <c r="A402" s="3">
        <v>45895</v>
      </c>
      <c r="B402" s="4">
        <v>1052</v>
      </c>
      <c r="C402" s="5">
        <v>80</v>
      </c>
      <c r="D402" s="1" t="s">
        <v>1074</v>
      </c>
      <c r="E402" s="1" t="s">
        <v>1075</v>
      </c>
      <c r="F402" s="1" t="s">
        <v>955</v>
      </c>
      <c r="G402" s="1" t="s">
        <v>1058</v>
      </c>
      <c r="H402" s="3">
        <v>45909</v>
      </c>
      <c r="I402" s="1" t="s">
        <v>933</v>
      </c>
      <c r="J402" s="1" t="s">
        <v>951</v>
      </c>
      <c r="K402" s="1" t="s">
        <v>340</v>
      </c>
      <c r="L402" s="1" t="s">
        <v>1549</v>
      </c>
      <c r="M402" s="3">
        <v>45895</v>
      </c>
      <c r="N402" s="1"/>
      <c r="O402" s="1" t="s">
        <v>936</v>
      </c>
      <c r="P402" s="1">
        <v>1</v>
      </c>
    </row>
    <row r="403" spans="1:16" x14ac:dyDescent="0.25">
      <c r="A403" s="3">
        <v>45895</v>
      </c>
      <c r="B403" s="4">
        <v>1052</v>
      </c>
      <c r="C403" s="5">
        <v>80</v>
      </c>
      <c r="D403" s="1" t="s">
        <v>1074</v>
      </c>
      <c r="E403" s="1" t="s">
        <v>1075</v>
      </c>
      <c r="F403" s="1" t="s">
        <v>955</v>
      </c>
      <c r="G403" s="1" t="s">
        <v>1058</v>
      </c>
      <c r="H403" s="6">
        <v>46274</v>
      </c>
      <c r="I403" s="1" t="s">
        <v>933</v>
      </c>
      <c r="J403" s="1" t="s">
        <v>951</v>
      </c>
      <c r="K403" s="1" t="s">
        <v>340</v>
      </c>
      <c r="L403" s="1" t="s">
        <v>1552</v>
      </c>
      <c r="M403" s="3">
        <v>45895</v>
      </c>
      <c r="N403" s="1" t="s">
        <v>821</v>
      </c>
      <c r="O403" s="1" t="s">
        <v>936</v>
      </c>
      <c r="P403" s="1">
        <v>1</v>
      </c>
    </row>
    <row r="404" spans="1:16" x14ac:dyDescent="0.25">
      <c r="A404" s="3">
        <v>45895</v>
      </c>
      <c r="B404" s="4">
        <v>1053</v>
      </c>
      <c r="C404" s="5">
        <v>480</v>
      </c>
      <c r="D404" s="1" t="s">
        <v>1074</v>
      </c>
      <c r="E404" s="1" t="s">
        <v>1075</v>
      </c>
      <c r="F404" s="1" t="s">
        <v>759</v>
      </c>
      <c r="G404" s="1" t="s">
        <v>981</v>
      </c>
      <c r="H404" s="3">
        <v>45909</v>
      </c>
      <c r="I404" s="1" t="s">
        <v>933</v>
      </c>
      <c r="J404" s="1" t="s">
        <v>66</v>
      </c>
      <c r="K404" s="1" t="s">
        <v>340</v>
      </c>
      <c r="L404" s="1" t="s">
        <v>1553</v>
      </c>
      <c r="M404" s="3">
        <v>45895</v>
      </c>
      <c r="N404" s="1" t="s">
        <v>75</v>
      </c>
      <c r="O404" s="1" t="s">
        <v>936</v>
      </c>
      <c r="P404" s="1">
        <v>1</v>
      </c>
    </row>
    <row r="405" spans="1:16" x14ac:dyDescent="0.25">
      <c r="A405" s="3">
        <v>45895</v>
      </c>
      <c r="B405" s="4">
        <v>1053</v>
      </c>
      <c r="C405" s="5">
        <v>380</v>
      </c>
      <c r="D405" s="1" t="s">
        <v>1074</v>
      </c>
      <c r="E405" s="1" t="s">
        <v>1075</v>
      </c>
      <c r="F405" s="1" t="s">
        <v>955</v>
      </c>
      <c r="G405" s="1" t="s">
        <v>981</v>
      </c>
      <c r="H405" s="3">
        <v>45909</v>
      </c>
      <c r="I405" s="1" t="s">
        <v>933</v>
      </c>
      <c r="J405" s="1" t="s">
        <v>951</v>
      </c>
      <c r="K405" s="1" t="s">
        <v>340</v>
      </c>
      <c r="L405" s="1" t="s">
        <v>1554</v>
      </c>
      <c r="M405" s="3">
        <v>45895</v>
      </c>
      <c r="N405" s="1" t="s">
        <v>821</v>
      </c>
      <c r="O405" s="1" t="s">
        <v>936</v>
      </c>
      <c r="P405" s="1">
        <v>1</v>
      </c>
    </row>
    <row r="406" spans="1:16" x14ac:dyDescent="0.25">
      <c r="A406" s="3">
        <v>45895</v>
      </c>
      <c r="B406" s="4">
        <v>1053</v>
      </c>
      <c r="C406" s="5">
        <v>70</v>
      </c>
      <c r="D406" s="1" t="s">
        <v>1074</v>
      </c>
      <c r="E406" s="1" t="s">
        <v>1075</v>
      </c>
      <c r="F406" s="1" t="s">
        <v>799</v>
      </c>
      <c r="G406" s="1" t="s">
        <v>981</v>
      </c>
      <c r="H406" s="3">
        <v>45909</v>
      </c>
      <c r="I406" s="1" t="s">
        <v>933</v>
      </c>
      <c r="J406" s="1" t="s">
        <v>66</v>
      </c>
      <c r="K406" s="1" t="s">
        <v>340</v>
      </c>
      <c r="L406" s="1" t="s">
        <v>1555</v>
      </c>
      <c r="M406" s="3">
        <v>45895</v>
      </c>
      <c r="N406" s="1" t="s">
        <v>57</v>
      </c>
      <c r="O406" s="1" t="s">
        <v>936</v>
      </c>
      <c r="P406" s="1">
        <v>1</v>
      </c>
    </row>
    <row r="407" spans="1:16" x14ac:dyDescent="0.25">
      <c r="A407" s="3">
        <v>45895</v>
      </c>
      <c r="B407" s="4">
        <v>1053</v>
      </c>
      <c r="C407" s="5">
        <v>25</v>
      </c>
      <c r="D407" s="1" t="s">
        <v>1074</v>
      </c>
      <c r="E407" s="1" t="s">
        <v>1075</v>
      </c>
      <c r="F407" s="1" t="s">
        <v>955</v>
      </c>
      <c r="G407" s="1" t="s">
        <v>981</v>
      </c>
      <c r="H407" s="3">
        <v>45909</v>
      </c>
      <c r="I407" s="1" t="s">
        <v>933</v>
      </c>
      <c r="J407" s="1" t="s">
        <v>951</v>
      </c>
      <c r="K407" s="1" t="s">
        <v>340</v>
      </c>
      <c r="L407" s="1" t="s">
        <v>1556</v>
      </c>
      <c r="M407" s="3">
        <v>45895</v>
      </c>
      <c r="N407" s="1" t="s">
        <v>821</v>
      </c>
      <c r="O407" s="1" t="s">
        <v>936</v>
      </c>
      <c r="P407" s="1">
        <v>1</v>
      </c>
    </row>
    <row r="408" spans="1:16" x14ac:dyDescent="0.25">
      <c r="A408" s="3">
        <v>45895</v>
      </c>
      <c r="B408" s="4">
        <v>1053</v>
      </c>
      <c r="C408" s="5">
        <v>130</v>
      </c>
      <c r="D408" s="1" t="s">
        <v>1074</v>
      </c>
      <c r="E408" s="1" t="s">
        <v>1075</v>
      </c>
      <c r="F408" s="1" t="s">
        <v>647</v>
      </c>
      <c r="G408" s="1" t="s">
        <v>981</v>
      </c>
      <c r="H408" s="3">
        <v>45909</v>
      </c>
      <c r="I408" s="1" t="s">
        <v>933</v>
      </c>
      <c r="J408" s="1" t="s">
        <v>66</v>
      </c>
      <c r="K408" s="1" t="s">
        <v>340</v>
      </c>
      <c r="L408" s="1" t="s">
        <v>1557</v>
      </c>
      <c r="M408" s="3">
        <v>45895</v>
      </c>
      <c r="N408" s="1" t="s">
        <v>57</v>
      </c>
      <c r="O408" s="1" t="s">
        <v>936</v>
      </c>
      <c r="P408" s="1">
        <v>1</v>
      </c>
    </row>
    <row r="409" spans="1:16" x14ac:dyDescent="0.25">
      <c r="A409" s="3">
        <v>45895</v>
      </c>
      <c r="B409" s="4">
        <v>1053</v>
      </c>
      <c r="C409" s="5">
        <v>70</v>
      </c>
      <c r="D409" s="1" t="s">
        <v>1074</v>
      </c>
      <c r="E409" s="1" t="s">
        <v>1075</v>
      </c>
      <c r="F409" s="1" t="s">
        <v>799</v>
      </c>
      <c r="G409" s="1" t="s">
        <v>981</v>
      </c>
      <c r="H409" s="3">
        <v>45909</v>
      </c>
      <c r="I409" s="1" t="s">
        <v>933</v>
      </c>
      <c r="J409" s="1" t="s">
        <v>66</v>
      </c>
      <c r="K409" s="1" t="s">
        <v>340</v>
      </c>
      <c r="L409" s="1" t="s">
        <v>1558</v>
      </c>
      <c r="M409" s="3">
        <v>45895</v>
      </c>
      <c r="N409" s="1" t="s">
        <v>57</v>
      </c>
      <c r="O409" s="1" t="s">
        <v>936</v>
      </c>
      <c r="P409" s="1">
        <v>1</v>
      </c>
    </row>
    <row r="410" spans="1:16" x14ac:dyDescent="0.25">
      <c r="A410" s="3">
        <v>45895</v>
      </c>
      <c r="B410" s="4">
        <v>1053</v>
      </c>
      <c r="C410" s="5">
        <v>45</v>
      </c>
      <c r="D410" s="1" t="s">
        <v>1074</v>
      </c>
      <c r="E410" s="1" t="s">
        <v>1075</v>
      </c>
      <c r="F410" s="1" t="s">
        <v>955</v>
      </c>
      <c r="G410" s="1" t="s">
        <v>981</v>
      </c>
      <c r="H410" s="3">
        <v>45909</v>
      </c>
      <c r="I410" s="1" t="s">
        <v>933</v>
      </c>
      <c r="J410" s="1" t="s">
        <v>951</v>
      </c>
      <c r="K410" s="1" t="s">
        <v>340</v>
      </c>
      <c r="L410" s="1" t="s">
        <v>1559</v>
      </c>
      <c r="M410" s="3">
        <v>45895</v>
      </c>
      <c r="N410" s="1" t="s">
        <v>821</v>
      </c>
      <c r="O410" s="1" t="s">
        <v>936</v>
      </c>
      <c r="P410" s="1">
        <v>1</v>
      </c>
    </row>
    <row r="411" spans="1:16" x14ac:dyDescent="0.25">
      <c r="A411" s="3">
        <v>45895</v>
      </c>
      <c r="B411" s="4">
        <v>480707</v>
      </c>
      <c r="C411" s="5">
        <v>47.31</v>
      </c>
      <c r="D411" s="1" t="s">
        <v>1085</v>
      </c>
      <c r="E411" s="1" t="s">
        <v>1560</v>
      </c>
      <c r="F411" s="1" t="s">
        <v>966</v>
      </c>
      <c r="G411" s="1" t="s">
        <v>950</v>
      </c>
      <c r="H411" s="1" t="s">
        <v>941</v>
      </c>
      <c r="I411" s="1" t="s">
        <v>933</v>
      </c>
      <c r="J411" s="1" t="s">
        <v>951</v>
      </c>
      <c r="K411" s="1" t="s">
        <v>66</v>
      </c>
      <c r="L411" s="1" t="s">
        <v>1561</v>
      </c>
      <c r="M411" s="3">
        <v>45896</v>
      </c>
      <c r="N411" s="1" t="s">
        <v>821</v>
      </c>
      <c r="O411" s="1" t="s">
        <v>936</v>
      </c>
      <c r="P411" s="1">
        <v>1</v>
      </c>
    </row>
    <row r="412" spans="1:16" x14ac:dyDescent="0.25">
      <c r="A412" s="3">
        <v>45895</v>
      </c>
      <c r="B412" s="4">
        <v>320827</v>
      </c>
      <c r="C412" s="5">
        <v>84</v>
      </c>
      <c r="D412" s="1" t="s">
        <v>992</v>
      </c>
      <c r="E412" s="1" t="s">
        <v>1243</v>
      </c>
      <c r="F412" s="1" t="s">
        <v>955</v>
      </c>
      <c r="G412" s="1" t="s">
        <v>998</v>
      </c>
      <c r="H412" s="1" t="s">
        <v>941</v>
      </c>
      <c r="I412" s="1" t="s">
        <v>933</v>
      </c>
      <c r="J412" s="1" t="s">
        <v>951</v>
      </c>
      <c r="K412" s="1" t="s">
        <v>66</v>
      </c>
      <c r="L412" s="1" t="s">
        <v>1562</v>
      </c>
      <c r="M412" s="3">
        <v>45897</v>
      </c>
      <c r="N412" s="1" t="s">
        <v>821</v>
      </c>
      <c r="O412" s="1" t="s">
        <v>998</v>
      </c>
      <c r="P412" s="1">
        <v>1</v>
      </c>
    </row>
    <row r="413" spans="1:16" x14ac:dyDescent="0.25">
      <c r="A413" s="3">
        <v>45895</v>
      </c>
      <c r="B413" s="4">
        <v>437698</v>
      </c>
      <c r="C413" s="5">
        <v>42.04</v>
      </c>
      <c r="D413" s="1" t="s">
        <v>1085</v>
      </c>
      <c r="E413" s="1" t="s">
        <v>1560</v>
      </c>
      <c r="F413" s="1" t="s">
        <v>966</v>
      </c>
      <c r="G413" s="1" t="s">
        <v>950</v>
      </c>
      <c r="H413" s="1" t="s">
        <v>941</v>
      </c>
      <c r="I413" s="1" t="s">
        <v>933</v>
      </c>
      <c r="J413" s="1" t="s">
        <v>951</v>
      </c>
      <c r="K413" s="1" t="s">
        <v>66</v>
      </c>
      <c r="L413" s="1" t="s">
        <v>1563</v>
      </c>
      <c r="M413" s="3">
        <v>45898</v>
      </c>
      <c r="N413" s="1" t="s">
        <v>821</v>
      </c>
      <c r="O413" s="1" t="s">
        <v>936</v>
      </c>
      <c r="P413" s="1">
        <v>1</v>
      </c>
    </row>
    <row r="414" spans="1:16" x14ac:dyDescent="0.25">
      <c r="A414" s="3">
        <v>45895</v>
      </c>
      <c r="B414" s="1">
        <v>4</v>
      </c>
      <c r="C414" s="5">
        <v>35260</v>
      </c>
      <c r="D414" s="1" t="s">
        <v>1327</v>
      </c>
      <c r="E414" s="1" t="s">
        <v>1328</v>
      </c>
      <c r="F414" s="1" t="s">
        <v>955</v>
      </c>
      <c r="G414" s="1" t="s">
        <v>950</v>
      </c>
      <c r="H414" s="3">
        <v>45910</v>
      </c>
      <c r="I414" s="1" t="s">
        <v>933</v>
      </c>
      <c r="J414" s="1" t="s">
        <v>951</v>
      </c>
      <c r="K414" s="1" t="s">
        <v>100</v>
      </c>
      <c r="L414" s="1" t="s">
        <v>1564</v>
      </c>
      <c r="M414" s="3">
        <v>45896</v>
      </c>
      <c r="N414" s="1" t="s">
        <v>821</v>
      </c>
      <c r="O414" s="1" t="s">
        <v>936</v>
      </c>
      <c r="P414" s="1" t="s">
        <v>937</v>
      </c>
    </row>
    <row r="415" spans="1:16" x14ac:dyDescent="0.25">
      <c r="A415" s="3">
        <v>45895</v>
      </c>
      <c r="B415" s="4">
        <v>23345</v>
      </c>
      <c r="C415" s="5">
        <v>73</v>
      </c>
      <c r="D415" s="1" t="s">
        <v>938</v>
      </c>
      <c r="E415" s="1" t="s">
        <v>939</v>
      </c>
      <c r="F415" s="1" t="s">
        <v>955</v>
      </c>
      <c r="G415" s="1" t="s">
        <v>998</v>
      </c>
      <c r="H415" s="1" t="s">
        <v>941</v>
      </c>
      <c r="I415" s="1" t="s">
        <v>933</v>
      </c>
      <c r="J415" s="1" t="s">
        <v>951</v>
      </c>
      <c r="K415" s="1" t="s">
        <v>66</v>
      </c>
      <c r="L415" s="1" t="s">
        <v>1565</v>
      </c>
      <c r="M415" s="3">
        <v>45896</v>
      </c>
      <c r="N415" s="1" t="s">
        <v>821</v>
      </c>
      <c r="O415" s="1" t="s">
        <v>998</v>
      </c>
      <c r="P415" s="1">
        <v>1</v>
      </c>
    </row>
    <row r="416" spans="1:16" x14ac:dyDescent="0.25">
      <c r="A416" s="3">
        <v>45895</v>
      </c>
      <c r="B416" s="4">
        <v>70468</v>
      </c>
      <c r="C416" s="5">
        <v>1125</v>
      </c>
      <c r="D416" s="1" t="s">
        <v>1253</v>
      </c>
      <c r="E416" s="1" t="s">
        <v>1487</v>
      </c>
      <c r="F416" s="1" t="s">
        <v>650</v>
      </c>
      <c r="G416" s="1" t="s">
        <v>940</v>
      </c>
      <c r="H416" s="3">
        <v>45925</v>
      </c>
      <c r="I416" s="1" t="s">
        <v>933</v>
      </c>
      <c r="J416" s="1" t="s">
        <v>66</v>
      </c>
      <c r="K416" s="1" t="s">
        <v>340</v>
      </c>
      <c r="L416" s="1" t="s">
        <v>1566</v>
      </c>
      <c r="M416" s="3">
        <v>45896</v>
      </c>
      <c r="N416" s="1" t="s">
        <v>57</v>
      </c>
      <c r="O416" s="1" t="s">
        <v>936</v>
      </c>
      <c r="P416" s="1">
        <v>1</v>
      </c>
    </row>
    <row r="417" spans="1:16" x14ac:dyDescent="0.25">
      <c r="A417" s="3">
        <v>45895</v>
      </c>
      <c r="B417" s="1">
        <v>17</v>
      </c>
      <c r="C417" s="5">
        <v>77102.95</v>
      </c>
      <c r="D417" s="1" t="s">
        <v>1354</v>
      </c>
      <c r="E417" s="1" t="s">
        <v>1355</v>
      </c>
      <c r="F417" s="1" t="s">
        <v>1567</v>
      </c>
      <c r="G417" s="1" t="s">
        <v>1500</v>
      </c>
      <c r="H417" s="1"/>
      <c r="I417" s="1" t="s">
        <v>933</v>
      </c>
      <c r="J417" s="1"/>
      <c r="K417" s="1" t="s">
        <v>20</v>
      </c>
      <c r="L417" s="1" t="s">
        <v>1568</v>
      </c>
      <c r="M417" s="3">
        <v>45897</v>
      </c>
      <c r="N417" s="1"/>
      <c r="O417" s="1"/>
      <c r="P417" s="1"/>
    </row>
    <row r="418" spans="1:16" x14ac:dyDescent="0.25">
      <c r="A418" s="3">
        <v>45895</v>
      </c>
      <c r="B418" s="4">
        <v>677311</v>
      </c>
      <c r="C418" s="5">
        <v>358</v>
      </c>
      <c r="D418" s="1" t="s">
        <v>973</v>
      </c>
      <c r="E418" s="1" t="s">
        <v>1068</v>
      </c>
      <c r="F418" s="1" t="s">
        <v>955</v>
      </c>
      <c r="G418" s="1" t="s">
        <v>998</v>
      </c>
      <c r="H418" s="1" t="s">
        <v>941</v>
      </c>
      <c r="I418" s="1" t="s">
        <v>933</v>
      </c>
      <c r="J418" s="1" t="s">
        <v>951</v>
      </c>
      <c r="K418" s="1" t="s">
        <v>996</v>
      </c>
      <c r="L418" s="1" t="s">
        <v>1565</v>
      </c>
      <c r="M418" s="3">
        <v>45896</v>
      </c>
      <c r="N418" s="1" t="s">
        <v>821</v>
      </c>
      <c r="O418" s="1" t="s">
        <v>998</v>
      </c>
      <c r="P418" s="1">
        <v>1</v>
      </c>
    </row>
    <row r="419" spans="1:16" x14ac:dyDescent="0.25">
      <c r="A419" s="3">
        <v>45895</v>
      </c>
      <c r="B419" s="1">
        <v>48</v>
      </c>
      <c r="C419" s="5">
        <v>1400</v>
      </c>
      <c r="D419" s="1" t="s">
        <v>1200</v>
      </c>
      <c r="E419" s="1" t="s">
        <v>1201</v>
      </c>
      <c r="F419" s="1" t="s">
        <v>955</v>
      </c>
      <c r="G419" s="1" t="s">
        <v>940</v>
      </c>
      <c r="H419" s="3">
        <v>45911</v>
      </c>
      <c r="I419" s="1" t="s">
        <v>933</v>
      </c>
      <c r="J419" s="1" t="s">
        <v>951</v>
      </c>
      <c r="K419" s="1" t="s">
        <v>340</v>
      </c>
      <c r="L419" s="1" t="s">
        <v>1569</v>
      </c>
      <c r="M419" s="3">
        <v>45896</v>
      </c>
      <c r="N419" s="1" t="s">
        <v>821</v>
      </c>
      <c r="O419" s="1" t="s">
        <v>936</v>
      </c>
      <c r="P419" s="1" t="s">
        <v>937</v>
      </c>
    </row>
    <row r="420" spans="1:16" x14ac:dyDescent="0.25">
      <c r="A420" s="3">
        <v>45895</v>
      </c>
      <c r="B420" s="4">
        <v>53425</v>
      </c>
      <c r="C420" s="5">
        <v>4052</v>
      </c>
      <c r="D420" s="1" t="s">
        <v>973</v>
      </c>
      <c r="E420" s="1" t="s">
        <v>1068</v>
      </c>
      <c r="F420" s="1" t="s">
        <v>955</v>
      </c>
      <c r="G420" s="1" t="s">
        <v>998</v>
      </c>
      <c r="H420" s="3">
        <v>45910</v>
      </c>
      <c r="I420" s="1" t="s">
        <v>933</v>
      </c>
      <c r="J420" s="1" t="s">
        <v>951</v>
      </c>
      <c r="K420" s="1" t="s">
        <v>996</v>
      </c>
      <c r="L420" s="1" t="s">
        <v>1503</v>
      </c>
      <c r="M420" s="3">
        <v>45896</v>
      </c>
      <c r="N420" s="1" t="s">
        <v>821</v>
      </c>
      <c r="O420" s="1" t="s">
        <v>998</v>
      </c>
      <c r="P420" s="1">
        <v>1</v>
      </c>
    </row>
    <row r="421" spans="1:16" x14ac:dyDescent="0.25">
      <c r="A421" s="3">
        <v>45895</v>
      </c>
      <c r="B421" s="1">
        <v>88</v>
      </c>
      <c r="C421" s="5">
        <v>3496</v>
      </c>
      <c r="D421" s="1" t="s">
        <v>1187</v>
      </c>
      <c r="E421" s="1" t="s">
        <v>1188</v>
      </c>
      <c r="F421" s="1" t="s">
        <v>66</v>
      </c>
      <c r="G421" s="1" t="s">
        <v>950</v>
      </c>
      <c r="H421" s="3">
        <v>45910</v>
      </c>
      <c r="I421" s="1" t="s">
        <v>933</v>
      </c>
      <c r="J421" s="1" t="s">
        <v>66</v>
      </c>
      <c r="K421" s="1" t="s">
        <v>340</v>
      </c>
      <c r="L421" s="1" t="s">
        <v>1570</v>
      </c>
      <c r="M421" s="3">
        <v>45896</v>
      </c>
      <c r="N421" s="1" t="s">
        <v>821</v>
      </c>
      <c r="O421" s="1" t="s">
        <v>936</v>
      </c>
      <c r="P421" s="1" t="s">
        <v>937</v>
      </c>
    </row>
    <row r="422" spans="1:16" x14ac:dyDescent="0.25">
      <c r="A422" s="3">
        <v>45895</v>
      </c>
      <c r="B422" s="1">
        <v>87</v>
      </c>
      <c r="C422" s="5">
        <v>2800</v>
      </c>
      <c r="D422" s="1" t="s">
        <v>1187</v>
      </c>
      <c r="E422" s="1" t="s">
        <v>1188</v>
      </c>
      <c r="F422" s="1" t="s">
        <v>66</v>
      </c>
      <c r="G422" s="1" t="s">
        <v>950</v>
      </c>
      <c r="H422" s="1" t="s">
        <v>1571</v>
      </c>
      <c r="I422" s="1" t="s">
        <v>933</v>
      </c>
      <c r="J422" s="1" t="s">
        <v>66</v>
      </c>
      <c r="K422" s="1" t="s">
        <v>340</v>
      </c>
      <c r="L422" s="1" t="s">
        <v>1572</v>
      </c>
      <c r="M422" s="3">
        <v>45896</v>
      </c>
      <c r="N422" s="1" t="s">
        <v>821</v>
      </c>
      <c r="O422" s="1" t="s">
        <v>936</v>
      </c>
      <c r="P422" s="1" t="s">
        <v>937</v>
      </c>
    </row>
    <row r="423" spans="1:16" x14ac:dyDescent="0.25">
      <c r="A423" s="3">
        <v>45896</v>
      </c>
      <c r="B423" s="4">
        <v>9788</v>
      </c>
      <c r="C423" s="5">
        <v>526</v>
      </c>
      <c r="D423" s="1" t="s">
        <v>1573</v>
      </c>
      <c r="E423" s="1" t="s">
        <v>1574</v>
      </c>
      <c r="F423" s="1" t="s">
        <v>833</v>
      </c>
      <c r="G423" s="1" t="s">
        <v>940</v>
      </c>
      <c r="H423" s="1" t="s">
        <v>1083</v>
      </c>
      <c r="I423" s="1" t="s">
        <v>836</v>
      </c>
      <c r="J423" s="1" t="s">
        <v>66</v>
      </c>
      <c r="K423" s="1" t="s">
        <v>340</v>
      </c>
      <c r="L423" s="1" t="s">
        <v>1575</v>
      </c>
      <c r="M423" s="3">
        <v>45896</v>
      </c>
      <c r="N423" s="1" t="s">
        <v>836</v>
      </c>
      <c r="O423" s="1" t="s">
        <v>936</v>
      </c>
      <c r="P423" s="1">
        <v>1</v>
      </c>
    </row>
    <row r="424" spans="1:16" x14ac:dyDescent="0.25">
      <c r="A424" s="3">
        <v>45896</v>
      </c>
      <c r="B424" s="4">
        <v>35759</v>
      </c>
      <c r="C424" s="5">
        <v>22760</v>
      </c>
      <c r="D424" s="1" t="s">
        <v>1576</v>
      </c>
      <c r="E424" s="1" t="s">
        <v>1577</v>
      </c>
      <c r="F424" s="1" t="s">
        <v>304</v>
      </c>
      <c r="G424" s="1" t="s">
        <v>998</v>
      </c>
      <c r="H424" s="3">
        <v>45926</v>
      </c>
      <c r="I424" s="1" t="s">
        <v>933</v>
      </c>
      <c r="J424" s="1" t="s">
        <v>66</v>
      </c>
      <c r="K424" s="1" t="s">
        <v>998</v>
      </c>
      <c r="L424" s="1">
        <v>4000</v>
      </c>
      <c r="M424" s="3">
        <v>45896</v>
      </c>
      <c r="N424" s="1" t="s">
        <v>57</v>
      </c>
      <c r="O424" s="1" t="s">
        <v>998</v>
      </c>
      <c r="P424" s="1">
        <v>1</v>
      </c>
    </row>
    <row r="425" spans="1:16" x14ac:dyDescent="0.25">
      <c r="A425" s="3">
        <v>45896</v>
      </c>
      <c r="B425" s="4">
        <v>23359</v>
      </c>
      <c r="C425" s="5">
        <v>73</v>
      </c>
      <c r="D425" s="1" t="s">
        <v>938</v>
      </c>
      <c r="E425" s="1" t="s">
        <v>939</v>
      </c>
      <c r="F425" s="1" t="s">
        <v>955</v>
      </c>
      <c r="G425" s="1" t="s">
        <v>940</v>
      </c>
      <c r="H425" s="1" t="s">
        <v>941</v>
      </c>
      <c r="I425" s="1" t="s">
        <v>933</v>
      </c>
      <c r="J425" s="1" t="s">
        <v>951</v>
      </c>
      <c r="K425" s="1" t="s">
        <v>340</v>
      </c>
      <c r="L425" s="1" t="s">
        <v>1578</v>
      </c>
      <c r="M425" s="3">
        <v>45896</v>
      </c>
      <c r="N425" s="1" t="s">
        <v>821</v>
      </c>
      <c r="O425" s="1" t="s">
        <v>936</v>
      </c>
      <c r="P425" s="1">
        <v>1</v>
      </c>
    </row>
    <row r="426" spans="1:16" x14ac:dyDescent="0.25">
      <c r="A426" s="3">
        <v>45896</v>
      </c>
      <c r="B426" s="4">
        <v>677361</v>
      </c>
      <c r="C426" s="5">
        <v>384</v>
      </c>
      <c r="D426" s="1" t="s">
        <v>973</v>
      </c>
      <c r="E426" s="1" t="s">
        <v>1068</v>
      </c>
      <c r="F426" s="1" t="s">
        <v>955</v>
      </c>
      <c r="G426" s="1" t="s">
        <v>998</v>
      </c>
      <c r="H426" s="1" t="s">
        <v>941</v>
      </c>
      <c r="I426" s="1" t="s">
        <v>933</v>
      </c>
      <c r="J426" s="1" t="s">
        <v>951</v>
      </c>
      <c r="K426" s="1" t="s">
        <v>996</v>
      </c>
      <c r="L426" s="1" t="s">
        <v>1565</v>
      </c>
      <c r="M426" s="3">
        <v>45896</v>
      </c>
      <c r="N426" s="1" t="s">
        <v>821</v>
      </c>
      <c r="O426" s="1" t="s">
        <v>998</v>
      </c>
      <c r="P426" s="1">
        <v>1</v>
      </c>
    </row>
    <row r="427" spans="1:16" x14ac:dyDescent="0.25">
      <c r="A427" s="3">
        <v>45897</v>
      </c>
      <c r="B427" s="1">
        <v>102</v>
      </c>
      <c r="C427" s="5">
        <v>7188</v>
      </c>
      <c r="D427" s="1" t="s">
        <v>1579</v>
      </c>
      <c r="E427" s="1" t="s">
        <v>1580</v>
      </c>
      <c r="F427" s="1" t="s">
        <v>955</v>
      </c>
      <c r="G427" s="1" t="s">
        <v>940</v>
      </c>
      <c r="H427" s="3">
        <v>45912</v>
      </c>
      <c r="I427" s="1" t="s">
        <v>933</v>
      </c>
      <c r="J427" s="1" t="s">
        <v>951</v>
      </c>
      <c r="K427" s="1" t="s">
        <v>340</v>
      </c>
      <c r="L427" s="1" t="s">
        <v>1581</v>
      </c>
      <c r="M427" s="3">
        <v>45897</v>
      </c>
      <c r="N427" s="1" t="s">
        <v>821</v>
      </c>
      <c r="O427" s="1" t="s">
        <v>936</v>
      </c>
      <c r="P427" s="1">
        <v>1</v>
      </c>
    </row>
    <row r="428" spans="1:16" x14ac:dyDescent="0.25">
      <c r="A428" s="3">
        <v>45897</v>
      </c>
      <c r="B428" s="4">
        <v>81053</v>
      </c>
      <c r="C428" s="5">
        <v>767.16</v>
      </c>
      <c r="D428" s="1" t="s">
        <v>1174</v>
      </c>
      <c r="E428" s="1" t="s">
        <v>1314</v>
      </c>
      <c r="F428" s="1" t="s">
        <v>867</v>
      </c>
      <c r="G428" s="1" t="s">
        <v>940</v>
      </c>
      <c r="H428" s="3">
        <v>45927</v>
      </c>
      <c r="I428" s="1" t="s">
        <v>933</v>
      </c>
      <c r="J428" s="1" t="s">
        <v>66</v>
      </c>
      <c r="K428" s="1" t="s">
        <v>66</v>
      </c>
      <c r="L428" s="1" t="s">
        <v>1582</v>
      </c>
      <c r="M428" s="3">
        <v>45897</v>
      </c>
      <c r="N428" s="1" t="s">
        <v>57</v>
      </c>
      <c r="O428" s="1" t="s">
        <v>936</v>
      </c>
      <c r="P428" s="1">
        <v>1</v>
      </c>
    </row>
    <row r="429" spans="1:16" x14ac:dyDescent="0.25">
      <c r="A429" s="3">
        <v>45898</v>
      </c>
      <c r="B429" s="1">
        <v>16</v>
      </c>
      <c r="C429" s="5">
        <v>7850</v>
      </c>
      <c r="D429" s="1" t="s">
        <v>1583</v>
      </c>
      <c r="E429" s="1" t="s">
        <v>1584</v>
      </c>
      <c r="F429" s="1" t="s">
        <v>955</v>
      </c>
      <c r="G429" s="1" t="s">
        <v>990</v>
      </c>
      <c r="H429" s="3">
        <v>45883</v>
      </c>
      <c r="I429" s="1" t="s">
        <v>933</v>
      </c>
      <c r="J429" s="1" t="s">
        <v>951</v>
      </c>
      <c r="K429" s="1" t="s">
        <v>20</v>
      </c>
      <c r="L429" s="1" t="s">
        <v>1585</v>
      </c>
      <c r="M429" s="3">
        <v>45898</v>
      </c>
      <c r="N429" s="1" t="s">
        <v>821</v>
      </c>
      <c r="O429" s="1" t="s">
        <v>990</v>
      </c>
      <c r="P429" s="1">
        <v>1</v>
      </c>
    </row>
    <row r="430" spans="1:16" x14ac:dyDescent="0.25">
      <c r="A430" s="3">
        <v>45898</v>
      </c>
      <c r="B430" s="4">
        <v>93504</v>
      </c>
      <c r="C430" s="5">
        <v>22600</v>
      </c>
      <c r="D430" s="1" t="s">
        <v>1094</v>
      </c>
      <c r="E430" s="1" t="s">
        <v>1095</v>
      </c>
      <c r="F430" s="1" t="s">
        <v>955</v>
      </c>
      <c r="G430" s="1" t="s">
        <v>998</v>
      </c>
      <c r="H430" s="3">
        <v>45929</v>
      </c>
      <c r="I430" s="1" t="s">
        <v>933</v>
      </c>
      <c r="J430" s="1" t="s">
        <v>951</v>
      </c>
      <c r="K430" s="1" t="s">
        <v>998</v>
      </c>
      <c r="L430" s="1">
        <v>4000</v>
      </c>
      <c r="M430" s="3">
        <v>45898</v>
      </c>
      <c r="N430" s="1" t="s">
        <v>821</v>
      </c>
      <c r="O430" s="1" t="s">
        <v>998</v>
      </c>
      <c r="P430" s="1">
        <v>1</v>
      </c>
    </row>
    <row r="431" spans="1:16" x14ac:dyDescent="0.25">
      <c r="A431" s="3">
        <v>45898</v>
      </c>
      <c r="B431" s="4">
        <v>3299</v>
      </c>
      <c r="C431" s="5">
        <v>7114</v>
      </c>
      <c r="D431" s="1" t="s">
        <v>1134</v>
      </c>
      <c r="E431" s="1" t="s">
        <v>1282</v>
      </c>
      <c r="F431" s="1" t="s">
        <v>955</v>
      </c>
      <c r="G431" s="1" t="s">
        <v>940</v>
      </c>
      <c r="H431" s="3">
        <v>45913</v>
      </c>
      <c r="I431" s="1" t="s">
        <v>933</v>
      </c>
      <c r="J431" s="1" t="s">
        <v>951</v>
      </c>
      <c r="K431" s="1" t="s">
        <v>20</v>
      </c>
      <c r="L431" s="1" t="s">
        <v>1586</v>
      </c>
      <c r="M431" s="3">
        <v>45898</v>
      </c>
      <c r="N431" s="1" t="s">
        <v>821</v>
      </c>
      <c r="O431" s="1" t="s">
        <v>936</v>
      </c>
      <c r="P431" s="1">
        <v>1</v>
      </c>
    </row>
    <row r="432" spans="1:16" x14ac:dyDescent="0.25">
      <c r="A432" s="3">
        <v>45898</v>
      </c>
      <c r="B432" s="1">
        <v>6</v>
      </c>
      <c r="C432" s="5">
        <v>4882</v>
      </c>
      <c r="D432" s="1" t="s">
        <v>1327</v>
      </c>
      <c r="E432" s="1" t="s">
        <v>1328</v>
      </c>
      <c r="F432" s="1" t="s">
        <v>955</v>
      </c>
      <c r="G432" s="1" t="s">
        <v>940</v>
      </c>
      <c r="H432" s="3">
        <v>45919</v>
      </c>
      <c r="I432" s="1" t="s">
        <v>933</v>
      </c>
      <c r="J432" s="1" t="s">
        <v>951</v>
      </c>
      <c r="K432" s="1" t="s">
        <v>20</v>
      </c>
      <c r="L432" s="1" t="s">
        <v>1587</v>
      </c>
      <c r="M432" s="3">
        <v>45898</v>
      </c>
      <c r="N432" s="1" t="s">
        <v>821</v>
      </c>
      <c r="O432" s="1" t="s">
        <v>936</v>
      </c>
      <c r="P432" s="1" t="s">
        <v>937</v>
      </c>
    </row>
    <row r="433" spans="1:16" x14ac:dyDescent="0.25">
      <c r="A433" s="3">
        <v>45898</v>
      </c>
      <c r="B433" s="1">
        <v>41</v>
      </c>
      <c r="C433" s="5">
        <v>7144</v>
      </c>
      <c r="D433" s="1" t="s">
        <v>1588</v>
      </c>
      <c r="E433" s="1" t="s">
        <v>1589</v>
      </c>
      <c r="F433" s="1" t="s">
        <v>955</v>
      </c>
      <c r="G433" s="1" t="s">
        <v>990</v>
      </c>
      <c r="H433" s="3">
        <v>45910</v>
      </c>
      <c r="I433" s="1" t="s">
        <v>933</v>
      </c>
      <c r="J433" s="1" t="s">
        <v>951</v>
      </c>
      <c r="K433" s="1" t="s">
        <v>20</v>
      </c>
      <c r="L433" s="1" t="s">
        <v>1590</v>
      </c>
      <c r="M433" s="3">
        <v>45898</v>
      </c>
      <c r="N433" s="1" t="s">
        <v>821</v>
      </c>
      <c r="O433" s="1" t="s">
        <v>990</v>
      </c>
      <c r="P433" s="1">
        <v>1</v>
      </c>
    </row>
    <row r="434" spans="1:16" x14ac:dyDescent="0.25">
      <c r="A434" s="3">
        <v>45898</v>
      </c>
      <c r="B434" s="1">
        <v>1</v>
      </c>
      <c r="C434" s="5">
        <v>5700</v>
      </c>
      <c r="D434" s="1" t="s">
        <v>1588</v>
      </c>
      <c r="E434" s="1" t="s">
        <v>1589</v>
      </c>
      <c r="F434" s="1" t="s">
        <v>955</v>
      </c>
      <c r="G434" s="1" t="s">
        <v>990</v>
      </c>
      <c r="H434" s="1" t="s">
        <v>941</v>
      </c>
      <c r="I434" s="1" t="s">
        <v>933</v>
      </c>
      <c r="J434" s="1" t="s">
        <v>951</v>
      </c>
      <c r="K434" s="1" t="s">
        <v>20</v>
      </c>
      <c r="L434" s="1" t="s">
        <v>1591</v>
      </c>
      <c r="M434" s="3">
        <v>45898</v>
      </c>
      <c r="N434" s="1" t="s">
        <v>821</v>
      </c>
      <c r="O434" s="1" t="s">
        <v>990</v>
      </c>
      <c r="P434" s="1">
        <v>1</v>
      </c>
    </row>
    <row r="435" spans="1:16" x14ac:dyDescent="0.25">
      <c r="A435" s="3">
        <v>45898</v>
      </c>
      <c r="B435" s="4">
        <v>69828</v>
      </c>
      <c r="C435" s="5">
        <v>2180</v>
      </c>
      <c r="D435" s="1"/>
      <c r="E435" s="1"/>
      <c r="F435" s="1" t="s">
        <v>955</v>
      </c>
      <c r="G435" s="1" t="s">
        <v>940</v>
      </c>
      <c r="H435" s="3">
        <v>45926</v>
      </c>
      <c r="I435" s="1" t="s">
        <v>933</v>
      </c>
      <c r="J435" s="1" t="s">
        <v>951</v>
      </c>
      <c r="K435" s="1" t="s">
        <v>20</v>
      </c>
      <c r="L435" s="1" t="s">
        <v>1592</v>
      </c>
      <c r="M435" s="3">
        <v>45899</v>
      </c>
      <c r="N435" s="1" t="s">
        <v>821</v>
      </c>
      <c r="O435" s="1"/>
      <c r="P435" s="1" t="s">
        <v>937</v>
      </c>
    </row>
    <row r="436" spans="1:16" x14ac:dyDescent="0.25">
      <c r="A436" s="3">
        <v>45898</v>
      </c>
      <c r="B436" s="4">
        <v>2837</v>
      </c>
      <c r="C436" s="5">
        <v>3236</v>
      </c>
      <c r="D436" s="1" t="s">
        <v>1593</v>
      </c>
      <c r="E436" s="1" t="s">
        <v>1594</v>
      </c>
      <c r="F436" s="1" t="s">
        <v>955</v>
      </c>
      <c r="G436" s="1" t="s">
        <v>940</v>
      </c>
      <c r="H436" s="3">
        <v>45913</v>
      </c>
      <c r="I436" s="1" t="s">
        <v>933</v>
      </c>
      <c r="J436" s="1" t="s">
        <v>951</v>
      </c>
      <c r="K436" s="1" t="s">
        <v>20</v>
      </c>
      <c r="L436" s="1" t="s">
        <v>1595</v>
      </c>
      <c r="M436" s="3">
        <v>42277</v>
      </c>
      <c r="N436" s="1" t="s">
        <v>821</v>
      </c>
      <c r="O436" s="1" t="s">
        <v>936</v>
      </c>
      <c r="P436" s="1" t="s">
        <v>937</v>
      </c>
    </row>
    <row r="437" spans="1:16" x14ac:dyDescent="0.25">
      <c r="A437" s="3">
        <v>45898</v>
      </c>
      <c r="B437" s="4">
        <v>53614</v>
      </c>
      <c r="C437" s="5">
        <v>5740</v>
      </c>
      <c r="D437" s="1" t="s">
        <v>973</v>
      </c>
      <c r="E437" s="1" t="s">
        <v>1068</v>
      </c>
      <c r="F437" s="1" t="s">
        <v>955</v>
      </c>
      <c r="G437" s="1" t="s">
        <v>998</v>
      </c>
      <c r="H437" s="3">
        <v>45914</v>
      </c>
      <c r="I437" s="1" t="s">
        <v>933</v>
      </c>
      <c r="J437" s="1" t="s">
        <v>951</v>
      </c>
      <c r="K437" s="1" t="s">
        <v>996</v>
      </c>
      <c r="L437" s="1">
        <v>1000</v>
      </c>
      <c r="M437" s="3">
        <v>45898</v>
      </c>
      <c r="N437" s="1" t="s">
        <v>821</v>
      </c>
      <c r="O437" s="1" t="s">
        <v>998</v>
      </c>
      <c r="P437" s="1">
        <v>2</v>
      </c>
    </row>
    <row r="438" spans="1:16" x14ac:dyDescent="0.25">
      <c r="A438" s="3">
        <v>45898</v>
      </c>
      <c r="B438" s="4">
        <v>53614</v>
      </c>
      <c r="C438" s="5">
        <v>5740</v>
      </c>
      <c r="D438" s="1" t="s">
        <v>973</v>
      </c>
      <c r="E438" s="1" t="s">
        <v>1068</v>
      </c>
      <c r="F438" s="1" t="s">
        <v>304</v>
      </c>
      <c r="G438" s="1" t="s">
        <v>998</v>
      </c>
      <c r="H438" s="3">
        <v>45914</v>
      </c>
      <c r="I438" s="1" t="s">
        <v>933</v>
      </c>
      <c r="J438" s="1" t="s">
        <v>66</v>
      </c>
      <c r="K438" s="1" t="s">
        <v>996</v>
      </c>
      <c r="L438" s="1">
        <v>1000</v>
      </c>
      <c r="M438" s="3">
        <v>45899</v>
      </c>
      <c r="N438" s="1" t="s">
        <v>57</v>
      </c>
      <c r="O438" s="1" t="s">
        <v>998</v>
      </c>
      <c r="P438" s="1">
        <v>2</v>
      </c>
    </row>
    <row r="439" spans="1:16" x14ac:dyDescent="0.25">
      <c r="A439" s="3">
        <v>45898</v>
      </c>
      <c r="B439" s="4">
        <v>3315</v>
      </c>
      <c r="C439" s="5">
        <v>14800</v>
      </c>
      <c r="D439" s="1" t="s">
        <v>1596</v>
      </c>
      <c r="E439" s="1" t="s">
        <v>1597</v>
      </c>
      <c r="F439" s="1" t="s">
        <v>66</v>
      </c>
      <c r="G439" s="1" t="s">
        <v>1029</v>
      </c>
      <c r="H439" s="3">
        <v>45918</v>
      </c>
      <c r="I439" s="1" t="s">
        <v>933</v>
      </c>
      <c r="J439" s="1" t="s">
        <v>66</v>
      </c>
      <c r="K439" s="1" t="s">
        <v>66</v>
      </c>
      <c r="L439" s="1" t="s">
        <v>1598</v>
      </c>
      <c r="M439" s="3">
        <v>45903</v>
      </c>
      <c r="N439" s="1" t="s">
        <v>821</v>
      </c>
      <c r="O439" s="1" t="s">
        <v>1031</v>
      </c>
      <c r="P439" s="1">
        <v>1</v>
      </c>
    </row>
    <row r="440" spans="1:16" x14ac:dyDescent="0.25">
      <c r="A440" s="3">
        <v>45899</v>
      </c>
      <c r="B440" s="4">
        <v>546772</v>
      </c>
      <c r="C440" s="5">
        <v>130</v>
      </c>
      <c r="D440" s="1" t="s">
        <v>1599</v>
      </c>
      <c r="E440" s="1" t="s">
        <v>1600</v>
      </c>
      <c r="F440" s="1" t="s">
        <v>955</v>
      </c>
      <c r="G440" s="1" t="s">
        <v>950</v>
      </c>
      <c r="H440" s="1" t="s">
        <v>941</v>
      </c>
      <c r="I440" s="1" t="s">
        <v>933</v>
      </c>
      <c r="J440" s="1" t="s">
        <v>951</v>
      </c>
      <c r="K440" s="1" t="s">
        <v>66</v>
      </c>
      <c r="L440" s="1" t="s">
        <v>1601</v>
      </c>
      <c r="M440" s="3">
        <v>45880</v>
      </c>
      <c r="N440" s="1" t="s">
        <v>821</v>
      </c>
      <c r="O440" s="1" t="s">
        <v>936</v>
      </c>
      <c r="P440" s="1">
        <v>1</v>
      </c>
    </row>
    <row r="441" spans="1:16" x14ac:dyDescent="0.25">
      <c r="A441" s="3">
        <v>45899</v>
      </c>
      <c r="B441" s="4">
        <v>222277</v>
      </c>
      <c r="C441" s="5">
        <v>38.5</v>
      </c>
      <c r="D441" s="1" t="s">
        <v>1340</v>
      </c>
      <c r="E441" s="1" t="s">
        <v>1341</v>
      </c>
      <c r="F441" s="1" t="s">
        <v>753</v>
      </c>
      <c r="G441" s="1" t="s">
        <v>940</v>
      </c>
      <c r="H441" s="1" t="s">
        <v>941</v>
      </c>
      <c r="I441" s="1" t="s">
        <v>933</v>
      </c>
      <c r="J441" s="1" t="s">
        <v>66</v>
      </c>
      <c r="K441" s="1" t="s">
        <v>66</v>
      </c>
      <c r="L441" s="1" t="s">
        <v>1602</v>
      </c>
      <c r="M441" s="3">
        <v>45880</v>
      </c>
      <c r="N441" s="1" t="s">
        <v>57</v>
      </c>
      <c r="O441" s="1" t="s">
        <v>1480</v>
      </c>
      <c r="P441" s="1" t="s">
        <v>937</v>
      </c>
    </row>
    <row r="442" spans="1:16" x14ac:dyDescent="0.25">
      <c r="A442" s="3">
        <v>45899</v>
      </c>
      <c r="B442" s="1">
        <v>8</v>
      </c>
      <c r="C442" s="5">
        <v>5047</v>
      </c>
      <c r="D442" s="1" t="s">
        <v>1327</v>
      </c>
      <c r="E442" s="1" t="s">
        <v>1328</v>
      </c>
      <c r="F442" s="1" t="s">
        <v>955</v>
      </c>
      <c r="G442" s="1" t="s">
        <v>940</v>
      </c>
      <c r="H442" s="3">
        <v>45920</v>
      </c>
      <c r="I442" s="1" t="s">
        <v>933</v>
      </c>
      <c r="J442" s="1" t="s">
        <v>951</v>
      </c>
      <c r="K442" s="1" t="s">
        <v>20</v>
      </c>
      <c r="L442" s="1" t="s">
        <v>1603</v>
      </c>
      <c r="M442" s="3">
        <v>45899</v>
      </c>
      <c r="N442" s="1" t="s">
        <v>821</v>
      </c>
      <c r="O442" s="1" t="s">
        <v>936</v>
      </c>
      <c r="P442" s="1" t="s">
        <v>937</v>
      </c>
    </row>
    <row r="443" spans="1:16" x14ac:dyDescent="0.25">
      <c r="A443" s="3">
        <v>45899</v>
      </c>
      <c r="B443" s="1">
        <v>7</v>
      </c>
      <c r="C443" s="5">
        <v>5178</v>
      </c>
      <c r="D443" s="1" t="s">
        <v>1327</v>
      </c>
      <c r="E443" s="1" t="s">
        <v>1328</v>
      </c>
      <c r="F443" s="1" t="s">
        <v>955</v>
      </c>
      <c r="G443" s="1" t="s">
        <v>940</v>
      </c>
      <c r="H443" s="3">
        <v>45920</v>
      </c>
      <c r="I443" s="1" t="s">
        <v>933</v>
      </c>
      <c r="J443" s="1" t="s">
        <v>951</v>
      </c>
      <c r="K443" s="1" t="s">
        <v>20</v>
      </c>
      <c r="L443" s="1" t="s">
        <v>1603</v>
      </c>
      <c r="M443" s="3">
        <v>45899</v>
      </c>
      <c r="N443" s="1" t="s">
        <v>821</v>
      </c>
      <c r="O443" s="1" t="s">
        <v>936</v>
      </c>
      <c r="P443" s="1" t="s">
        <v>937</v>
      </c>
    </row>
    <row r="444" spans="1:16" x14ac:dyDescent="0.25">
      <c r="A444" s="3">
        <v>45900</v>
      </c>
      <c r="B444" s="4">
        <v>50738894</v>
      </c>
      <c r="C444" s="5">
        <v>8824.43</v>
      </c>
      <c r="D444" s="1" t="s">
        <v>1604</v>
      </c>
      <c r="E444" s="1" t="s">
        <v>1605</v>
      </c>
      <c r="F444" s="1" t="s">
        <v>955</v>
      </c>
      <c r="G444" s="1" t="s">
        <v>950</v>
      </c>
      <c r="H444" s="3">
        <v>45915</v>
      </c>
      <c r="I444" s="1" t="s">
        <v>933</v>
      </c>
      <c r="J444" s="1" t="s">
        <v>951</v>
      </c>
      <c r="K444" s="1" t="s">
        <v>934</v>
      </c>
      <c r="L444" s="1" t="s">
        <v>1606</v>
      </c>
      <c r="M444" s="3">
        <v>45903</v>
      </c>
      <c r="N444" s="1" t="s">
        <v>821</v>
      </c>
      <c r="O444" s="1" t="s">
        <v>932</v>
      </c>
      <c r="P444" s="1">
        <v>1</v>
      </c>
    </row>
    <row r="445" spans="1:16" x14ac:dyDescent="0.25">
      <c r="A445" s="3">
        <v>45900</v>
      </c>
      <c r="B445" s="4">
        <v>53772</v>
      </c>
      <c r="C445" s="5">
        <v>11480</v>
      </c>
      <c r="D445" s="1" t="s">
        <v>973</v>
      </c>
      <c r="E445" s="1" t="s">
        <v>1068</v>
      </c>
      <c r="F445" s="1" t="s">
        <v>304</v>
      </c>
      <c r="G445" s="1" t="s">
        <v>998</v>
      </c>
      <c r="H445" s="3">
        <v>45914</v>
      </c>
      <c r="I445" s="1" t="s">
        <v>933</v>
      </c>
      <c r="J445" s="1" t="s">
        <v>66</v>
      </c>
      <c r="K445" s="1" t="s">
        <v>996</v>
      </c>
      <c r="L445" s="1">
        <v>2000</v>
      </c>
      <c r="M445" s="3">
        <v>45899</v>
      </c>
      <c r="N445" s="1" t="s">
        <v>57</v>
      </c>
      <c r="O445" s="1" t="s">
        <v>998</v>
      </c>
      <c r="P445" s="1">
        <v>1</v>
      </c>
    </row>
    <row r="446" spans="1:16" x14ac:dyDescent="0.25">
      <c r="A446" s="3">
        <v>45901</v>
      </c>
      <c r="B446" s="1">
        <v>26</v>
      </c>
      <c r="C446" s="5">
        <v>390</v>
      </c>
      <c r="D446" s="1" t="s">
        <v>1607</v>
      </c>
      <c r="E446" s="1" t="s">
        <v>1608</v>
      </c>
      <c r="F446" s="1" t="s">
        <v>955</v>
      </c>
      <c r="G446" s="1" t="s">
        <v>932</v>
      </c>
      <c r="H446" s="3">
        <v>45916</v>
      </c>
      <c r="I446" s="1" t="s">
        <v>933</v>
      </c>
      <c r="J446" s="1" t="s">
        <v>951</v>
      </c>
      <c r="K446" s="1" t="s">
        <v>20</v>
      </c>
      <c r="L446" s="1" t="s">
        <v>1609</v>
      </c>
      <c r="M446" s="3">
        <v>45905</v>
      </c>
      <c r="N446" s="1" t="s">
        <v>821</v>
      </c>
      <c r="O446" s="1" t="s">
        <v>1497</v>
      </c>
      <c r="P446" s="1" t="s">
        <v>937</v>
      </c>
    </row>
    <row r="447" spans="1:16" x14ac:dyDescent="0.25">
      <c r="A447" s="3">
        <v>45901</v>
      </c>
      <c r="B447" s="4">
        <v>3232</v>
      </c>
      <c r="C447" s="5">
        <v>135</v>
      </c>
      <c r="D447" s="1" t="s">
        <v>1134</v>
      </c>
      <c r="E447" s="1" t="s">
        <v>1282</v>
      </c>
      <c r="F447" s="1" t="s">
        <v>955</v>
      </c>
      <c r="G447" s="1" t="s">
        <v>940</v>
      </c>
      <c r="H447" s="1" t="s">
        <v>941</v>
      </c>
      <c r="I447" s="1" t="s">
        <v>933</v>
      </c>
      <c r="J447" s="1" t="s">
        <v>951</v>
      </c>
      <c r="K447" s="1" t="s">
        <v>20</v>
      </c>
      <c r="L447" s="1" t="s">
        <v>1610</v>
      </c>
      <c r="M447" s="3">
        <v>45905</v>
      </c>
      <c r="N447" s="1" t="s">
        <v>821</v>
      </c>
      <c r="O447" s="1" t="s">
        <v>936</v>
      </c>
      <c r="P447" s="1">
        <v>1</v>
      </c>
    </row>
    <row r="448" spans="1:16" x14ac:dyDescent="0.25">
      <c r="A448" s="3">
        <v>45901</v>
      </c>
      <c r="B448" s="1">
        <v>19</v>
      </c>
      <c r="C448" s="5">
        <v>100</v>
      </c>
      <c r="D448" s="1" t="s">
        <v>1611</v>
      </c>
      <c r="E448" s="1" t="s">
        <v>1612</v>
      </c>
      <c r="F448" s="1" t="s">
        <v>955</v>
      </c>
      <c r="G448" s="1" t="s">
        <v>1029</v>
      </c>
      <c r="H448" s="1" t="s">
        <v>941</v>
      </c>
      <c r="I448" s="1" t="s">
        <v>933</v>
      </c>
      <c r="J448" s="1" t="s">
        <v>951</v>
      </c>
      <c r="K448" s="1" t="s">
        <v>934</v>
      </c>
      <c r="L448" s="1" t="s">
        <v>1613</v>
      </c>
      <c r="M448" s="3">
        <v>45905</v>
      </c>
      <c r="N448" s="1" t="s">
        <v>821</v>
      </c>
      <c r="O448" s="1" t="s">
        <v>937</v>
      </c>
      <c r="P448" s="1">
        <v>2</v>
      </c>
    </row>
    <row r="449" spans="1:16" x14ac:dyDescent="0.25">
      <c r="A449" s="3">
        <v>45901</v>
      </c>
      <c r="B449" s="4">
        <v>1057</v>
      </c>
      <c r="C449" s="5">
        <v>1400</v>
      </c>
      <c r="D449" s="1" t="s">
        <v>1074</v>
      </c>
      <c r="E449" s="1" t="s">
        <v>1075</v>
      </c>
      <c r="F449" s="1" t="s">
        <v>955</v>
      </c>
      <c r="G449" s="1" t="s">
        <v>940</v>
      </c>
      <c r="H449" s="3">
        <v>45918</v>
      </c>
      <c r="I449" s="1" t="s">
        <v>933</v>
      </c>
      <c r="J449" s="1" t="s">
        <v>951</v>
      </c>
      <c r="K449" s="1" t="s">
        <v>66</v>
      </c>
      <c r="L449" s="1" t="s">
        <v>1614</v>
      </c>
      <c r="M449" s="3">
        <v>45905</v>
      </c>
      <c r="N449" s="1" t="s">
        <v>821</v>
      </c>
      <c r="O449" s="1" t="s">
        <v>936</v>
      </c>
      <c r="P449" s="1">
        <v>1</v>
      </c>
    </row>
    <row r="450" spans="1:16" x14ac:dyDescent="0.25">
      <c r="A450" s="3">
        <v>45901</v>
      </c>
      <c r="B450" s="4">
        <v>1058</v>
      </c>
      <c r="C450" s="5">
        <v>25</v>
      </c>
      <c r="D450" s="1" t="s">
        <v>1074</v>
      </c>
      <c r="E450" s="1" t="s">
        <v>1075</v>
      </c>
      <c r="F450" s="1" t="s">
        <v>955</v>
      </c>
      <c r="G450" s="1" t="s">
        <v>940</v>
      </c>
      <c r="H450" s="3">
        <v>45918</v>
      </c>
      <c r="I450" s="1" t="s">
        <v>933</v>
      </c>
      <c r="J450" s="1" t="s">
        <v>951</v>
      </c>
      <c r="K450" s="1" t="s">
        <v>66</v>
      </c>
      <c r="L450" s="1" t="s">
        <v>1615</v>
      </c>
      <c r="M450" s="3">
        <v>45905</v>
      </c>
      <c r="N450" s="1" t="s">
        <v>821</v>
      </c>
      <c r="O450" s="1" t="s">
        <v>936</v>
      </c>
      <c r="P450" s="1">
        <v>1</v>
      </c>
    </row>
    <row r="451" spans="1:16" x14ac:dyDescent="0.25">
      <c r="A451" s="3">
        <v>45901</v>
      </c>
      <c r="B451" s="4">
        <v>93562</v>
      </c>
      <c r="C451" s="5">
        <v>22600</v>
      </c>
      <c r="D451" s="1" t="s">
        <v>1094</v>
      </c>
      <c r="E451" s="1" t="s">
        <v>1095</v>
      </c>
      <c r="F451" s="1" t="s">
        <v>304</v>
      </c>
      <c r="G451" s="1" t="s">
        <v>998</v>
      </c>
      <c r="H451" s="3">
        <v>45932</v>
      </c>
      <c r="I451" s="1" t="s">
        <v>933</v>
      </c>
      <c r="J451" s="1" t="s">
        <v>66</v>
      </c>
      <c r="K451" s="1" t="s">
        <v>998</v>
      </c>
      <c r="L451" s="1">
        <v>4000</v>
      </c>
      <c r="M451" s="3">
        <v>45901</v>
      </c>
      <c r="N451" s="1" t="s">
        <v>57</v>
      </c>
      <c r="O451" s="1" t="s">
        <v>998</v>
      </c>
      <c r="P451" s="1">
        <v>1</v>
      </c>
    </row>
    <row r="452" spans="1:16" x14ac:dyDescent="0.25">
      <c r="A452" s="3">
        <v>45901</v>
      </c>
      <c r="B452" s="4">
        <v>5456</v>
      </c>
      <c r="C452" s="5">
        <v>2700</v>
      </c>
      <c r="D452" s="1" t="s">
        <v>1106</v>
      </c>
      <c r="E452" s="1" t="s">
        <v>1107</v>
      </c>
      <c r="F452" s="1" t="s">
        <v>955</v>
      </c>
      <c r="G452" s="1" t="s">
        <v>932</v>
      </c>
      <c r="H452" s="3">
        <v>45915</v>
      </c>
      <c r="I452" s="1" t="s">
        <v>933</v>
      </c>
      <c r="J452" s="1" t="s">
        <v>951</v>
      </c>
      <c r="K452" s="1" t="s">
        <v>340</v>
      </c>
      <c r="L452" s="1" t="s">
        <v>1616</v>
      </c>
      <c r="M452" s="3">
        <v>45906</v>
      </c>
      <c r="N452" s="1" t="s">
        <v>821</v>
      </c>
      <c r="O452" s="1" t="s">
        <v>932</v>
      </c>
      <c r="P452" s="1">
        <v>1</v>
      </c>
    </row>
    <row r="453" spans="1:16" x14ac:dyDescent="0.25">
      <c r="A453" s="3">
        <v>45901</v>
      </c>
      <c r="B453" s="4">
        <v>2787</v>
      </c>
      <c r="C453" s="5">
        <v>4953</v>
      </c>
      <c r="D453" s="1" t="s">
        <v>1206</v>
      </c>
      <c r="E453" s="1" t="s">
        <v>1207</v>
      </c>
      <c r="F453" s="1" t="s">
        <v>955</v>
      </c>
      <c r="G453" s="1" t="s">
        <v>940</v>
      </c>
      <c r="H453" s="3">
        <v>45915</v>
      </c>
      <c r="I453" s="1" t="s">
        <v>933</v>
      </c>
      <c r="J453" s="1" t="s">
        <v>951</v>
      </c>
      <c r="K453" s="1" t="s">
        <v>20</v>
      </c>
      <c r="L453" s="1" t="s">
        <v>1617</v>
      </c>
      <c r="M453" s="3">
        <v>45905</v>
      </c>
      <c r="N453" s="1" t="s">
        <v>821</v>
      </c>
      <c r="O453" s="1" t="s">
        <v>936</v>
      </c>
      <c r="P453" s="1">
        <v>1</v>
      </c>
    </row>
    <row r="454" spans="1:16" x14ac:dyDescent="0.25">
      <c r="A454" s="3">
        <v>45901</v>
      </c>
      <c r="B454" s="4">
        <v>2786</v>
      </c>
      <c r="C454" s="5">
        <v>6192</v>
      </c>
      <c r="D454" s="1" t="s">
        <v>1206</v>
      </c>
      <c r="E454" s="1" t="s">
        <v>1207</v>
      </c>
      <c r="F454" s="1" t="s">
        <v>955</v>
      </c>
      <c r="G454" s="1" t="s">
        <v>940</v>
      </c>
      <c r="H454" s="3">
        <v>45915</v>
      </c>
      <c r="I454" s="1" t="s">
        <v>933</v>
      </c>
      <c r="J454" s="1" t="s">
        <v>951</v>
      </c>
      <c r="K454" s="1" t="s">
        <v>20</v>
      </c>
      <c r="L454" s="1" t="s">
        <v>1617</v>
      </c>
      <c r="M454" s="3">
        <v>45905</v>
      </c>
      <c r="N454" s="1" t="s">
        <v>821</v>
      </c>
      <c r="O454" s="1" t="s">
        <v>936</v>
      </c>
      <c r="P454" s="1">
        <v>1</v>
      </c>
    </row>
    <row r="455" spans="1:16" x14ac:dyDescent="0.25">
      <c r="A455" s="3">
        <v>45901</v>
      </c>
      <c r="B455" s="4">
        <v>2785</v>
      </c>
      <c r="C455" s="5">
        <v>6192</v>
      </c>
      <c r="D455" s="1" t="s">
        <v>1206</v>
      </c>
      <c r="E455" s="1" t="s">
        <v>1207</v>
      </c>
      <c r="F455" s="1" t="s">
        <v>955</v>
      </c>
      <c r="G455" s="1" t="s">
        <v>940</v>
      </c>
      <c r="H455" s="3">
        <v>45915</v>
      </c>
      <c r="I455" s="1" t="s">
        <v>933</v>
      </c>
      <c r="J455" s="1" t="s">
        <v>951</v>
      </c>
      <c r="K455" s="1" t="s">
        <v>20</v>
      </c>
      <c r="L455" s="1" t="s">
        <v>1617</v>
      </c>
      <c r="M455" s="3">
        <v>45905</v>
      </c>
      <c r="N455" s="1" t="s">
        <v>821</v>
      </c>
      <c r="O455" s="1" t="s">
        <v>936</v>
      </c>
      <c r="P455" s="1">
        <v>1</v>
      </c>
    </row>
    <row r="456" spans="1:16" x14ac:dyDescent="0.25">
      <c r="A456" s="3">
        <v>45901</v>
      </c>
      <c r="B456" s="4">
        <v>2784</v>
      </c>
      <c r="C456" s="5">
        <v>4953.6000000000004</v>
      </c>
      <c r="D456" s="1" t="s">
        <v>1206</v>
      </c>
      <c r="E456" s="1" t="s">
        <v>1207</v>
      </c>
      <c r="F456" s="1" t="s">
        <v>955</v>
      </c>
      <c r="G456" s="1" t="s">
        <v>940</v>
      </c>
      <c r="H456" s="3">
        <v>45915</v>
      </c>
      <c r="I456" s="1" t="s">
        <v>933</v>
      </c>
      <c r="J456" s="1" t="s">
        <v>951</v>
      </c>
      <c r="K456" s="1" t="s">
        <v>20</v>
      </c>
      <c r="L456" s="1" t="s">
        <v>1617</v>
      </c>
      <c r="M456" s="3">
        <v>45905</v>
      </c>
      <c r="N456" s="1" t="s">
        <v>821</v>
      </c>
      <c r="O456" s="1" t="s">
        <v>936</v>
      </c>
      <c r="P456" s="1">
        <v>1</v>
      </c>
    </row>
    <row r="457" spans="1:16" x14ac:dyDescent="0.25">
      <c r="A457" s="3">
        <v>45901</v>
      </c>
      <c r="B457" s="4">
        <v>2783</v>
      </c>
      <c r="C457" s="5">
        <v>6450</v>
      </c>
      <c r="D457" s="1" t="s">
        <v>1206</v>
      </c>
      <c r="E457" s="1" t="s">
        <v>1207</v>
      </c>
      <c r="F457" s="1" t="s">
        <v>955</v>
      </c>
      <c r="G457" s="1" t="s">
        <v>940</v>
      </c>
      <c r="H457" s="3">
        <v>45915</v>
      </c>
      <c r="I457" s="1" t="s">
        <v>933</v>
      </c>
      <c r="J457" s="1" t="s">
        <v>951</v>
      </c>
      <c r="K457" s="1" t="s">
        <v>20</v>
      </c>
      <c r="L457" s="1" t="s">
        <v>1617</v>
      </c>
      <c r="M457" s="3">
        <v>45905</v>
      </c>
      <c r="N457" s="1" t="s">
        <v>821</v>
      </c>
      <c r="O457" s="1" t="s">
        <v>936</v>
      </c>
      <c r="P457" s="1">
        <v>1</v>
      </c>
    </row>
    <row r="458" spans="1:16" x14ac:dyDescent="0.25">
      <c r="A458" s="3">
        <v>45901</v>
      </c>
      <c r="B458" s="4">
        <v>2788</v>
      </c>
      <c r="C458" s="5">
        <v>3715.2</v>
      </c>
      <c r="D458" s="1" t="s">
        <v>1206</v>
      </c>
      <c r="E458" s="1" t="s">
        <v>1207</v>
      </c>
      <c r="F458" s="1" t="s">
        <v>955</v>
      </c>
      <c r="G458" s="1" t="s">
        <v>940</v>
      </c>
      <c r="H458" s="3">
        <v>45915</v>
      </c>
      <c r="I458" s="1" t="s">
        <v>933</v>
      </c>
      <c r="J458" s="1"/>
      <c r="K458" s="1" t="s">
        <v>20</v>
      </c>
      <c r="L458" s="1" t="s">
        <v>1617</v>
      </c>
      <c r="M458" s="3">
        <v>45905</v>
      </c>
      <c r="N458" s="1"/>
      <c r="O458" s="1"/>
      <c r="P458" s="1"/>
    </row>
    <row r="459" spans="1:16" x14ac:dyDescent="0.25">
      <c r="A459" s="3">
        <v>45901</v>
      </c>
      <c r="B459" s="4">
        <v>2782</v>
      </c>
      <c r="C459" s="5">
        <v>6192</v>
      </c>
      <c r="D459" s="1" t="s">
        <v>1206</v>
      </c>
      <c r="E459" s="1" t="s">
        <v>1207</v>
      </c>
      <c r="F459" s="1" t="s">
        <v>955</v>
      </c>
      <c r="G459" s="1" t="s">
        <v>940</v>
      </c>
      <c r="H459" s="3">
        <v>45915</v>
      </c>
      <c r="I459" s="1" t="s">
        <v>933</v>
      </c>
      <c r="J459" s="1" t="s">
        <v>951</v>
      </c>
      <c r="K459" s="1" t="s">
        <v>20</v>
      </c>
      <c r="L459" s="1" t="s">
        <v>1617</v>
      </c>
      <c r="M459" s="3">
        <v>45905</v>
      </c>
      <c r="N459" s="1" t="s">
        <v>821</v>
      </c>
      <c r="O459" s="1" t="s">
        <v>936</v>
      </c>
      <c r="P459" s="1">
        <v>1</v>
      </c>
    </row>
    <row r="460" spans="1:16" x14ac:dyDescent="0.25">
      <c r="A460" s="3">
        <v>45901</v>
      </c>
      <c r="B460" s="1">
        <v>198</v>
      </c>
      <c r="C460" s="5">
        <v>8400</v>
      </c>
      <c r="D460" s="1" t="s">
        <v>1358</v>
      </c>
      <c r="E460" s="1" t="s">
        <v>1618</v>
      </c>
      <c r="F460" s="1" t="s">
        <v>66</v>
      </c>
      <c r="G460" s="1" t="s">
        <v>1029</v>
      </c>
      <c r="H460" s="3">
        <v>45919</v>
      </c>
      <c r="I460" s="1" t="s">
        <v>933</v>
      </c>
      <c r="J460" s="1" t="s">
        <v>66</v>
      </c>
      <c r="K460" s="1" t="s">
        <v>659</v>
      </c>
      <c r="L460" s="1" t="s">
        <v>1619</v>
      </c>
      <c r="M460" s="3">
        <v>45905</v>
      </c>
      <c r="N460" s="1" t="s">
        <v>821</v>
      </c>
      <c r="O460" s="1" t="s">
        <v>936</v>
      </c>
      <c r="P460" s="1">
        <v>1</v>
      </c>
    </row>
    <row r="461" spans="1:16" x14ac:dyDescent="0.25">
      <c r="A461" s="3">
        <v>45902</v>
      </c>
      <c r="B461" s="4">
        <v>1031</v>
      </c>
      <c r="C461" s="5">
        <v>30170</v>
      </c>
      <c r="D461" s="1" t="s">
        <v>1126</v>
      </c>
      <c r="E461" s="1" t="s">
        <v>1620</v>
      </c>
      <c r="F461" s="1" t="s">
        <v>949</v>
      </c>
      <c r="G461" s="1" t="s">
        <v>1621</v>
      </c>
      <c r="H461" s="3">
        <v>45917</v>
      </c>
      <c r="I461" s="1" t="s">
        <v>933</v>
      </c>
      <c r="J461" s="1" t="s">
        <v>951</v>
      </c>
      <c r="K461" s="1" t="s">
        <v>340</v>
      </c>
      <c r="L461" s="1" t="s">
        <v>1622</v>
      </c>
      <c r="M461" s="3">
        <v>45906</v>
      </c>
      <c r="N461" s="1" t="s">
        <v>821</v>
      </c>
      <c r="O461" s="1" t="s">
        <v>936</v>
      </c>
      <c r="P461" s="1">
        <v>1</v>
      </c>
    </row>
    <row r="462" spans="1:16" x14ac:dyDescent="0.25">
      <c r="A462" s="3">
        <v>45902</v>
      </c>
      <c r="B462" s="4">
        <v>1063</v>
      </c>
      <c r="C462" s="5">
        <v>230</v>
      </c>
      <c r="D462" s="1" t="s">
        <v>1074</v>
      </c>
      <c r="E462" s="1" t="s">
        <v>1075</v>
      </c>
      <c r="F462" s="1" t="s">
        <v>451</v>
      </c>
      <c r="G462" s="1" t="s">
        <v>1058</v>
      </c>
      <c r="H462" s="3">
        <v>45924</v>
      </c>
      <c r="I462" s="1" t="s">
        <v>933</v>
      </c>
      <c r="J462" s="1" t="s">
        <v>66</v>
      </c>
      <c r="K462" s="1" t="s">
        <v>66</v>
      </c>
      <c r="L462" s="1" t="s">
        <v>1058</v>
      </c>
      <c r="M462" s="3">
        <v>45912</v>
      </c>
      <c r="N462" s="1" t="s">
        <v>212</v>
      </c>
      <c r="O462" s="1" t="s">
        <v>936</v>
      </c>
      <c r="P462" s="1">
        <v>1</v>
      </c>
    </row>
    <row r="463" spans="1:16" x14ac:dyDescent="0.25">
      <c r="A463" s="3">
        <v>45903</v>
      </c>
      <c r="B463" s="1">
        <v>12</v>
      </c>
      <c r="C463" s="5">
        <v>3000</v>
      </c>
      <c r="D463" s="1" t="s">
        <v>1623</v>
      </c>
      <c r="E463" s="1" t="s">
        <v>1377</v>
      </c>
      <c r="F463" s="1" t="s">
        <v>955</v>
      </c>
      <c r="G463" s="1" t="s">
        <v>940</v>
      </c>
      <c r="H463" s="3">
        <v>45918</v>
      </c>
      <c r="I463" s="1" t="s">
        <v>933</v>
      </c>
      <c r="J463" s="1" t="s">
        <v>951</v>
      </c>
      <c r="K463" s="1" t="s">
        <v>20</v>
      </c>
      <c r="L463" s="1" t="s">
        <v>1624</v>
      </c>
      <c r="M463" s="3">
        <v>45905</v>
      </c>
      <c r="N463" s="1" t="s">
        <v>821</v>
      </c>
      <c r="O463" s="1" t="s">
        <v>936</v>
      </c>
      <c r="P463" s="1">
        <v>1</v>
      </c>
    </row>
    <row r="464" spans="1:16" x14ac:dyDescent="0.25">
      <c r="A464" s="3">
        <v>45903</v>
      </c>
      <c r="B464" s="1">
        <v>45</v>
      </c>
      <c r="C464" s="5">
        <v>1280</v>
      </c>
      <c r="D464" s="1" t="s">
        <v>1370</v>
      </c>
      <c r="E464" s="1" t="s">
        <v>1371</v>
      </c>
      <c r="F464" s="1" t="s">
        <v>955</v>
      </c>
      <c r="G464" s="1" t="s">
        <v>990</v>
      </c>
      <c r="H464" s="1" t="s">
        <v>1625</v>
      </c>
      <c r="I464" s="1" t="s">
        <v>933</v>
      </c>
      <c r="J464" s="1" t="s">
        <v>951</v>
      </c>
      <c r="K464" s="1" t="s">
        <v>340</v>
      </c>
      <c r="L464" s="1" t="s">
        <v>1626</v>
      </c>
      <c r="M464" s="3">
        <v>45901</v>
      </c>
      <c r="N464" s="1" t="s">
        <v>821</v>
      </c>
      <c r="O464" s="1" t="s">
        <v>936</v>
      </c>
      <c r="P464" s="1" t="s">
        <v>937</v>
      </c>
    </row>
    <row r="465" spans="1:16" x14ac:dyDescent="0.25">
      <c r="A465" s="3">
        <v>45903</v>
      </c>
      <c r="B465" s="1">
        <v>43</v>
      </c>
      <c r="C465" s="5">
        <v>1280</v>
      </c>
      <c r="D465" s="1" t="s">
        <v>1370</v>
      </c>
      <c r="E465" s="1" t="s">
        <v>1371</v>
      </c>
      <c r="F465" s="1" t="s">
        <v>955</v>
      </c>
      <c r="G465" s="1" t="s">
        <v>990</v>
      </c>
      <c r="H465" s="1" t="s">
        <v>941</v>
      </c>
      <c r="I465" s="1" t="s">
        <v>933</v>
      </c>
      <c r="J465" s="1" t="s">
        <v>951</v>
      </c>
      <c r="K465" s="1" t="s">
        <v>340</v>
      </c>
      <c r="L465" s="1" t="s">
        <v>1626</v>
      </c>
      <c r="M465" s="3">
        <v>45901</v>
      </c>
      <c r="N465" s="1" t="s">
        <v>821</v>
      </c>
      <c r="O465" s="1" t="s">
        <v>936</v>
      </c>
      <c r="P465" s="1" t="s">
        <v>937</v>
      </c>
    </row>
    <row r="466" spans="1:16" x14ac:dyDescent="0.25">
      <c r="A466" s="3">
        <v>45903</v>
      </c>
      <c r="B466" s="4">
        <v>811139</v>
      </c>
      <c r="C466" s="5">
        <v>306.27</v>
      </c>
      <c r="D466" s="1" t="s">
        <v>1174</v>
      </c>
      <c r="E466" s="1" t="s">
        <v>1314</v>
      </c>
      <c r="F466" s="1" t="s">
        <v>66</v>
      </c>
      <c r="G466" s="1" t="s">
        <v>940</v>
      </c>
      <c r="H466" s="1" t="s">
        <v>941</v>
      </c>
      <c r="I466" s="1" t="s">
        <v>933</v>
      </c>
      <c r="J466" s="1" t="s">
        <v>66</v>
      </c>
      <c r="K466" s="1" t="s">
        <v>340</v>
      </c>
      <c r="L466" s="1" t="s">
        <v>1627</v>
      </c>
      <c r="M466" s="3">
        <v>45901</v>
      </c>
      <c r="N466" s="1" t="s">
        <v>821</v>
      </c>
      <c r="O466" s="1" t="s">
        <v>936</v>
      </c>
      <c r="P466" s="1">
        <v>1</v>
      </c>
    </row>
    <row r="467" spans="1:16" x14ac:dyDescent="0.25">
      <c r="A467" s="3">
        <v>45903</v>
      </c>
      <c r="B467" s="4">
        <v>22501</v>
      </c>
      <c r="C467" s="5">
        <v>876.54</v>
      </c>
      <c r="D467" s="1" t="s">
        <v>1319</v>
      </c>
      <c r="E467" s="1" t="s">
        <v>1320</v>
      </c>
      <c r="F467" s="1" t="s">
        <v>955</v>
      </c>
      <c r="G467" s="1" t="s">
        <v>990</v>
      </c>
      <c r="H467" s="3">
        <v>45915</v>
      </c>
      <c r="I467" s="1" t="s">
        <v>933</v>
      </c>
      <c r="J467" s="1" t="s">
        <v>951</v>
      </c>
      <c r="K467" s="1" t="s">
        <v>20</v>
      </c>
      <c r="L467" s="1" t="s">
        <v>1628</v>
      </c>
      <c r="M467" s="3">
        <v>45878</v>
      </c>
      <c r="N467" s="1" t="s">
        <v>821</v>
      </c>
      <c r="O467" s="1" t="s">
        <v>936</v>
      </c>
      <c r="P467" s="1">
        <v>1</v>
      </c>
    </row>
    <row r="468" spans="1:16" x14ac:dyDescent="0.25">
      <c r="A468" s="3">
        <v>45903</v>
      </c>
      <c r="B468" s="4">
        <v>147175</v>
      </c>
      <c r="C468" s="5">
        <v>426.45</v>
      </c>
      <c r="D468" s="1" t="s">
        <v>1492</v>
      </c>
      <c r="E468" s="1" t="s">
        <v>1493</v>
      </c>
      <c r="F468" s="1" t="s">
        <v>121</v>
      </c>
      <c r="G468" s="1" t="s">
        <v>940</v>
      </c>
      <c r="H468" s="3">
        <v>45933</v>
      </c>
      <c r="I468" s="1" t="s">
        <v>933</v>
      </c>
      <c r="J468" s="1" t="s">
        <v>66</v>
      </c>
      <c r="K468" s="1" t="s">
        <v>100</v>
      </c>
      <c r="L468" s="1" t="s">
        <v>1629</v>
      </c>
      <c r="M468" s="3">
        <v>45905</v>
      </c>
      <c r="N468" s="1" t="s">
        <v>50</v>
      </c>
      <c r="O468" s="1" t="s">
        <v>936</v>
      </c>
      <c r="P468" s="1">
        <v>1</v>
      </c>
    </row>
    <row r="469" spans="1:16" x14ac:dyDescent="0.25">
      <c r="A469" s="3">
        <v>45904</v>
      </c>
      <c r="B469" s="1">
        <v>2792</v>
      </c>
      <c r="C469" s="5">
        <v>4334</v>
      </c>
      <c r="D469" s="1" t="s">
        <v>1206</v>
      </c>
      <c r="E469" s="1" t="s">
        <v>1207</v>
      </c>
      <c r="F469" s="1" t="s">
        <v>955</v>
      </c>
      <c r="G469" s="1" t="s">
        <v>940</v>
      </c>
      <c r="H469" s="3">
        <v>45918</v>
      </c>
      <c r="I469" s="1" t="s">
        <v>933</v>
      </c>
      <c r="J469" s="1" t="s">
        <v>951</v>
      </c>
      <c r="K469" s="1" t="s">
        <v>20</v>
      </c>
      <c r="L469" s="1" t="s">
        <v>1617</v>
      </c>
      <c r="M469" s="3">
        <v>45878</v>
      </c>
      <c r="N469" s="1" t="s">
        <v>821</v>
      </c>
      <c r="O469" s="1" t="s">
        <v>936</v>
      </c>
      <c r="P469" s="1" t="e">
        <v>#REF!</v>
      </c>
    </row>
    <row r="470" spans="1:16" x14ac:dyDescent="0.25">
      <c r="A470" s="3">
        <v>45904</v>
      </c>
      <c r="B470" s="4">
        <v>4260</v>
      </c>
      <c r="C470" s="5">
        <v>3250</v>
      </c>
      <c r="D470" s="1" t="s">
        <v>938</v>
      </c>
      <c r="E470" s="1" t="s">
        <v>939</v>
      </c>
      <c r="F470" s="1" t="s">
        <v>949</v>
      </c>
      <c r="G470" s="1" t="s">
        <v>940</v>
      </c>
      <c r="H470" s="3">
        <v>45934</v>
      </c>
      <c r="I470" s="1" t="s">
        <v>933</v>
      </c>
      <c r="J470" s="1" t="s">
        <v>951</v>
      </c>
      <c r="K470" s="1" t="s">
        <v>817</v>
      </c>
      <c r="L470" s="1" t="s">
        <v>1630</v>
      </c>
      <c r="M470" s="3">
        <v>45905</v>
      </c>
      <c r="N470" s="1" t="s">
        <v>821</v>
      </c>
      <c r="O470" s="1" t="s">
        <v>936</v>
      </c>
      <c r="P470" s="1">
        <v>1</v>
      </c>
    </row>
    <row r="471" spans="1:16" x14ac:dyDescent="0.25">
      <c r="A471" s="3">
        <v>45904</v>
      </c>
      <c r="B471" s="4">
        <v>70659</v>
      </c>
      <c r="C471" s="5">
        <v>2023.13</v>
      </c>
      <c r="D471" s="1" t="s">
        <v>1253</v>
      </c>
      <c r="E471" s="1" t="s">
        <v>1487</v>
      </c>
      <c r="F471" s="1" t="s">
        <v>650</v>
      </c>
      <c r="G471" s="1" t="s">
        <v>940</v>
      </c>
      <c r="H471" s="3">
        <v>45936</v>
      </c>
      <c r="I471" s="1" t="s">
        <v>933</v>
      </c>
      <c r="J471" s="1" t="s">
        <v>66</v>
      </c>
      <c r="K471" s="1" t="s">
        <v>340</v>
      </c>
      <c r="L471" s="1" t="s">
        <v>1631</v>
      </c>
      <c r="M471" s="3">
        <v>45908</v>
      </c>
      <c r="N471" s="1" t="s">
        <v>57</v>
      </c>
      <c r="O471" s="1" t="s">
        <v>936</v>
      </c>
      <c r="P471" s="1">
        <v>1</v>
      </c>
    </row>
    <row r="472" spans="1:16" x14ac:dyDescent="0.25">
      <c r="A472" s="3">
        <v>45904</v>
      </c>
      <c r="B472" s="4">
        <v>70658</v>
      </c>
      <c r="C472" s="5">
        <v>2063.6999999999998</v>
      </c>
      <c r="D472" s="1" t="s">
        <v>1253</v>
      </c>
      <c r="E472" s="1" t="s">
        <v>1487</v>
      </c>
      <c r="F472" s="1" t="s">
        <v>647</v>
      </c>
      <c r="G472" s="1" t="s">
        <v>940</v>
      </c>
      <c r="H472" s="3">
        <v>45936</v>
      </c>
      <c r="I472" s="1" t="s">
        <v>933</v>
      </c>
      <c r="J472" s="1" t="s">
        <v>66</v>
      </c>
      <c r="K472" s="1" t="s">
        <v>340</v>
      </c>
      <c r="L472" s="1" t="s">
        <v>1632</v>
      </c>
      <c r="M472" s="3">
        <v>45908</v>
      </c>
      <c r="N472" s="1" t="s">
        <v>57</v>
      </c>
      <c r="O472" s="1" t="s">
        <v>936</v>
      </c>
      <c r="P472" s="1">
        <v>1</v>
      </c>
    </row>
    <row r="473" spans="1:16" x14ac:dyDescent="0.25">
      <c r="A473" s="3">
        <v>45904</v>
      </c>
      <c r="B473" s="1">
        <v>31</v>
      </c>
      <c r="C473" s="5">
        <v>3100</v>
      </c>
      <c r="D473" s="1" t="s">
        <v>1197</v>
      </c>
      <c r="E473" s="1" t="s">
        <v>1198</v>
      </c>
      <c r="F473" s="1" t="s">
        <v>650</v>
      </c>
      <c r="G473" s="1" t="s">
        <v>940</v>
      </c>
      <c r="H473" s="3">
        <v>45919</v>
      </c>
      <c r="I473" s="1" t="s">
        <v>933</v>
      </c>
      <c r="J473" s="1" t="s">
        <v>66</v>
      </c>
      <c r="K473" s="1" t="s">
        <v>340</v>
      </c>
      <c r="L473" s="1" t="s">
        <v>1633</v>
      </c>
      <c r="M473" s="3">
        <v>45908</v>
      </c>
      <c r="N473" s="1" t="s">
        <v>57</v>
      </c>
      <c r="O473" s="1" t="s">
        <v>936</v>
      </c>
      <c r="P473" s="1">
        <v>1</v>
      </c>
    </row>
    <row r="474" spans="1:16" x14ac:dyDescent="0.25">
      <c r="A474" s="3">
        <v>45904</v>
      </c>
      <c r="B474" s="4">
        <v>93593</v>
      </c>
      <c r="C474" s="5">
        <v>22600</v>
      </c>
      <c r="D474" s="1" t="s">
        <v>1094</v>
      </c>
      <c r="E474" s="1" t="s">
        <v>1095</v>
      </c>
      <c r="F474" s="1" t="s">
        <v>304</v>
      </c>
      <c r="G474" s="1" t="s">
        <v>998</v>
      </c>
      <c r="H474" s="3">
        <v>45936</v>
      </c>
      <c r="I474" s="1" t="s">
        <v>933</v>
      </c>
      <c r="J474" s="1" t="s">
        <v>66</v>
      </c>
      <c r="K474" s="1" t="s">
        <v>998</v>
      </c>
      <c r="L474" s="1">
        <v>4000</v>
      </c>
      <c r="M474" s="3">
        <v>45908</v>
      </c>
      <c r="N474" s="1" t="s">
        <v>57</v>
      </c>
      <c r="O474" s="1" t="s">
        <v>998</v>
      </c>
      <c r="P474" s="1">
        <v>1</v>
      </c>
    </row>
    <row r="475" spans="1:16" x14ac:dyDescent="0.25">
      <c r="A475" s="3">
        <v>45904</v>
      </c>
      <c r="B475" s="4">
        <v>2792</v>
      </c>
      <c r="C475" s="5">
        <v>4334.3999999999996</v>
      </c>
      <c r="D475" s="1" t="s">
        <v>1206</v>
      </c>
      <c r="E475" s="1" t="s">
        <v>1207</v>
      </c>
      <c r="F475" s="1" t="s">
        <v>659</v>
      </c>
      <c r="G475" s="1" t="s">
        <v>940</v>
      </c>
      <c r="H475" s="3">
        <v>45918</v>
      </c>
      <c r="I475" s="1" t="s">
        <v>933</v>
      </c>
      <c r="J475" s="1" t="s">
        <v>951</v>
      </c>
      <c r="K475" s="1" t="s">
        <v>20</v>
      </c>
      <c r="L475" s="1" t="s">
        <v>1634</v>
      </c>
      <c r="M475" s="3">
        <v>45910</v>
      </c>
      <c r="N475" s="1"/>
      <c r="O475" s="1" t="s">
        <v>936</v>
      </c>
      <c r="P475" s="1">
        <v>2</v>
      </c>
    </row>
    <row r="476" spans="1:16" x14ac:dyDescent="0.25">
      <c r="A476" s="3">
        <v>45904</v>
      </c>
      <c r="B476" s="4">
        <v>54084</v>
      </c>
      <c r="C476" s="5">
        <v>1063.74</v>
      </c>
      <c r="D476" s="1" t="s">
        <v>973</v>
      </c>
      <c r="E476" s="1" t="s">
        <v>1068</v>
      </c>
      <c r="F476" s="1" t="s">
        <v>955</v>
      </c>
      <c r="G476" s="1" t="s">
        <v>998</v>
      </c>
      <c r="H476" s="3">
        <v>45919</v>
      </c>
      <c r="I476" s="1" t="s">
        <v>933</v>
      </c>
      <c r="J476" s="1" t="s">
        <v>951</v>
      </c>
      <c r="K476" s="1" t="s">
        <v>996</v>
      </c>
      <c r="L476" s="1" t="s">
        <v>1635</v>
      </c>
      <c r="M476" s="3">
        <v>45908</v>
      </c>
      <c r="N476" s="1" t="s">
        <v>821</v>
      </c>
      <c r="O476" s="1" t="s">
        <v>998</v>
      </c>
      <c r="P476" s="1">
        <v>2</v>
      </c>
    </row>
    <row r="477" spans="1:16" x14ac:dyDescent="0.25">
      <c r="A477" s="3">
        <v>45904</v>
      </c>
      <c r="B477" s="4">
        <v>70657</v>
      </c>
      <c r="C477" s="5">
        <v>3029.6</v>
      </c>
      <c r="D477" s="1" t="s">
        <v>1253</v>
      </c>
      <c r="E477" s="1" t="s">
        <v>1487</v>
      </c>
      <c r="F477" s="1" t="s">
        <v>650</v>
      </c>
      <c r="G477" s="1" t="s">
        <v>1254</v>
      </c>
      <c r="H477" s="3">
        <v>45936</v>
      </c>
      <c r="I477" s="1" t="s">
        <v>933</v>
      </c>
      <c r="J477" s="1" t="s">
        <v>66</v>
      </c>
      <c r="K477" s="1" t="s">
        <v>340</v>
      </c>
      <c r="L477" s="1" t="s">
        <v>1636</v>
      </c>
      <c r="M477" s="3">
        <v>45910</v>
      </c>
      <c r="N477" s="1" t="s">
        <v>57</v>
      </c>
      <c r="O477" s="1" t="s">
        <v>936</v>
      </c>
      <c r="P477" s="1">
        <v>1</v>
      </c>
    </row>
    <row r="478" spans="1:16" x14ac:dyDescent="0.25">
      <c r="A478" s="3">
        <v>45904</v>
      </c>
      <c r="B478" s="4">
        <v>50242</v>
      </c>
      <c r="C478" s="5">
        <v>4640</v>
      </c>
      <c r="D478" s="1" t="s">
        <v>1637</v>
      </c>
      <c r="E478" s="1" t="s">
        <v>1638</v>
      </c>
      <c r="F478" s="1" t="s">
        <v>594</v>
      </c>
      <c r="G478" s="1" t="s">
        <v>940</v>
      </c>
      <c r="H478" s="3">
        <v>45933</v>
      </c>
      <c r="I478" s="1" t="s">
        <v>933</v>
      </c>
      <c r="J478" s="1" t="s">
        <v>66</v>
      </c>
      <c r="K478" s="1" t="s">
        <v>1639</v>
      </c>
      <c r="L478" s="1" t="s">
        <v>1640</v>
      </c>
      <c r="M478" s="3">
        <v>45912</v>
      </c>
      <c r="N478" s="1" t="s">
        <v>57</v>
      </c>
      <c r="O478" s="1" t="s">
        <v>936</v>
      </c>
      <c r="P478" s="1">
        <v>1</v>
      </c>
    </row>
    <row r="479" spans="1:16" x14ac:dyDescent="0.25">
      <c r="A479" s="3">
        <v>45904</v>
      </c>
      <c r="B479" s="1">
        <v>33</v>
      </c>
      <c r="C479" s="5">
        <v>1100</v>
      </c>
      <c r="D479" s="1" t="s">
        <v>1197</v>
      </c>
      <c r="E479" s="1" t="s">
        <v>1198</v>
      </c>
      <c r="F479" s="1" t="s">
        <v>710</v>
      </c>
      <c r="G479" s="1" t="s">
        <v>940</v>
      </c>
      <c r="H479" s="3">
        <v>45926</v>
      </c>
      <c r="I479" s="1" t="s">
        <v>933</v>
      </c>
      <c r="J479" s="1" t="s">
        <v>66</v>
      </c>
      <c r="K479" s="1" t="s">
        <v>340</v>
      </c>
      <c r="L479" s="1" t="s">
        <v>1641</v>
      </c>
      <c r="M479" s="3">
        <v>45912</v>
      </c>
      <c r="N479" s="1"/>
      <c r="O479" s="1" t="s">
        <v>936</v>
      </c>
      <c r="P479" s="1">
        <v>1</v>
      </c>
    </row>
    <row r="480" spans="1:16" x14ac:dyDescent="0.25">
      <c r="A480" s="3">
        <v>45904</v>
      </c>
      <c r="B480" s="4">
        <v>130225</v>
      </c>
      <c r="C480" s="5">
        <v>6.5</v>
      </c>
      <c r="D480" s="1" t="s">
        <v>1642</v>
      </c>
      <c r="E480" s="1" t="s">
        <v>1643</v>
      </c>
      <c r="F480" s="1" t="s">
        <v>955</v>
      </c>
      <c r="G480" s="1" t="s">
        <v>1644</v>
      </c>
      <c r="H480" s="1" t="s">
        <v>941</v>
      </c>
      <c r="I480" s="1" t="s">
        <v>933</v>
      </c>
      <c r="J480" s="1" t="s">
        <v>951</v>
      </c>
      <c r="K480" s="1" t="s">
        <v>66</v>
      </c>
      <c r="L480" s="1" t="s">
        <v>1645</v>
      </c>
      <c r="M480" s="3">
        <v>45923</v>
      </c>
      <c r="N480" s="1" t="s">
        <v>821</v>
      </c>
      <c r="O480" s="1" t="s">
        <v>936</v>
      </c>
      <c r="P480" s="1">
        <v>1</v>
      </c>
    </row>
    <row r="481" spans="1:16" x14ac:dyDescent="0.25">
      <c r="A481" s="3">
        <v>45904</v>
      </c>
      <c r="B481" s="4">
        <v>190484</v>
      </c>
      <c r="C481" s="5">
        <v>8.9</v>
      </c>
      <c r="D481" s="1" t="s">
        <v>1642</v>
      </c>
      <c r="E481" s="1" t="s">
        <v>1646</v>
      </c>
      <c r="F481" s="1" t="s">
        <v>955</v>
      </c>
      <c r="G481" s="1" t="s">
        <v>1644</v>
      </c>
      <c r="H481" s="1" t="s">
        <v>941</v>
      </c>
      <c r="I481" s="1" t="s">
        <v>933</v>
      </c>
      <c r="J481" s="1" t="s">
        <v>951</v>
      </c>
      <c r="K481" s="1" t="s">
        <v>66</v>
      </c>
      <c r="L481" s="1" t="s">
        <v>1645</v>
      </c>
      <c r="M481" s="3">
        <v>45923</v>
      </c>
      <c r="N481" s="1" t="s">
        <v>821</v>
      </c>
      <c r="O481" s="1" t="s">
        <v>936</v>
      </c>
      <c r="P481" s="1">
        <v>1</v>
      </c>
    </row>
    <row r="482" spans="1:16" x14ac:dyDescent="0.25">
      <c r="A482" s="3">
        <v>45905</v>
      </c>
      <c r="B482" s="1">
        <v>121</v>
      </c>
      <c r="C482" s="5">
        <v>2000</v>
      </c>
      <c r="D482" s="1" t="s">
        <v>1647</v>
      </c>
      <c r="E482" s="1" t="s">
        <v>1648</v>
      </c>
      <c r="F482" s="1" t="s">
        <v>727</v>
      </c>
      <c r="G482" s="1" t="s">
        <v>1029</v>
      </c>
      <c r="H482" s="3">
        <v>45925</v>
      </c>
      <c r="I482" s="1" t="s">
        <v>933</v>
      </c>
      <c r="J482" s="1" t="s">
        <v>66</v>
      </c>
      <c r="K482" s="1" t="s">
        <v>52</v>
      </c>
      <c r="L482" s="1" t="s">
        <v>1649</v>
      </c>
      <c r="M482" s="3">
        <v>45908</v>
      </c>
      <c r="N482" s="1" t="s">
        <v>57</v>
      </c>
      <c r="O482" s="1" t="s">
        <v>936</v>
      </c>
      <c r="P482" s="1" t="s">
        <v>937</v>
      </c>
    </row>
    <row r="483" spans="1:16" x14ac:dyDescent="0.25">
      <c r="A483" s="3">
        <v>45905</v>
      </c>
      <c r="B483" s="1">
        <v>117</v>
      </c>
      <c r="C483" s="5">
        <v>27775.65</v>
      </c>
      <c r="D483" s="1" t="s">
        <v>1650</v>
      </c>
      <c r="E483" s="1" t="s">
        <v>1651</v>
      </c>
      <c r="F483" s="1" t="s">
        <v>66</v>
      </c>
      <c r="G483" s="1" t="s">
        <v>932</v>
      </c>
      <c r="H483" s="3">
        <v>45922</v>
      </c>
      <c r="I483" s="1" t="s">
        <v>933</v>
      </c>
      <c r="J483" s="1" t="s">
        <v>66</v>
      </c>
      <c r="K483" s="1" t="s">
        <v>977</v>
      </c>
      <c r="L483" s="1" t="s">
        <v>1652</v>
      </c>
      <c r="M483" s="3">
        <v>45908</v>
      </c>
      <c r="N483" s="1" t="s">
        <v>821</v>
      </c>
      <c r="O483" s="1" t="s">
        <v>932</v>
      </c>
      <c r="P483" s="1" t="s">
        <v>937</v>
      </c>
    </row>
    <row r="484" spans="1:16" x14ac:dyDescent="0.25">
      <c r="A484" s="3">
        <v>45905</v>
      </c>
      <c r="B484" s="4">
        <v>1539</v>
      </c>
      <c r="C484" s="5">
        <v>150</v>
      </c>
      <c r="D484" s="1" t="s">
        <v>1080</v>
      </c>
      <c r="E484" s="1" t="s">
        <v>1081</v>
      </c>
      <c r="F484" s="1" t="s">
        <v>778</v>
      </c>
      <c r="G484" s="1" t="s">
        <v>940</v>
      </c>
      <c r="H484" s="3">
        <v>45921</v>
      </c>
      <c r="I484" s="1" t="s">
        <v>933</v>
      </c>
      <c r="J484" s="1" t="s">
        <v>66</v>
      </c>
      <c r="K484" s="1" t="s">
        <v>340</v>
      </c>
      <c r="L484" s="1" t="s">
        <v>1653</v>
      </c>
      <c r="M484" s="3">
        <v>45908</v>
      </c>
      <c r="N484" s="1" t="s">
        <v>783</v>
      </c>
      <c r="O484" s="1" t="s">
        <v>936</v>
      </c>
      <c r="P484" s="1">
        <v>1</v>
      </c>
    </row>
    <row r="485" spans="1:16" x14ac:dyDescent="0.25">
      <c r="A485" s="3">
        <v>45905</v>
      </c>
      <c r="B485" s="4">
        <v>1539</v>
      </c>
      <c r="C485" s="5">
        <v>2500</v>
      </c>
      <c r="D485" s="1" t="s">
        <v>1080</v>
      </c>
      <c r="E485" s="1" t="s">
        <v>1081</v>
      </c>
      <c r="F485" s="1" t="s">
        <v>99</v>
      </c>
      <c r="G485" s="1" t="s">
        <v>940</v>
      </c>
      <c r="H485" s="3">
        <v>45921</v>
      </c>
      <c r="I485" s="1" t="s">
        <v>933</v>
      </c>
      <c r="J485" s="1" t="s">
        <v>66</v>
      </c>
      <c r="K485" s="1" t="s">
        <v>1654</v>
      </c>
      <c r="L485" s="1" t="s">
        <v>1655</v>
      </c>
      <c r="M485" s="3">
        <v>45908</v>
      </c>
      <c r="N485" s="1" t="s">
        <v>103</v>
      </c>
      <c r="O485" s="1" t="s">
        <v>936</v>
      </c>
      <c r="P485" s="1">
        <v>1</v>
      </c>
    </row>
    <row r="486" spans="1:16" x14ac:dyDescent="0.25">
      <c r="A486" s="3">
        <v>45905</v>
      </c>
      <c r="B486" s="4">
        <v>1537</v>
      </c>
      <c r="C486" s="5">
        <v>898</v>
      </c>
      <c r="D486" s="1" t="s">
        <v>1080</v>
      </c>
      <c r="E486" s="1" t="s">
        <v>1081</v>
      </c>
      <c r="F486" s="1" t="s">
        <v>66</v>
      </c>
      <c r="G486" s="1" t="s">
        <v>1082</v>
      </c>
      <c r="H486" s="3">
        <v>45921</v>
      </c>
      <c r="I486" s="1" t="s">
        <v>933</v>
      </c>
      <c r="J486" s="1" t="s">
        <v>66</v>
      </c>
      <c r="K486" s="1" t="s">
        <v>1654</v>
      </c>
      <c r="L486" s="1" t="s">
        <v>1656</v>
      </c>
      <c r="M486" s="3">
        <v>45908</v>
      </c>
      <c r="N486" s="1" t="s">
        <v>821</v>
      </c>
      <c r="O486" s="1" t="s">
        <v>936</v>
      </c>
      <c r="P486" s="1">
        <v>1</v>
      </c>
    </row>
    <row r="487" spans="1:16" x14ac:dyDescent="0.25">
      <c r="A487" s="3">
        <v>45905</v>
      </c>
      <c r="B487" s="4">
        <v>4269</v>
      </c>
      <c r="C487" s="5">
        <v>3088.55</v>
      </c>
      <c r="D487" s="1" t="s">
        <v>938</v>
      </c>
      <c r="E487" s="1" t="s">
        <v>939</v>
      </c>
      <c r="F487" s="1" t="s">
        <v>955</v>
      </c>
      <c r="G487" s="1" t="s">
        <v>950</v>
      </c>
      <c r="H487" s="3">
        <v>45936</v>
      </c>
      <c r="I487" s="1" t="s">
        <v>933</v>
      </c>
      <c r="J487" s="1" t="s">
        <v>951</v>
      </c>
      <c r="K487" s="1" t="s">
        <v>52</v>
      </c>
      <c r="L487" s="1" t="s">
        <v>1657</v>
      </c>
      <c r="M487" s="3">
        <v>45908</v>
      </c>
      <c r="N487" s="1" t="s">
        <v>821</v>
      </c>
      <c r="O487" s="1" t="s">
        <v>936</v>
      </c>
      <c r="P487" s="1">
        <v>1</v>
      </c>
    </row>
    <row r="488" spans="1:16" x14ac:dyDescent="0.25">
      <c r="A488" s="3">
        <v>45905</v>
      </c>
      <c r="B488" s="1">
        <v>55</v>
      </c>
      <c r="C488" s="5">
        <v>2267.92</v>
      </c>
      <c r="D488" s="1" t="s">
        <v>1658</v>
      </c>
      <c r="E488" s="1" t="s">
        <v>1659</v>
      </c>
      <c r="F488" s="1" t="s">
        <v>955</v>
      </c>
      <c r="G488" s="1" t="s">
        <v>940</v>
      </c>
      <c r="H488" s="3">
        <v>45920</v>
      </c>
      <c r="I488" s="1" t="s">
        <v>933</v>
      </c>
      <c r="J488" s="1" t="s">
        <v>951</v>
      </c>
      <c r="K488" s="1" t="s">
        <v>52</v>
      </c>
      <c r="L488" s="1" t="s">
        <v>1660</v>
      </c>
      <c r="M488" s="3">
        <v>45910</v>
      </c>
      <c r="N488" s="1" t="s">
        <v>821</v>
      </c>
      <c r="O488" s="1" t="s">
        <v>936</v>
      </c>
      <c r="P488" s="1">
        <v>1</v>
      </c>
    </row>
    <row r="489" spans="1:16" x14ac:dyDescent="0.25">
      <c r="A489" s="3">
        <v>45905</v>
      </c>
      <c r="B489" s="1">
        <v>57</v>
      </c>
      <c r="C489" s="5">
        <v>7500</v>
      </c>
      <c r="D489" s="1" t="s">
        <v>1658</v>
      </c>
      <c r="E489" s="1" t="s">
        <v>1659</v>
      </c>
      <c r="F489" s="1" t="s">
        <v>955</v>
      </c>
      <c r="G489" s="1" t="s">
        <v>940</v>
      </c>
      <c r="H489" s="3">
        <v>45920</v>
      </c>
      <c r="I489" s="1" t="s">
        <v>933</v>
      </c>
      <c r="J489" s="1" t="s">
        <v>951</v>
      </c>
      <c r="K489" s="1" t="s">
        <v>52</v>
      </c>
      <c r="L489" s="1" t="s">
        <v>1661</v>
      </c>
      <c r="M489" s="3">
        <v>45910</v>
      </c>
      <c r="N489" s="1" t="s">
        <v>821</v>
      </c>
      <c r="O489" s="1" t="s">
        <v>936</v>
      </c>
      <c r="P489" s="1">
        <v>1</v>
      </c>
    </row>
    <row r="490" spans="1:16" x14ac:dyDescent="0.25">
      <c r="A490" s="3">
        <v>45905</v>
      </c>
      <c r="B490" s="1">
        <v>54</v>
      </c>
      <c r="C490" s="5">
        <v>10000</v>
      </c>
      <c r="D490" s="1" t="s">
        <v>1658</v>
      </c>
      <c r="E490" s="1" t="s">
        <v>1659</v>
      </c>
      <c r="F490" s="1" t="s">
        <v>955</v>
      </c>
      <c r="G490" s="1" t="s">
        <v>940</v>
      </c>
      <c r="H490" s="3">
        <v>45920</v>
      </c>
      <c r="I490" s="1" t="s">
        <v>933</v>
      </c>
      <c r="J490" s="1" t="s">
        <v>951</v>
      </c>
      <c r="K490" s="1" t="s">
        <v>1654</v>
      </c>
      <c r="L490" s="1" t="s">
        <v>1662</v>
      </c>
      <c r="M490" s="3">
        <v>45910</v>
      </c>
      <c r="N490" s="1" t="s">
        <v>821</v>
      </c>
      <c r="O490" s="1" t="s">
        <v>936</v>
      </c>
      <c r="P490" s="1">
        <v>1</v>
      </c>
    </row>
    <row r="491" spans="1:16" x14ac:dyDescent="0.25">
      <c r="A491" s="3">
        <v>45905</v>
      </c>
      <c r="B491" s="1">
        <v>59</v>
      </c>
      <c r="C491" s="5">
        <v>7500</v>
      </c>
      <c r="D491" s="1" t="s">
        <v>1658</v>
      </c>
      <c r="E491" s="1" t="s">
        <v>1659</v>
      </c>
      <c r="F491" s="1" t="s">
        <v>955</v>
      </c>
      <c r="G491" s="1" t="s">
        <v>940</v>
      </c>
      <c r="H491" s="3">
        <v>45920</v>
      </c>
      <c r="I491" s="1" t="s">
        <v>933</v>
      </c>
      <c r="J491" s="1" t="s">
        <v>951</v>
      </c>
      <c r="K491" s="1" t="s">
        <v>1654</v>
      </c>
      <c r="L491" s="1" t="s">
        <v>1663</v>
      </c>
      <c r="M491" s="3">
        <v>45910</v>
      </c>
      <c r="N491" s="1" t="s">
        <v>821</v>
      </c>
      <c r="O491" s="1" t="s">
        <v>936</v>
      </c>
      <c r="P491" s="1">
        <v>1</v>
      </c>
    </row>
    <row r="492" spans="1:16" x14ac:dyDescent="0.25">
      <c r="A492" s="3">
        <v>45905</v>
      </c>
      <c r="B492" s="1">
        <v>60</v>
      </c>
      <c r="C492" s="5">
        <v>7700.38</v>
      </c>
      <c r="D492" s="1" t="s">
        <v>1658</v>
      </c>
      <c r="E492" s="1" t="s">
        <v>1659</v>
      </c>
      <c r="F492" s="1" t="s">
        <v>955</v>
      </c>
      <c r="G492" s="1" t="s">
        <v>940</v>
      </c>
      <c r="H492" s="3">
        <v>45920</v>
      </c>
      <c r="I492" s="1" t="s">
        <v>933</v>
      </c>
      <c r="J492" s="1" t="s">
        <v>951</v>
      </c>
      <c r="K492" s="1" t="s">
        <v>52</v>
      </c>
      <c r="L492" s="1" t="s">
        <v>1664</v>
      </c>
      <c r="M492" s="3">
        <v>45910</v>
      </c>
      <c r="N492" s="1" t="s">
        <v>821</v>
      </c>
      <c r="O492" s="1" t="s">
        <v>936</v>
      </c>
      <c r="P492" s="1">
        <v>1</v>
      </c>
    </row>
    <row r="493" spans="1:16" x14ac:dyDescent="0.25">
      <c r="A493" s="3">
        <v>45905</v>
      </c>
      <c r="B493" s="4">
        <v>54129</v>
      </c>
      <c r="C493" s="5">
        <v>2676.1</v>
      </c>
      <c r="D493" s="1" t="s">
        <v>973</v>
      </c>
      <c r="E493" s="1" t="s">
        <v>1068</v>
      </c>
      <c r="F493" s="1" t="s">
        <v>955</v>
      </c>
      <c r="G493" s="1" t="s">
        <v>998</v>
      </c>
      <c r="H493" s="3">
        <v>45921</v>
      </c>
      <c r="I493" s="1" t="s">
        <v>933</v>
      </c>
      <c r="J493" s="1" t="s">
        <v>951</v>
      </c>
      <c r="K493" s="1" t="s">
        <v>996</v>
      </c>
      <c r="L493" s="1" t="s">
        <v>1665</v>
      </c>
      <c r="M493" s="3">
        <v>45910</v>
      </c>
      <c r="N493" s="1" t="s">
        <v>821</v>
      </c>
      <c r="O493" s="1" t="s">
        <v>998</v>
      </c>
      <c r="P493" s="1">
        <v>1</v>
      </c>
    </row>
    <row r="494" spans="1:16" x14ac:dyDescent="0.25">
      <c r="A494" s="3">
        <v>45905</v>
      </c>
      <c r="B494" s="1">
        <v>104</v>
      </c>
      <c r="C494" s="5">
        <v>600</v>
      </c>
      <c r="D494" s="1" t="s">
        <v>1579</v>
      </c>
      <c r="E494" s="1" t="s">
        <v>1580</v>
      </c>
      <c r="F494" s="1" t="s">
        <v>430</v>
      </c>
      <c r="G494" s="1" t="s">
        <v>1260</v>
      </c>
      <c r="H494" s="3">
        <v>45922</v>
      </c>
      <c r="I494" s="1" t="s">
        <v>933</v>
      </c>
      <c r="J494" s="1" t="s">
        <v>66</v>
      </c>
      <c r="K494" s="1" t="s">
        <v>1654</v>
      </c>
      <c r="L494" s="1" t="s">
        <v>1666</v>
      </c>
      <c r="M494" s="3">
        <v>45910</v>
      </c>
      <c r="N494" s="1" t="s">
        <v>57</v>
      </c>
      <c r="O494" s="1" t="s">
        <v>936</v>
      </c>
      <c r="P494" s="1">
        <v>1</v>
      </c>
    </row>
    <row r="495" spans="1:16" x14ac:dyDescent="0.25">
      <c r="A495" s="3">
        <v>45905</v>
      </c>
      <c r="B495" s="4">
        <v>3737</v>
      </c>
      <c r="C495" s="5">
        <v>3720</v>
      </c>
      <c r="D495" s="1" t="s">
        <v>1179</v>
      </c>
      <c r="E495" s="1" t="s">
        <v>1180</v>
      </c>
      <c r="F495" s="1" t="s">
        <v>430</v>
      </c>
      <c r="G495" s="1" t="s">
        <v>1667</v>
      </c>
      <c r="H495" s="3">
        <v>45926</v>
      </c>
      <c r="I495" s="1" t="s">
        <v>1100</v>
      </c>
      <c r="J495" s="1" t="s">
        <v>66</v>
      </c>
      <c r="K495" s="1" t="s">
        <v>1654</v>
      </c>
      <c r="L495" s="1" t="s">
        <v>1668</v>
      </c>
      <c r="M495" s="3">
        <v>45910</v>
      </c>
      <c r="N495" s="1" t="s">
        <v>57</v>
      </c>
      <c r="O495" s="1" t="s">
        <v>936</v>
      </c>
      <c r="P495" s="1">
        <v>1</v>
      </c>
    </row>
    <row r="496" spans="1:16" x14ac:dyDescent="0.25">
      <c r="A496" s="3">
        <v>45905</v>
      </c>
      <c r="B496" s="4">
        <v>3300</v>
      </c>
      <c r="C496" s="5">
        <v>350</v>
      </c>
      <c r="D496" s="1" t="s">
        <v>1179</v>
      </c>
      <c r="E496" s="1" t="s">
        <v>1180</v>
      </c>
      <c r="F496" s="1" t="s">
        <v>430</v>
      </c>
      <c r="G496" s="1" t="s">
        <v>1667</v>
      </c>
      <c r="H496" s="3">
        <v>45926</v>
      </c>
      <c r="I496" s="1" t="s">
        <v>1100</v>
      </c>
      <c r="J496" s="1" t="s">
        <v>66</v>
      </c>
      <c r="K496" s="1" t="s">
        <v>1654</v>
      </c>
      <c r="L496" s="1" t="s">
        <v>1669</v>
      </c>
      <c r="M496" s="3">
        <v>45910</v>
      </c>
      <c r="N496" s="1" t="s">
        <v>57</v>
      </c>
      <c r="O496" s="1" t="s">
        <v>936</v>
      </c>
      <c r="P496" s="1">
        <v>1</v>
      </c>
    </row>
    <row r="497" spans="1:16" x14ac:dyDescent="0.25">
      <c r="A497" s="3">
        <v>45905</v>
      </c>
      <c r="B497" s="1">
        <v>821</v>
      </c>
      <c r="C497" s="5">
        <v>10144</v>
      </c>
      <c r="D497" s="1" t="s">
        <v>1294</v>
      </c>
      <c r="E497" s="1" t="s">
        <v>1670</v>
      </c>
      <c r="F497" s="1" t="s">
        <v>191</v>
      </c>
      <c r="G497" s="1" t="s">
        <v>940</v>
      </c>
      <c r="H497" s="3">
        <v>45935</v>
      </c>
      <c r="I497" s="1" t="s">
        <v>933</v>
      </c>
      <c r="J497" s="1" t="s">
        <v>66</v>
      </c>
      <c r="K497" s="1" t="s">
        <v>340</v>
      </c>
      <c r="L497" s="1" t="s">
        <v>1671</v>
      </c>
      <c r="M497" s="3">
        <v>45910</v>
      </c>
      <c r="N497" s="1"/>
      <c r="O497" s="1">
        <v>0</v>
      </c>
      <c r="P497" s="1">
        <v>1</v>
      </c>
    </row>
    <row r="498" spans="1:16" x14ac:dyDescent="0.25">
      <c r="A498" s="3">
        <v>45905</v>
      </c>
      <c r="B498" s="4">
        <v>1063</v>
      </c>
      <c r="C498" s="5">
        <v>190</v>
      </c>
      <c r="D498" s="1" t="s">
        <v>1074</v>
      </c>
      <c r="E498" s="1" t="s">
        <v>1075</v>
      </c>
      <c r="F498" s="1" t="s">
        <v>229</v>
      </c>
      <c r="G498" s="1" t="s">
        <v>1058</v>
      </c>
      <c r="H498" s="3">
        <v>45193</v>
      </c>
      <c r="I498" s="1" t="s">
        <v>933</v>
      </c>
      <c r="J498" s="1" t="s">
        <v>66</v>
      </c>
      <c r="K498" s="1" t="s">
        <v>66</v>
      </c>
      <c r="L498" s="1" t="s">
        <v>1058</v>
      </c>
      <c r="M498" s="3">
        <v>45912</v>
      </c>
      <c r="N498" s="1"/>
      <c r="O498" s="1" t="s">
        <v>936</v>
      </c>
      <c r="P498" s="1">
        <v>1</v>
      </c>
    </row>
    <row r="499" spans="1:16" x14ac:dyDescent="0.25">
      <c r="A499" s="3">
        <v>45905</v>
      </c>
      <c r="B499" s="4">
        <v>1063</v>
      </c>
      <c r="C499" s="5">
        <v>25</v>
      </c>
      <c r="D499" s="1" t="s">
        <v>1074</v>
      </c>
      <c r="E499" s="1" t="s">
        <v>1075</v>
      </c>
      <c r="F499" s="1" t="s">
        <v>66</v>
      </c>
      <c r="G499" s="1" t="s">
        <v>1058</v>
      </c>
      <c r="H499" s="3">
        <v>45893</v>
      </c>
      <c r="I499" s="1" t="s">
        <v>933</v>
      </c>
      <c r="J499" s="1" t="s">
        <v>66</v>
      </c>
      <c r="K499" s="1" t="s">
        <v>66</v>
      </c>
      <c r="L499" s="1" t="s">
        <v>1058</v>
      </c>
      <c r="M499" s="3">
        <v>45912</v>
      </c>
      <c r="N499" s="1" t="s">
        <v>821</v>
      </c>
      <c r="O499" s="1" t="s">
        <v>936</v>
      </c>
      <c r="P499" s="1">
        <v>1</v>
      </c>
    </row>
    <row r="500" spans="1:16" x14ac:dyDescent="0.25">
      <c r="A500" s="3">
        <v>45905</v>
      </c>
      <c r="B500" s="4">
        <v>1063</v>
      </c>
      <c r="C500" s="5">
        <v>280</v>
      </c>
      <c r="D500" s="1" t="s">
        <v>1074</v>
      </c>
      <c r="E500" s="1" t="s">
        <v>1075</v>
      </c>
      <c r="F500" s="1" t="s">
        <v>710</v>
      </c>
      <c r="G500" s="1" t="s">
        <v>1058</v>
      </c>
      <c r="H500" s="3">
        <v>45436</v>
      </c>
      <c r="I500" s="1" t="s">
        <v>933</v>
      </c>
      <c r="J500" s="1" t="s">
        <v>66</v>
      </c>
      <c r="K500" s="1" t="s">
        <v>66</v>
      </c>
      <c r="L500" s="1" t="s">
        <v>1058</v>
      </c>
      <c r="M500" s="3">
        <v>45912</v>
      </c>
      <c r="N500" s="1" t="s">
        <v>712</v>
      </c>
      <c r="O500" s="1" t="s">
        <v>936</v>
      </c>
      <c r="P500" s="1">
        <v>1</v>
      </c>
    </row>
    <row r="501" spans="1:16" x14ac:dyDescent="0.25">
      <c r="A501" s="3">
        <v>45905</v>
      </c>
      <c r="B501" s="4">
        <v>1063</v>
      </c>
      <c r="C501" s="5">
        <v>280</v>
      </c>
      <c r="D501" s="1" t="s">
        <v>1074</v>
      </c>
      <c r="E501" s="1" t="s">
        <v>1075</v>
      </c>
      <c r="F501" s="1" t="s">
        <v>715</v>
      </c>
      <c r="G501" s="1" t="s">
        <v>1058</v>
      </c>
      <c r="H501" s="3">
        <v>45801</v>
      </c>
      <c r="I501" s="1" t="s">
        <v>933</v>
      </c>
      <c r="J501" s="1" t="s">
        <v>66</v>
      </c>
      <c r="K501" s="1" t="s">
        <v>66</v>
      </c>
      <c r="L501" s="1" t="s">
        <v>1058</v>
      </c>
      <c r="M501" s="3">
        <v>45912</v>
      </c>
      <c r="N501" s="1"/>
      <c r="O501" s="1" t="s">
        <v>936</v>
      </c>
      <c r="P501" s="1">
        <v>1</v>
      </c>
    </row>
    <row r="502" spans="1:16" x14ac:dyDescent="0.25">
      <c r="A502" s="3">
        <v>45905</v>
      </c>
      <c r="B502" s="4">
        <v>1063</v>
      </c>
      <c r="C502" s="5">
        <v>280</v>
      </c>
      <c r="D502" s="1" t="s">
        <v>1074</v>
      </c>
      <c r="E502" s="1" t="s">
        <v>1075</v>
      </c>
      <c r="F502" s="1" t="s">
        <v>719</v>
      </c>
      <c r="G502" s="1" t="s">
        <v>1058</v>
      </c>
      <c r="H502" s="3">
        <v>45924</v>
      </c>
      <c r="I502" s="1" t="s">
        <v>933</v>
      </c>
      <c r="J502" s="1" t="s">
        <v>66</v>
      </c>
      <c r="K502" s="1" t="s">
        <v>66</v>
      </c>
      <c r="L502" s="1" t="s">
        <v>1058</v>
      </c>
      <c r="M502" s="3">
        <v>45912</v>
      </c>
      <c r="N502" s="1" t="s">
        <v>712</v>
      </c>
      <c r="O502" s="1" t="s">
        <v>936</v>
      </c>
      <c r="P502" s="1">
        <v>1</v>
      </c>
    </row>
    <row r="503" spans="1:16" x14ac:dyDescent="0.25">
      <c r="A503" s="3">
        <v>45905</v>
      </c>
      <c r="B503" s="4">
        <v>1063</v>
      </c>
      <c r="C503" s="5">
        <v>80</v>
      </c>
      <c r="D503" s="1" t="s">
        <v>1074</v>
      </c>
      <c r="E503" s="1" t="s">
        <v>1075</v>
      </c>
      <c r="F503" s="1" t="s">
        <v>955</v>
      </c>
      <c r="G503" s="1" t="s">
        <v>1058</v>
      </c>
      <c r="H503" s="3">
        <v>45924</v>
      </c>
      <c r="I503" s="1" t="s">
        <v>933</v>
      </c>
      <c r="J503" s="1" t="s">
        <v>951</v>
      </c>
      <c r="K503" s="1" t="s">
        <v>66</v>
      </c>
      <c r="L503" s="1" t="s">
        <v>1058</v>
      </c>
      <c r="M503" s="3">
        <v>45912</v>
      </c>
      <c r="N503" s="1" t="s">
        <v>821</v>
      </c>
      <c r="O503" s="1" t="s">
        <v>936</v>
      </c>
      <c r="P503" s="1">
        <v>1</v>
      </c>
    </row>
    <row r="504" spans="1:16" x14ac:dyDescent="0.25">
      <c r="A504" s="3">
        <v>45905</v>
      </c>
      <c r="B504" s="4">
        <v>1063</v>
      </c>
      <c r="C504" s="5">
        <v>80</v>
      </c>
      <c r="D504" s="1" t="s">
        <v>1074</v>
      </c>
      <c r="E504" s="1" t="s">
        <v>1075</v>
      </c>
      <c r="F504" s="1" t="s">
        <v>218</v>
      </c>
      <c r="G504" s="1" t="s">
        <v>1058</v>
      </c>
      <c r="H504" s="3">
        <v>45924</v>
      </c>
      <c r="I504" s="1" t="s">
        <v>933</v>
      </c>
      <c r="J504" s="1" t="s">
        <v>66</v>
      </c>
      <c r="K504" s="1" t="s">
        <v>66</v>
      </c>
      <c r="L504" s="1" t="s">
        <v>1058</v>
      </c>
      <c r="M504" s="3">
        <v>45912</v>
      </c>
      <c r="N504" s="1" t="s">
        <v>221</v>
      </c>
      <c r="O504" s="1" t="s">
        <v>936</v>
      </c>
      <c r="P504" s="1">
        <v>1</v>
      </c>
    </row>
    <row r="505" spans="1:16" x14ac:dyDescent="0.25">
      <c r="A505" s="3">
        <v>45905</v>
      </c>
      <c r="B505" s="4">
        <v>1063</v>
      </c>
      <c r="C505" s="5">
        <v>80</v>
      </c>
      <c r="D505" s="1" t="s">
        <v>1074</v>
      </c>
      <c r="E505" s="1" t="s">
        <v>1075</v>
      </c>
      <c r="F505" s="1" t="s">
        <v>955</v>
      </c>
      <c r="G505" s="1" t="s">
        <v>1058</v>
      </c>
      <c r="H505" s="3">
        <v>45924</v>
      </c>
      <c r="I505" s="1" t="s">
        <v>933</v>
      </c>
      <c r="J505" s="1" t="s">
        <v>951</v>
      </c>
      <c r="K505" s="1" t="s">
        <v>66</v>
      </c>
      <c r="L505" s="1" t="s">
        <v>1058</v>
      </c>
      <c r="M505" s="3">
        <v>45912</v>
      </c>
      <c r="N505" s="1" t="s">
        <v>821</v>
      </c>
      <c r="O505" s="1" t="s">
        <v>936</v>
      </c>
      <c r="P505" s="1">
        <v>1</v>
      </c>
    </row>
    <row r="506" spans="1:16" x14ac:dyDescent="0.25">
      <c r="A506" s="3">
        <v>45905</v>
      </c>
      <c r="B506" s="4">
        <v>1063</v>
      </c>
      <c r="C506" s="5">
        <v>80</v>
      </c>
      <c r="D506" s="1" t="s">
        <v>1074</v>
      </c>
      <c r="E506" s="1" t="s">
        <v>1075</v>
      </c>
      <c r="F506" s="1" t="s">
        <v>955</v>
      </c>
      <c r="G506" s="1" t="s">
        <v>1058</v>
      </c>
      <c r="H506" s="3">
        <v>45924</v>
      </c>
      <c r="I506" s="1" t="s">
        <v>933</v>
      </c>
      <c r="J506" s="1" t="s">
        <v>951</v>
      </c>
      <c r="K506" s="1" t="s">
        <v>66</v>
      </c>
      <c r="L506" s="1" t="s">
        <v>1058</v>
      </c>
      <c r="M506" s="3">
        <v>45912</v>
      </c>
      <c r="N506" s="1" t="s">
        <v>821</v>
      </c>
      <c r="O506" s="1" t="s">
        <v>936</v>
      </c>
      <c r="P506" s="1">
        <v>1</v>
      </c>
    </row>
    <row r="507" spans="1:16" x14ac:dyDescent="0.25">
      <c r="A507" s="3">
        <v>45905</v>
      </c>
      <c r="B507" s="4">
        <v>54084</v>
      </c>
      <c r="C507" s="5">
        <v>1063.74</v>
      </c>
      <c r="D507" s="1" t="s">
        <v>973</v>
      </c>
      <c r="E507" s="1" t="s">
        <v>1068</v>
      </c>
      <c r="F507" s="1" t="s">
        <v>955</v>
      </c>
      <c r="G507" s="1" t="s">
        <v>998</v>
      </c>
      <c r="H507" s="3">
        <v>45921</v>
      </c>
      <c r="I507" s="1" t="s">
        <v>933</v>
      </c>
      <c r="J507" s="1" t="s">
        <v>951</v>
      </c>
      <c r="K507" s="1" t="s">
        <v>996</v>
      </c>
      <c r="L507" s="1" t="s">
        <v>1672</v>
      </c>
      <c r="M507" s="3">
        <v>45910</v>
      </c>
      <c r="N507" s="1" t="s">
        <v>821</v>
      </c>
      <c r="O507" s="1" t="s">
        <v>998</v>
      </c>
      <c r="P507" s="1">
        <v>2</v>
      </c>
    </row>
    <row r="508" spans="1:16" x14ac:dyDescent="0.25">
      <c r="A508" s="3">
        <v>45906</v>
      </c>
      <c r="B508" s="4">
        <v>27914</v>
      </c>
      <c r="C508" s="5">
        <v>500</v>
      </c>
      <c r="D508" s="1" t="s">
        <v>992</v>
      </c>
      <c r="E508" s="1" t="s">
        <v>1243</v>
      </c>
      <c r="F508" s="1" t="s">
        <v>955</v>
      </c>
      <c r="G508" s="1" t="s">
        <v>940</v>
      </c>
      <c r="H508" s="1" t="s">
        <v>941</v>
      </c>
      <c r="I508" s="1" t="s">
        <v>933</v>
      </c>
      <c r="J508" s="1" t="s">
        <v>951</v>
      </c>
      <c r="K508" s="1" t="s">
        <v>934</v>
      </c>
      <c r="L508" s="1" t="s">
        <v>1673</v>
      </c>
      <c r="M508" s="3">
        <v>45908</v>
      </c>
      <c r="N508" s="1" t="s">
        <v>821</v>
      </c>
      <c r="O508" s="1" t="s">
        <v>998</v>
      </c>
      <c r="P508" s="1">
        <v>1</v>
      </c>
    </row>
    <row r="509" spans="1:16" x14ac:dyDescent="0.25">
      <c r="A509" s="3">
        <v>45906</v>
      </c>
      <c r="B509" s="4">
        <v>54225</v>
      </c>
      <c r="C509" s="5">
        <v>1435</v>
      </c>
      <c r="D509" s="1" t="s">
        <v>973</v>
      </c>
      <c r="E509" s="1" t="s">
        <v>1068</v>
      </c>
      <c r="F509" s="1" t="s">
        <v>955</v>
      </c>
      <c r="G509" s="1" t="s">
        <v>998</v>
      </c>
      <c r="H509" s="3">
        <v>45921</v>
      </c>
      <c r="I509" s="1" t="s">
        <v>933</v>
      </c>
      <c r="J509" s="1" t="s">
        <v>951</v>
      </c>
      <c r="K509" s="1" t="s">
        <v>996</v>
      </c>
      <c r="L509" s="1" t="s">
        <v>1674</v>
      </c>
      <c r="M509" s="3">
        <v>45910</v>
      </c>
      <c r="N509" s="1" t="s">
        <v>821</v>
      </c>
      <c r="O509" s="1" t="s">
        <v>998</v>
      </c>
      <c r="P509" s="1">
        <v>1</v>
      </c>
    </row>
    <row r="510" spans="1:16" x14ac:dyDescent="0.25">
      <c r="A510" s="3">
        <v>45906</v>
      </c>
      <c r="B510" s="4">
        <v>1063</v>
      </c>
      <c r="C510" s="5">
        <v>80</v>
      </c>
      <c r="D510" s="1" t="s">
        <v>1074</v>
      </c>
      <c r="E510" s="1" t="s">
        <v>1075</v>
      </c>
      <c r="F510" s="1" t="s">
        <v>955</v>
      </c>
      <c r="G510" s="1" t="s">
        <v>1058</v>
      </c>
      <c r="H510" s="3">
        <v>45924</v>
      </c>
      <c r="I510" s="1" t="s">
        <v>933</v>
      </c>
      <c r="J510" s="1" t="s">
        <v>951</v>
      </c>
      <c r="K510" s="1" t="s">
        <v>66</v>
      </c>
      <c r="L510" s="1" t="s">
        <v>1058</v>
      </c>
      <c r="M510" s="3">
        <v>45912</v>
      </c>
      <c r="N510" s="1" t="s">
        <v>821</v>
      </c>
      <c r="O510" s="1" t="s">
        <v>936</v>
      </c>
      <c r="P510" s="1">
        <v>1</v>
      </c>
    </row>
    <row r="511" spans="1:16" x14ac:dyDescent="0.25">
      <c r="A511" s="3">
        <v>45906</v>
      </c>
      <c r="B511" s="4">
        <v>1063</v>
      </c>
      <c r="C511" s="5">
        <v>50</v>
      </c>
      <c r="D511" s="1" t="s">
        <v>1074</v>
      </c>
      <c r="E511" s="1" t="s">
        <v>1075</v>
      </c>
      <c r="F511" s="1" t="s">
        <v>166</v>
      </c>
      <c r="G511" s="1" t="s">
        <v>1058</v>
      </c>
      <c r="H511" s="3">
        <v>45924</v>
      </c>
      <c r="I511" s="1" t="s">
        <v>933</v>
      </c>
      <c r="J511" s="1" t="s">
        <v>66</v>
      </c>
      <c r="K511" s="1" t="s">
        <v>66</v>
      </c>
      <c r="L511" s="1" t="s">
        <v>1058</v>
      </c>
      <c r="M511" s="3">
        <v>45912</v>
      </c>
      <c r="N511" s="1" t="s">
        <v>170</v>
      </c>
      <c r="O511" s="1" t="s">
        <v>936</v>
      </c>
      <c r="P511" s="1">
        <v>1</v>
      </c>
    </row>
    <row r="512" spans="1:16" x14ac:dyDescent="0.25">
      <c r="A512" s="3">
        <v>45906</v>
      </c>
      <c r="B512" s="4">
        <v>1063</v>
      </c>
      <c r="C512" s="5">
        <v>50</v>
      </c>
      <c r="D512" s="1" t="s">
        <v>1074</v>
      </c>
      <c r="E512" s="1" t="s">
        <v>1075</v>
      </c>
      <c r="F512" s="1" t="s">
        <v>157</v>
      </c>
      <c r="G512" s="1" t="s">
        <v>1058</v>
      </c>
      <c r="H512" s="3">
        <v>45924</v>
      </c>
      <c r="I512" s="1" t="s">
        <v>933</v>
      </c>
      <c r="J512" s="1" t="s">
        <v>66</v>
      </c>
      <c r="K512" s="1" t="s">
        <v>66</v>
      </c>
      <c r="L512" s="1" t="s">
        <v>1058</v>
      </c>
      <c r="M512" s="3">
        <v>45912</v>
      </c>
      <c r="N512" s="1" t="s">
        <v>161</v>
      </c>
      <c r="O512" s="1" t="s">
        <v>936</v>
      </c>
      <c r="P512" s="1">
        <v>1</v>
      </c>
    </row>
    <row r="513" spans="1:16" x14ac:dyDescent="0.25">
      <c r="A513" s="3">
        <v>45907</v>
      </c>
      <c r="B513" s="4">
        <v>54298</v>
      </c>
      <c r="C513" s="5">
        <v>967.07</v>
      </c>
      <c r="D513" s="1" t="s">
        <v>973</v>
      </c>
      <c r="E513" s="1" t="s">
        <v>1068</v>
      </c>
      <c r="F513" s="1" t="s">
        <v>166</v>
      </c>
      <c r="G513" s="1" t="s">
        <v>998</v>
      </c>
      <c r="H513" s="3">
        <v>45921</v>
      </c>
      <c r="I513" s="1" t="s">
        <v>933</v>
      </c>
      <c r="J513" s="1" t="s">
        <v>66</v>
      </c>
      <c r="K513" s="1" t="s">
        <v>996</v>
      </c>
      <c r="L513" s="1" t="s">
        <v>1675</v>
      </c>
      <c r="M513" s="3">
        <v>45910</v>
      </c>
      <c r="N513" s="1" t="s">
        <v>170</v>
      </c>
      <c r="O513" s="1" t="s">
        <v>998</v>
      </c>
      <c r="P513" s="1">
        <v>1</v>
      </c>
    </row>
    <row r="514" spans="1:16" x14ac:dyDescent="0.25">
      <c r="A514" s="3">
        <v>45907</v>
      </c>
      <c r="B514" s="4">
        <v>54299</v>
      </c>
      <c r="C514" s="5">
        <v>2110.02</v>
      </c>
      <c r="D514" s="1" t="s">
        <v>973</v>
      </c>
      <c r="E514" s="1" t="s">
        <v>1068</v>
      </c>
      <c r="F514" s="1" t="s">
        <v>157</v>
      </c>
      <c r="G514" s="1" t="s">
        <v>998</v>
      </c>
      <c r="H514" s="3">
        <v>45922</v>
      </c>
      <c r="I514" s="1" t="s">
        <v>933</v>
      </c>
      <c r="J514" s="1" t="s">
        <v>66</v>
      </c>
      <c r="K514" s="1" t="s">
        <v>996</v>
      </c>
      <c r="L514" s="1" t="s">
        <v>1676</v>
      </c>
      <c r="M514" s="3">
        <v>45910</v>
      </c>
      <c r="N514" s="1" t="s">
        <v>161</v>
      </c>
      <c r="O514" s="1" t="s">
        <v>998</v>
      </c>
      <c r="P514" s="1">
        <v>1</v>
      </c>
    </row>
    <row r="515" spans="1:16" x14ac:dyDescent="0.25">
      <c r="A515" s="3">
        <v>45907</v>
      </c>
      <c r="B515" s="4">
        <v>54300</v>
      </c>
      <c r="C515" s="5">
        <v>2839.06</v>
      </c>
      <c r="D515" s="1" t="s">
        <v>973</v>
      </c>
      <c r="E515" s="1" t="s">
        <v>1068</v>
      </c>
      <c r="F515" s="1" t="s">
        <v>955</v>
      </c>
      <c r="G515" s="1" t="s">
        <v>998</v>
      </c>
      <c r="H515" s="3">
        <v>45922</v>
      </c>
      <c r="I515" s="1" t="s">
        <v>933</v>
      </c>
      <c r="J515" s="1" t="s">
        <v>951</v>
      </c>
      <c r="K515" s="1" t="s">
        <v>996</v>
      </c>
      <c r="L515" s="1" t="s">
        <v>1677</v>
      </c>
      <c r="M515" s="3">
        <v>45910</v>
      </c>
      <c r="N515" s="1" t="s">
        <v>821</v>
      </c>
      <c r="O515" s="1" t="s">
        <v>998</v>
      </c>
      <c r="P515" s="1">
        <v>1</v>
      </c>
    </row>
    <row r="516" spans="1:16" x14ac:dyDescent="0.25">
      <c r="A516" s="3">
        <v>45908</v>
      </c>
      <c r="B516" s="4">
        <v>2302</v>
      </c>
      <c r="C516" s="5">
        <v>1650</v>
      </c>
      <c r="D516" s="1" t="s">
        <v>1182</v>
      </c>
      <c r="E516" s="1" t="s">
        <v>1183</v>
      </c>
      <c r="F516" s="1" t="s">
        <v>759</v>
      </c>
      <c r="G516" s="1" t="s">
        <v>940</v>
      </c>
      <c r="H516" s="3">
        <v>45938</v>
      </c>
      <c r="I516" s="1" t="s">
        <v>1484</v>
      </c>
      <c r="J516" s="1" t="s">
        <v>66</v>
      </c>
      <c r="K516" s="1" t="s">
        <v>340</v>
      </c>
      <c r="L516" s="1" t="s">
        <v>1678</v>
      </c>
      <c r="M516" s="3">
        <v>45910</v>
      </c>
      <c r="N516" s="1" t="s">
        <v>75</v>
      </c>
      <c r="O516" s="1" t="s">
        <v>936</v>
      </c>
      <c r="P516" s="1">
        <v>1</v>
      </c>
    </row>
    <row r="517" spans="1:16" x14ac:dyDescent="0.25">
      <c r="A517" s="3">
        <v>45908</v>
      </c>
      <c r="B517" s="1">
        <v>32</v>
      </c>
      <c r="C517" s="5">
        <v>5000</v>
      </c>
      <c r="D517" s="1" t="s">
        <v>1197</v>
      </c>
      <c r="E517" s="1" t="s">
        <v>1198</v>
      </c>
      <c r="F517" s="1" t="s">
        <v>949</v>
      </c>
      <c r="G517" s="1" t="s">
        <v>940</v>
      </c>
      <c r="H517" s="3">
        <v>45916</v>
      </c>
      <c r="I517" s="1" t="s">
        <v>933</v>
      </c>
      <c r="J517" s="1" t="s">
        <v>951</v>
      </c>
      <c r="K517" s="1" t="s">
        <v>340</v>
      </c>
      <c r="L517" s="1" t="s">
        <v>1679</v>
      </c>
      <c r="M517" s="3">
        <v>45910</v>
      </c>
      <c r="N517" s="1" t="s">
        <v>821</v>
      </c>
      <c r="O517" s="1" t="s">
        <v>936</v>
      </c>
      <c r="P517" s="1">
        <v>1</v>
      </c>
    </row>
    <row r="518" spans="1:16" x14ac:dyDescent="0.25">
      <c r="A518" s="3">
        <v>45908</v>
      </c>
      <c r="B518" s="4">
        <v>54323</v>
      </c>
      <c r="C518" s="5">
        <v>1574</v>
      </c>
      <c r="D518" s="1" t="s">
        <v>973</v>
      </c>
      <c r="E518" s="1" t="s">
        <v>1068</v>
      </c>
      <c r="F518" s="1" t="s">
        <v>191</v>
      </c>
      <c r="G518" s="1" t="s">
        <v>998</v>
      </c>
      <c r="H518" s="3">
        <v>45923</v>
      </c>
      <c r="I518" s="1" t="s">
        <v>933</v>
      </c>
      <c r="J518" s="1" t="s">
        <v>66</v>
      </c>
      <c r="K518" s="1" t="s">
        <v>996</v>
      </c>
      <c r="L518" s="1" t="s">
        <v>1680</v>
      </c>
      <c r="M518" s="3">
        <v>45910</v>
      </c>
      <c r="N518" s="1" t="s">
        <v>190</v>
      </c>
      <c r="O518" s="1" t="s">
        <v>998</v>
      </c>
      <c r="P518" s="1">
        <v>2</v>
      </c>
    </row>
    <row r="519" spans="1:16" x14ac:dyDescent="0.25">
      <c r="A519" s="3">
        <v>45908</v>
      </c>
      <c r="B519" s="4">
        <v>54326</v>
      </c>
      <c r="C519" s="5">
        <v>688.21</v>
      </c>
      <c r="D519" s="1" t="s">
        <v>973</v>
      </c>
      <c r="E519" s="1" t="s">
        <v>1068</v>
      </c>
      <c r="F519" s="1" t="s">
        <v>955</v>
      </c>
      <c r="G519" s="1" t="s">
        <v>1254</v>
      </c>
      <c r="H519" s="3">
        <v>45920</v>
      </c>
      <c r="I519" s="1" t="s">
        <v>933</v>
      </c>
      <c r="J519" s="1" t="s">
        <v>951</v>
      </c>
      <c r="K519" s="1" t="s">
        <v>996</v>
      </c>
      <c r="L519" s="1" t="s">
        <v>1681</v>
      </c>
      <c r="M519" s="3">
        <v>45913</v>
      </c>
      <c r="N519" s="1" t="s">
        <v>821</v>
      </c>
      <c r="O519" s="1" t="s">
        <v>998</v>
      </c>
      <c r="P519" s="1">
        <v>1</v>
      </c>
    </row>
    <row r="520" spans="1:16" x14ac:dyDescent="0.25">
      <c r="A520" s="3">
        <v>45908</v>
      </c>
      <c r="B520" s="4">
        <v>2796</v>
      </c>
      <c r="C520" s="5">
        <v>4334.3999999999996</v>
      </c>
      <c r="D520" s="1" t="s">
        <v>1206</v>
      </c>
      <c r="E520" s="1" t="s">
        <v>1207</v>
      </c>
      <c r="F520" s="1" t="s">
        <v>955</v>
      </c>
      <c r="G520" s="1" t="s">
        <v>940</v>
      </c>
      <c r="H520" s="3">
        <v>45924</v>
      </c>
      <c r="I520" s="1" t="s">
        <v>933</v>
      </c>
      <c r="J520" s="1" t="s">
        <v>951</v>
      </c>
      <c r="K520" s="1" t="s">
        <v>20</v>
      </c>
      <c r="L520" s="1" t="s">
        <v>1682</v>
      </c>
      <c r="M520" s="3">
        <v>45912</v>
      </c>
      <c r="N520" s="1" t="s">
        <v>821</v>
      </c>
      <c r="O520" s="1" t="s">
        <v>936</v>
      </c>
      <c r="P520" s="1">
        <v>1</v>
      </c>
    </row>
    <row r="521" spans="1:16" x14ac:dyDescent="0.25">
      <c r="A521" s="3">
        <v>45908</v>
      </c>
      <c r="B521" s="4">
        <v>1063</v>
      </c>
      <c r="C521" s="5">
        <v>90</v>
      </c>
      <c r="D521" s="1" t="s">
        <v>1074</v>
      </c>
      <c r="E521" s="1" t="s">
        <v>1075</v>
      </c>
      <c r="F521" s="1" t="s">
        <v>218</v>
      </c>
      <c r="G521" s="1" t="s">
        <v>1058</v>
      </c>
      <c r="H521" s="3">
        <v>45924</v>
      </c>
      <c r="I521" s="1" t="s">
        <v>933</v>
      </c>
      <c r="J521" s="1" t="s">
        <v>66</v>
      </c>
      <c r="K521" s="1" t="s">
        <v>66</v>
      </c>
      <c r="L521" s="1" t="s">
        <v>1058</v>
      </c>
      <c r="M521" s="3">
        <v>45912</v>
      </c>
      <c r="N521" s="1"/>
      <c r="O521" s="1" t="s">
        <v>936</v>
      </c>
      <c r="P521" s="1">
        <v>1</v>
      </c>
    </row>
    <row r="522" spans="1:16" x14ac:dyDescent="0.25">
      <c r="A522" s="3">
        <v>45908</v>
      </c>
      <c r="B522" s="4">
        <v>1063</v>
      </c>
      <c r="C522" s="5">
        <v>400</v>
      </c>
      <c r="D522" s="1" t="s">
        <v>1074</v>
      </c>
      <c r="E522" s="1" t="s">
        <v>1075</v>
      </c>
      <c r="F522" s="1" t="s">
        <v>647</v>
      </c>
      <c r="G522" s="1" t="s">
        <v>1058</v>
      </c>
      <c r="H522" s="3">
        <v>45924</v>
      </c>
      <c r="I522" s="1" t="s">
        <v>933</v>
      </c>
      <c r="J522" s="1" t="s">
        <v>66</v>
      </c>
      <c r="K522" s="1" t="s">
        <v>66</v>
      </c>
      <c r="L522" s="1" t="s">
        <v>1058</v>
      </c>
      <c r="M522" s="3">
        <v>45912</v>
      </c>
      <c r="N522" s="1" t="s">
        <v>57</v>
      </c>
      <c r="O522" s="1" t="s">
        <v>936</v>
      </c>
      <c r="P522" s="1">
        <v>1</v>
      </c>
    </row>
    <row r="523" spans="1:16" x14ac:dyDescent="0.25">
      <c r="A523" s="3">
        <v>45908</v>
      </c>
      <c r="B523" s="4">
        <v>54465</v>
      </c>
      <c r="C523" s="5">
        <v>3354</v>
      </c>
      <c r="D523" s="1" t="s">
        <v>973</v>
      </c>
      <c r="E523" s="1" t="s">
        <v>1068</v>
      </c>
      <c r="F523" s="1" t="s">
        <v>955</v>
      </c>
      <c r="G523" s="1" t="s">
        <v>998</v>
      </c>
      <c r="H523" s="3">
        <v>45926</v>
      </c>
      <c r="I523" s="1" t="s">
        <v>933</v>
      </c>
      <c r="J523" s="1" t="s">
        <v>951</v>
      </c>
      <c r="K523" s="1" t="s">
        <v>996</v>
      </c>
      <c r="L523" s="1" t="s">
        <v>1683</v>
      </c>
      <c r="M523" s="3">
        <v>45913</v>
      </c>
      <c r="N523" s="1"/>
      <c r="O523" s="1" t="s">
        <v>998</v>
      </c>
      <c r="P523" s="1">
        <v>1</v>
      </c>
    </row>
    <row r="524" spans="1:16" x14ac:dyDescent="0.25">
      <c r="A524" s="3">
        <v>45908</v>
      </c>
      <c r="B524" s="4">
        <v>54323</v>
      </c>
      <c r="C524" s="5">
        <v>1574</v>
      </c>
      <c r="D524" s="1" t="s">
        <v>973</v>
      </c>
      <c r="E524" s="1" t="s">
        <v>1068</v>
      </c>
      <c r="F524" s="1" t="s">
        <v>955</v>
      </c>
      <c r="G524" s="1" t="s">
        <v>998</v>
      </c>
      <c r="H524" s="3">
        <v>45926</v>
      </c>
      <c r="I524" s="1" t="s">
        <v>933</v>
      </c>
      <c r="J524" s="1" t="s">
        <v>951</v>
      </c>
      <c r="K524" s="1" t="s">
        <v>996</v>
      </c>
      <c r="L524" s="1" t="s">
        <v>1684</v>
      </c>
      <c r="M524" s="3">
        <v>45913</v>
      </c>
      <c r="N524" s="1" t="s">
        <v>821</v>
      </c>
      <c r="O524" s="1" t="s">
        <v>998</v>
      </c>
      <c r="P524" s="1">
        <v>2</v>
      </c>
    </row>
    <row r="525" spans="1:16" x14ac:dyDescent="0.25">
      <c r="A525" s="3">
        <v>45908</v>
      </c>
      <c r="B525" s="1">
        <v>542</v>
      </c>
      <c r="C525" s="5">
        <v>590.9</v>
      </c>
      <c r="D525" s="1" t="s">
        <v>1685</v>
      </c>
      <c r="E525" s="1" t="s">
        <v>1686</v>
      </c>
      <c r="F525" s="1" t="s">
        <v>955</v>
      </c>
      <c r="G525" s="1" t="s">
        <v>1058</v>
      </c>
      <c r="H525" s="1" t="s">
        <v>941</v>
      </c>
      <c r="I525" s="1" t="s">
        <v>933</v>
      </c>
      <c r="J525" s="1" t="s">
        <v>951</v>
      </c>
      <c r="K525" s="1" t="s">
        <v>52</v>
      </c>
      <c r="L525" s="1" t="s">
        <v>1687</v>
      </c>
      <c r="M525" s="3">
        <v>45914</v>
      </c>
      <c r="N525" s="1" t="s">
        <v>821</v>
      </c>
      <c r="O525" s="1" t="s">
        <v>1497</v>
      </c>
      <c r="P525" s="1">
        <v>1</v>
      </c>
    </row>
    <row r="526" spans="1:16" x14ac:dyDescent="0.25">
      <c r="A526" s="3">
        <v>45909</v>
      </c>
      <c r="B526" s="4">
        <v>43854</v>
      </c>
      <c r="C526" s="5">
        <v>47.9</v>
      </c>
      <c r="D526" s="1" t="s">
        <v>1688</v>
      </c>
      <c r="E526" s="1" t="s">
        <v>1689</v>
      </c>
      <c r="F526" s="1" t="s">
        <v>966</v>
      </c>
      <c r="G526" s="1" t="s">
        <v>950</v>
      </c>
      <c r="H526" s="1" t="s">
        <v>941</v>
      </c>
      <c r="I526" s="1" t="s">
        <v>933</v>
      </c>
      <c r="J526" s="1" t="s">
        <v>951</v>
      </c>
      <c r="K526" s="1" t="s">
        <v>934</v>
      </c>
      <c r="L526" s="1" t="s">
        <v>1690</v>
      </c>
      <c r="M526" s="3">
        <v>45910</v>
      </c>
      <c r="N526" s="1" t="s">
        <v>821</v>
      </c>
      <c r="O526" s="1" t="s">
        <v>936</v>
      </c>
      <c r="P526" s="1" t="s">
        <v>937</v>
      </c>
    </row>
    <row r="527" spans="1:16" x14ac:dyDescent="0.25">
      <c r="A527" s="3">
        <v>45909</v>
      </c>
      <c r="B527" s="4">
        <v>14657</v>
      </c>
      <c r="C527" s="5">
        <v>179.11</v>
      </c>
      <c r="D527" s="1" t="s">
        <v>1691</v>
      </c>
      <c r="E527" s="1" t="s">
        <v>1692</v>
      </c>
      <c r="F527" s="1" t="s">
        <v>955</v>
      </c>
      <c r="G527" s="1" t="s">
        <v>998</v>
      </c>
      <c r="H527" s="1" t="s">
        <v>941</v>
      </c>
      <c r="I527" s="1" t="s">
        <v>933</v>
      </c>
      <c r="J527" s="1" t="s">
        <v>951</v>
      </c>
      <c r="K527" s="1" t="s">
        <v>998</v>
      </c>
      <c r="L527" s="1" t="s">
        <v>1693</v>
      </c>
      <c r="M527" s="3">
        <v>45910</v>
      </c>
      <c r="N527" s="1" t="s">
        <v>821</v>
      </c>
      <c r="O527" s="1" t="s">
        <v>936</v>
      </c>
      <c r="P527" s="1">
        <v>1</v>
      </c>
    </row>
    <row r="528" spans="1:16" x14ac:dyDescent="0.25">
      <c r="A528" s="3">
        <v>45909</v>
      </c>
      <c r="B528" s="4">
        <v>426533</v>
      </c>
      <c r="C528" s="5">
        <v>48.61</v>
      </c>
      <c r="D528" s="1" t="s">
        <v>1085</v>
      </c>
      <c r="E528" s="1" t="s">
        <v>1694</v>
      </c>
      <c r="F528" s="1" t="s">
        <v>966</v>
      </c>
      <c r="G528" s="1" t="s">
        <v>950</v>
      </c>
      <c r="H528" s="1" t="s">
        <v>941</v>
      </c>
      <c r="I528" s="1" t="s">
        <v>933</v>
      </c>
      <c r="J528" s="1" t="s">
        <v>951</v>
      </c>
      <c r="K528" s="1" t="s">
        <v>934</v>
      </c>
      <c r="L528" s="1" t="s">
        <v>1695</v>
      </c>
      <c r="M528" s="3">
        <v>45910</v>
      </c>
      <c r="N528" s="1" t="s">
        <v>821</v>
      </c>
      <c r="O528" s="1" t="s">
        <v>936</v>
      </c>
      <c r="P528" s="1">
        <v>1</v>
      </c>
    </row>
    <row r="529" spans="1:16" x14ac:dyDescent="0.25">
      <c r="A529" s="3">
        <v>45909</v>
      </c>
      <c r="B529" s="4">
        <v>119991</v>
      </c>
      <c r="C529" s="5">
        <v>220.6</v>
      </c>
      <c r="D529" s="1" t="s">
        <v>1696</v>
      </c>
      <c r="E529" s="1" t="s">
        <v>1697</v>
      </c>
      <c r="F529" s="1" t="s">
        <v>955</v>
      </c>
      <c r="G529" s="1" t="s">
        <v>998</v>
      </c>
      <c r="H529" s="1" t="s">
        <v>941</v>
      </c>
      <c r="I529" s="1" t="s">
        <v>933</v>
      </c>
      <c r="J529" s="1" t="s">
        <v>951</v>
      </c>
      <c r="K529" s="1" t="s">
        <v>934</v>
      </c>
      <c r="L529" s="1" t="s">
        <v>1698</v>
      </c>
      <c r="M529" s="3">
        <v>45910</v>
      </c>
      <c r="N529" s="1" t="s">
        <v>821</v>
      </c>
      <c r="O529" s="1" t="s">
        <v>998</v>
      </c>
      <c r="P529" s="1" t="s">
        <v>937</v>
      </c>
    </row>
    <row r="530" spans="1:16" x14ac:dyDescent="0.25">
      <c r="A530" s="3">
        <v>45909</v>
      </c>
      <c r="B530" s="1">
        <v>338</v>
      </c>
      <c r="C530" s="5">
        <v>12000</v>
      </c>
      <c r="D530" s="1" t="s">
        <v>1699</v>
      </c>
      <c r="E530" s="1" t="s">
        <v>1597</v>
      </c>
      <c r="F530" s="1" t="s">
        <v>599</v>
      </c>
      <c r="G530" s="1" t="s">
        <v>1029</v>
      </c>
      <c r="H530" s="3">
        <v>45923</v>
      </c>
      <c r="I530" s="1" t="s">
        <v>933</v>
      </c>
      <c r="J530" s="1" t="s">
        <v>66</v>
      </c>
      <c r="K530" s="1" t="s">
        <v>340</v>
      </c>
      <c r="L530" s="1" t="s">
        <v>1700</v>
      </c>
      <c r="M530" s="3">
        <v>45910</v>
      </c>
      <c r="N530" s="1" t="s">
        <v>57</v>
      </c>
      <c r="O530" s="1" t="s">
        <v>937</v>
      </c>
      <c r="P530" s="1">
        <v>1</v>
      </c>
    </row>
    <row r="531" spans="1:16" x14ac:dyDescent="0.25">
      <c r="A531" s="3">
        <v>45909</v>
      </c>
      <c r="B531" s="1">
        <v>6</v>
      </c>
      <c r="C531" s="5">
        <v>1618.96</v>
      </c>
      <c r="D531" s="1" t="s">
        <v>1262</v>
      </c>
      <c r="E531" s="1" t="s">
        <v>1507</v>
      </c>
      <c r="F531" s="1" t="s">
        <v>1567</v>
      </c>
      <c r="G531" s="1" t="s">
        <v>940</v>
      </c>
      <c r="H531" s="1"/>
      <c r="I531" s="1" t="s">
        <v>933</v>
      </c>
      <c r="J531" s="1"/>
      <c r="K531" s="1" t="s">
        <v>20</v>
      </c>
      <c r="L531" s="1" t="s">
        <v>1701</v>
      </c>
      <c r="M531" s="3">
        <v>45911</v>
      </c>
      <c r="N531" s="1"/>
      <c r="O531" s="1"/>
      <c r="P531" s="1"/>
    </row>
    <row r="532" spans="1:16" x14ac:dyDescent="0.25">
      <c r="A532" s="3">
        <v>45909</v>
      </c>
      <c r="B532" s="4">
        <v>45299</v>
      </c>
      <c r="C532" s="5">
        <v>2630.4</v>
      </c>
      <c r="D532" s="1" t="s">
        <v>1489</v>
      </c>
      <c r="E532" s="1" t="s">
        <v>1490</v>
      </c>
      <c r="F532" s="1" t="s">
        <v>430</v>
      </c>
      <c r="G532" s="1" t="s">
        <v>940</v>
      </c>
      <c r="H532" s="3">
        <v>45939</v>
      </c>
      <c r="I532" s="1" t="s">
        <v>933</v>
      </c>
      <c r="J532" s="1" t="s">
        <v>66</v>
      </c>
      <c r="K532" s="1" t="s">
        <v>1654</v>
      </c>
      <c r="L532" s="1" t="s">
        <v>1702</v>
      </c>
      <c r="M532" s="3">
        <v>45912</v>
      </c>
      <c r="N532" s="1" t="s">
        <v>57</v>
      </c>
      <c r="O532" s="1" t="s">
        <v>936</v>
      </c>
      <c r="P532" s="1">
        <v>1</v>
      </c>
    </row>
    <row r="533" spans="1:16" x14ac:dyDescent="0.25">
      <c r="A533" s="3">
        <v>45909</v>
      </c>
      <c r="B533" s="4">
        <v>1543</v>
      </c>
      <c r="C533" s="5">
        <v>4800</v>
      </c>
      <c r="D533" s="1" t="s">
        <v>1080</v>
      </c>
      <c r="E533" s="1" t="s">
        <v>1081</v>
      </c>
      <c r="F533" s="1" t="s">
        <v>955</v>
      </c>
      <c r="G533" s="1" t="s">
        <v>1082</v>
      </c>
      <c r="H533" s="3">
        <v>45924</v>
      </c>
      <c r="I533" s="1" t="s">
        <v>933</v>
      </c>
      <c r="J533" s="1" t="s">
        <v>951</v>
      </c>
      <c r="K533" s="1" t="s">
        <v>66</v>
      </c>
      <c r="L533" s="1" t="s">
        <v>1703</v>
      </c>
      <c r="M533" s="3">
        <v>45911</v>
      </c>
      <c r="N533" s="1" t="s">
        <v>821</v>
      </c>
      <c r="O533" s="1" t="s">
        <v>936</v>
      </c>
      <c r="P533" s="1">
        <v>1</v>
      </c>
    </row>
    <row r="534" spans="1:16" x14ac:dyDescent="0.25">
      <c r="A534" s="3">
        <v>45909</v>
      </c>
      <c r="B534" s="1">
        <v>83</v>
      </c>
      <c r="C534" s="5">
        <v>150</v>
      </c>
      <c r="D534" s="1" t="s">
        <v>1229</v>
      </c>
      <c r="E534" s="1" t="s">
        <v>1230</v>
      </c>
      <c r="F534" s="1" t="s">
        <v>245</v>
      </c>
      <c r="G534" s="1" t="s">
        <v>940</v>
      </c>
      <c r="H534" s="3">
        <v>45924</v>
      </c>
      <c r="I534" s="1" t="s">
        <v>933</v>
      </c>
      <c r="J534" s="1" t="s">
        <v>66</v>
      </c>
      <c r="K534" s="1" t="s">
        <v>817</v>
      </c>
      <c r="L534" s="1" t="s">
        <v>1704</v>
      </c>
      <c r="M534" s="3">
        <v>45912</v>
      </c>
      <c r="N534" s="1" t="s">
        <v>57</v>
      </c>
      <c r="O534" s="1" t="s">
        <v>990</v>
      </c>
      <c r="P534" s="1">
        <v>1</v>
      </c>
    </row>
    <row r="535" spans="1:16" x14ac:dyDescent="0.25">
      <c r="A535" s="3">
        <v>45909</v>
      </c>
      <c r="B535" s="1">
        <v>84</v>
      </c>
      <c r="C535" s="5">
        <v>280</v>
      </c>
      <c r="D535" s="1" t="s">
        <v>1229</v>
      </c>
      <c r="E535" s="1" t="s">
        <v>1230</v>
      </c>
      <c r="F535" s="1" t="s">
        <v>304</v>
      </c>
      <c r="G535" s="1" t="s">
        <v>940</v>
      </c>
      <c r="H535" s="3">
        <v>45924</v>
      </c>
      <c r="I535" s="1" t="s">
        <v>933</v>
      </c>
      <c r="J535" s="1" t="s">
        <v>66</v>
      </c>
      <c r="K535" s="1" t="s">
        <v>817</v>
      </c>
      <c r="L535" s="1" t="s">
        <v>1705</v>
      </c>
      <c r="M535" s="3">
        <v>45912</v>
      </c>
      <c r="N535" s="1" t="s">
        <v>57</v>
      </c>
      <c r="O535" s="1" t="s">
        <v>990</v>
      </c>
      <c r="P535" s="1">
        <v>1</v>
      </c>
    </row>
    <row r="536" spans="1:16" x14ac:dyDescent="0.25">
      <c r="A536" s="3">
        <v>45909</v>
      </c>
      <c r="B536" s="1">
        <v>85</v>
      </c>
      <c r="C536" s="5">
        <v>1264</v>
      </c>
      <c r="D536" s="1" t="s">
        <v>1229</v>
      </c>
      <c r="E536" s="1" t="s">
        <v>1230</v>
      </c>
      <c r="F536" s="1" t="s">
        <v>121</v>
      </c>
      <c r="G536" s="1" t="s">
        <v>940</v>
      </c>
      <c r="H536" s="3">
        <v>45924</v>
      </c>
      <c r="I536" s="1" t="s">
        <v>933</v>
      </c>
      <c r="J536" s="1" t="s">
        <v>66</v>
      </c>
      <c r="K536" s="1" t="s">
        <v>1654</v>
      </c>
      <c r="L536" s="1" t="s">
        <v>1706</v>
      </c>
      <c r="M536" s="3">
        <v>45912</v>
      </c>
      <c r="N536" s="1" t="s">
        <v>50</v>
      </c>
      <c r="O536" s="1" t="s">
        <v>990</v>
      </c>
      <c r="P536" s="1">
        <v>1</v>
      </c>
    </row>
    <row r="537" spans="1:16" x14ac:dyDescent="0.25">
      <c r="A537" s="3">
        <v>45909</v>
      </c>
      <c r="B537" s="1">
        <v>86</v>
      </c>
      <c r="C537" s="5">
        <v>70</v>
      </c>
      <c r="D537" s="1" t="s">
        <v>1229</v>
      </c>
      <c r="E537" s="1" t="s">
        <v>1230</v>
      </c>
      <c r="F537" s="1" t="s">
        <v>430</v>
      </c>
      <c r="G537" s="1" t="s">
        <v>940</v>
      </c>
      <c r="H537" s="3">
        <v>45924</v>
      </c>
      <c r="I537" s="1" t="s">
        <v>933</v>
      </c>
      <c r="J537" s="1" t="s">
        <v>66</v>
      </c>
      <c r="K537" s="1" t="s">
        <v>1654</v>
      </c>
      <c r="L537" s="1" t="s">
        <v>1707</v>
      </c>
      <c r="M537" s="3">
        <v>45912</v>
      </c>
      <c r="N537" s="1" t="s">
        <v>57</v>
      </c>
      <c r="O537" s="1" t="s">
        <v>990</v>
      </c>
      <c r="P537" s="1">
        <v>1</v>
      </c>
    </row>
    <row r="538" spans="1:16" x14ac:dyDescent="0.25">
      <c r="A538" s="3">
        <v>45909</v>
      </c>
      <c r="B538" s="1">
        <v>87</v>
      </c>
      <c r="C538" s="5">
        <v>270</v>
      </c>
      <c r="D538" s="1" t="s">
        <v>1229</v>
      </c>
      <c r="E538" s="1" t="s">
        <v>1230</v>
      </c>
      <c r="F538" s="1" t="s">
        <v>229</v>
      </c>
      <c r="G538" s="1" t="s">
        <v>940</v>
      </c>
      <c r="H538" s="3">
        <v>45924</v>
      </c>
      <c r="I538" s="1" t="s">
        <v>933</v>
      </c>
      <c r="J538" s="1" t="s">
        <v>66</v>
      </c>
      <c r="K538" s="1" t="s">
        <v>52</v>
      </c>
      <c r="L538" s="1" t="s">
        <v>1708</v>
      </c>
      <c r="M538" s="3">
        <v>45912</v>
      </c>
      <c r="N538" s="1" t="s">
        <v>233</v>
      </c>
      <c r="O538" s="1" t="s">
        <v>990</v>
      </c>
      <c r="P538" s="1">
        <v>1</v>
      </c>
    </row>
    <row r="539" spans="1:16" x14ac:dyDescent="0.25">
      <c r="A539" s="3">
        <v>45909</v>
      </c>
      <c r="B539" s="1">
        <v>88</v>
      </c>
      <c r="C539" s="5">
        <v>150</v>
      </c>
      <c r="D539" s="1" t="s">
        <v>1229</v>
      </c>
      <c r="E539" s="1" t="s">
        <v>1230</v>
      </c>
      <c r="F539" s="1" t="s">
        <v>778</v>
      </c>
      <c r="G539" s="1" t="s">
        <v>940</v>
      </c>
      <c r="H539" s="3">
        <v>45924</v>
      </c>
      <c r="I539" s="1" t="s">
        <v>933</v>
      </c>
      <c r="J539" s="1" t="s">
        <v>66</v>
      </c>
      <c r="K539" s="1" t="s">
        <v>340</v>
      </c>
      <c r="L539" s="1" t="s">
        <v>1709</v>
      </c>
      <c r="M539" s="3">
        <v>45912</v>
      </c>
      <c r="N539" s="1" t="s">
        <v>783</v>
      </c>
      <c r="O539" s="1" t="s">
        <v>990</v>
      </c>
      <c r="P539" s="1">
        <v>1</v>
      </c>
    </row>
    <row r="540" spans="1:16" x14ac:dyDescent="0.25">
      <c r="A540" s="3">
        <v>45909</v>
      </c>
      <c r="B540" s="1">
        <v>89</v>
      </c>
      <c r="C540" s="5">
        <v>97</v>
      </c>
      <c r="D540" s="1" t="s">
        <v>1229</v>
      </c>
      <c r="E540" s="1" t="s">
        <v>1230</v>
      </c>
      <c r="F540" s="1" t="s">
        <v>719</v>
      </c>
      <c r="G540" s="1" t="s">
        <v>940</v>
      </c>
      <c r="H540" s="3">
        <v>45924</v>
      </c>
      <c r="I540" s="1" t="s">
        <v>933</v>
      </c>
      <c r="J540" s="1" t="s">
        <v>66</v>
      </c>
      <c r="K540" s="1" t="s">
        <v>340</v>
      </c>
      <c r="L540" s="1" t="s">
        <v>1707</v>
      </c>
      <c r="M540" s="3">
        <v>45912</v>
      </c>
      <c r="N540" s="1" t="s">
        <v>712</v>
      </c>
      <c r="O540" s="1" t="s">
        <v>990</v>
      </c>
      <c r="P540" s="1">
        <v>1</v>
      </c>
    </row>
    <row r="541" spans="1:16" x14ac:dyDescent="0.25">
      <c r="A541" s="3">
        <v>45909</v>
      </c>
      <c r="B541" s="1">
        <v>90</v>
      </c>
      <c r="C541" s="5">
        <v>106</v>
      </c>
      <c r="D541" s="1" t="s">
        <v>1229</v>
      </c>
      <c r="E541" s="1" t="s">
        <v>1230</v>
      </c>
      <c r="F541" s="1" t="s">
        <v>639</v>
      </c>
      <c r="G541" s="1" t="s">
        <v>940</v>
      </c>
      <c r="H541" s="3">
        <v>45924</v>
      </c>
      <c r="I541" s="1" t="s">
        <v>933</v>
      </c>
      <c r="J541" s="1" t="s">
        <v>66</v>
      </c>
      <c r="K541" s="1" t="s">
        <v>340</v>
      </c>
      <c r="L541" s="1" t="s">
        <v>1707</v>
      </c>
      <c r="M541" s="3">
        <v>45912</v>
      </c>
      <c r="N541" s="1"/>
      <c r="O541" s="1" t="s">
        <v>990</v>
      </c>
      <c r="P541" s="1">
        <v>1</v>
      </c>
    </row>
    <row r="542" spans="1:16" x14ac:dyDescent="0.25">
      <c r="A542" s="3">
        <v>45909</v>
      </c>
      <c r="B542" s="4">
        <v>1542</v>
      </c>
      <c r="C542" s="5">
        <v>1620</v>
      </c>
      <c r="D542" s="1" t="s">
        <v>1080</v>
      </c>
      <c r="E542" s="1" t="s">
        <v>1081</v>
      </c>
      <c r="F542" s="1" t="s">
        <v>229</v>
      </c>
      <c r="G542" s="1" t="s">
        <v>1082</v>
      </c>
      <c r="H542" s="3">
        <v>45924</v>
      </c>
      <c r="I542" s="1" t="s">
        <v>933</v>
      </c>
      <c r="J542" s="1" t="s">
        <v>66</v>
      </c>
      <c r="K542" s="1" t="s">
        <v>52</v>
      </c>
      <c r="L542" s="1" t="s">
        <v>1710</v>
      </c>
      <c r="M542" s="3">
        <v>45912</v>
      </c>
      <c r="N542" s="1" t="s">
        <v>233</v>
      </c>
      <c r="O542" s="1" t="s">
        <v>936</v>
      </c>
      <c r="P542" s="1">
        <v>1</v>
      </c>
    </row>
    <row r="543" spans="1:16" x14ac:dyDescent="0.25">
      <c r="A543" s="3">
        <v>45909</v>
      </c>
      <c r="B543" s="4">
        <v>1542</v>
      </c>
      <c r="C543" s="5">
        <v>1620</v>
      </c>
      <c r="D543" s="1" t="s">
        <v>1080</v>
      </c>
      <c r="E543" s="1" t="s">
        <v>1081</v>
      </c>
      <c r="F543" s="1" t="s">
        <v>222</v>
      </c>
      <c r="G543" s="1" t="s">
        <v>1082</v>
      </c>
      <c r="H543" s="3">
        <v>45924</v>
      </c>
      <c r="I543" s="1" t="s">
        <v>933</v>
      </c>
      <c r="J543" s="1" t="s">
        <v>66</v>
      </c>
      <c r="K543" s="1" t="s">
        <v>52</v>
      </c>
      <c r="L543" s="1" t="s">
        <v>1711</v>
      </c>
      <c r="M543" s="3">
        <v>45912</v>
      </c>
      <c r="N543" s="1" t="s">
        <v>93</v>
      </c>
      <c r="O543" s="1" t="s">
        <v>936</v>
      </c>
      <c r="P543" s="1">
        <v>1</v>
      </c>
    </row>
    <row r="544" spans="1:16" x14ac:dyDescent="0.25">
      <c r="A544" s="3">
        <v>45909</v>
      </c>
      <c r="B544" s="4">
        <v>1542</v>
      </c>
      <c r="C544" s="5">
        <v>2610</v>
      </c>
      <c r="D544" s="1" t="s">
        <v>1080</v>
      </c>
      <c r="E544" s="1" t="s">
        <v>1081</v>
      </c>
      <c r="F544" s="1" t="s">
        <v>182</v>
      </c>
      <c r="G544" s="1" t="s">
        <v>1082</v>
      </c>
      <c r="H544" s="3">
        <v>45924</v>
      </c>
      <c r="I544" s="1" t="s">
        <v>933</v>
      </c>
      <c r="J544" s="1" t="s">
        <v>66</v>
      </c>
      <c r="K544" s="1" t="s">
        <v>52</v>
      </c>
      <c r="L544" s="1" t="s">
        <v>1712</v>
      </c>
      <c r="M544" s="3">
        <v>45912</v>
      </c>
      <c r="N544" s="1" t="s">
        <v>93</v>
      </c>
      <c r="O544" s="1" t="s">
        <v>936</v>
      </c>
      <c r="P544" s="1">
        <v>1</v>
      </c>
    </row>
    <row r="545" spans="1:16" x14ac:dyDescent="0.25">
      <c r="A545" s="3">
        <v>45909</v>
      </c>
      <c r="B545" s="4">
        <v>1542</v>
      </c>
      <c r="C545" s="5">
        <v>1100</v>
      </c>
      <c r="D545" s="1" t="s">
        <v>1080</v>
      </c>
      <c r="E545" s="1" t="s">
        <v>1081</v>
      </c>
      <c r="F545" s="1" t="s">
        <v>121</v>
      </c>
      <c r="G545" s="1" t="s">
        <v>1082</v>
      </c>
      <c r="H545" s="3">
        <v>45924</v>
      </c>
      <c r="I545" s="1" t="s">
        <v>933</v>
      </c>
      <c r="J545" s="1" t="s">
        <v>66</v>
      </c>
      <c r="K545" s="1" t="s">
        <v>52</v>
      </c>
      <c r="L545" s="1" t="s">
        <v>1713</v>
      </c>
      <c r="M545" s="3">
        <v>45912</v>
      </c>
      <c r="N545" s="1" t="s">
        <v>50</v>
      </c>
      <c r="O545" s="1" t="s">
        <v>936</v>
      </c>
      <c r="P545" s="1">
        <v>1</v>
      </c>
    </row>
    <row r="546" spans="1:16" x14ac:dyDescent="0.25">
      <c r="A546" s="3">
        <v>45909</v>
      </c>
      <c r="B546" s="4">
        <v>1542</v>
      </c>
      <c r="C546" s="5">
        <v>4000</v>
      </c>
      <c r="D546" s="1" t="s">
        <v>1080</v>
      </c>
      <c r="E546" s="1" t="s">
        <v>1081</v>
      </c>
      <c r="F546" s="1" t="s">
        <v>153</v>
      </c>
      <c r="G546" s="1" t="s">
        <v>1082</v>
      </c>
      <c r="H546" s="3">
        <v>45924</v>
      </c>
      <c r="I546" s="1" t="s">
        <v>933</v>
      </c>
      <c r="J546" s="1" t="s">
        <v>66</v>
      </c>
      <c r="K546" s="1" t="s">
        <v>52</v>
      </c>
      <c r="L546" s="1" t="s">
        <v>1714</v>
      </c>
      <c r="M546" s="3">
        <v>45912</v>
      </c>
      <c r="N546" s="1" t="s">
        <v>82</v>
      </c>
      <c r="O546" s="1" t="s">
        <v>936</v>
      </c>
      <c r="P546" s="1">
        <v>1</v>
      </c>
    </row>
    <row r="547" spans="1:16" x14ac:dyDescent="0.25">
      <c r="A547" s="3">
        <v>45909</v>
      </c>
      <c r="B547" s="4">
        <v>1542</v>
      </c>
      <c r="C547" s="5">
        <v>6720</v>
      </c>
      <c r="D547" s="1" t="s">
        <v>1080</v>
      </c>
      <c r="E547" s="1" t="s">
        <v>1081</v>
      </c>
      <c r="F547" s="1" t="s">
        <v>400</v>
      </c>
      <c r="G547" s="1" t="s">
        <v>1082</v>
      </c>
      <c r="H547" s="3">
        <v>45924</v>
      </c>
      <c r="I547" s="1" t="s">
        <v>933</v>
      </c>
      <c r="J547" s="1" t="s">
        <v>66</v>
      </c>
      <c r="K547" s="1" t="s">
        <v>52</v>
      </c>
      <c r="L547" s="1" t="s">
        <v>1715</v>
      </c>
      <c r="M547" s="3">
        <v>45912</v>
      </c>
      <c r="N547" s="1" t="s">
        <v>57</v>
      </c>
      <c r="O547" s="1" t="s">
        <v>936</v>
      </c>
      <c r="P547" s="1">
        <v>1</v>
      </c>
    </row>
    <row r="548" spans="1:16" x14ac:dyDescent="0.25">
      <c r="A548" s="3">
        <v>45909</v>
      </c>
      <c r="B548" s="4">
        <v>1542</v>
      </c>
      <c r="C548" s="5">
        <v>6550</v>
      </c>
      <c r="D548" s="1" t="s">
        <v>1080</v>
      </c>
      <c r="E548" s="1" t="s">
        <v>1081</v>
      </c>
      <c r="F548" s="1" t="s">
        <v>157</v>
      </c>
      <c r="G548" s="1" t="s">
        <v>1082</v>
      </c>
      <c r="H548" s="3">
        <v>45924</v>
      </c>
      <c r="I548" s="1" t="s">
        <v>933</v>
      </c>
      <c r="J548" s="1" t="s">
        <v>66</v>
      </c>
      <c r="K548" s="1" t="s">
        <v>52</v>
      </c>
      <c r="L548" s="1" t="s">
        <v>1716</v>
      </c>
      <c r="M548" s="3">
        <v>45912</v>
      </c>
      <c r="N548" s="1" t="s">
        <v>161</v>
      </c>
      <c r="O548" s="1" t="s">
        <v>936</v>
      </c>
      <c r="P548" s="1">
        <v>1</v>
      </c>
    </row>
    <row r="549" spans="1:16" x14ac:dyDescent="0.25">
      <c r="A549" s="3">
        <v>45909</v>
      </c>
      <c r="B549" s="4">
        <v>1542</v>
      </c>
      <c r="C549" s="5">
        <v>6550</v>
      </c>
      <c r="D549" s="1" t="s">
        <v>1080</v>
      </c>
      <c r="E549" s="1" t="s">
        <v>1081</v>
      </c>
      <c r="F549" s="1" t="s">
        <v>162</v>
      </c>
      <c r="G549" s="1" t="s">
        <v>1082</v>
      </c>
      <c r="H549" s="3">
        <v>45924</v>
      </c>
      <c r="I549" s="1" t="s">
        <v>933</v>
      </c>
      <c r="J549" s="1" t="s">
        <v>66</v>
      </c>
      <c r="K549" s="1" t="s">
        <v>52</v>
      </c>
      <c r="L549" s="1" t="s">
        <v>1716</v>
      </c>
      <c r="M549" s="3">
        <v>45912</v>
      </c>
      <c r="N549" s="1"/>
      <c r="O549" s="1"/>
      <c r="P549" s="1"/>
    </row>
    <row r="550" spans="1:16" x14ac:dyDescent="0.25">
      <c r="A550" s="3">
        <v>45909</v>
      </c>
      <c r="B550" s="4">
        <v>1542</v>
      </c>
      <c r="C550" s="5">
        <v>6550</v>
      </c>
      <c r="D550" s="1" t="s">
        <v>1080</v>
      </c>
      <c r="E550" s="1" t="s">
        <v>1081</v>
      </c>
      <c r="F550" s="1" t="s">
        <v>166</v>
      </c>
      <c r="G550" s="1" t="s">
        <v>1082</v>
      </c>
      <c r="H550" s="3">
        <v>45924</v>
      </c>
      <c r="I550" s="1" t="s">
        <v>933</v>
      </c>
      <c r="J550" s="1" t="s">
        <v>66</v>
      </c>
      <c r="K550" s="1" t="s">
        <v>52</v>
      </c>
      <c r="L550" s="1" t="s">
        <v>1716</v>
      </c>
      <c r="M550" s="3">
        <v>45912</v>
      </c>
      <c r="N550" s="1"/>
      <c r="O550" s="1"/>
      <c r="P550" s="1"/>
    </row>
    <row r="551" spans="1:16" x14ac:dyDescent="0.25">
      <c r="A551" s="3">
        <v>45909</v>
      </c>
      <c r="B551" s="1">
        <v>93</v>
      </c>
      <c r="C551" s="5">
        <v>729</v>
      </c>
      <c r="D551" s="1" t="s">
        <v>1229</v>
      </c>
      <c r="E551" s="1" t="s">
        <v>1230</v>
      </c>
      <c r="F551" s="1" t="s">
        <v>166</v>
      </c>
      <c r="G551" s="1" t="s">
        <v>940</v>
      </c>
      <c r="H551" s="3">
        <v>45924</v>
      </c>
      <c r="I551" s="1" t="s">
        <v>933</v>
      </c>
      <c r="J551" s="1" t="s">
        <v>66</v>
      </c>
      <c r="K551" s="1" t="s">
        <v>52</v>
      </c>
      <c r="L551" s="1" t="s">
        <v>1717</v>
      </c>
      <c r="M551" s="3">
        <v>45912</v>
      </c>
      <c r="N551" s="1" t="s">
        <v>170</v>
      </c>
      <c r="O551" s="1" t="s">
        <v>990</v>
      </c>
      <c r="P551" s="1">
        <v>1</v>
      </c>
    </row>
    <row r="552" spans="1:16" x14ac:dyDescent="0.25">
      <c r="A552" s="3">
        <v>45909</v>
      </c>
      <c r="B552" s="1">
        <v>92</v>
      </c>
      <c r="C552" s="5">
        <v>709</v>
      </c>
      <c r="D552" s="1" t="s">
        <v>1229</v>
      </c>
      <c r="E552" s="1" t="s">
        <v>1230</v>
      </c>
      <c r="F552" s="1" t="s">
        <v>157</v>
      </c>
      <c r="G552" s="1" t="s">
        <v>940</v>
      </c>
      <c r="H552" s="3">
        <v>45924</v>
      </c>
      <c r="I552" s="1" t="s">
        <v>933</v>
      </c>
      <c r="J552" s="1" t="s">
        <v>66</v>
      </c>
      <c r="K552" s="1" t="s">
        <v>52</v>
      </c>
      <c r="L552" s="1" t="s">
        <v>1718</v>
      </c>
      <c r="M552" s="3">
        <v>45912</v>
      </c>
      <c r="N552" s="1" t="s">
        <v>161</v>
      </c>
      <c r="O552" s="1" t="s">
        <v>990</v>
      </c>
      <c r="P552" s="1">
        <v>1</v>
      </c>
    </row>
    <row r="553" spans="1:16" x14ac:dyDescent="0.25">
      <c r="A553" s="3">
        <v>45909</v>
      </c>
      <c r="B553" s="1">
        <v>94</v>
      </c>
      <c r="C553" s="5">
        <v>470</v>
      </c>
      <c r="D553" s="1" t="s">
        <v>1229</v>
      </c>
      <c r="E553" s="1" t="s">
        <v>1230</v>
      </c>
      <c r="F553" s="1" t="s">
        <v>775</v>
      </c>
      <c r="G553" s="1" t="s">
        <v>940</v>
      </c>
      <c r="H553" s="3">
        <v>45924</v>
      </c>
      <c r="I553" s="1" t="s">
        <v>933</v>
      </c>
      <c r="J553" s="1" t="s">
        <v>66</v>
      </c>
      <c r="K553" s="1" t="s">
        <v>340</v>
      </c>
      <c r="L553" s="1" t="s">
        <v>1719</v>
      </c>
      <c r="M553" s="3">
        <v>45912</v>
      </c>
      <c r="N553" s="1" t="s">
        <v>580</v>
      </c>
      <c r="O553" s="1" t="s">
        <v>990</v>
      </c>
      <c r="P553" s="1">
        <v>1</v>
      </c>
    </row>
    <row r="554" spans="1:16" x14ac:dyDescent="0.25">
      <c r="A554" s="3">
        <v>45909</v>
      </c>
      <c r="B554" s="1">
        <v>91</v>
      </c>
      <c r="C554" s="5">
        <v>960</v>
      </c>
      <c r="D554" s="1" t="s">
        <v>1229</v>
      </c>
      <c r="E554" s="1" t="s">
        <v>1230</v>
      </c>
      <c r="F554" s="1" t="s">
        <v>775</v>
      </c>
      <c r="G554" s="1" t="s">
        <v>940</v>
      </c>
      <c r="H554" s="3">
        <v>45924</v>
      </c>
      <c r="I554" s="1" t="s">
        <v>933</v>
      </c>
      <c r="J554" s="1" t="s">
        <v>66</v>
      </c>
      <c r="K554" s="1" t="s">
        <v>340</v>
      </c>
      <c r="L554" s="1" t="s">
        <v>1720</v>
      </c>
      <c r="M554" s="3">
        <v>45912</v>
      </c>
      <c r="N554" s="1" t="s">
        <v>580</v>
      </c>
      <c r="O554" s="1" t="s">
        <v>990</v>
      </c>
      <c r="P554" s="1">
        <v>1</v>
      </c>
    </row>
    <row r="555" spans="1:16" x14ac:dyDescent="0.25">
      <c r="A555" s="3">
        <v>45909</v>
      </c>
      <c r="B555" s="1">
        <v>96</v>
      </c>
      <c r="C555" s="5">
        <v>840</v>
      </c>
      <c r="D555" s="1" t="s">
        <v>1229</v>
      </c>
      <c r="E555" s="1" t="s">
        <v>1230</v>
      </c>
      <c r="F555" s="1" t="s">
        <v>162</v>
      </c>
      <c r="G555" s="1" t="s">
        <v>940</v>
      </c>
      <c r="H555" s="3">
        <v>45924</v>
      </c>
      <c r="I555" s="1" t="s">
        <v>933</v>
      </c>
      <c r="J555" s="1" t="s">
        <v>66</v>
      </c>
      <c r="K555" s="1" t="s">
        <v>52</v>
      </c>
      <c r="L555" s="1" t="s">
        <v>1721</v>
      </c>
      <c r="M555" s="3">
        <v>45912</v>
      </c>
      <c r="N555" s="1" t="s">
        <v>165</v>
      </c>
      <c r="O555" s="1" t="s">
        <v>990</v>
      </c>
      <c r="P555" s="1">
        <v>1</v>
      </c>
    </row>
    <row r="556" spans="1:16" x14ac:dyDescent="0.25">
      <c r="A556" s="3">
        <v>45909</v>
      </c>
      <c r="B556" s="1">
        <v>95</v>
      </c>
      <c r="C556" s="5">
        <v>75</v>
      </c>
      <c r="D556" s="1" t="s">
        <v>1229</v>
      </c>
      <c r="E556" s="1" t="s">
        <v>1230</v>
      </c>
      <c r="F556" s="1" t="s">
        <v>721</v>
      </c>
      <c r="G556" s="1" t="s">
        <v>940</v>
      </c>
      <c r="H556" s="3">
        <v>45924</v>
      </c>
      <c r="I556" s="1" t="s">
        <v>933</v>
      </c>
      <c r="J556" s="1" t="s">
        <v>66</v>
      </c>
      <c r="K556" s="1" t="s">
        <v>340</v>
      </c>
      <c r="L556" s="1" t="s">
        <v>1722</v>
      </c>
      <c r="M556" s="3">
        <v>45912</v>
      </c>
      <c r="N556" s="1" t="s">
        <v>712</v>
      </c>
      <c r="O556" s="1" t="s">
        <v>990</v>
      </c>
      <c r="P556" s="1">
        <v>1</v>
      </c>
    </row>
    <row r="557" spans="1:16" x14ac:dyDescent="0.25">
      <c r="A557" s="3">
        <v>45909</v>
      </c>
      <c r="B557" s="4">
        <v>70753</v>
      </c>
      <c r="C557" s="5">
        <v>1062</v>
      </c>
      <c r="D557" s="1" t="s">
        <v>1098</v>
      </c>
      <c r="E557" s="1" t="s">
        <v>1099</v>
      </c>
      <c r="F557" s="1" t="s">
        <v>218</v>
      </c>
      <c r="G557" s="1" t="s">
        <v>1254</v>
      </c>
      <c r="H557" s="3">
        <v>45939</v>
      </c>
      <c r="I557" s="1" t="s">
        <v>933</v>
      </c>
      <c r="J557" s="1" t="s">
        <v>66</v>
      </c>
      <c r="K557" s="1" t="s">
        <v>1654</v>
      </c>
      <c r="L557" s="1" t="s">
        <v>1723</v>
      </c>
      <c r="M557" s="3">
        <v>45912</v>
      </c>
      <c r="N557" s="1" t="s">
        <v>221</v>
      </c>
      <c r="O557" s="1" t="s">
        <v>936</v>
      </c>
      <c r="P557" s="1">
        <v>1</v>
      </c>
    </row>
    <row r="558" spans="1:16" x14ac:dyDescent="0.25">
      <c r="A558" s="3">
        <v>45909</v>
      </c>
      <c r="B558" s="4">
        <v>147422</v>
      </c>
      <c r="C558" s="5">
        <v>293.93</v>
      </c>
      <c r="D558" s="1" t="s">
        <v>1492</v>
      </c>
      <c r="E558" s="1" t="s">
        <v>1493</v>
      </c>
      <c r="F558" s="1" t="s">
        <v>400</v>
      </c>
      <c r="G558" s="1" t="s">
        <v>940</v>
      </c>
      <c r="H558" s="3">
        <v>45939</v>
      </c>
      <c r="I558" s="1" t="s">
        <v>933</v>
      </c>
      <c r="J558" s="1" t="s">
        <v>66</v>
      </c>
      <c r="K558" s="1" t="s">
        <v>340</v>
      </c>
      <c r="L558" s="1" t="s">
        <v>1724</v>
      </c>
      <c r="M558" s="3">
        <v>45912</v>
      </c>
      <c r="N558" s="1" t="s">
        <v>57</v>
      </c>
      <c r="O558" s="1" t="s">
        <v>936</v>
      </c>
      <c r="P558" s="1">
        <v>1</v>
      </c>
    </row>
    <row r="559" spans="1:16" x14ac:dyDescent="0.25">
      <c r="A559" s="3">
        <v>45909</v>
      </c>
      <c r="B559" s="4">
        <v>723988</v>
      </c>
      <c r="C559" s="5">
        <v>165.3</v>
      </c>
      <c r="D559" s="1" t="s">
        <v>1725</v>
      </c>
      <c r="E559" s="1" t="s">
        <v>1053</v>
      </c>
      <c r="F559" s="1" t="s">
        <v>955</v>
      </c>
      <c r="G559" s="1" t="s">
        <v>998</v>
      </c>
      <c r="H559" s="1" t="s">
        <v>941</v>
      </c>
      <c r="I559" s="1" t="s">
        <v>933</v>
      </c>
      <c r="J559" s="1" t="s">
        <v>951</v>
      </c>
      <c r="K559" s="1" t="s">
        <v>996</v>
      </c>
      <c r="L559" s="1" t="s">
        <v>1726</v>
      </c>
      <c r="M559" s="3">
        <v>45910</v>
      </c>
      <c r="N559" s="1" t="s">
        <v>821</v>
      </c>
      <c r="O559" s="1" t="s">
        <v>998</v>
      </c>
      <c r="P559" s="1">
        <v>1</v>
      </c>
    </row>
    <row r="560" spans="1:16" x14ac:dyDescent="0.25">
      <c r="A560" s="3">
        <v>45909</v>
      </c>
      <c r="B560" s="1">
        <v>137</v>
      </c>
      <c r="C560" s="5">
        <v>11336</v>
      </c>
      <c r="D560" s="1" t="s">
        <v>1034</v>
      </c>
      <c r="E560" s="1" t="s">
        <v>1035</v>
      </c>
      <c r="F560" s="1" t="s">
        <v>773</v>
      </c>
      <c r="G560" s="1" t="s">
        <v>1029</v>
      </c>
      <c r="H560" s="3">
        <v>45931</v>
      </c>
      <c r="I560" s="1" t="s">
        <v>933</v>
      </c>
      <c r="J560" s="1" t="s">
        <v>66</v>
      </c>
      <c r="K560" s="1" t="s">
        <v>1639</v>
      </c>
      <c r="L560" s="1" t="s">
        <v>1727</v>
      </c>
      <c r="M560" s="3">
        <v>45913</v>
      </c>
      <c r="N560" s="1" t="s">
        <v>57</v>
      </c>
      <c r="O560" s="1" t="s">
        <v>932</v>
      </c>
      <c r="P560" s="1">
        <v>1</v>
      </c>
    </row>
    <row r="561" spans="1:16" x14ac:dyDescent="0.25">
      <c r="A561" s="3">
        <v>45909</v>
      </c>
      <c r="B561" s="4">
        <v>1064</v>
      </c>
      <c r="C561" s="5">
        <v>305</v>
      </c>
      <c r="D561" s="1" t="s">
        <v>1728</v>
      </c>
      <c r="E561" s="1" t="s">
        <v>1075</v>
      </c>
      <c r="F561" s="1" t="s">
        <v>955</v>
      </c>
      <c r="G561" s="1" t="s">
        <v>981</v>
      </c>
      <c r="H561" s="3">
        <v>45930</v>
      </c>
      <c r="I561" s="1" t="s">
        <v>933</v>
      </c>
      <c r="J561" s="1" t="s">
        <v>951</v>
      </c>
      <c r="K561" s="1" t="s">
        <v>66</v>
      </c>
      <c r="L561" s="1" t="s">
        <v>1729</v>
      </c>
      <c r="M561" s="3">
        <v>45918</v>
      </c>
      <c r="N561" s="1" t="s">
        <v>821</v>
      </c>
      <c r="O561" s="1" t="s">
        <v>937</v>
      </c>
      <c r="P561" s="1">
        <v>1</v>
      </c>
    </row>
    <row r="562" spans="1:16" x14ac:dyDescent="0.25">
      <c r="A562" s="3">
        <v>45909</v>
      </c>
      <c r="B562" s="1">
        <v>12</v>
      </c>
      <c r="C562" s="5">
        <v>3500</v>
      </c>
      <c r="D562" s="1" t="s">
        <v>1730</v>
      </c>
      <c r="E562" s="1" t="s">
        <v>1731</v>
      </c>
      <c r="F562" s="1" t="s">
        <v>955</v>
      </c>
      <c r="G562" s="1" t="s">
        <v>940</v>
      </c>
      <c r="H562" s="3">
        <v>45938</v>
      </c>
      <c r="I562" s="1" t="s">
        <v>933</v>
      </c>
      <c r="J562" s="1" t="s">
        <v>951</v>
      </c>
      <c r="K562" s="1" t="s">
        <v>20</v>
      </c>
      <c r="L562" s="1" t="s">
        <v>1732</v>
      </c>
      <c r="M562" s="3">
        <v>45929</v>
      </c>
      <c r="N562" s="1" t="s">
        <v>821</v>
      </c>
      <c r="O562" s="1" t="s">
        <v>936</v>
      </c>
      <c r="P562" s="1" t="s">
        <v>937</v>
      </c>
    </row>
    <row r="563" spans="1:16" x14ac:dyDescent="0.25">
      <c r="A563" s="3">
        <v>45910</v>
      </c>
      <c r="B563" s="4">
        <v>1079</v>
      </c>
      <c r="C563" s="5">
        <v>7000</v>
      </c>
      <c r="D563" s="1" t="s">
        <v>1376</v>
      </c>
      <c r="E563" s="1" t="s">
        <v>1377</v>
      </c>
      <c r="F563" s="1" t="s">
        <v>218</v>
      </c>
      <c r="G563" s="1" t="s">
        <v>932</v>
      </c>
      <c r="H563" s="3">
        <v>45911</v>
      </c>
      <c r="I563" s="1" t="s">
        <v>933</v>
      </c>
      <c r="J563" s="1" t="s">
        <v>66</v>
      </c>
      <c r="K563" s="1" t="s">
        <v>1654</v>
      </c>
      <c r="L563" s="1" t="s">
        <v>1733</v>
      </c>
      <c r="M563" s="3">
        <v>45911</v>
      </c>
      <c r="N563" s="1" t="s">
        <v>221</v>
      </c>
      <c r="O563" s="1" t="s">
        <v>936</v>
      </c>
      <c r="P563" s="1" t="s">
        <v>937</v>
      </c>
    </row>
    <row r="564" spans="1:16" x14ac:dyDescent="0.25">
      <c r="A564" s="3">
        <v>45910</v>
      </c>
      <c r="B564" s="4">
        <v>2801</v>
      </c>
      <c r="C564" s="5">
        <v>4334.3999999999996</v>
      </c>
      <c r="D564" s="1" t="s">
        <v>1206</v>
      </c>
      <c r="E564" s="1" t="s">
        <v>1207</v>
      </c>
      <c r="F564" s="1" t="s">
        <v>955</v>
      </c>
      <c r="G564" s="1" t="s">
        <v>940</v>
      </c>
      <c r="H564" s="3">
        <v>45924</v>
      </c>
      <c r="I564" s="1" t="s">
        <v>933</v>
      </c>
      <c r="J564" s="1" t="s">
        <v>951</v>
      </c>
      <c r="K564" s="1" t="s">
        <v>20</v>
      </c>
      <c r="L564" s="1" t="s">
        <v>1734</v>
      </c>
      <c r="M564" s="3">
        <v>45912</v>
      </c>
      <c r="N564" s="1" t="s">
        <v>821</v>
      </c>
      <c r="O564" s="1" t="s">
        <v>936</v>
      </c>
      <c r="P564" s="1">
        <v>1</v>
      </c>
    </row>
    <row r="565" spans="1:16" x14ac:dyDescent="0.25">
      <c r="A565" s="3">
        <v>45910</v>
      </c>
      <c r="B565" s="4">
        <v>93682</v>
      </c>
      <c r="C565" s="5">
        <v>22600</v>
      </c>
      <c r="D565" s="1" t="s">
        <v>1094</v>
      </c>
      <c r="E565" s="1" t="s">
        <v>1095</v>
      </c>
      <c r="F565" s="1" t="s">
        <v>304</v>
      </c>
      <c r="G565" s="1" t="s">
        <v>998</v>
      </c>
      <c r="H565" s="3">
        <v>45939</v>
      </c>
      <c r="I565" s="1" t="s">
        <v>933</v>
      </c>
      <c r="J565" s="1" t="s">
        <v>66</v>
      </c>
      <c r="K565" s="1" t="s">
        <v>998</v>
      </c>
      <c r="L565" s="1">
        <v>4000</v>
      </c>
      <c r="M565" s="3">
        <v>45912</v>
      </c>
      <c r="N565" s="1" t="s">
        <v>57</v>
      </c>
      <c r="O565" s="1" t="s">
        <v>998</v>
      </c>
      <c r="P565" s="1">
        <v>1</v>
      </c>
    </row>
    <row r="566" spans="1:16" x14ac:dyDescent="0.25">
      <c r="A566" s="3">
        <v>45910</v>
      </c>
      <c r="B566" s="4">
        <v>2802</v>
      </c>
      <c r="C566" s="5">
        <v>5572</v>
      </c>
      <c r="D566" s="1" t="s">
        <v>1206</v>
      </c>
      <c r="E566" s="1" t="s">
        <v>1207</v>
      </c>
      <c r="F566" s="1" t="s">
        <v>955</v>
      </c>
      <c r="G566" s="1" t="s">
        <v>940</v>
      </c>
      <c r="H566" s="3">
        <v>45924</v>
      </c>
      <c r="I566" s="1" t="s">
        <v>933</v>
      </c>
      <c r="J566" s="1" t="s">
        <v>951</v>
      </c>
      <c r="K566" s="1" t="s">
        <v>20</v>
      </c>
      <c r="L566" s="1" t="s">
        <v>1735</v>
      </c>
      <c r="M566" s="3">
        <v>45912</v>
      </c>
      <c r="N566" s="1" t="s">
        <v>821</v>
      </c>
      <c r="O566" s="1" t="s">
        <v>936</v>
      </c>
      <c r="P566" s="1">
        <v>1</v>
      </c>
    </row>
    <row r="567" spans="1:16" x14ac:dyDescent="0.25">
      <c r="A567" s="3">
        <v>45910</v>
      </c>
      <c r="B567" s="1">
        <v>17</v>
      </c>
      <c r="C567" s="5">
        <v>400</v>
      </c>
      <c r="D567" s="1" t="s">
        <v>1736</v>
      </c>
      <c r="E567" s="1" t="s">
        <v>1737</v>
      </c>
      <c r="F567" s="1" t="s">
        <v>955</v>
      </c>
      <c r="G567" s="1" t="s">
        <v>932</v>
      </c>
      <c r="H567" s="3">
        <v>45920</v>
      </c>
      <c r="I567" s="1" t="s">
        <v>933</v>
      </c>
      <c r="J567" s="1" t="s">
        <v>951</v>
      </c>
      <c r="K567" s="1" t="s">
        <v>659</v>
      </c>
      <c r="L567" s="1" t="s">
        <v>1738</v>
      </c>
      <c r="M567" s="3">
        <v>45912</v>
      </c>
      <c r="N567" s="1" t="s">
        <v>821</v>
      </c>
      <c r="O567" s="1" t="s">
        <v>1031</v>
      </c>
      <c r="P567" s="1">
        <v>1</v>
      </c>
    </row>
    <row r="568" spans="1:16" x14ac:dyDescent="0.25">
      <c r="A568" s="3">
        <v>45910</v>
      </c>
      <c r="B568" s="4">
        <v>9381</v>
      </c>
      <c r="C568" s="5">
        <v>583.5</v>
      </c>
      <c r="D568" s="1" t="s">
        <v>1739</v>
      </c>
      <c r="E568" s="1" t="s">
        <v>1740</v>
      </c>
      <c r="F568" s="1" t="s">
        <v>66</v>
      </c>
      <c r="G568" s="1" t="s">
        <v>940</v>
      </c>
      <c r="H568" s="1" t="s">
        <v>959</v>
      </c>
      <c r="I568" s="1" t="s">
        <v>933</v>
      </c>
      <c r="J568" s="1" t="s">
        <v>66</v>
      </c>
      <c r="K568" s="1" t="s">
        <v>52</v>
      </c>
      <c r="L568" s="1" t="s">
        <v>1741</v>
      </c>
      <c r="M568" s="3">
        <v>45912</v>
      </c>
      <c r="N568" s="1" t="s">
        <v>821</v>
      </c>
      <c r="O568" s="1" t="s">
        <v>936</v>
      </c>
      <c r="P568" s="1">
        <v>1</v>
      </c>
    </row>
    <row r="569" spans="1:16" x14ac:dyDescent="0.25">
      <c r="A569" s="3">
        <v>45910</v>
      </c>
      <c r="B569" s="1">
        <v>200</v>
      </c>
      <c r="C569" s="5">
        <v>3500</v>
      </c>
      <c r="D569" s="1" t="s">
        <v>1742</v>
      </c>
      <c r="E569" s="1" t="s">
        <v>1743</v>
      </c>
      <c r="F569" s="1" t="s">
        <v>51</v>
      </c>
      <c r="G569" s="1" t="s">
        <v>1254</v>
      </c>
      <c r="H569" s="3">
        <v>45923</v>
      </c>
      <c r="I569" s="1" t="s">
        <v>933</v>
      </c>
      <c r="J569" s="1" t="s">
        <v>66</v>
      </c>
      <c r="K569" s="1" t="s">
        <v>1654</v>
      </c>
      <c r="L569" s="1" t="s">
        <v>1744</v>
      </c>
      <c r="M569" s="3">
        <v>45918</v>
      </c>
      <c r="N569" s="1" t="s">
        <v>57</v>
      </c>
      <c r="O569" s="1" t="s">
        <v>937</v>
      </c>
      <c r="P569" s="1" t="s">
        <v>937</v>
      </c>
    </row>
    <row r="570" spans="1:16" x14ac:dyDescent="0.25">
      <c r="A570" s="3">
        <v>45910</v>
      </c>
      <c r="B570" s="4">
        <v>2329</v>
      </c>
      <c r="C570" s="5">
        <v>280</v>
      </c>
      <c r="D570" s="1" t="s">
        <v>1745</v>
      </c>
      <c r="E570" s="1" t="s">
        <v>1746</v>
      </c>
      <c r="F570" s="1" t="s">
        <v>955</v>
      </c>
      <c r="G570" s="1" t="s">
        <v>940</v>
      </c>
      <c r="H570" s="1" t="s">
        <v>941</v>
      </c>
      <c r="I570" s="1" t="s">
        <v>933</v>
      </c>
      <c r="J570" s="1" t="s">
        <v>951</v>
      </c>
      <c r="K570" s="1" t="s">
        <v>52</v>
      </c>
      <c r="L570" s="1" t="s">
        <v>1747</v>
      </c>
      <c r="M570" s="3">
        <v>45914</v>
      </c>
      <c r="N570" s="1" t="s">
        <v>821</v>
      </c>
      <c r="O570" s="1" t="s">
        <v>936</v>
      </c>
      <c r="P570" s="1">
        <v>1</v>
      </c>
    </row>
    <row r="571" spans="1:16" x14ac:dyDescent="0.25">
      <c r="A571" s="3">
        <v>45910</v>
      </c>
      <c r="B571" s="4">
        <v>426231</v>
      </c>
      <c r="C571" s="5">
        <v>42.55</v>
      </c>
      <c r="D571" s="1" t="s">
        <v>1085</v>
      </c>
      <c r="E571" s="1" t="s">
        <v>1748</v>
      </c>
      <c r="F571" s="1" t="s">
        <v>955</v>
      </c>
      <c r="G571" s="1" t="s">
        <v>950</v>
      </c>
      <c r="H571" s="1" t="s">
        <v>941</v>
      </c>
      <c r="I571" s="1" t="s">
        <v>933</v>
      </c>
      <c r="J571" s="1" t="s">
        <v>951</v>
      </c>
      <c r="K571" s="1" t="s">
        <v>934</v>
      </c>
      <c r="L571" s="1" t="s">
        <v>1749</v>
      </c>
      <c r="M571" s="3">
        <v>45919</v>
      </c>
      <c r="N571" s="1" t="s">
        <v>821</v>
      </c>
      <c r="O571" s="1" t="s">
        <v>936</v>
      </c>
      <c r="P571" s="1">
        <v>1</v>
      </c>
    </row>
    <row r="572" spans="1:16" x14ac:dyDescent="0.25">
      <c r="A572" s="3">
        <v>45911</v>
      </c>
      <c r="B572" s="1">
        <v>4</v>
      </c>
      <c r="C572" s="5">
        <v>500</v>
      </c>
      <c r="D572" s="1" t="s">
        <v>1750</v>
      </c>
      <c r="E572" s="1" t="s">
        <v>1751</v>
      </c>
      <c r="F572" s="1" t="s">
        <v>955</v>
      </c>
      <c r="G572" s="1" t="s">
        <v>940</v>
      </c>
      <c r="H572" s="3">
        <v>45926</v>
      </c>
      <c r="I572" s="1" t="s">
        <v>933</v>
      </c>
      <c r="J572" s="1" t="s">
        <v>951</v>
      </c>
      <c r="K572" s="1" t="s">
        <v>817</v>
      </c>
      <c r="L572" s="1" t="s">
        <v>1752</v>
      </c>
      <c r="M572" s="3">
        <v>45912</v>
      </c>
      <c r="N572" s="1" t="s">
        <v>821</v>
      </c>
      <c r="O572" s="1" t="s">
        <v>936</v>
      </c>
      <c r="P572" s="1" t="s">
        <v>937</v>
      </c>
    </row>
    <row r="573" spans="1:16" x14ac:dyDescent="0.25">
      <c r="A573" s="3">
        <v>45911</v>
      </c>
      <c r="B573" s="4">
        <v>1697</v>
      </c>
      <c r="C573" s="5">
        <v>640</v>
      </c>
      <c r="D573" s="1" t="s">
        <v>953</v>
      </c>
      <c r="E573" s="1" t="s">
        <v>958</v>
      </c>
      <c r="F573" s="1" t="s">
        <v>955</v>
      </c>
      <c r="G573" s="1" t="s">
        <v>940</v>
      </c>
      <c r="H573" s="3">
        <v>45925</v>
      </c>
      <c r="I573" s="1" t="s">
        <v>933</v>
      </c>
      <c r="J573" s="1" t="s">
        <v>951</v>
      </c>
      <c r="K573" s="1" t="s">
        <v>20</v>
      </c>
      <c r="L573" s="1" t="s">
        <v>1753</v>
      </c>
      <c r="M573" s="3">
        <v>45912</v>
      </c>
      <c r="N573" s="1" t="s">
        <v>821</v>
      </c>
      <c r="O573" s="1" t="s">
        <v>936</v>
      </c>
      <c r="P573" s="1">
        <v>1</v>
      </c>
    </row>
    <row r="574" spans="1:16" x14ac:dyDescent="0.25">
      <c r="A574" s="3">
        <v>45911</v>
      </c>
      <c r="B574" s="4">
        <v>55766</v>
      </c>
      <c r="C574" s="5">
        <v>149.29</v>
      </c>
      <c r="D574" s="1" t="s">
        <v>1754</v>
      </c>
      <c r="E574" s="1" t="s">
        <v>1755</v>
      </c>
      <c r="F574" s="1" t="s">
        <v>955</v>
      </c>
      <c r="G574" s="1" t="s">
        <v>940</v>
      </c>
      <c r="H574" s="1" t="s">
        <v>941</v>
      </c>
      <c r="I574" s="1" t="s">
        <v>933</v>
      </c>
      <c r="J574" s="1" t="s">
        <v>951</v>
      </c>
      <c r="K574" s="1" t="s">
        <v>1654</v>
      </c>
      <c r="L574" s="1" t="s">
        <v>1756</v>
      </c>
      <c r="M574" s="3">
        <v>45912</v>
      </c>
      <c r="N574" s="1" t="s">
        <v>821</v>
      </c>
      <c r="O574" s="1" t="s">
        <v>936</v>
      </c>
      <c r="P574" s="1">
        <v>1</v>
      </c>
    </row>
    <row r="575" spans="1:16" x14ac:dyDescent="0.25">
      <c r="A575" s="3">
        <v>45911</v>
      </c>
      <c r="B575" s="4">
        <v>22556</v>
      </c>
      <c r="C575" s="5">
        <v>1500</v>
      </c>
      <c r="D575" s="1" t="s">
        <v>1319</v>
      </c>
      <c r="E575" s="1" t="s">
        <v>1320</v>
      </c>
      <c r="F575" s="1" t="s">
        <v>955</v>
      </c>
      <c r="G575" s="1" t="s">
        <v>990</v>
      </c>
      <c r="H575" s="3">
        <v>45930</v>
      </c>
      <c r="I575" s="1" t="s">
        <v>933</v>
      </c>
      <c r="J575" s="1" t="s">
        <v>951</v>
      </c>
      <c r="K575" s="1" t="s">
        <v>20</v>
      </c>
      <c r="L575" s="1" t="s">
        <v>1757</v>
      </c>
      <c r="M575" s="3">
        <v>45913</v>
      </c>
      <c r="N575" s="1" t="s">
        <v>821</v>
      </c>
      <c r="O575" s="1" t="s">
        <v>936</v>
      </c>
      <c r="P575" s="1">
        <v>1</v>
      </c>
    </row>
    <row r="576" spans="1:16" x14ac:dyDescent="0.25">
      <c r="A576" s="3">
        <v>45911</v>
      </c>
      <c r="B576" s="1">
        <v>29</v>
      </c>
      <c r="C576" s="5">
        <v>195</v>
      </c>
      <c r="D576" s="1" t="s">
        <v>1607</v>
      </c>
      <c r="E576" s="1" t="s">
        <v>1608</v>
      </c>
      <c r="F576" s="1" t="s">
        <v>955</v>
      </c>
      <c r="G576" s="1" t="s">
        <v>932</v>
      </c>
      <c r="H576" s="3">
        <v>45926</v>
      </c>
      <c r="I576" s="1" t="s">
        <v>933</v>
      </c>
      <c r="J576" s="1" t="s">
        <v>951</v>
      </c>
      <c r="K576" s="1" t="s">
        <v>20</v>
      </c>
      <c r="L576" s="1" t="s">
        <v>1758</v>
      </c>
      <c r="M576" s="3">
        <v>45918</v>
      </c>
      <c r="N576" s="1" t="s">
        <v>821</v>
      </c>
      <c r="O576" s="1" t="s">
        <v>1497</v>
      </c>
      <c r="P576" s="1" t="s">
        <v>937</v>
      </c>
    </row>
    <row r="577" spans="1:16" x14ac:dyDescent="0.25">
      <c r="A577" s="3">
        <v>45911</v>
      </c>
      <c r="B577" s="4">
        <v>683687</v>
      </c>
      <c r="C577" s="5">
        <v>233</v>
      </c>
      <c r="D577" s="1" t="s">
        <v>973</v>
      </c>
      <c r="E577" s="1" t="s">
        <v>1068</v>
      </c>
      <c r="F577" s="1" t="s">
        <v>955</v>
      </c>
      <c r="G577" s="1" t="s">
        <v>998</v>
      </c>
      <c r="H577" s="1" t="s">
        <v>941</v>
      </c>
      <c r="I577" s="1" t="s">
        <v>933</v>
      </c>
      <c r="J577" s="1" t="s">
        <v>951</v>
      </c>
      <c r="K577" s="1" t="s">
        <v>66</v>
      </c>
      <c r="L577" s="1" t="s">
        <v>1759</v>
      </c>
      <c r="M577" s="3">
        <v>45923</v>
      </c>
      <c r="N577" s="1" t="s">
        <v>821</v>
      </c>
      <c r="O577" s="1" t="s">
        <v>998</v>
      </c>
      <c r="P577" s="1">
        <v>1</v>
      </c>
    </row>
    <row r="578" spans="1:16" x14ac:dyDescent="0.25">
      <c r="A578" s="3">
        <v>45911</v>
      </c>
      <c r="B578" s="4">
        <v>9411</v>
      </c>
      <c r="C578" s="5">
        <v>150.96</v>
      </c>
      <c r="D578" s="1" t="s">
        <v>1739</v>
      </c>
      <c r="E578" s="1" t="s">
        <v>1740</v>
      </c>
      <c r="F578" s="1" t="s">
        <v>955</v>
      </c>
      <c r="G578" s="1" t="s">
        <v>940</v>
      </c>
      <c r="H578" s="1" t="s">
        <v>941</v>
      </c>
      <c r="I578" s="1" t="s">
        <v>933</v>
      </c>
      <c r="J578" s="1" t="s">
        <v>951</v>
      </c>
      <c r="K578" s="1" t="s">
        <v>52</v>
      </c>
      <c r="L578" s="1" t="s">
        <v>1760</v>
      </c>
      <c r="M578" s="3">
        <v>45914</v>
      </c>
      <c r="N578" s="1" t="s">
        <v>821</v>
      </c>
      <c r="O578" s="1" t="s">
        <v>936</v>
      </c>
      <c r="P578" s="1">
        <v>1</v>
      </c>
    </row>
    <row r="579" spans="1:16" x14ac:dyDescent="0.25">
      <c r="A579" s="3">
        <v>45911</v>
      </c>
      <c r="B579" s="4">
        <v>44804</v>
      </c>
      <c r="C579" s="5">
        <v>218</v>
      </c>
      <c r="D579" s="1" t="s">
        <v>1761</v>
      </c>
      <c r="E579" s="1" t="s">
        <v>1762</v>
      </c>
      <c r="F579" s="1" t="s">
        <v>955</v>
      </c>
      <c r="G579" s="1" t="s">
        <v>940</v>
      </c>
      <c r="H579" s="1" t="s">
        <v>1763</v>
      </c>
      <c r="I579" s="1" t="s">
        <v>933</v>
      </c>
      <c r="J579" s="1" t="s">
        <v>951</v>
      </c>
      <c r="K579" s="1" t="s">
        <v>66</v>
      </c>
      <c r="L579" s="1" t="s">
        <v>1764</v>
      </c>
      <c r="M579" s="3">
        <v>45923</v>
      </c>
      <c r="N579" s="1" t="s">
        <v>821</v>
      </c>
      <c r="O579" s="1" t="s">
        <v>998</v>
      </c>
      <c r="P579" s="1">
        <v>1</v>
      </c>
    </row>
    <row r="580" spans="1:16" x14ac:dyDescent="0.25">
      <c r="A580" s="3">
        <v>45911</v>
      </c>
      <c r="B580" s="1">
        <v>62</v>
      </c>
      <c r="C580" s="5">
        <v>13000</v>
      </c>
      <c r="D580" s="1" t="s">
        <v>1658</v>
      </c>
      <c r="E580" s="1" t="s">
        <v>1659</v>
      </c>
      <c r="F580" s="1" t="s">
        <v>955</v>
      </c>
      <c r="G580" s="1" t="s">
        <v>950</v>
      </c>
      <c r="H580" s="3">
        <v>45937</v>
      </c>
      <c r="I580" s="1" t="s">
        <v>933</v>
      </c>
      <c r="J580" s="1" t="s">
        <v>951</v>
      </c>
      <c r="K580" s="1" t="s">
        <v>52</v>
      </c>
      <c r="L580" s="1" t="s">
        <v>1765</v>
      </c>
      <c r="M580" s="3">
        <v>45929</v>
      </c>
      <c r="N580" s="1" t="s">
        <v>821</v>
      </c>
      <c r="O580" s="1" t="s">
        <v>936</v>
      </c>
      <c r="P580" s="1">
        <v>1</v>
      </c>
    </row>
    <row r="581" spans="1:16" x14ac:dyDescent="0.25">
      <c r="A581" s="3">
        <v>45912</v>
      </c>
      <c r="B581" s="4">
        <v>1705</v>
      </c>
      <c r="C581" s="5">
        <v>615</v>
      </c>
      <c r="D581" s="1" t="s">
        <v>953</v>
      </c>
      <c r="E581" s="1" t="s">
        <v>958</v>
      </c>
      <c r="F581" s="1" t="s">
        <v>955</v>
      </c>
      <c r="G581" s="1" t="s">
        <v>940</v>
      </c>
      <c r="H581" s="3">
        <v>45927</v>
      </c>
      <c r="I581" s="1" t="s">
        <v>933</v>
      </c>
      <c r="J581" s="1" t="s">
        <v>951</v>
      </c>
      <c r="K581" s="1" t="s">
        <v>20</v>
      </c>
      <c r="L581" s="1" t="s">
        <v>1766</v>
      </c>
      <c r="M581" s="3">
        <v>45913</v>
      </c>
      <c r="N581" s="1" t="s">
        <v>821</v>
      </c>
      <c r="O581" s="1" t="s">
        <v>936</v>
      </c>
      <c r="P581" s="1">
        <v>1</v>
      </c>
    </row>
    <row r="582" spans="1:16" x14ac:dyDescent="0.25">
      <c r="A582" s="3">
        <v>45912</v>
      </c>
      <c r="B582" s="4">
        <v>2806</v>
      </c>
      <c r="C582" s="5">
        <v>5572</v>
      </c>
      <c r="D582" s="1" t="s">
        <v>1206</v>
      </c>
      <c r="E582" s="1" t="s">
        <v>1207</v>
      </c>
      <c r="F582" s="1" t="s">
        <v>955</v>
      </c>
      <c r="G582" s="1" t="s">
        <v>940</v>
      </c>
      <c r="H582" s="3">
        <v>45926</v>
      </c>
      <c r="I582" s="1" t="s">
        <v>933</v>
      </c>
      <c r="J582" s="1" t="s">
        <v>951</v>
      </c>
      <c r="K582" s="1" t="s">
        <v>20</v>
      </c>
      <c r="L582" s="1" t="s">
        <v>1767</v>
      </c>
      <c r="M582" s="3">
        <v>45913</v>
      </c>
      <c r="N582" s="1" t="s">
        <v>821</v>
      </c>
      <c r="O582" s="1" t="s">
        <v>936</v>
      </c>
      <c r="P582" s="1">
        <v>1</v>
      </c>
    </row>
    <row r="583" spans="1:16" x14ac:dyDescent="0.25">
      <c r="A583" s="3">
        <v>45912</v>
      </c>
      <c r="B583" s="1">
        <v>105</v>
      </c>
      <c r="C583" s="5">
        <v>250</v>
      </c>
      <c r="D583" s="1" t="s">
        <v>1579</v>
      </c>
      <c r="E583" s="1" t="s">
        <v>1580</v>
      </c>
      <c r="F583" s="1" t="s">
        <v>955</v>
      </c>
      <c r="G583" s="1" t="s">
        <v>1260</v>
      </c>
      <c r="H583" s="3">
        <v>45927</v>
      </c>
      <c r="I583" s="1" t="s">
        <v>933</v>
      </c>
      <c r="J583" s="1" t="s">
        <v>951</v>
      </c>
      <c r="K583" s="1" t="s">
        <v>934</v>
      </c>
      <c r="L583" s="1" t="s">
        <v>1768</v>
      </c>
      <c r="M583" s="3">
        <v>45913</v>
      </c>
      <c r="N583" s="1" t="s">
        <v>821</v>
      </c>
      <c r="O583" s="1" t="s">
        <v>936</v>
      </c>
      <c r="P583" s="1">
        <v>1</v>
      </c>
    </row>
    <row r="584" spans="1:16" x14ac:dyDescent="0.25">
      <c r="A584" s="3">
        <v>45912</v>
      </c>
      <c r="B584" s="4">
        <v>70812</v>
      </c>
      <c r="C584" s="5">
        <v>520.91999999999996</v>
      </c>
      <c r="D584" s="1" t="s">
        <v>1253</v>
      </c>
      <c r="E584" s="1" t="s">
        <v>1487</v>
      </c>
      <c r="F584" s="1" t="s">
        <v>218</v>
      </c>
      <c r="G584" s="1" t="s">
        <v>940</v>
      </c>
      <c r="H584" s="3">
        <v>45943</v>
      </c>
      <c r="I584" s="1" t="s">
        <v>933</v>
      </c>
      <c r="J584" s="1" t="s">
        <v>66</v>
      </c>
      <c r="K584" s="1" t="s">
        <v>1654</v>
      </c>
      <c r="L584" s="1" t="s">
        <v>1769</v>
      </c>
      <c r="M584" s="3">
        <v>45913</v>
      </c>
      <c r="N584" s="1" t="s">
        <v>221</v>
      </c>
      <c r="O584" s="1" t="s">
        <v>936</v>
      </c>
      <c r="P584" s="1">
        <v>1</v>
      </c>
    </row>
    <row r="585" spans="1:16" x14ac:dyDescent="0.25">
      <c r="A585" s="3">
        <v>45912</v>
      </c>
      <c r="B585" s="4">
        <v>2687</v>
      </c>
      <c r="C585" s="5">
        <v>3300</v>
      </c>
      <c r="D585" s="1" t="s">
        <v>1770</v>
      </c>
      <c r="E585" s="1" t="s">
        <v>1771</v>
      </c>
      <c r="F585" s="1" t="s">
        <v>955</v>
      </c>
      <c r="G585" s="1" t="s">
        <v>1029</v>
      </c>
      <c r="H585" s="3">
        <v>45942</v>
      </c>
      <c r="I585" s="1" t="s">
        <v>933</v>
      </c>
      <c r="J585" s="1" t="s">
        <v>951</v>
      </c>
      <c r="K585" s="1" t="s">
        <v>934</v>
      </c>
      <c r="L585" s="1" t="s">
        <v>1772</v>
      </c>
      <c r="M585" s="3">
        <v>45913</v>
      </c>
      <c r="N585" s="1" t="s">
        <v>821</v>
      </c>
      <c r="O585" s="1" t="s">
        <v>1031</v>
      </c>
      <c r="P585" s="1">
        <v>1</v>
      </c>
    </row>
    <row r="586" spans="1:16" x14ac:dyDescent="0.25">
      <c r="A586" s="3">
        <v>45912</v>
      </c>
      <c r="B586" s="1">
        <v>100</v>
      </c>
      <c r="C586" s="5">
        <v>7700</v>
      </c>
      <c r="D586" s="1" t="s">
        <v>1773</v>
      </c>
      <c r="E586" s="1" t="s">
        <v>1774</v>
      </c>
      <c r="F586" s="1" t="s">
        <v>966</v>
      </c>
      <c r="G586" s="1" t="s">
        <v>1029</v>
      </c>
      <c r="H586" s="3">
        <v>45933</v>
      </c>
      <c r="I586" s="1" t="s">
        <v>933</v>
      </c>
      <c r="J586" s="1" t="s">
        <v>951</v>
      </c>
      <c r="K586" s="1" t="s">
        <v>52</v>
      </c>
      <c r="L586" s="1" t="s">
        <v>1775</v>
      </c>
      <c r="M586" s="3">
        <v>45913</v>
      </c>
      <c r="N586" s="1" t="s">
        <v>821</v>
      </c>
      <c r="O586" s="1" t="s">
        <v>990</v>
      </c>
      <c r="P586" s="1">
        <v>1</v>
      </c>
    </row>
    <row r="587" spans="1:16" x14ac:dyDescent="0.25">
      <c r="A587" s="3">
        <v>45912</v>
      </c>
      <c r="B587" s="4">
        <v>54647</v>
      </c>
      <c r="C587" s="5">
        <v>5740</v>
      </c>
      <c r="D587" s="1" t="s">
        <v>973</v>
      </c>
      <c r="E587" s="1" t="s">
        <v>1068</v>
      </c>
      <c r="F587" s="1" t="s">
        <v>955</v>
      </c>
      <c r="G587" s="1" t="s">
        <v>998</v>
      </c>
      <c r="H587" s="1" t="s">
        <v>1124</v>
      </c>
      <c r="I587" s="1" t="s">
        <v>933</v>
      </c>
      <c r="J587" s="1" t="s">
        <v>951</v>
      </c>
      <c r="K587" s="1" t="s">
        <v>996</v>
      </c>
      <c r="L587" s="1">
        <v>1000</v>
      </c>
      <c r="M587" s="3">
        <v>45912</v>
      </c>
      <c r="N587" s="1" t="s">
        <v>821</v>
      </c>
      <c r="O587" s="1" t="s">
        <v>998</v>
      </c>
      <c r="P587" s="1">
        <v>2</v>
      </c>
    </row>
    <row r="588" spans="1:16" x14ac:dyDescent="0.25">
      <c r="A588" s="3">
        <v>45912</v>
      </c>
      <c r="B588" s="4">
        <v>3368</v>
      </c>
      <c r="C588" s="5">
        <v>2633</v>
      </c>
      <c r="D588" s="1" t="s">
        <v>1596</v>
      </c>
      <c r="E588" s="1" t="s">
        <v>1597</v>
      </c>
      <c r="F588" s="1" t="s">
        <v>457</v>
      </c>
      <c r="G588" s="1" t="s">
        <v>1029</v>
      </c>
      <c r="H588" s="3">
        <v>45931</v>
      </c>
      <c r="I588" s="1" t="s">
        <v>933</v>
      </c>
      <c r="J588" s="1" t="s">
        <v>66</v>
      </c>
      <c r="K588" s="1" t="s">
        <v>1639</v>
      </c>
      <c r="L588" s="1" t="s">
        <v>1776</v>
      </c>
      <c r="M588" s="3">
        <v>45913</v>
      </c>
      <c r="N588" s="1" t="s">
        <v>358</v>
      </c>
      <c r="O588" s="1" t="s">
        <v>1031</v>
      </c>
      <c r="P588" s="1">
        <v>1</v>
      </c>
    </row>
    <row r="589" spans="1:16" x14ac:dyDescent="0.25">
      <c r="A589" s="3">
        <v>45912</v>
      </c>
      <c r="B589" s="4">
        <v>3369</v>
      </c>
      <c r="C589" s="5">
        <v>2633</v>
      </c>
      <c r="D589" s="1" t="s">
        <v>1596</v>
      </c>
      <c r="E589" s="1" t="s">
        <v>1597</v>
      </c>
      <c r="F589" s="1" t="s">
        <v>453</v>
      </c>
      <c r="G589" s="1" t="s">
        <v>1029</v>
      </c>
      <c r="H589" s="3">
        <v>45931</v>
      </c>
      <c r="I589" s="1" t="s">
        <v>933</v>
      </c>
      <c r="J589" s="1" t="s">
        <v>66</v>
      </c>
      <c r="K589" s="1" t="s">
        <v>1639</v>
      </c>
      <c r="L589" s="1" t="s">
        <v>1776</v>
      </c>
      <c r="M589" s="3">
        <v>45913</v>
      </c>
      <c r="N589" s="1" t="s">
        <v>455</v>
      </c>
      <c r="O589" s="1" t="s">
        <v>1031</v>
      </c>
      <c r="P589" s="1">
        <v>1</v>
      </c>
    </row>
    <row r="590" spans="1:16" x14ac:dyDescent="0.25">
      <c r="A590" s="3">
        <v>45912</v>
      </c>
      <c r="B590" s="4">
        <v>3367</v>
      </c>
      <c r="C590" s="5">
        <v>5634</v>
      </c>
      <c r="D590" s="1" t="s">
        <v>1596</v>
      </c>
      <c r="E590" s="1" t="s">
        <v>1597</v>
      </c>
      <c r="F590" s="1" t="s">
        <v>670</v>
      </c>
      <c r="G590" s="1" t="s">
        <v>1029</v>
      </c>
      <c r="H590" s="3">
        <v>45931</v>
      </c>
      <c r="I590" s="1" t="s">
        <v>933</v>
      </c>
      <c r="J590" s="1" t="s">
        <v>66</v>
      </c>
      <c r="K590" s="1" t="s">
        <v>1639</v>
      </c>
      <c r="L590" s="1" t="s">
        <v>660</v>
      </c>
      <c r="M590" s="3">
        <v>45913</v>
      </c>
      <c r="N590" s="1" t="s">
        <v>57</v>
      </c>
      <c r="O590" s="1" t="s">
        <v>1031</v>
      </c>
      <c r="P590" s="1">
        <v>1</v>
      </c>
    </row>
    <row r="591" spans="1:16" x14ac:dyDescent="0.25">
      <c r="A591" s="3">
        <v>45912</v>
      </c>
      <c r="B591" s="4">
        <v>70823</v>
      </c>
      <c r="C591" s="5">
        <v>265</v>
      </c>
      <c r="D591" s="1" t="s">
        <v>1253</v>
      </c>
      <c r="E591" s="1" t="s">
        <v>1487</v>
      </c>
      <c r="F591" s="1" t="s">
        <v>650</v>
      </c>
      <c r="G591" s="1" t="s">
        <v>940</v>
      </c>
      <c r="H591" s="3">
        <v>45943</v>
      </c>
      <c r="I591" s="1" t="s">
        <v>933</v>
      </c>
      <c r="J591" s="1" t="s">
        <v>66</v>
      </c>
      <c r="K591" s="1" t="s">
        <v>340</v>
      </c>
      <c r="L591" s="1" t="s">
        <v>1777</v>
      </c>
      <c r="M591" s="3">
        <v>45913</v>
      </c>
      <c r="N591" s="1" t="s">
        <v>57</v>
      </c>
      <c r="O591" s="1" t="s">
        <v>936</v>
      </c>
      <c r="P591" s="1">
        <v>1</v>
      </c>
    </row>
    <row r="592" spans="1:16" x14ac:dyDescent="0.25">
      <c r="A592" s="3">
        <v>45912</v>
      </c>
      <c r="B592" s="1">
        <v>92</v>
      </c>
      <c r="C592" s="5">
        <v>3328</v>
      </c>
      <c r="D592" s="1" t="s">
        <v>1187</v>
      </c>
      <c r="E592" s="1" t="s">
        <v>1188</v>
      </c>
      <c r="F592" s="1" t="s">
        <v>1778</v>
      </c>
      <c r="G592" s="1" t="s">
        <v>1029</v>
      </c>
      <c r="H592" s="3">
        <v>45923</v>
      </c>
      <c r="I592" s="1" t="s">
        <v>933</v>
      </c>
      <c r="J592" s="1" t="s">
        <v>951</v>
      </c>
      <c r="K592" s="1" t="s">
        <v>1654</v>
      </c>
      <c r="L592" s="1" t="s">
        <v>1779</v>
      </c>
      <c r="M592" s="3">
        <v>45918</v>
      </c>
      <c r="N592" s="1" t="s">
        <v>821</v>
      </c>
      <c r="O592" s="1" t="s">
        <v>936</v>
      </c>
      <c r="P592" s="1" t="s">
        <v>937</v>
      </c>
    </row>
    <row r="593" spans="1:16" x14ac:dyDescent="0.25">
      <c r="A593" s="3">
        <v>45912</v>
      </c>
      <c r="B593" s="4">
        <v>54635</v>
      </c>
      <c r="C593" s="5">
        <v>124</v>
      </c>
      <c r="D593" s="1" t="s">
        <v>973</v>
      </c>
      <c r="E593" s="1" t="s">
        <v>1068</v>
      </c>
      <c r="F593" s="1" t="s">
        <v>955</v>
      </c>
      <c r="G593" s="1" t="s">
        <v>998</v>
      </c>
      <c r="H593" s="3">
        <v>45928</v>
      </c>
      <c r="I593" s="1" t="s">
        <v>933</v>
      </c>
      <c r="J593" s="1" t="s">
        <v>951</v>
      </c>
      <c r="K593" s="1" t="s">
        <v>996</v>
      </c>
      <c r="L593" s="1" t="s">
        <v>1780</v>
      </c>
      <c r="M593" s="3">
        <v>45918</v>
      </c>
      <c r="N593" s="1" t="s">
        <v>821</v>
      </c>
      <c r="O593" s="1" t="s">
        <v>998</v>
      </c>
      <c r="P593" s="1">
        <v>1</v>
      </c>
    </row>
    <row r="594" spans="1:16" x14ac:dyDescent="0.25">
      <c r="A594" s="3">
        <v>45912</v>
      </c>
      <c r="B594" s="1" t="s">
        <v>1781</v>
      </c>
      <c r="C594" s="5">
        <v>2500</v>
      </c>
      <c r="D594" s="1" t="s">
        <v>1782</v>
      </c>
      <c r="E594" s="1" t="s">
        <v>1783</v>
      </c>
      <c r="F594" s="1" t="s">
        <v>955</v>
      </c>
      <c r="G594" s="1" t="s">
        <v>932</v>
      </c>
      <c r="H594" s="3">
        <v>45934</v>
      </c>
      <c r="I594" s="1" t="s">
        <v>933</v>
      </c>
      <c r="J594" s="1" t="s">
        <v>951</v>
      </c>
      <c r="K594" s="1" t="s">
        <v>1654</v>
      </c>
      <c r="L594" s="1" t="s">
        <v>1784</v>
      </c>
      <c r="M594" s="3">
        <v>45918</v>
      </c>
      <c r="N594" s="1" t="s">
        <v>821</v>
      </c>
      <c r="O594" s="1" t="s">
        <v>936</v>
      </c>
      <c r="P594" s="1">
        <v>1</v>
      </c>
    </row>
    <row r="595" spans="1:16" x14ac:dyDescent="0.25">
      <c r="A595" s="3">
        <v>45912</v>
      </c>
      <c r="B595" s="1" t="s">
        <v>1781</v>
      </c>
      <c r="C595" s="5">
        <v>2506</v>
      </c>
      <c r="D595" s="1" t="s">
        <v>1782</v>
      </c>
      <c r="E595" s="1" t="s">
        <v>1783</v>
      </c>
      <c r="F595" s="1" t="s">
        <v>955</v>
      </c>
      <c r="G595" s="1" t="s">
        <v>932</v>
      </c>
      <c r="H595" s="3">
        <v>45934</v>
      </c>
      <c r="I595" s="1" t="s">
        <v>933</v>
      </c>
      <c r="J595" s="1" t="s">
        <v>951</v>
      </c>
      <c r="K595" s="1" t="s">
        <v>1654</v>
      </c>
      <c r="L595" s="1" t="s">
        <v>1785</v>
      </c>
      <c r="M595" s="3">
        <v>45918</v>
      </c>
      <c r="N595" s="1" t="s">
        <v>821</v>
      </c>
      <c r="O595" s="1" t="s">
        <v>936</v>
      </c>
      <c r="P595" s="1">
        <v>1</v>
      </c>
    </row>
    <row r="596" spans="1:16" x14ac:dyDescent="0.25">
      <c r="A596" s="3">
        <v>45912</v>
      </c>
      <c r="B596" s="1" t="s">
        <v>1781</v>
      </c>
      <c r="C596" s="5">
        <v>2600</v>
      </c>
      <c r="D596" s="1" t="s">
        <v>1782</v>
      </c>
      <c r="E596" s="1" t="s">
        <v>1783</v>
      </c>
      <c r="F596" s="1" t="s">
        <v>955</v>
      </c>
      <c r="G596" s="1" t="s">
        <v>1254</v>
      </c>
      <c r="H596" s="3">
        <v>45934</v>
      </c>
      <c r="I596" s="1" t="s">
        <v>933</v>
      </c>
      <c r="J596" s="1" t="s">
        <v>951</v>
      </c>
      <c r="K596" s="1" t="s">
        <v>1654</v>
      </c>
      <c r="L596" s="1" t="s">
        <v>1786</v>
      </c>
      <c r="M596" s="3">
        <v>45918</v>
      </c>
      <c r="N596" s="1" t="s">
        <v>821</v>
      </c>
      <c r="O596" s="1" t="s">
        <v>936</v>
      </c>
      <c r="P596" s="1">
        <v>1</v>
      </c>
    </row>
    <row r="597" spans="1:16" x14ac:dyDescent="0.25">
      <c r="A597" s="3">
        <v>45912</v>
      </c>
      <c r="B597" s="4">
        <v>9105</v>
      </c>
      <c r="C597" s="5">
        <v>487</v>
      </c>
      <c r="D597" s="1" t="s">
        <v>1787</v>
      </c>
      <c r="E597" s="1" t="s">
        <v>1788</v>
      </c>
      <c r="F597" s="1" t="s">
        <v>955</v>
      </c>
      <c r="G597" s="1" t="s">
        <v>940</v>
      </c>
      <c r="H597" s="1" t="s">
        <v>941</v>
      </c>
      <c r="I597" s="1" t="s">
        <v>933</v>
      </c>
      <c r="J597" s="1" t="s">
        <v>951</v>
      </c>
      <c r="K597" s="1" t="s">
        <v>52</v>
      </c>
      <c r="L597" s="1" t="s">
        <v>1789</v>
      </c>
      <c r="M597" s="3">
        <v>45914</v>
      </c>
      <c r="N597" s="1" t="s">
        <v>821</v>
      </c>
      <c r="O597" s="1" t="s">
        <v>937</v>
      </c>
      <c r="P597" s="1">
        <v>1</v>
      </c>
    </row>
    <row r="598" spans="1:16" x14ac:dyDescent="0.25">
      <c r="A598" s="3">
        <v>45912</v>
      </c>
      <c r="B598" s="1">
        <v>547</v>
      </c>
      <c r="C598" s="5">
        <v>94.8</v>
      </c>
      <c r="D598" s="1" t="s">
        <v>1685</v>
      </c>
      <c r="E598" s="1" t="s">
        <v>1686</v>
      </c>
      <c r="F598" s="1" t="s">
        <v>955</v>
      </c>
      <c r="G598" s="1" t="s">
        <v>1058</v>
      </c>
      <c r="H598" s="1" t="s">
        <v>941</v>
      </c>
      <c r="I598" s="1" t="s">
        <v>933</v>
      </c>
      <c r="J598" s="1" t="s">
        <v>951</v>
      </c>
      <c r="K598" s="1" t="s">
        <v>52</v>
      </c>
      <c r="L598" s="1" t="s">
        <v>1790</v>
      </c>
      <c r="M598" s="3">
        <v>45914</v>
      </c>
      <c r="N598" s="1" t="s">
        <v>821</v>
      </c>
      <c r="O598" s="1" t="s">
        <v>1497</v>
      </c>
      <c r="P598" s="1">
        <v>1</v>
      </c>
    </row>
    <row r="599" spans="1:16" x14ac:dyDescent="0.25">
      <c r="A599" s="3">
        <v>45912</v>
      </c>
      <c r="B599" s="4">
        <v>90115</v>
      </c>
      <c r="C599" s="5">
        <v>21.7</v>
      </c>
      <c r="D599" s="1" t="s">
        <v>1791</v>
      </c>
      <c r="E599" s="1" t="s">
        <v>1792</v>
      </c>
      <c r="F599" s="1" t="s">
        <v>955</v>
      </c>
      <c r="G599" s="1" t="s">
        <v>940</v>
      </c>
      <c r="H599" s="1" t="s">
        <v>959</v>
      </c>
      <c r="I599" s="1" t="s">
        <v>933</v>
      </c>
      <c r="J599" s="1" t="s">
        <v>951</v>
      </c>
      <c r="K599" s="1" t="s">
        <v>52</v>
      </c>
      <c r="L599" s="1" t="s">
        <v>1793</v>
      </c>
      <c r="M599" s="3">
        <v>45914</v>
      </c>
      <c r="N599" s="1" t="s">
        <v>821</v>
      </c>
      <c r="O599" s="1" t="s">
        <v>936</v>
      </c>
      <c r="P599" s="1">
        <v>1</v>
      </c>
    </row>
    <row r="600" spans="1:16" x14ac:dyDescent="0.25">
      <c r="A600" s="3">
        <v>45912</v>
      </c>
      <c r="B600" s="4">
        <v>54650</v>
      </c>
      <c r="C600" s="5">
        <v>5740</v>
      </c>
      <c r="D600" s="1" t="s">
        <v>973</v>
      </c>
      <c r="E600" s="1" t="s">
        <v>1068</v>
      </c>
      <c r="F600" s="1" t="s">
        <v>955</v>
      </c>
      <c r="G600" s="1" t="s">
        <v>940</v>
      </c>
      <c r="H600" s="3">
        <v>45921</v>
      </c>
      <c r="I600" s="1" t="s">
        <v>933</v>
      </c>
      <c r="J600" s="1" t="s">
        <v>951</v>
      </c>
      <c r="K600" s="1" t="s">
        <v>996</v>
      </c>
      <c r="L600" s="1" t="s">
        <v>1794</v>
      </c>
      <c r="M600" s="3">
        <v>45918</v>
      </c>
      <c r="N600" s="1" t="s">
        <v>821</v>
      </c>
      <c r="O600" s="1" t="s">
        <v>998</v>
      </c>
      <c r="P600" s="1">
        <v>1</v>
      </c>
    </row>
    <row r="601" spans="1:16" x14ac:dyDescent="0.25">
      <c r="A601" s="3">
        <v>45912</v>
      </c>
      <c r="B601" s="4">
        <v>54648</v>
      </c>
      <c r="C601" s="5">
        <v>5540</v>
      </c>
      <c r="D601" s="1" t="s">
        <v>973</v>
      </c>
      <c r="E601" s="1" t="s">
        <v>1068</v>
      </c>
      <c r="F601" s="1" t="s">
        <v>955</v>
      </c>
      <c r="G601" s="1" t="s">
        <v>998</v>
      </c>
      <c r="H601" s="3">
        <v>45928</v>
      </c>
      <c r="I601" s="1" t="s">
        <v>933</v>
      </c>
      <c r="J601" s="1" t="s">
        <v>951</v>
      </c>
      <c r="K601" s="1" t="s">
        <v>996</v>
      </c>
      <c r="L601" s="1" t="s">
        <v>1795</v>
      </c>
      <c r="M601" s="3">
        <v>45918</v>
      </c>
      <c r="N601" s="1" t="s">
        <v>821</v>
      </c>
      <c r="O601" s="1" t="s">
        <v>998</v>
      </c>
      <c r="P601" s="1">
        <v>1</v>
      </c>
    </row>
    <row r="602" spans="1:16" x14ac:dyDescent="0.25">
      <c r="A602" s="3">
        <v>45912</v>
      </c>
      <c r="B602" s="4">
        <v>54647</v>
      </c>
      <c r="C602" s="5">
        <v>5740</v>
      </c>
      <c r="D602" s="1" t="s">
        <v>973</v>
      </c>
      <c r="E602" s="1" t="s">
        <v>1068</v>
      </c>
      <c r="F602" s="1" t="s">
        <v>955</v>
      </c>
      <c r="G602" s="1" t="s">
        <v>998</v>
      </c>
      <c r="H602" s="3">
        <v>45928</v>
      </c>
      <c r="I602" s="1" t="s">
        <v>933</v>
      </c>
      <c r="J602" s="1" t="s">
        <v>951</v>
      </c>
      <c r="K602" s="1" t="s">
        <v>996</v>
      </c>
      <c r="L602" s="1" t="s">
        <v>1796</v>
      </c>
      <c r="M602" s="3">
        <v>45918</v>
      </c>
      <c r="N602" s="1" t="s">
        <v>821</v>
      </c>
      <c r="O602" s="1" t="s">
        <v>998</v>
      </c>
      <c r="P602" s="1">
        <v>2</v>
      </c>
    </row>
    <row r="603" spans="1:16" x14ac:dyDescent="0.25">
      <c r="A603" s="3">
        <v>45912</v>
      </c>
      <c r="B603" s="4">
        <v>54649</v>
      </c>
      <c r="C603" s="5">
        <v>5740</v>
      </c>
      <c r="D603" s="1" t="s">
        <v>973</v>
      </c>
      <c r="E603" s="1" t="s">
        <v>1068</v>
      </c>
      <c r="F603" s="1" t="s">
        <v>955</v>
      </c>
      <c r="G603" s="1" t="s">
        <v>998</v>
      </c>
      <c r="H603" s="3">
        <v>45928</v>
      </c>
      <c r="I603" s="1" t="s">
        <v>933</v>
      </c>
      <c r="J603" s="1" t="s">
        <v>951</v>
      </c>
      <c r="K603" s="1" t="s">
        <v>996</v>
      </c>
      <c r="L603" s="1" t="s">
        <v>1796</v>
      </c>
      <c r="M603" s="3">
        <v>45918</v>
      </c>
      <c r="N603" s="1" t="s">
        <v>821</v>
      </c>
      <c r="O603" s="1" t="s">
        <v>998</v>
      </c>
      <c r="P603" s="1">
        <v>1</v>
      </c>
    </row>
    <row r="604" spans="1:16" x14ac:dyDescent="0.25">
      <c r="A604" s="3">
        <v>45912</v>
      </c>
      <c r="B604" s="4">
        <v>54650</v>
      </c>
      <c r="C604" s="5">
        <v>5740</v>
      </c>
      <c r="D604" s="1" t="s">
        <v>973</v>
      </c>
      <c r="E604" s="1" t="s">
        <v>1068</v>
      </c>
      <c r="F604" s="1" t="s">
        <v>955</v>
      </c>
      <c r="G604" s="1" t="s">
        <v>998</v>
      </c>
      <c r="H604" s="3">
        <v>45928</v>
      </c>
      <c r="I604" s="1" t="s">
        <v>933</v>
      </c>
      <c r="J604" s="1" t="s">
        <v>951</v>
      </c>
      <c r="K604" s="1" t="s">
        <v>996</v>
      </c>
      <c r="L604" s="1" t="s">
        <v>1797</v>
      </c>
      <c r="M604" s="3">
        <v>45918</v>
      </c>
      <c r="N604" s="1" t="s">
        <v>821</v>
      </c>
      <c r="O604" s="1" t="s">
        <v>998</v>
      </c>
      <c r="P604" s="1">
        <v>1</v>
      </c>
    </row>
    <row r="605" spans="1:16" x14ac:dyDescent="0.25">
      <c r="A605" s="3">
        <v>45912</v>
      </c>
      <c r="B605" s="4">
        <v>28018</v>
      </c>
      <c r="C605" s="5">
        <v>147.06</v>
      </c>
      <c r="D605" s="1" t="s">
        <v>992</v>
      </c>
      <c r="E605" s="1" t="s">
        <v>1243</v>
      </c>
      <c r="F605" s="1" t="s">
        <v>955</v>
      </c>
      <c r="G605" s="1" t="s">
        <v>998</v>
      </c>
      <c r="H605" s="1" t="s">
        <v>941</v>
      </c>
      <c r="I605" s="1" t="s">
        <v>933</v>
      </c>
      <c r="J605" s="1" t="s">
        <v>951</v>
      </c>
      <c r="K605" s="1" t="s">
        <v>66</v>
      </c>
      <c r="L605" s="1" t="s">
        <v>1798</v>
      </c>
      <c r="M605" s="3">
        <v>45921</v>
      </c>
      <c r="N605" s="1" t="s">
        <v>821</v>
      </c>
      <c r="O605" s="1" t="s">
        <v>998</v>
      </c>
      <c r="P605" s="1">
        <v>1</v>
      </c>
    </row>
    <row r="606" spans="1:16" x14ac:dyDescent="0.25">
      <c r="A606" s="3">
        <v>45912</v>
      </c>
      <c r="B606" s="4">
        <v>1213675</v>
      </c>
      <c r="C606" s="5">
        <v>6.5</v>
      </c>
      <c r="D606" s="1" t="s">
        <v>1799</v>
      </c>
      <c r="E606" s="1" t="s">
        <v>1643</v>
      </c>
      <c r="F606" s="1" t="s">
        <v>955</v>
      </c>
      <c r="G606" s="1" t="s">
        <v>1644</v>
      </c>
      <c r="H606" s="1" t="s">
        <v>941</v>
      </c>
      <c r="I606" s="1" t="s">
        <v>933</v>
      </c>
      <c r="J606" s="1" t="s">
        <v>951</v>
      </c>
      <c r="K606" s="1" t="s">
        <v>66</v>
      </c>
      <c r="L606" s="1" t="s">
        <v>1645</v>
      </c>
      <c r="M606" s="3">
        <v>45923</v>
      </c>
      <c r="N606" s="1" t="s">
        <v>821</v>
      </c>
      <c r="O606" s="1" t="s">
        <v>937</v>
      </c>
      <c r="P606" s="1">
        <v>1</v>
      </c>
    </row>
    <row r="607" spans="1:16" x14ac:dyDescent="0.25">
      <c r="A607" s="3">
        <v>45912</v>
      </c>
      <c r="B607" s="4">
        <v>123675</v>
      </c>
      <c r="C607" s="5">
        <v>6.5</v>
      </c>
      <c r="D607" s="1" t="s">
        <v>1642</v>
      </c>
      <c r="E607" s="1" t="s">
        <v>1646</v>
      </c>
      <c r="F607" s="1" t="s">
        <v>955</v>
      </c>
      <c r="G607" s="1" t="s">
        <v>1644</v>
      </c>
      <c r="H607" s="1" t="s">
        <v>941</v>
      </c>
      <c r="I607" s="1" t="s">
        <v>933</v>
      </c>
      <c r="J607" s="1" t="s">
        <v>951</v>
      </c>
      <c r="K607" s="1" t="s">
        <v>66</v>
      </c>
      <c r="L607" s="1" t="s">
        <v>1645</v>
      </c>
      <c r="M607" s="3">
        <v>45923</v>
      </c>
      <c r="N607" s="1" t="s">
        <v>821</v>
      </c>
      <c r="O607" s="1" t="s">
        <v>936</v>
      </c>
      <c r="P607" s="1">
        <v>1</v>
      </c>
    </row>
    <row r="608" spans="1:16" x14ac:dyDescent="0.25">
      <c r="A608" s="3">
        <v>45913</v>
      </c>
      <c r="B608" s="4">
        <v>16848</v>
      </c>
      <c r="C608" s="5">
        <v>93.2</v>
      </c>
      <c r="D608" s="1" t="s">
        <v>961</v>
      </c>
      <c r="E608" s="1" t="s">
        <v>1162</v>
      </c>
      <c r="F608" s="1" t="s">
        <v>966</v>
      </c>
      <c r="G608" s="1" t="s">
        <v>940</v>
      </c>
      <c r="H608" s="1" t="s">
        <v>941</v>
      </c>
      <c r="I608" s="1" t="s">
        <v>933</v>
      </c>
      <c r="J608" s="1" t="s">
        <v>951</v>
      </c>
      <c r="K608" s="1" t="s">
        <v>934</v>
      </c>
      <c r="L608" s="1" t="s">
        <v>1800</v>
      </c>
      <c r="M608" s="3">
        <v>45914</v>
      </c>
      <c r="N608" s="1" t="s">
        <v>821</v>
      </c>
      <c r="O608" s="1" t="s">
        <v>936</v>
      </c>
      <c r="P608" s="1">
        <v>1</v>
      </c>
    </row>
    <row r="609" spans="1:16" x14ac:dyDescent="0.25">
      <c r="A609" s="3">
        <v>45913</v>
      </c>
      <c r="B609" s="4">
        <v>8134</v>
      </c>
      <c r="C609" s="5">
        <v>499</v>
      </c>
      <c r="D609" s="1" t="s">
        <v>1801</v>
      </c>
      <c r="E609" s="1" t="s">
        <v>1802</v>
      </c>
      <c r="F609" s="1" t="s">
        <v>955</v>
      </c>
      <c r="G609" s="1" t="s">
        <v>940</v>
      </c>
      <c r="H609" s="1" t="s">
        <v>941</v>
      </c>
      <c r="I609" s="1" t="s">
        <v>933</v>
      </c>
      <c r="J609" s="1" t="s">
        <v>951</v>
      </c>
      <c r="K609" s="1" t="s">
        <v>52</v>
      </c>
      <c r="L609" s="1" t="s">
        <v>1803</v>
      </c>
      <c r="M609" s="3">
        <v>45914</v>
      </c>
      <c r="N609" s="1" t="s">
        <v>821</v>
      </c>
      <c r="O609" s="1" t="s">
        <v>998</v>
      </c>
      <c r="P609" s="1">
        <v>1</v>
      </c>
    </row>
    <row r="610" spans="1:16" x14ac:dyDescent="0.25">
      <c r="A610" s="3">
        <v>45913</v>
      </c>
      <c r="B610" s="4">
        <v>8140</v>
      </c>
      <c r="C610" s="5">
        <v>399</v>
      </c>
      <c r="D610" s="1" t="s">
        <v>1801</v>
      </c>
      <c r="E610" s="1" t="s">
        <v>1802</v>
      </c>
      <c r="F610" s="1" t="s">
        <v>955</v>
      </c>
      <c r="G610" s="1" t="s">
        <v>940</v>
      </c>
      <c r="H610" s="1" t="s">
        <v>941</v>
      </c>
      <c r="I610" s="1" t="s">
        <v>933</v>
      </c>
      <c r="J610" s="1" t="s">
        <v>951</v>
      </c>
      <c r="K610" s="1" t="s">
        <v>52</v>
      </c>
      <c r="L610" s="1" t="s">
        <v>1804</v>
      </c>
      <c r="M610" s="3">
        <v>45914</v>
      </c>
      <c r="N610" s="1" t="s">
        <v>821</v>
      </c>
      <c r="O610" s="1" t="s">
        <v>998</v>
      </c>
      <c r="P610" s="1">
        <v>1</v>
      </c>
    </row>
    <row r="611" spans="1:16" x14ac:dyDescent="0.25">
      <c r="A611" s="3">
        <v>45913</v>
      </c>
      <c r="B611" s="4">
        <v>9418</v>
      </c>
      <c r="C611" s="5">
        <v>247.34</v>
      </c>
      <c r="D611" s="1" t="s">
        <v>1739</v>
      </c>
      <c r="E611" s="1" t="s">
        <v>1740</v>
      </c>
      <c r="F611" s="1" t="s">
        <v>955</v>
      </c>
      <c r="G611" s="1" t="s">
        <v>940</v>
      </c>
      <c r="H611" s="1" t="s">
        <v>941</v>
      </c>
      <c r="I611" s="1" t="s">
        <v>933</v>
      </c>
      <c r="J611" s="1" t="s">
        <v>951</v>
      </c>
      <c r="K611" s="1" t="s">
        <v>52</v>
      </c>
      <c r="L611" s="1" t="s">
        <v>1805</v>
      </c>
      <c r="M611" s="3">
        <v>45914</v>
      </c>
      <c r="N611" s="1" t="s">
        <v>821</v>
      </c>
      <c r="O611" s="1" t="s">
        <v>936</v>
      </c>
      <c r="P611" s="1">
        <v>1</v>
      </c>
    </row>
    <row r="612" spans="1:16" x14ac:dyDescent="0.25">
      <c r="A612" s="3">
        <v>45913</v>
      </c>
      <c r="B612" s="4">
        <v>1707</v>
      </c>
      <c r="C612" s="5">
        <v>580</v>
      </c>
      <c r="D612" s="1" t="s">
        <v>953</v>
      </c>
      <c r="E612" s="1" t="s">
        <v>1192</v>
      </c>
      <c r="F612" s="1" t="s">
        <v>955</v>
      </c>
      <c r="G612" s="1" t="s">
        <v>940</v>
      </c>
      <c r="H612" s="3">
        <v>45928</v>
      </c>
      <c r="I612" s="1" t="s">
        <v>933</v>
      </c>
      <c r="J612" s="1" t="s">
        <v>951</v>
      </c>
      <c r="K612" s="1" t="s">
        <v>20</v>
      </c>
      <c r="L612" s="1" t="s">
        <v>1806</v>
      </c>
      <c r="M612" s="3">
        <v>45918</v>
      </c>
      <c r="N612" s="1" t="s">
        <v>821</v>
      </c>
      <c r="O612" s="1" t="s">
        <v>998</v>
      </c>
      <c r="P612" s="1">
        <v>1</v>
      </c>
    </row>
    <row r="613" spans="1:16" x14ac:dyDescent="0.25">
      <c r="A613" s="3">
        <v>45913</v>
      </c>
      <c r="B613" s="4">
        <v>1708</v>
      </c>
      <c r="C613" s="5">
        <v>2356</v>
      </c>
      <c r="D613" s="1" t="s">
        <v>953</v>
      </c>
      <c r="E613" s="1" t="s">
        <v>954</v>
      </c>
      <c r="F613" s="1" t="s">
        <v>955</v>
      </c>
      <c r="G613" s="1" t="s">
        <v>940</v>
      </c>
      <c r="H613" s="3">
        <v>45943</v>
      </c>
      <c r="I613" s="1" t="s">
        <v>933</v>
      </c>
      <c r="J613" s="1" t="s">
        <v>951</v>
      </c>
      <c r="K613" s="1" t="s">
        <v>20</v>
      </c>
      <c r="L613" s="1" t="s">
        <v>1807</v>
      </c>
      <c r="M613" s="3">
        <v>45918</v>
      </c>
      <c r="N613" s="1" t="s">
        <v>821</v>
      </c>
      <c r="O613" s="1" t="s">
        <v>936</v>
      </c>
      <c r="P613" s="1">
        <v>1</v>
      </c>
    </row>
    <row r="614" spans="1:16" x14ac:dyDescent="0.25">
      <c r="A614" s="3">
        <v>45913</v>
      </c>
      <c r="B614" s="1">
        <v>56</v>
      </c>
      <c r="C614" s="5">
        <v>447</v>
      </c>
      <c r="D614" s="1" t="s">
        <v>1370</v>
      </c>
      <c r="E614" s="1" t="s">
        <v>1371</v>
      </c>
      <c r="F614" s="1" t="s">
        <v>955</v>
      </c>
      <c r="G614" s="1" t="s">
        <v>940</v>
      </c>
      <c r="H614" s="1" t="s">
        <v>941</v>
      </c>
      <c r="I614" s="1" t="s">
        <v>933</v>
      </c>
      <c r="J614" s="1" t="s">
        <v>951</v>
      </c>
      <c r="K614" s="1" t="s">
        <v>340</v>
      </c>
      <c r="L614" s="1" t="s">
        <v>1808</v>
      </c>
      <c r="M614" s="3">
        <v>45918</v>
      </c>
      <c r="N614" s="1" t="s">
        <v>821</v>
      </c>
      <c r="O614" s="1" t="s">
        <v>936</v>
      </c>
      <c r="P614" s="1" t="s">
        <v>937</v>
      </c>
    </row>
    <row r="615" spans="1:16" x14ac:dyDescent="0.25">
      <c r="A615" s="3">
        <v>45913</v>
      </c>
      <c r="B615" s="1">
        <v>55</v>
      </c>
      <c r="C615" s="5">
        <v>25</v>
      </c>
      <c r="D615" s="1" t="s">
        <v>1370</v>
      </c>
      <c r="E615" s="1" t="s">
        <v>1371</v>
      </c>
      <c r="F615" s="1" t="s">
        <v>955</v>
      </c>
      <c r="G615" s="1" t="s">
        <v>940</v>
      </c>
      <c r="H615" s="1" t="s">
        <v>941</v>
      </c>
      <c r="I615" s="1" t="s">
        <v>933</v>
      </c>
      <c r="J615" s="1" t="s">
        <v>951</v>
      </c>
      <c r="K615" s="1" t="s">
        <v>340</v>
      </c>
      <c r="L615" s="1" t="s">
        <v>1809</v>
      </c>
      <c r="M615" s="3">
        <v>45918</v>
      </c>
      <c r="N615" s="1" t="s">
        <v>821</v>
      </c>
      <c r="O615" s="1" t="s">
        <v>936</v>
      </c>
      <c r="P615" s="1" t="s">
        <v>937</v>
      </c>
    </row>
    <row r="616" spans="1:16" x14ac:dyDescent="0.25">
      <c r="A616" s="3">
        <v>45913</v>
      </c>
      <c r="B616" s="1">
        <v>335</v>
      </c>
      <c r="C616" s="5">
        <v>1600</v>
      </c>
      <c r="D616" s="1" t="s">
        <v>1810</v>
      </c>
      <c r="E616" s="1" t="s">
        <v>1811</v>
      </c>
      <c r="F616" s="1" t="s">
        <v>955</v>
      </c>
      <c r="G616" s="1" t="s">
        <v>940</v>
      </c>
      <c r="H616" s="1" t="s">
        <v>941</v>
      </c>
      <c r="I616" s="1" t="s">
        <v>933</v>
      </c>
      <c r="J616" s="1" t="s">
        <v>951</v>
      </c>
      <c r="K616" s="1" t="s">
        <v>1812</v>
      </c>
      <c r="L616" s="1" t="s">
        <v>1813</v>
      </c>
      <c r="M616" s="3">
        <v>45918</v>
      </c>
      <c r="N616" s="1" t="s">
        <v>821</v>
      </c>
      <c r="O616" s="1" t="s">
        <v>936</v>
      </c>
      <c r="P616" s="1">
        <v>1</v>
      </c>
    </row>
    <row r="617" spans="1:16" x14ac:dyDescent="0.25">
      <c r="A617" s="3">
        <v>45913</v>
      </c>
      <c r="B617" s="4">
        <v>2813</v>
      </c>
      <c r="C617" s="5">
        <v>4953</v>
      </c>
      <c r="D617" s="1" t="s">
        <v>1206</v>
      </c>
      <c r="E617" s="1" t="s">
        <v>1207</v>
      </c>
      <c r="F617" s="1" t="s">
        <v>955</v>
      </c>
      <c r="G617" s="1" t="s">
        <v>940</v>
      </c>
      <c r="H617" s="1" t="s">
        <v>959</v>
      </c>
      <c r="I617" s="1" t="s">
        <v>933</v>
      </c>
      <c r="J617" s="1" t="s">
        <v>951</v>
      </c>
      <c r="K617" s="1" t="s">
        <v>1814</v>
      </c>
      <c r="L617" s="1" t="s">
        <v>1815</v>
      </c>
      <c r="M617" s="3">
        <v>45923</v>
      </c>
      <c r="N617" s="1" t="s">
        <v>821</v>
      </c>
      <c r="O617" s="1" t="s">
        <v>936</v>
      </c>
      <c r="P617" s="1">
        <v>1</v>
      </c>
    </row>
    <row r="618" spans="1:16" x14ac:dyDescent="0.25">
      <c r="A618" s="3">
        <v>45914</v>
      </c>
      <c r="B618" s="4">
        <v>54763</v>
      </c>
      <c r="C618" s="5">
        <v>5740</v>
      </c>
      <c r="D618" s="1" t="s">
        <v>973</v>
      </c>
      <c r="E618" s="1" t="s">
        <v>1068</v>
      </c>
      <c r="F618" s="1" t="s">
        <v>304</v>
      </c>
      <c r="G618" s="1" t="s">
        <v>998</v>
      </c>
      <c r="H618" s="3">
        <v>45930</v>
      </c>
      <c r="I618" s="1" t="s">
        <v>933</v>
      </c>
      <c r="J618" s="1" t="s">
        <v>66</v>
      </c>
      <c r="K618" s="1" t="s">
        <v>996</v>
      </c>
      <c r="L618" s="4">
        <v>1000</v>
      </c>
      <c r="M618" s="3">
        <v>45918</v>
      </c>
      <c r="N618" s="1" t="s">
        <v>57</v>
      </c>
      <c r="O618" s="1" t="s">
        <v>998</v>
      </c>
      <c r="P618" s="1">
        <v>1</v>
      </c>
    </row>
    <row r="619" spans="1:16" x14ac:dyDescent="0.25">
      <c r="A619" s="3">
        <v>45914</v>
      </c>
      <c r="B619" s="4">
        <v>54765</v>
      </c>
      <c r="C619" s="5">
        <v>5740</v>
      </c>
      <c r="D619" s="1" t="s">
        <v>973</v>
      </c>
      <c r="E619" s="1" t="s">
        <v>1068</v>
      </c>
      <c r="F619" s="1" t="s">
        <v>304</v>
      </c>
      <c r="G619" s="1" t="s">
        <v>998</v>
      </c>
      <c r="H619" s="3">
        <v>45930</v>
      </c>
      <c r="I619" s="1" t="s">
        <v>933</v>
      </c>
      <c r="J619" s="1" t="s">
        <v>66</v>
      </c>
      <c r="K619" s="1" t="s">
        <v>996</v>
      </c>
      <c r="L619" s="4">
        <v>1000</v>
      </c>
      <c r="M619" s="3">
        <v>45918</v>
      </c>
      <c r="N619" s="1" t="s">
        <v>57</v>
      </c>
      <c r="O619" s="1" t="s">
        <v>998</v>
      </c>
      <c r="P619" s="1">
        <v>1</v>
      </c>
    </row>
    <row r="620" spans="1:16" x14ac:dyDescent="0.25">
      <c r="A620" s="3">
        <v>45914</v>
      </c>
      <c r="B620" s="4">
        <v>54764</v>
      </c>
      <c r="C620" s="5">
        <v>5731</v>
      </c>
      <c r="D620" s="1" t="s">
        <v>973</v>
      </c>
      <c r="E620" s="1" t="s">
        <v>1068</v>
      </c>
      <c r="F620" s="1" t="s">
        <v>304</v>
      </c>
      <c r="G620" s="1" t="s">
        <v>998</v>
      </c>
      <c r="H620" s="3">
        <v>45930</v>
      </c>
      <c r="I620" s="1" t="s">
        <v>933</v>
      </c>
      <c r="J620" s="1" t="s">
        <v>66</v>
      </c>
      <c r="K620" s="1" t="s">
        <v>996</v>
      </c>
      <c r="L620" s="4">
        <v>1000</v>
      </c>
      <c r="M620" s="3">
        <v>45918</v>
      </c>
      <c r="N620" s="1" t="s">
        <v>57</v>
      </c>
      <c r="O620" s="1" t="s">
        <v>998</v>
      </c>
      <c r="P620" s="1">
        <v>1</v>
      </c>
    </row>
    <row r="621" spans="1:16" x14ac:dyDescent="0.25">
      <c r="A621" s="3">
        <v>45914</v>
      </c>
      <c r="B621" s="4">
        <v>54766</v>
      </c>
      <c r="C621" s="5">
        <v>5740</v>
      </c>
      <c r="D621" s="1" t="s">
        <v>973</v>
      </c>
      <c r="E621" s="1" t="s">
        <v>1068</v>
      </c>
      <c r="F621" s="1" t="s">
        <v>304</v>
      </c>
      <c r="G621" s="1" t="s">
        <v>998</v>
      </c>
      <c r="H621" s="3">
        <v>45930</v>
      </c>
      <c r="I621" s="1" t="s">
        <v>933</v>
      </c>
      <c r="J621" s="1" t="s">
        <v>66</v>
      </c>
      <c r="K621" s="1" t="s">
        <v>996</v>
      </c>
      <c r="L621" s="4">
        <v>1000</v>
      </c>
      <c r="M621" s="3">
        <v>45918</v>
      </c>
      <c r="N621" s="1" t="s">
        <v>57</v>
      </c>
      <c r="O621" s="1" t="s">
        <v>998</v>
      </c>
      <c r="P621" s="1">
        <v>1</v>
      </c>
    </row>
    <row r="622" spans="1:16" x14ac:dyDescent="0.25">
      <c r="A622" s="3">
        <v>45914</v>
      </c>
      <c r="B622" s="4">
        <v>54752</v>
      </c>
      <c r="C622" s="5">
        <v>4583.8</v>
      </c>
      <c r="D622" s="1" t="s">
        <v>973</v>
      </c>
      <c r="E622" s="1" t="s">
        <v>1068</v>
      </c>
      <c r="F622" s="1" t="s">
        <v>955</v>
      </c>
      <c r="G622" s="1" t="s">
        <v>998</v>
      </c>
      <c r="H622" s="3">
        <v>45930</v>
      </c>
      <c r="I622" s="1" t="s">
        <v>933</v>
      </c>
      <c r="J622" s="1" t="s">
        <v>951</v>
      </c>
      <c r="K622" s="1" t="s">
        <v>996</v>
      </c>
      <c r="L622" s="1" t="s">
        <v>1816</v>
      </c>
      <c r="M622" s="3">
        <v>45918</v>
      </c>
      <c r="N622" s="1" t="s">
        <v>821</v>
      </c>
      <c r="O622" s="1" t="s">
        <v>998</v>
      </c>
      <c r="P622" s="1">
        <v>1</v>
      </c>
    </row>
    <row r="623" spans="1:16" x14ac:dyDescent="0.25">
      <c r="A623" s="3">
        <v>45915</v>
      </c>
      <c r="B623" s="4">
        <v>54813</v>
      </c>
      <c r="C623" s="5">
        <v>1351.71</v>
      </c>
      <c r="D623" s="1" t="s">
        <v>973</v>
      </c>
      <c r="E623" s="1" t="s">
        <v>1068</v>
      </c>
      <c r="F623" s="1" t="s">
        <v>775</v>
      </c>
      <c r="G623" s="1" t="s">
        <v>998</v>
      </c>
      <c r="H623" s="3">
        <v>45931</v>
      </c>
      <c r="I623" s="1" t="s">
        <v>933</v>
      </c>
      <c r="J623" s="1" t="s">
        <v>66</v>
      </c>
      <c r="K623" s="1" t="s">
        <v>996</v>
      </c>
      <c r="L623" s="1" t="s">
        <v>1817</v>
      </c>
      <c r="M623" s="3">
        <v>45918</v>
      </c>
      <c r="N623" s="1" t="s">
        <v>580</v>
      </c>
      <c r="O623" s="1" t="s">
        <v>998</v>
      </c>
      <c r="P623" s="1">
        <v>1</v>
      </c>
    </row>
    <row r="624" spans="1:16" x14ac:dyDescent="0.25">
      <c r="A624" s="3">
        <v>45915</v>
      </c>
      <c r="B624" s="4">
        <v>54826</v>
      </c>
      <c r="C624" s="5">
        <v>5740</v>
      </c>
      <c r="D624" s="1" t="s">
        <v>973</v>
      </c>
      <c r="E624" s="1" t="s">
        <v>1068</v>
      </c>
      <c r="F624" s="1" t="s">
        <v>304</v>
      </c>
      <c r="G624" s="1" t="s">
        <v>998</v>
      </c>
      <c r="H624" s="3">
        <v>45931</v>
      </c>
      <c r="I624" s="1" t="s">
        <v>933</v>
      </c>
      <c r="J624" s="1" t="s">
        <v>66</v>
      </c>
      <c r="K624" s="1" t="s">
        <v>996</v>
      </c>
      <c r="L624" s="4">
        <v>1000</v>
      </c>
      <c r="M624" s="3">
        <v>45918</v>
      </c>
      <c r="N624" s="1" t="s">
        <v>57</v>
      </c>
      <c r="O624" s="1" t="s">
        <v>998</v>
      </c>
      <c r="P624" s="1">
        <v>1</v>
      </c>
    </row>
    <row r="625" spans="1:16" x14ac:dyDescent="0.25">
      <c r="A625" s="3">
        <v>45915</v>
      </c>
      <c r="B625" s="4">
        <v>54827</v>
      </c>
      <c r="C625" s="5">
        <v>5740</v>
      </c>
      <c r="D625" s="1" t="s">
        <v>973</v>
      </c>
      <c r="E625" s="1" t="s">
        <v>1068</v>
      </c>
      <c r="F625" s="1" t="s">
        <v>304</v>
      </c>
      <c r="G625" s="1" t="s">
        <v>998</v>
      </c>
      <c r="H625" s="3">
        <v>45931</v>
      </c>
      <c r="I625" s="1" t="s">
        <v>933</v>
      </c>
      <c r="J625" s="1" t="s">
        <v>66</v>
      </c>
      <c r="K625" s="1" t="s">
        <v>996</v>
      </c>
      <c r="L625" s="4">
        <v>1000</v>
      </c>
      <c r="M625" s="3">
        <v>45918</v>
      </c>
      <c r="N625" s="1" t="s">
        <v>57</v>
      </c>
      <c r="O625" s="1" t="s">
        <v>998</v>
      </c>
      <c r="P625" s="1">
        <v>1</v>
      </c>
    </row>
    <row r="626" spans="1:16" x14ac:dyDescent="0.25">
      <c r="A626" s="3">
        <v>45915</v>
      </c>
      <c r="B626" s="4">
        <v>54828</v>
      </c>
      <c r="C626" s="5">
        <v>5740</v>
      </c>
      <c r="D626" s="1" t="s">
        <v>973</v>
      </c>
      <c r="E626" s="1" t="s">
        <v>1068</v>
      </c>
      <c r="F626" s="1" t="s">
        <v>304</v>
      </c>
      <c r="G626" s="1" t="s">
        <v>998</v>
      </c>
      <c r="H626" s="3">
        <v>45931</v>
      </c>
      <c r="I626" s="1" t="s">
        <v>933</v>
      </c>
      <c r="J626" s="1" t="s">
        <v>66</v>
      </c>
      <c r="K626" s="1" t="s">
        <v>996</v>
      </c>
      <c r="L626" s="4">
        <v>1000</v>
      </c>
      <c r="M626" s="3">
        <v>45918</v>
      </c>
      <c r="N626" s="1" t="s">
        <v>57</v>
      </c>
      <c r="O626" s="1" t="s">
        <v>998</v>
      </c>
      <c r="P626" s="1">
        <v>1</v>
      </c>
    </row>
    <row r="627" spans="1:16" x14ac:dyDescent="0.25">
      <c r="A627" s="3">
        <v>45915</v>
      </c>
      <c r="B627" s="4">
        <v>54830</v>
      </c>
      <c r="C627" s="5">
        <v>5740</v>
      </c>
      <c r="D627" s="1" t="s">
        <v>973</v>
      </c>
      <c r="E627" s="1" t="s">
        <v>1068</v>
      </c>
      <c r="F627" s="1" t="s">
        <v>304</v>
      </c>
      <c r="G627" s="1" t="s">
        <v>998</v>
      </c>
      <c r="H627" s="3">
        <v>45931</v>
      </c>
      <c r="I627" s="1" t="s">
        <v>933</v>
      </c>
      <c r="J627" s="1" t="s">
        <v>66</v>
      </c>
      <c r="K627" s="1" t="s">
        <v>996</v>
      </c>
      <c r="L627" s="4">
        <v>1000</v>
      </c>
      <c r="M627" s="3">
        <v>45918</v>
      </c>
      <c r="N627" s="1" t="s">
        <v>57</v>
      </c>
      <c r="O627" s="1" t="s">
        <v>998</v>
      </c>
      <c r="P627" s="1">
        <v>1</v>
      </c>
    </row>
    <row r="628" spans="1:16" x14ac:dyDescent="0.25">
      <c r="A628" s="3">
        <v>45915</v>
      </c>
      <c r="B628" s="1">
        <v>139</v>
      </c>
      <c r="C628" s="5">
        <v>12000</v>
      </c>
      <c r="D628" s="1" t="s">
        <v>1034</v>
      </c>
      <c r="E628" s="1" t="s">
        <v>1035</v>
      </c>
      <c r="F628" s="1" t="s">
        <v>659</v>
      </c>
      <c r="G628" s="1" t="s">
        <v>1029</v>
      </c>
      <c r="H628" s="3">
        <v>45951</v>
      </c>
      <c r="I628" s="1" t="s">
        <v>933</v>
      </c>
      <c r="J628" s="1" t="s">
        <v>951</v>
      </c>
      <c r="K628" s="1" t="s">
        <v>659</v>
      </c>
      <c r="L628" s="1" t="s">
        <v>1818</v>
      </c>
      <c r="M628" s="3">
        <v>45930</v>
      </c>
      <c r="N628" s="1"/>
      <c r="O628" s="1" t="s">
        <v>932</v>
      </c>
      <c r="P628" s="1">
        <v>1</v>
      </c>
    </row>
    <row r="629" spans="1:16" x14ac:dyDescent="0.25">
      <c r="A629" s="3">
        <v>45916</v>
      </c>
      <c r="B629" s="1">
        <v>34</v>
      </c>
      <c r="C629" s="5">
        <v>2100</v>
      </c>
      <c r="D629" s="1" t="s">
        <v>1197</v>
      </c>
      <c r="E629" s="1" t="s">
        <v>1198</v>
      </c>
      <c r="F629" s="1" t="s">
        <v>713</v>
      </c>
      <c r="G629" s="1" t="s">
        <v>940</v>
      </c>
      <c r="H629" s="3">
        <v>45930</v>
      </c>
      <c r="I629" s="1" t="s">
        <v>933</v>
      </c>
      <c r="J629" s="1" t="s">
        <v>66</v>
      </c>
      <c r="K629" s="1" t="s">
        <v>340</v>
      </c>
      <c r="L629" s="1" t="s">
        <v>1819</v>
      </c>
      <c r="M629" s="3">
        <v>45913</v>
      </c>
      <c r="N629" s="1" t="s">
        <v>712</v>
      </c>
      <c r="O629" s="1" t="s">
        <v>936</v>
      </c>
      <c r="P629" s="1">
        <v>2</v>
      </c>
    </row>
    <row r="630" spans="1:16" x14ac:dyDescent="0.25">
      <c r="A630" s="3">
        <v>45916</v>
      </c>
      <c r="B630" s="1">
        <v>604</v>
      </c>
      <c r="C630" s="5">
        <v>150</v>
      </c>
      <c r="D630" s="1" t="s">
        <v>1820</v>
      </c>
      <c r="E630" s="1" t="s">
        <v>1821</v>
      </c>
      <c r="F630" s="1" t="s">
        <v>153</v>
      </c>
      <c r="G630" s="1" t="s">
        <v>940</v>
      </c>
      <c r="H630" s="1" t="s">
        <v>941</v>
      </c>
      <c r="I630" s="1" t="s">
        <v>933</v>
      </c>
      <c r="J630" s="1" t="s">
        <v>66</v>
      </c>
      <c r="K630" s="1" t="s">
        <v>52</v>
      </c>
      <c r="L630" s="1" t="s">
        <v>1822</v>
      </c>
      <c r="M630" s="3">
        <v>45914</v>
      </c>
      <c r="N630" s="1" t="s">
        <v>82</v>
      </c>
      <c r="O630" s="1" t="s">
        <v>936</v>
      </c>
      <c r="P630" s="1">
        <v>1</v>
      </c>
    </row>
    <row r="631" spans="1:16" x14ac:dyDescent="0.25">
      <c r="A631" s="3">
        <v>45916</v>
      </c>
      <c r="B631" s="1">
        <v>605</v>
      </c>
      <c r="C631" s="5">
        <v>1300</v>
      </c>
      <c r="D631" s="1" t="s">
        <v>1820</v>
      </c>
      <c r="E631" s="1" t="s">
        <v>1821</v>
      </c>
      <c r="F631" s="1" t="s">
        <v>153</v>
      </c>
      <c r="G631" s="1" t="s">
        <v>940</v>
      </c>
      <c r="H631" s="1" t="s">
        <v>941</v>
      </c>
      <c r="I631" s="1" t="s">
        <v>933</v>
      </c>
      <c r="J631" s="1" t="s">
        <v>66</v>
      </c>
      <c r="K631" s="1" t="s">
        <v>52</v>
      </c>
      <c r="L631" s="1" t="s">
        <v>1823</v>
      </c>
      <c r="M631" s="3">
        <v>45915</v>
      </c>
      <c r="N631" s="1" t="s">
        <v>82</v>
      </c>
      <c r="O631" s="1" t="s">
        <v>936</v>
      </c>
      <c r="P631" s="1">
        <v>1</v>
      </c>
    </row>
    <row r="632" spans="1:16" x14ac:dyDescent="0.25">
      <c r="A632" s="3">
        <v>45916</v>
      </c>
      <c r="B632" s="4">
        <v>74662</v>
      </c>
      <c r="C632" s="5">
        <v>38.450000000000003</v>
      </c>
      <c r="D632" s="1" t="s">
        <v>1085</v>
      </c>
      <c r="E632" s="1" t="s">
        <v>1748</v>
      </c>
      <c r="F632" s="1" t="s">
        <v>955</v>
      </c>
      <c r="G632" s="1" t="s">
        <v>950</v>
      </c>
      <c r="H632" s="1" t="s">
        <v>959</v>
      </c>
      <c r="I632" s="1" t="s">
        <v>933</v>
      </c>
      <c r="J632" s="1" t="s">
        <v>951</v>
      </c>
      <c r="K632" s="1" t="s">
        <v>934</v>
      </c>
      <c r="L632" s="1" t="s">
        <v>1824</v>
      </c>
      <c r="M632" s="3">
        <v>45920</v>
      </c>
      <c r="N632" s="1" t="s">
        <v>821</v>
      </c>
      <c r="O632" s="1" t="s">
        <v>936</v>
      </c>
      <c r="P632" s="1">
        <v>1</v>
      </c>
    </row>
    <row r="633" spans="1:16" x14ac:dyDescent="0.25">
      <c r="A633" s="3">
        <v>45916</v>
      </c>
      <c r="B633" s="1">
        <v>995</v>
      </c>
      <c r="C633" s="5">
        <v>4000</v>
      </c>
      <c r="D633" s="1" t="s">
        <v>1825</v>
      </c>
      <c r="E633" s="1" t="s">
        <v>1826</v>
      </c>
      <c r="F633" s="1" t="s">
        <v>659</v>
      </c>
      <c r="G633" s="1" t="s">
        <v>940</v>
      </c>
      <c r="H633" s="1" t="s">
        <v>1149</v>
      </c>
      <c r="I633" s="1" t="s">
        <v>933</v>
      </c>
      <c r="J633" s="1" t="s">
        <v>951</v>
      </c>
      <c r="K633" s="1" t="s">
        <v>659</v>
      </c>
      <c r="L633" s="1" t="s">
        <v>1827</v>
      </c>
      <c r="M633" s="3">
        <v>45918</v>
      </c>
      <c r="N633" s="1"/>
      <c r="O633" s="1" t="s">
        <v>937</v>
      </c>
      <c r="P633" s="1">
        <v>1</v>
      </c>
    </row>
    <row r="634" spans="1:16" x14ac:dyDescent="0.25">
      <c r="A634" s="3">
        <v>45916</v>
      </c>
      <c r="B634" s="1">
        <v>149</v>
      </c>
      <c r="C634" s="5">
        <v>2248</v>
      </c>
      <c r="D634" s="1" t="s">
        <v>1436</v>
      </c>
      <c r="E634" s="1" t="s">
        <v>1437</v>
      </c>
      <c r="F634" s="1" t="s">
        <v>955</v>
      </c>
      <c r="G634" s="1" t="s">
        <v>940</v>
      </c>
      <c r="H634" s="3">
        <v>45930</v>
      </c>
      <c r="I634" s="1" t="s">
        <v>933</v>
      </c>
      <c r="J634" s="1" t="s">
        <v>951</v>
      </c>
      <c r="K634" s="1" t="s">
        <v>20</v>
      </c>
      <c r="L634" s="1" t="s">
        <v>1828</v>
      </c>
      <c r="M634" s="3">
        <v>45918</v>
      </c>
      <c r="N634" s="1" t="s">
        <v>821</v>
      </c>
      <c r="O634" s="1" t="s">
        <v>936</v>
      </c>
      <c r="P634" s="1">
        <v>1</v>
      </c>
    </row>
    <row r="635" spans="1:16" x14ac:dyDescent="0.25">
      <c r="A635" s="3">
        <v>45916</v>
      </c>
      <c r="B635" s="4">
        <v>18904</v>
      </c>
      <c r="C635" s="5">
        <v>96</v>
      </c>
      <c r="D635" s="1" t="s">
        <v>1739</v>
      </c>
      <c r="E635" s="1" t="s">
        <v>1740</v>
      </c>
      <c r="F635" s="1" t="s">
        <v>955</v>
      </c>
      <c r="G635" s="1" t="s">
        <v>950</v>
      </c>
      <c r="H635" s="1" t="s">
        <v>941</v>
      </c>
      <c r="I635" s="1" t="s">
        <v>933</v>
      </c>
      <c r="J635" s="1" t="s">
        <v>951</v>
      </c>
      <c r="K635" s="1" t="s">
        <v>52</v>
      </c>
      <c r="L635" s="1" t="s">
        <v>1829</v>
      </c>
      <c r="M635" s="3">
        <v>45918</v>
      </c>
      <c r="N635" s="1" t="s">
        <v>821</v>
      </c>
      <c r="O635" s="1" t="s">
        <v>936</v>
      </c>
      <c r="P635" s="1">
        <v>1</v>
      </c>
    </row>
    <row r="636" spans="1:16" x14ac:dyDescent="0.25">
      <c r="A636" s="3">
        <v>45916</v>
      </c>
      <c r="B636" s="1">
        <v>8</v>
      </c>
      <c r="C636" s="5">
        <v>180</v>
      </c>
      <c r="D636" s="1" t="s">
        <v>1830</v>
      </c>
      <c r="E636" s="1" t="s">
        <v>1831</v>
      </c>
      <c r="F636" s="1" t="s">
        <v>955</v>
      </c>
      <c r="G636" s="1" t="s">
        <v>940</v>
      </c>
      <c r="H636" s="1" t="s">
        <v>1832</v>
      </c>
      <c r="I636" s="1" t="s">
        <v>933</v>
      </c>
      <c r="J636" s="1" t="s">
        <v>951</v>
      </c>
      <c r="K636" s="1" t="s">
        <v>52</v>
      </c>
      <c r="L636" s="1" t="s">
        <v>1833</v>
      </c>
      <c r="M636" s="3">
        <v>45927</v>
      </c>
      <c r="N636" s="1" t="s">
        <v>821</v>
      </c>
      <c r="O636" s="1" t="s">
        <v>936</v>
      </c>
      <c r="P636" s="1" t="s">
        <v>937</v>
      </c>
    </row>
    <row r="637" spans="1:16" x14ac:dyDescent="0.25">
      <c r="A637" s="3">
        <v>45916</v>
      </c>
      <c r="B637" s="1">
        <v>186</v>
      </c>
      <c r="C637" s="5">
        <v>14418.4</v>
      </c>
      <c r="D637" s="1" t="s">
        <v>1834</v>
      </c>
      <c r="E637" s="1" t="s">
        <v>1835</v>
      </c>
      <c r="F637" s="1" t="s">
        <v>659</v>
      </c>
      <c r="G637" s="1" t="s">
        <v>940</v>
      </c>
      <c r="H637" s="3">
        <v>45944</v>
      </c>
      <c r="I637" s="1" t="s">
        <v>933</v>
      </c>
      <c r="J637" s="1" t="s">
        <v>951</v>
      </c>
      <c r="K637" s="1" t="s">
        <v>659</v>
      </c>
      <c r="L637" s="1" t="s">
        <v>1836</v>
      </c>
      <c r="M637" s="3">
        <v>45923</v>
      </c>
      <c r="N637" s="1"/>
      <c r="O637" s="1" t="s">
        <v>936</v>
      </c>
      <c r="P637" s="1" t="s">
        <v>937</v>
      </c>
    </row>
    <row r="638" spans="1:16" x14ac:dyDescent="0.25">
      <c r="A638" s="3">
        <v>45917</v>
      </c>
      <c r="B638" s="4">
        <v>9420</v>
      </c>
      <c r="C638" s="5">
        <v>96</v>
      </c>
      <c r="D638" s="1" t="s">
        <v>1739</v>
      </c>
      <c r="E638" s="1" t="s">
        <v>1740</v>
      </c>
      <c r="F638" s="1" t="s">
        <v>955</v>
      </c>
      <c r="G638" s="1" t="s">
        <v>950</v>
      </c>
      <c r="H638" s="1" t="s">
        <v>941</v>
      </c>
      <c r="I638" s="1" t="s">
        <v>933</v>
      </c>
      <c r="J638" s="1" t="s">
        <v>951</v>
      </c>
      <c r="K638" s="1" t="s">
        <v>52</v>
      </c>
      <c r="L638" s="1" t="s">
        <v>1829</v>
      </c>
      <c r="M638" s="3">
        <v>45922</v>
      </c>
      <c r="N638" s="1" t="s">
        <v>821</v>
      </c>
      <c r="O638" s="1" t="s">
        <v>936</v>
      </c>
      <c r="P638" s="1">
        <v>1</v>
      </c>
    </row>
    <row r="639" spans="1:16" x14ac:dyDescent="0.25">
      <c r="A639" s="3">
        <v>45917</v>
      </c>
      <c r="B639" s="4">
        <v>55013</v>
      </c>
      <c r="C639" s="5">
        <v>1090.5999999999999</v>
      </c>
      <c r="D639" s="1" t="s">
        <v>973</v>
      </c>
      <c r="E639" s="1" t="s">
        <v>1068</v>
      </c>
      <c r="F639" s="1" t="s">
        <v>955</v>
      </c>
      <c r="G639" s="1" t="s">
        <v>998</v>
      </c>
      <c r="H639" s="3">
        <v>45933</v>
      </c>
      <c r="I639" s="1" t="s">
        <v>933</v>
      </c>
      <c r="J639" s="1" t="s">
        <v>951</v>
      </c>
      <c r="K639" s="1" t="s">
        <v>1814</v>
      </c>
      <c r="L639" s="1" t="s">
        <v>1837</v>
      </c>
      <c r="M639" s="3">
        <v>45918</v>
      </c>
      <c r="N639" s="1" t="s">
        <v>821</v>
      </c>
      <c r="O639" s="1" t="s">
        <v>998</v>
      </c>
      <c r="P639" s="1">
        <v>1</v>
      </c>
    </row>
    <row r="640" spans="1:16" x14ac:dyDescent="0.25">
      <c r="A640" s="3">
        <v>45917</v>
      </c>
      <c r="B640" s="4">
        <v>55007</v>
      </c>
      <c r="C640" s="5">
        <v>677.67</v>
      </c>
      <c r="D640" s="1" t="s">
        <v>973</v>
      </c>
      <c r="E640" s="1" t="s">
        <v>1068</v>
      </c>
      <c r="F640" s="1" t="s">
        <v>955</v>
      </c>
      <c r="G640" s="1" t="s">
        <v>998</v>
      </c>
      <c r="H640" s="3">
        <v>45934</v>
      </c>
      <c r="I640" s="1" t="s">
        <v>933</v>
      </c>
      <c r="J640" s="1" t="s">
        <v>951</v>
      </c>
      <c r="K640" s="1" t="s">
        <v>1814</v>
      </c>
      <c r="L640" s="1" t="s">
        <v>1838</v>
      </c>
      <c r="M640" s="3">
        <v>45918</v>
      </c>
      <c r="N640" s="1" t="s">
        <v>821</v>
      </c>
      <c r="O640" s="1" t="s">
        <v>998</v>
      </c>
      <c r="P640" s="1">
        <v>1</v>
      </c>
    </row>
    <row r="641" spans="1:16" x14ac:dyDescent="0.25">
      <c r="A641" s="3">
        <v>45917</v>
      </c>
      <c r="B641" s="4">
        <v>55871</v>
      </c>
      <c r="C641" s="5">
        <v>520</v>
      </c>
      <c r="D641" s="1" t="s">
        <v>1754</v>
      </c>
      <c r="E641" s="1" t="s">
        <v>1755</v>
      </c>
      <c r="F641" s="1" t="s">
        <v>182</v>
      </c>
      <c r="G641" s="1" t="s">
        <v>940</v>
      </c>
      <c r="H641" s="1" t="s">
        <v>941</v>
      </c>
      <c r="I641" s="1" t="s">
        <v>933</v>
      </c>
      <c r="J641" s="1" t="s">
        <v>66</v>
      </c>
      <c r="K641" s="1" t="s">
        <v>52</v>
      </c>
      <c r="L641" s="1" t="s">
        <v>1839</v>
      </c>
      <c r="M641" s="3">
        <v>45918</v>
      </c>
      <c r="N641" s="1" t="s">
        <v>93</v>
      </c>
      <c r="O641" s="1" t="s">
        <v>936</v>
      </c>
      <c r="P641" s="1">
        <v>1</v>
      </c>
    </row>
    <row r="642" spans="1:16" x14ac:dyDescent="0.25">
      <c r="A642" s="3">
        <v>45917</v>
      </c>
      <c r="B642" s="1">
        <v>31443</v>
      </c>
      <c r="C642" s="5">
        <v>75</v>
      </c>
      <c r="D642" s="1" t="s">
        <v>1840</v>
      </c>
      <c r="E642" s="1" t="s">
        <v>1841</v>
      </c>
      <c r="F642" s="1" t="s">
        <v>955</v>
      </c>
      <c r="G642" s="1" t="s">
        <v>950</v>
      </c>
      <c r="H642" s="1" t="s">
        <v>941</v>
      </c>
      <c r="I642" s="1" t="s">
        <v>933</v>
      </c>
      <c r="J642" s="1" t="s">
        <v>951</v>
      </c>
      <c r="K642" s="1" t="s">
        <v>52</v>
      </c>
      <c r="L642" s="1" t="s">
        <v>1842</v>
      </c>
      <c r="M642" s="3">
        <v>45918</v>
      </c>
      <c r="N642" s="1" t="s">
        <v>821</v>
      </c>
      <c r="O642" s="1" t="s">
        <v>936</v>
      </c>
      <c r="P642" s="1">
        <v>1</v>
      </c>
    </row>
    <row r="643" spans="1:16" x14ac:dyDescent="0.25">
      <c r="A643" s="3">
        <v>45917</v>
      </c>
      <c r="B643" s="4">
        <v>2652</v>
      </c>
      <c r="C643" s="5">
        <v>1650</v>
      </c>
      <c r="D643" s="1" t="s">
        <v>1843</v>
      </c>
      <c r="E643" s="1" t="s">
        <v>1844</v>
      </c>
      <c r="F643" s="1" t="s">
        <v>83</v>
      </c>
      <c r="G643" s="1" t="s">
        <v>940</v>
      </c>
      <c r="H643" s="1" t="s">
        <v>941</v>
      </c>
      <c r="I643" s="1" t="s">
        <v>933</v>
      </c>
      <c r="J643" s="1" t="s">
        <v>66</v>
      </c>
      <c r="K643" s="1" t="s">
        <v>52</v>
      </c>
      <c r="L643" s="1" t="s">
        <v>1845</v>
      </c>
      <c r="M643" s="3">
        <v>45918</v>
      </c>
      <c r="N643" s="1" t="s">
        <v>57</v>
      </c>
      <c r="O643" s="1" t="s">
        <v>936</v>
      </c>
      <c r="P643" s="1">
        <v>1</v>
      </c>
    </row>
    <row r="644" spans="1:16" x14ac:dyDescent="0.25">
      <c r="A644" s="3">
        <v>45917</v>
      </c>
      <c r="B644" s="4">
        <v>2653</v>
      </c>
      <c r="C644" s="5">
        <v>152</v>
      </c>
      <c r="D644" s="1" t="s">
        <v>1843</v>
      </c>
      <c r="E644" s="1" t="s">
        <v>1844</v>
      </c>
      <c r="F644" s="1" t="s">
        <v>83</v>
      </c>
      <c r="G644" s="1" t="s">
        <v>940</v>
      </c>
      <c r="H644" s="1" t="s">
        <v>941</v>
      </c>
      <c r="I644" s="1" t="s">
        <v>933</v>
      </c>
      <c r="J644" s="1" t="s">
        <v>66</v>
      </c>
      <c r="K644" s="1" t="s">
        <v>52</v>
      </c>
      <c r="L644" s="1" t="s">
        <v>1846</v>
      </c>
      <c r="M644" s="3">
        <v>45918</v>
      </c>
      <c r="N644" s="1" t="s">
        <v>57</v>
      </c>
      <c r="O644" s="1" t="s">
        <v>936</v>
      </c>
      <c r="P644" s="1">
        <v>1</v>
      </c>
    </row>
    <row r="645" spans="1:16" x14ac:dyDescent="0.25">
      <c r="A645" s="3">
        <v>45917</v>
      </c>
      <c r="B645" s="4">
        <v>1578</v>
      </c>
      <c r="C645" s="5">
        <v>250</v>
      </c>
      <c r="D645" s="1" t="s">
        <v>1843</v>
      </c>
      <c r="E645" s="1" t="s">
        <v>1844</v>
      </c>
      <c r="F645" s="1" t="s">
        <v>121</v>
      </c>
      <c r="G645" s="1" t="s">
        <v>940</v>
      </c>
      <c r="H645" s="1" t="s">
        <v>941</v>
      </c>
      <c r="I645" s="1" t="s">
        <v>933</v>
      </c>
      <c r="J645" s="1" t="s">
        <v>66</v>
      </c>
      <c r="K645" s="1" t="s">
        <v>52</v>
      </c>
      <c r="L645" s="1" t="s">
        <v>1847</v>
      </c>
      <c r="M645" s="3">
        <v>45918</v>
      </c>
      <c r="N645" s="1" t="s">
        <v>50</v>
      </c>
      <c r="O645" s="1" t="s">
        <v>936</v>
      </c>
      <c r="P645" s="1">
        <v>1</v>
      </c>
    </row>
    <row r="646" spans="1:16" x14ac:dyDescent="0.25">
      <c r="A646" s="3">
        <v>45917</v>
      </c>
      <c r="B646" s="4">
        <v>1579</v>
      </c>
      <c r="C646" s="5">
        <v>250</v>
      </c>
      <c r="D646" s="1" t="s">
        <v>1843</v>
      </c>
      <c r="E646" s="1" t="s">
        <v>1844</v>
      </c>
      <c r="F646" s="1" t="s">
        <v>121</v>
      </c>
      <c r="G646" s="1" t="s">
        <v>940</v>
      </c>
      <c r="H646" s="1" t="s">
        <v>959</v>
      </c>
      <c r="I646" s="1" t="s">
        <v>933</v>
      </c>
      <c r="J646" s="1" t="s">
        <v>66</v>
      </c>
      <c r="K646" s="1" t="s">
        <v>1654</v>
      </c>
      <c r="L646" s="1" t="s">
        <v>1848</v>
      </c>
      <c r="M646" s="3">
        <v>45918</v>
      </c>
      <c r="N646" s="1" t="s">
        <v>50</v>
      </c>
      <c r="O646" s="1" t="s">
        <v>936</v>
      </c>
      <c r="P646" s="1">
        <v>1</v>
      </c>
    </row>
    <row r="647" spans="1:16" x14ac:dyDescent="0.25">
      <c r="A647" s="3">
        <v>45917</v>
      </c>
      <c r="B647" s="4">
        <v>150998</v>
      </c>
      <c r="C647" s="5">
        <v>219.72</v>
      </c>
      <c r="D647" s="1" t="s">
        <v>1801</v>
      </c>
      <c r="E647" s="1" t="s">
        <v>1802</v>
      </c>
      <c r="F647" s="1" t="s">
        <v>955</v>
      </c>
      <c r="G647" s="1" t="s">
        <v>998</v>
      </c>
      <c r="H647" s="1" t="s">
        <v>941</v>
      </c>
      <c r="I647" s="1" t="s">
        <v>933</v>
      </c>
      <c r="J647" s="1" t="s">
        <v>951</v>
      </c>
      <c r="K647" s="1" t="s">
        <v>52</v>
      </c>
      <c r="L647" s="1" t="s">
        <v>1849</v>
      </c>
      <c r="M647" s="3">
        <v>45918</v>
      </c>
      <c r="N647" s="1" t="s">
        <v>821</v>
      </c>
      <c r="O647" s="1" t="s">
        <v>998</v>
      </c>
      <c r="P647" s="1">
        <v>1</v>
      </c>
    </row>
    <row r="648" spans="1:16" x14ac:dyDescent="0.25">
      <c r="A648" s="3">
        <v>45917</v>
      </c>
      <c r="B648" s="4">
        <v>55004</v>
      </c>
      <c r="C648" s="5">
        <v>998.76</v>
      </c>
      <c r="D648" s="1" t="s">
        <v>973</v>
      </c>
      <c r="E648" s="1" t="s">
        <v>1068</v>
      </c>
      <c r="F648" s="1" t="s">
        <v>955</v>
      </c>
      <c r="G648" s="1" t="s">
        <v>998</v>
      </c>
      <c r="H648" s="3">
        <v>45934</v>
      </c>
      <c r="I648" s="1" t="s">
        <v>933</v>
      </c>
      <c r="J648" s="1" t="s">
        <v>951</v>
      </c>
      <c r="K648" s="1" t="s">
        <v>1814</v>
      </c>
      <c r="L648" s="1" t="s">
        <v>1850</v>
      </c>
      <c r="M648" s="3">
        <v>45918</v>
      </c>
      <c r="N648" s="1" t="s">
        <v>821</v>
      </c>
      <c r="O648" s="1" t="s">
        <v>998</v>
      </c>
      <c r="P648" s="1">
        <v>1</v>
      </c>
    </row>
    <row r="649" spans="1:16" x14ac:dyDescent="0.25">
      <c r="A649" s="3">
        <v>45917</v>
      </c>
      <c r="B649" s="1">
        <v>33</v>
      </c>
      <c r="C649" s="5">
        <v>390</v>
      </c>
      <c r="D649" s="1" t="s">
        <v>1607</v>
      </c>
      <c r="E649" s="1" t="s">
        <v>1608</v>
      </c>
      <c r="F649" s="1" t="s">
        <v>955</v>
      </c>
      <c r="G649" s="1" t="s">
        <v>932</v>
      </c>
      <c r="H649" s="3">
        <v>45931</v>
      </c>
      <c r="I649" s="1" t="s">
        <v>933</v>
      </c>
      <c r="J649" s="1" t="s">
        <v>951</v>
      </c>
      <c r="K649" s="1" t="s">
        <v>20</v>
      </c>
      <c r="L649" s="1" t="s">
        <v>1851</v>
      </c>
      <c r="M649" s="3">
        <v>45927</v>
      </c>
      <c r="N649" s="1" t="s">
        <v>821</v>
      </c>
      <c r="O649" s="1" t="s">
        <v>1497</v>
      </c>
      <c r="P649" s="1" t="s">
        <v>937</v>
      </c>
    </row>
    <row r="650" spans="1:16" x14ac:dyDescent="0.25">
      <c r="A650" s="3">
        <v>45917</v>
      </c>
      <c r="B650" s="4">
        <v>9424</v>
      </c>
      <c r="C650" s="5">
        <v>498.2</v>
      </c>
      <c r="D650" s="1" t="s">
        <v>1739</v>
      </c>
      <c r="E650" s="1" t="s">
        <v>1740</v>
      </c>
      <c r="F650" s="1" t="s">
        <v>955</v>
      </c>
      <c r="G650" s="1" t="s">
        <v>940</v>
      </c>
      <c r="H650" s="1" t="s">
        <v>1832</v>
      </c>
      <c r="I650" s="1" t="s">
        <v>933</v>
      </c>
      <c r="J650" s="1" t="s">
        <v>951</v>
      </c>
      <c r="K650" s="1" t="s">
        <v>52</v>
      </c>
      <c r="L650" s="1" t="s">
        <v>1852</v>
      </c>
      <c r="M650" s="3">
        <v>45927</v>
      </c>
      <c r="N650" s="1" t="s">
        <v>821</v>
      </c>
      <c r="O650" s="1" t="s">
        <v>936</v>
      </c>
      <c r="P650" s="1">
        <v>1</v>
      </c>
    </row>
    <row r="651" spans="1:16" x14ac:dyDescent="0.25">
      <c r="A651" s="3">
        <v>45917</v>
      </c>
      <c r="B651" s="4">
        <v>9426</v>
      </c>
      <c r="C651" s="5">
        <v>368.6</v>
      </c>
      <c r="D651" s="1" t="s">
        <v>1739</v>
      </c>
      <c r="E651" s="1" t="s">
        <v>1740</v>
      </c>
      <c r="F651" s="1" t="s">
        <v>955</v>
      </c>
      <c r="G651" s="1" t="s">
        <v>940</v>
      </c>
      <c r="H651" s="1" t="s">
        <v>1832</v>
      </c>
      <c r="I651" s="1" t="s">
        <v>933</v>
      </c>
      <c r="J651" s="1" t="s">
        <v>951</v>
      </c>
      <c r="K651" s="1" t="s">
        <v>52</v>
      </c>
      <c r="L651" s="1" t="s">
        <v>1853</v>
      </c>
      <c r="M651" s="3">
        <v>45927</v>
      </c>
      <c r="N651" s="1" t="s">
        <v>821</v>
      </c>
      <c r="O651" s="1" t="s">
        <v>936</v>
      </c>
      <c r="P651" s="1">
        <v>1</v>
      </c>
    </row>
    <row r="652" spans="1:16" x14ac:dyDescent="0.25">
      <c r="A652" s="3">
        <v>45917</v>
      </c>
      <c r="B652" s="1">
        <v>28</v>
      </c>
      <c r="C652" s="5">
        <v>2550</v>
      </c>
      <c r="D652" s="1" t="s">
        <v>1156</v>
      </c>
      <c r="E652" s="1" t="s">
        <v>1157</v>
      </c>
      <c r="F652" s="1" t="s">
        <v>66</v>
      </c>
      <c r="G652" s="1" t="s">
        <v>932</v>
      </c>
      <c r="H652" s="3">
        <v>45941</v>
      </c>
      <c r="I652" s="1" t="s">
        <v>933</v>
      </c>
      <c r="J652" s="1" t="s">
        <v>66</v>
      </c>
      <c r="K652" s="1" t="s">
        <v>20</v>
      </c>
      <c r="L652" s="1" t="s">
        <v>1854</v>
      </c>
      <c r="M652" s="3">
        <v>45930</v>
      </c>
      <c r="N652" s="1" t="s">
        <v>821</v>
      </c>
      <c r="O652" s="1" t="s">
        <v>932</v>
      </c>
      <c r="P652" s="1">
        <v>1</v>
      </c>
    </row>
    <row r="653" spans="1:16" x14ac:dyDescent="0.25">
      <c r="A653" s="3">
        <v>45917</v>
      </c>
      <c r="B653" s="4">
        <v>1588680</v>
      </c>
      <c r="C653" s="5">
        <v>74.37</v>
      </c>
      <c r="D653" s="1" t="s">
        <v>1855</v>
      </c>
      <c r="E653" s="1" t="s">
        <v>1856</v>
      </c>
      <c r="F653" s="1" t="s">
        <v>955</v>
      </c>
      <c r="G653" s="1" t="s">
        <v>1029</v>
      </c>
      <c r="H653" s="3">
        <v>45940</v>
      </c>
      <c r="I653" s="1" t="s">
        <v>933</v>
      </c>
      <c r="J653" s="1" t="s">
        <v>951</v>
      </c>
      <c r="K653" s="1" t="s">
        <v>66</v>
      </c>
      <c r="L653" s="1" t="s">
        <v>1857</v>
      </c>
      <c r="M653" s="3">
        <v>45930</v>
      </c>
      <c r="N653" s="1" t="s">
        <v>821</v>
      </c>
      <c r="O653" s="1" t="s">
        <v>936</v>
      </c>
      <c r="P653" s="1">
        <v>1</v>
      </c>
    </row>
    <row r="654" spans="1:16" x14ac:dyDescent="0.25">
      <c r="A654" s="3">
        <v>45918</v>
      </c>
      <c r="B654" s="4">
        <v>70869</v>
      </c>
      <c r="C654" s="5">
        <v>1511.7</v>
      </c>
      <c r="D654" s="1" t="s">
        <v>1098</v>
      </c>
      <c r="E654" s="1" t="s">
        <v>1099</v>
      </c>
      <c r="F654" s="1" t="s">
        <v>647</v>
      </c>
      <c r="G654" s="1" t="s">
        <v>1254</v>
      </c>
      <c r="H654" s="3">
        <v>45946</v>
      </c>
      <c r="I654" s="1" t="s">
        <v>933</v>
      </c>
      <c r="J654" s="1" t="s">
        <v>66</v>
      </c>
      <c r="K654" s="1" t="s">
        <v>340</v>
      </c>
      <c r="L654" s="1" t="s">
        <v>1858</v>
      </c>
      <c r="M654" s="3">
        <v>45918</v>
      </c>
      <c r="N654" s="1" t="s">
        <v>57</v>
      </c>
      <c r="O654" s="1" t="s">
        <v>936</v>
      </c>
      <c r="P654" s="1">
        <v>1</v>
      </c>
    </row>
    <row r="655" spans="1:16" x14ac:dyDescent="0.25">
      <c r="A655" s="3">
        <v>45918</v>
      </c>
      <c r="B655" s="4">
        <v>70870</v>
      </c>
      <c r="C655" s="5">
        <v>2109.7199999999998</v>
      </c>
      <c r="D655" s="1" t="s">
        <v>1253</v>
      </c>
      <c r="E655" s="1" t="s">
        <v>1487</v>
      </c>
      <c r="F655" s="1" t="s">
        <v>599</v>
      </c>
      <c r="G655" s="1" t="s">
        <v>1254</v>
      </c>
      <c r="H655" s="3">
        <v>45946</v>
      </c>
      <c r="I655" s="1" t="s">
        <v>933</v>
      </c>
      <c r="J655" s="1" t="s">
        <v>66</v>
      </c>
      <c r="K655" s="1" t="s">
        <v>340</v>
      </c>
      <c r="L655" s="1" t="s">
        <v>1859</v>
      </c>
      <c r="M655" s="3">
        <v>45918</v>
      </c>
      <c r="N655" s="1" t="s">
        <v>57</v>
      </c>
      <c r="O655" s="1" t="s">
        <v>936</v>
      </c>
      <c r="P655" s="1">
        <v>1</v>
      </c>
    </row>
    <row r="656" spans="1:16" x14ac:dyDescent="0.25">
      <c r="A656" s="3">
        <v>45918</v>
      </c>
      <c r="B656" s="4">
        <v>3743</v>
      </c>
      <c r="C656" s="5">
        <v>2991</v>
      </c>
      <c r="D656" s="1" t="s">
        <v>1179</v>
      </c>
      <c r="E656" s="1" t="s">
        <v>1180</v>
      </c>
      <c r="F656" s="1" t="s">
        <v>721</v>
      </c>
      <c r="G656" s="1" t="s">
        <v>940</v>
      </c>
      <c r="H656" s="3">
        <v>45936</v>
      </c>
      <c r="I656" s="1" t="s">
        <v>712</v>
      </c>
      <c r="J656" s="1" t="s">
        <v>66</v>
      </c>
      <c r="K656" s="1" t="s">
        <v>340</v>
      </c>
      <c r="L656" s="1" t="s">
        <v>1860</v>
      </c>
      <c r="M656" s="3">
        <v>45918</v>
      </c>
      <c r="N656" s="1" t="s">
        <v>712</v>
      </c>
      <c r="O656" s="1" t="s">
        <v>936</v>
      </c>
      <c r="P656" s="1">
        <v>1</v>
      </c>
    </row>
    <row r="657" spans="1:16" x14ac:dyDescent="0.25">
      <c r="A657" s="3">
        <v>45918</v>
      </c>
      <c r="B657" s="4">
        <v>3310</v>
      </c>
      <c r="C657" s="5">
        <v>750</v>
      </c>
      <c r="D657" s="1" t="s">
        <v>1179</v>
      </c>
      <c r="E657" s="1" t="s">
        <v>1180</v>
      </c>
      <c r="F657" s="1" t="s">
        <v>721</v>
      </c>
      <c r="G657" s="1" t="s">
        <v>940</v>
      </c>
      <c r="H657" s="3">
        <v>45936</v>
      </c>
      <c r="I657" s="1" t="s">
        <v>712</v>
      </c>
      <c r="J657" s="1" t="s">
        <v>66</v>
      </c>
      <c r="K657" s="1" t="s">
        <v>340</v>
      </c>
      <c r="L657" s="1" t="s">
        <v>1861</v>
      </c>
      <c r="M657" s="3">
        <v>45918</v>
      </c>
      <c r="N657" s="1" t="s">
        <v>712</v>
      </c>
      <c r="O657" s="1" t="s">
        <v>936</v>
      </c>
      <c r="P657" s="1">
        <v>1</v>
      </c>
    </row>
    <row r="658" spans="1:16" x14ac:dyDescent="0.25">
      <c r="A658" s="3">
        <v>45918</v>
      </c>
      <c r="B658" s="4">
        <v>45630</v>
      </c>
      <c r="C658" s="5">
        <v>3860</v>
      </c>
      <c r="D658" s="1" t="s">
        <v>1489</v>
      </c>
      <c r="E658" s="1" t="s">
        <v>1490</v>
      </c>
      <c r="F658" s="1" t="s">
        <v>304</v>
      </c>
      <c r="G658" s="1" t="s">
        <v>940</v>
      </c>
      <c r="H658" s="3">
        <v>45946</v>
      </c>
      <c r="I658" s="1" t="s">
        <v>933</v>
      </c>
      <c r="J658" s="1" t="s">
        <v>66</v>
      </c>
      <c r="K658" s="1" t="s">
        <v>340</v>
      </c>
      <c r="L658" s="1" t="s">
        <v>1862</v>
      </c>
      <c r="M658" s="3">
        <v>45918</v>
      </c>
      <c r="N658" s="1" t="s">
        <v>57</v>
      </c>
      <c r="O658" s="1" t="s">
        <v>936</v>
      </c>
      <c r="P658" s="1">
        <v>1</v>
      </c>
    </row>
    <row r="659" spans="1:16" x14ac:dyDescent="0.25">
      <c r="A659" s="3">
        <v>45918</v>
      </c>
      <c r="B659" s="4">
        <v>81309</v>
      </c>
      <c r="C659" s="5">
        <v>1174.43</v>
      </c>
      <c r="D659" s="1" t="s">
        <v>1174</v>
      </c>
      <c r="E659" s="1" t="s">
        <v>1314</v>
      </c>
      <c r="F659" s="1" t="s">
        <v>844</v>
      </c>
      <c r="G659" s="1" t="s">
        <v>940</v>
      </c>
      <c r="H659" s="3">
        <v>45946</v>
      </c>
      <c r="I659" s="1" t="s">
        <v>933</v>
      </c>
      <c r="J659" s="1" t="s">
        <v>66</v>
      </c>
      <c r="K659" s="1" t="s">
        <v>340</v>
      </c>
      <c r="L659" s="1" t="s">
        <v>1863</v>
      </c>
      <c r="M659" s="3">
        <v>45918</v>
      </c>
      <c r="N659" s="1" t="s">
        <v>836</v>
      </c>
      <c r="O659" s="1" t="s">
        <v>936</v>
      </c>
      <c r="P659" s="1">
        <v>1</v>
      </c>
    </row>
    <row r="660" spans="1:16" x14ac:dyDescent="0.25">
      <c r="A660" s="3">
        <v>45918</v>
      </c>
      <c r="B660" s="4">
        <v>3555</v>
      </c>
      <c r="C660" s="5">
        <v>686.63</v>
      </c>
      <c r="D660" s="1" t="s">
        <v>1864</v>
      </c>
      <c r="E660" s="1" t="s">
        <v>1865</v>
      </c>
      <c r="F660" s="1" t="s">
        <v>844</v>
      </c>
      <c r="G660" s="1" t="s">
        <v>940</v>
      </c>
      <c r="H660" s="3">
        <v>45945</v>
      </c>
      <c r="I660" s="1" t="s">
        <v>933</v>
      </c>
      <c r="J660" s="1" t="s">
        <v>66</v>
      </c>
      <c r="K660" s="1" t="s">
        <v>340</v>
      </c>
      <c r="L660" s="1" t="s">
        <v>1866</v>
      </c>
      <c r="M660" s="3">
        <v>45918</v>
      </c>
      <c r="N660" s="1" t="s">
        <v>836</v>
      </c>
      <c r="O660" s="1" t="s">
        <v>936</v>
      </c>
      <c r="P660" s="1">
        <v>1</v>
      </c>
    </row>
    <row r="661" spans="1:16" x14ac:dyDescent="0.25">
      <c r="A661" s="3">
        <v>45918</v>
      </c>
      <c r="B661" s="1">
        <v>106</v>
      </c>
      <c r="C661" s="5">
        <v>2275</v>
      </c>
      <c r="D661" s="1" t="s">
        <v>1867</v>
      </c>
      <c r="E661" s="1" t="s">
        <v>1868</v>
      </c>
      <c r="F661" s="1" t="s">
        <v>659</v>
      </c>
      <c r="G661" s="1" t="s">
        <v>940</v>
      </c>
      <c r="H661" s="3">
        <v>45927</v>
      </c>
      <c r="I661" s="1" t="s">
        <v>933</v>
      </c>
      <c r="J661" s="1" t="s">
        <v>951</v>
      </c>
      <c r="K661" s="1" t="s">
        <v>659</v>
      </c>
      <c r="L661" s="1" t="s">
        <v>1869</v>
      </c>
      <c r="M661" s="3">
        <v>45918</v>
      </c>
      <c r="N661" s="1"/>
      <c r="O661" s="1" t="s">
        <v>936</v>
      </c>
      <c r="P661" s="1">
        <v>1</v>
      </c>
    </row>
    <row r="662" spans="1:16" x14ac:dyDescent="0.25">
      <c r="A662" s="3">
        <v>45918</v>
      </c>
      <c r="B662" s="1">
        <v>80</v>
      </c>
      <c r="C662" s="5">
        <v>160</v>
      </c>
      <c r="D662" s="1" t="s">
        <v>1471</v>
      </c>
      <c r="E662" s="1" t="s">
        <v>1870</v>
      </c>
      <c r="F662" s="1" t="s">
        <v>966</v>
      </c>
      <c r="G662" s="1" t="s">
        <v>950</v>
      </c>
      <c r="H662" s="3">
        <v>45927</v>
      </c>
      <c r="I662" s="1" t="s">
        <v>933</v>
      </c>
      <c r="J662" s="1" t="s">
        <v>951</v>
      </c>
      <c r="K662" s="1" t="s">
        <v>934</v>
      </c>
      <c r="L662" s="1" t="s">
        <v>1871</v>
      </c>
      <c r="M662" s="3">
        <v>45918</v>
      </c>
      <c r="N662" s="1" t="s">
        <v>821</v>
      </c>
      <c r="O662" s="1" t="s">
        <v>936</v>
      </c>
      <c r="P662" s="1">
        <v>1</v>
      </c>
    </row>
    <row r="663" spans="1:16" x14ac:dyDescent="0.25">
      <c r="A663" s="3">
        <v>45918</v>
      </c>
      <c r="B663" s="1">
        <v>7</v>
      </c>
      <c r="C663" s="5">
        <v>3125</v>
      </c>
      <c r="D663" s="1" t="s">
        <v>1872</v>
      </c>
      <c r="E663" s="1" t="s">
        <v>1873</v>
      </c>
      <c r="F663" s="1" t="s">
        <v>955</v>
      </c>
      <c r="G663" s="1" t="s">
        <v>940</v>
      </c>
      <c r="H663" s="3">
        <v>45929</v>
      </c>
      <c r="I663" s="1" t="s">
        <v>933</v>
      </c>
      <c r="J663" s="1" t="s">
        <v>951</v>
      </c>
      <c r="K663" s="1" t="s">
        <v>20</v>
      </c>
      <c r="L663" s="1" t="s">
        <v>1874</v>
      </c>
      <c r="M663" s="3">
        <v>45918</v>
      </c>
      <c r="N663" s="1" t="s">
        <v>821</v>
      </c>
      <c r="O663" s="1" t="s">
        <v>936</v>
      </c>
      <c r="P663" s="1" t="s">
        <v>937</v>
      </c>
    </row>
    <row r="664" spans="1:16" x14ac:dyDescent="0.25">
      <c r="A664" s="3">
        <v>45918</v>
      </c>
      <c r="B664" s="4">
        <v>50841532</v>
      </c>
      <c r="C664" s="5">
        <v>12577.07</v>
      </c>
      <c r="D664" s="1" t="s">
        <v>1604</v>
      </c>
      <c r="E664" s="1" t="s">
        <v>1605</v>
      </c>
      <c r="F664" s="1" t="s">
        <v>955</v>
      </c>
      <c r="G664" s="1" t="s">
        <v>950</v>
      </c>
      <c r="H664" s="3">
        <v>45929</v>
      </c>
      <c r="I664" s="1" t="s">
        <v>933</v>
      </c>
      <c r="J664" s="1" t="s">
        <v>951</v>
      </c>
      <c r="K664" s="1" t="s">
        <v>934</v>
      </c>
      <c r="L664" s="1" t="s">
        <v>1875</v>
      </c>
      <c r="M664" s="3">
        <v>45918</v>
      </c>
      <c r="N664" s="1" t="s">
        <v>821</v>
      </c>
      <c r="O664" s="1" t="s">
        <v>932</v>
      </c>
      <c r="P664" s="1">
        <v>1</v>
      </c>
    </row>
    <row r="665" spans="1:16" x14ac:dyDescent="0.25">
      <c r="A665" s="3">
        <v>45918</v>
      </c>
      <c r="B665" s="1">
        <v>381</v>
      </c>
      <c r="C665" s="5">
        <v>8810</v>
      </c>
      <c r="D665" s="1" t="s">
        <v>975</v>
      </c>
      <c r="E665" s="1" t="s">
        <v>976</v>
      </c>
      <c r="F665" s="1" t="s">
        <v>1131</v>
      </c>
      <c r="G665" s="1" t="s">
        <v>940</v>
      </c>
      <c r="H665" s="3">
        <v>45945</v>
      </c>
      <c r="I665" s="1" t="s">
        <v>933</v>
      </c>
      <c r="J665" s="1" t="s">
        <v>1131</v>
      </c>
      <c r="K665" s="1" t="s">
        <v>66</v>
      </c>
      <c r="L665" s="1" t="s">
        <v>1876</v>
      </c>
      <c r="M665" s="3">
        <v>45918</v>
      </c>
      <c r="N665" s="1" t="s">
        <v>821</v>
      </c>
      <c r="O665" s="1" t="s">
        <v>936</v>
      </c>
      <c r="P665" s="1" t="s">
        <v>937</v>
      </c>
    </row>
    <row r="666" spans="1:16" x14ac:dyDescent="0.25">
      <c r="A666" s="3">
        <v>45918</v>
      </c>
      <c r="B666" s="4">
        <v>70886</v>
      </c>
      <c r="C666" s="5">
        <v>148.15</v>
      </c>
      <c r="D666" s="1" t="s">
        <v>1253</v>
      </c>
      <c r="E666" s="1" t="s">
        <v>1487</v>
      </c>
      <c r="F666" s="1" t="s">
        <v>650</v>
      </c>
      <c r="G666" s="1" t="s">
        <v>1254</v>
      </c>
      <c r="H666" s="3">
        <v>45947</v>
      </c>
      <c r="I666" s="1" t="s">
        <v>933</v>
      </c>
      <c r="J666" s="1" t="s">
        <v>66</v>
      </c>
      <c r="K666" s="1" t="s">
        <v>66</v>
      </c>
      <c r="L666" s="1" t="s">
        <v>1877</v>
      </c>
      <c r="M666" s="3">
        <v>45918</v>
      </c>
      <c r="N666" s="1" t="s">
        <v>57</v>
      </c>
      <c r="O666" s="1" t="s">
        <v>936</v>
      </c>
      <c r="P666" s="1">
        <v>1</v>
      </c>
    </row>
    <row r="667" spans="1:16" x14ac:dyDescent="0.25">
      <c r="A667" s="3">
        <v>45918</v>
      </c>
      <c r="B667" s="1">
        <v>201</v>
      </c>
      <c r="C667" s="5">
        <v>11616</v>
      </c>
      <c r="D667" s="1" t="s">
        <v>1358</v>
      </c>
      <c r="E667" s="1" t="s">
        <v>1618</v>
      </c>
      <c r="F667" s="1" t="s">
        <v>659</v>
      </c>
      <c r="G667" s="1" t="s">
        <v>1029</v>
      </c>
      <c r="H667" s="3">
        <v>45932</v>
      </c>
      <c r="I667" s="1" t="s">
        <v>933</v>
      </c>
      <c r="J667" s="1" t="s">
        <v>951</v>
      </c>
      <c r="K667" s="1" t="s">
        <v>66</v>
      </c>
      <c r="L667" s="1" t="s">
        <v>1878</v>
      </c>
      <c r="M667" s="3">
        <v>45918</v>
      </c>
      <c r="N667" s="1"/>
      <c r="O667" s="1" t="s">
        <v>932</v>
      </c>
      <c r="P667" s="1">
        <v>1</v>
      </c>
    </row>
    <row r="668" spans="1:16" x14ac:dyDescent="0.25">
      <c r="A668" s="3">
        <v>45918</v>
      </c>
      <c r="B668" s="4">
        <v>70873</v>
      </c>
      <c r="C668" s="5">
        <v>5032.5600000000004</v>
      </c>
      <c r="D668" s="1" t="s">
        <v>1253</v>
      </c>
      <c r="E668" s="1" t="s">
        <v>1487</v>
      </c>
      <c r="F668" s="1" t="s">
        <v>650</v>
      </c>
      <c r="G668" s="1" t="s">
        <v>1254</v>
      </c>
      <c r="H668" s="3">
        <v>45946</v>
      </c>
      <c r="I668" s="1" t="s">
        <v>933</v>
      </c>
      <c r="J668" s="1" t="s">
        <v>66</v>
      </c>
      <c r="K668" s="1" t="s">
        <v>66</v>
      </c>
      <c r="L668" s="1" t="s">
        <v>1879</v>
      </c>
      <c r="M668" s="3">
        <v>45918</v>
      </c>
      <c r="N668" s="1" t="s">
        <v>57</v>
      </c>
      <c r="O668" s="1" t="s">
        <v>936</v>
      </c>
      <c r="P668" s="1">
        <v>1</v>
      </c>
    </row>
    <row r="669" spans="1:16" x14ac:dyDescent="0.25">
      <c r="A669" s="3">
        <v>45918</v>
      </c>
      <c r="B669" s="4">
        <v>1718</v>
      </c>
      <c r="C669" s="5">
        <v>704</v>
      </c>
      <c r="D669" s="1" t="s">
        <v>953</v>
      </c>
      <c r="E669" s="1" t="s">
        <v>954</v>
      </c>
      <c r="F669" s="1" t="s">
        <v>955</v>
      </c>
      <c r="G669" s="1" t="s">
        <v>940</v>
      </c>
      <c r="H669" s="3">
        <v>45947</v>
      </c>
      <c r="I669" s="1" t="s">
        <v>933</v>
      </c>
      <c r="J669" s="1" t="s">
        <v>951</v>
      </c>
      <c r="K669" s="1" t="s">
        <v>20</v>
      </c>
      <c r="L669" s="1" t="s">
        <v>1880</v>
      </c>
      <c r="M669" s="3">
        <v>45923</v>
      </c>
      <c r="N669" s="1" t="s">
        <v>821</v>
      </c>
      <c r="O669" s="1" t="s">
        <v>936</v>
      </c>
      <c r="P669" s="1">
        <v>1</v>
      </c>
    </row>
    <row r="670" spans="1:16" x14ac:dyDescent="0.25">
      <c r="A670" s="3">
        <v>45918</v>
      </c>
      <c r="B670" s="4">
        <v>41010</v>
      </c>
      <c r="C670" s="5">
        <v>100</v>
      </c>
      <c r="D670" s="1" t="s">
        <v>1611</v>
      </c>
      <c r="E670" s="1" t="s">
        <v>1612</v>
      </c>
      <c r="F670" s="1" t="s">
        <v>955</v>
      </c>
      <c r="G670" s="1" t="s">
        <v>1029</v>
      </c>
      <c r="H670" s="1" t="s">
        <v>941</v>
      </c>
      <c r="I670" s="1" t="s">
        <v>933</v>
      </c>
      <c r="J670" s="1" t="s">
        <v>951</v>
      </c>
      <c r="K670" s="1" t="s">
        <v>934</v>
      </c>
      <c r="L670" s="1" t="s">
        <v>1881</v>
      </c>
      <c r="M670" s="3">
        <v>45923</v>
      </c>
      <c r="N670" s="1" t="s">
        <v>821</v>
      </c>
      <c r="O670" s="1" t="s">
        <v>937</v>
      </c>
      <c r="P670" s="1">
        <v>1</v>
      </c>
    </row>
    <row r="671" spans="1:16" x14ac:dyDescent="0.25">
      <c r="A671" s="3">
        <v>45918</v>
      </c>
      <c r="B671" s="4">
        <v>1719</v>
      </c>
      <c r="C671" s="5">
        <v>324</v>
      </c>
      <c r="D671" s="1" t="s">
        <v>953</v>
      </c>
      <c r="E671" s="1" t="s">
        <v>954</v>
      </c>
      <c r="F671" s="1" t="s">
        <v>955</v>
      </c>
      <c r="G671" s="1" t="s">
        <v>940</v>
      </c>
      <c r="H671" s="3">
        <v>45947</v>
      </c>
      <c r="I671" s="1" t="s">
        <v>933</v>
      </c>
      <c r="J671" s="1" t="s">
        <v>951</v>
      </c>
      <c r="K671" s="1" t="s">
        <v>20</v>
      </c>
      <c r="L671" s="1" t="s">
        <v>1882</v>
      </c>
      <c r="M671" s="3">
        <v>45923</v>
      </c>
      <c r="N671" s="1" t="s">
        <v>821</v>
      </c>
      <c r="O671" s="1" t="s">
        <v>936</v>
      </c>
      <c r="P671" s="1">
        <v>1</v>
      </c>
    </row>
    <row r="672" spans="1:16" x14ac:dyDescent="0.25">
      <c r="A672" s="3">
        <v>45918</v>
      </c>
      <c r="B672" s="4">
        <v>1619</v>
      </c>
      <c r="C672" s="5">
        <v>2000</v>
      </c>
      <c r="D672" s="1" t="s">
        <v>1368</v>
      </c>
      <c r="E672" s="1" t="s">
        <v>31</v>
      </c>
      <c r="F672" s="1" t="s">
        <v>955</v>
      </c>
      <c r="G672" s="1" t="s">
        <v>932</v>
      </c>
      <c r="H672" s="3">
        <v>45933</v>
      </c>
      <c r="I672" s="1" t="s">
        <v>933</v>
      </c>
      <c r="J672" s="1" t="s">
        <v>951</v>
      </c>
      <c r="K672" s="1" t="s">
        <v>20</v>
      </c>
      <c r="L672" s="1" t="s">
        <v>1883</v>
      </c>
      <c r="M672" s="3">
        <v>45918</v>
      </c>
      <c r="N672" s="1" t="s">
        <v>821</v>
      </c>
      <c r="O672" s="1" t="s">
        <v>936</v>
      </c>
      <c r="P672" s="1">
        <v>1</v>
      </c>
    </row>
    <row r="673" spans="1:16" x14ac:dyDescent="0.25">
      <c r="A673" s="3">
        <v>45918</v>
      </c>
      <c r="B673" s="4">
        <v>3557</v>
      </c>
      <c r="C673" s="5">
        <v>270.94</v>
      </c>
      <c r="D673" s="1" t="s">
        <v>1884</v>
      </c>
      <c r="E673" s="1" t="s">
        <v>1865</v>
      </c>
      <c r="F673" s="1" t="s">
        <v>844</v>
      </c>
      <c r="G673" s="1" t="s">
        <v>940</v>
      </c>
      <c r="H673" s="3">
        <v>45939</v>
      </c>
      <c r="I673" s="1" t="s">
        <v>933</v>
      </c>
      <c r="J673" s="1" t="s">
        <v>66</v>
      </c>
      <c r="K673" s="1" t="s">
        <v>340</v>
      </c>
      <c r="L673" s="1" t="s">
        <v>1885</v>
      </c>
      <c r="M673" s="3">
        <v>45918</v>
      </c>
      <c r="N673" s="1" t="s">
        <v>836</v>
      </c>
      <c r="O673" s="1" t="s">
        <v>936</v>
      </c>
      <c r="P673" s="1" t="s">
        <v>937</v>
      </c>
    </row>
    <row r="674" spans="1:16" x14ac:dyDescent="0.25">
      <c r="A674" s="3">
        <v>45918</v>
      </c>
      <c r="B674" s="1">
        <v>326</v>
      </c>
      <c r="C674" s="5">
        <v>6500</v>
      </c>
      <c r="D674" s="1" t="s">
        <v>1886</v>
      </c>
      <c r="E674" s="1" t="s">
        <v>1887</v>
      </c>
      <c r="F674" s="1" t="s">
        <v>659</v>
      </c>
      <c r="G674" s="1" t="s">
        <v>940</v>
      </c>
      <c r="H674" s="3">
        <v>45948</v>
      </c>
      <c r="I674" s="1" t="s">
        <v>933</v>
      </c>
      <c r="J674" s="1" t="s">
        <v>951</v>
      </c>
      <c r="K674" s="1" t="s">
        <v>659</v>
      </c>
      <c r="L674" s="1" t="s">
        <v>1888</v>
      </c>
      <c r="M674" s="3">
        <v>45918</v>
      </c>
      <c r="N674" s="1"/>
      <c r="O674" s="1" t="s">
        <v>937</v>
      </c>
      <c r="P674" s="1" t="s">
        <v>937</v>
      </c>
    </row>
    <row r="675" spans="1:16" x14ac:dyDescent="0.25">
      <c r="A675" s="3">
        <v>45918</v>
      </c>
      <c r="B675" s="1">
        <v>445</v>
      </c>
      <c r="C675" s="5">
        <v>24097.360000000001</v>
      </c>
      <c r="D675" s="1" t="s">
        <v>1889</v>
      </c>
      <c r="E675" s="1" t="s">
        <v>1890</v>
      </c>
      <c r="F675" s="1" t="s">
        <v>659</v>
      </c>
      <c r="G675" s="1" t="s">
        <v>940</v>
      </c>
      <c r="H675" s="3">
        <v>45939</v>
      </c>
      <c r="I675" s="1" t="s">
        <v>933</v>
      </c>
      <c r="J675" s="1" t="s">
        <v>951</v>
      </c>
      <c r="K675" s="1" t="s">
        <v>659</v>
      </c>
      <c r="L675" s="1" t="s">
        <v>1891</v>
      </c>
      <c r="M675" s="3">
        <v>45918</v>
      </c>
      <c r="N675" s="1"/>
      <c r="O675" s="1" t="s">
        <v>937</v>
      </c>
      <c r="P675" s="1">
        <v>1</v>
      </c>
    </row>
    <row r="676" spans="1:16" x14ac:dyDescent="0.25">
      <c r="A676" s="3">
        <v>45918</v>
      </c>
      <c r="B676" s="4">
        <v>1480</v>
      </c>
      <c r="C676" s="5">
        <v>70400</v>
      </c>
      <c r="D676" s="1" t="s">
        <v>1498</v>
      </c>
      <c r="E676" s="1" t="s">
        <v>1892</v>
      </c>
      <c r="F676" s="1" t="s">
        <v>659</v>
      </c>
      <c r="G676" s="1" t="s">
        <v>940</v>
      </c>
      <c r="H676" s="3">
        <v>45933</v>
      </c>
      <c r="I676" s="1" t="s">
        <v>933</v>
      </c>
      <c r="J676" s="1" t="s">
        <v>951</v>
      </c>
      <c r="K676" s="1" t="s">
        <v>659</v>
      </c>
      <c r="L676" s="1" t="s">
        <v>1893</v>
      </c>
      <c r="M676" s="3">
        <v>45918</v>
      </c>
      <c r="N676" s="1"/>
      <c r="O676" s="1" t="s">
        <v>936</v>
      </c>
      <c r="P676" s="1">
        <v>1</v>
      </c>
    </row>
    <row r="677" spans="1:16" x14ac:dyDescent="0.25">
      <c r="A677" s="3">
        <v>45918</v>
      </c>
      <c r="B677" s="1">
        <v>34</v>
      </c>
      <c r="C677" s="5">
        <v>2100</v>
      </c>
      <c r="D677" s="1" t="s">
        <v>1197</v>
      </c>
      <c r="E677" s="1" t="s">
        <v>1198</v>
      </c>
      <c r="F677" s="1" t="s">
        <v>713</v>
      </c>
      <c r="G677" s="1" t="s">
        <v>940</v>
      </c>
      <c r="H677" s="3">
        <v>45930</v>
      </c>
      <c r="I677" s="1" t="s">
        <v>933</v>
      </c>
      <c r="J677" s="1" t="s">
        <v>66</v>
      </c>
      <c r="K677" s="1" t="s">
        <v>340</v>
      </c>
      <c r="L677" s="1" t="s">
        <v>1894</v>
      </c>
      <c r="M677" s="3">
        <v>45918</v>
      </c>
      <c r="N677" s="1" t="s">
        <v>712</v>
      </c>
      <c r="O677" s="1" t="s">
        <v>936</v>
      </c>
      <c r="P677" s="1">
        <v>2</v>
      </c>
    </row>
    <row r="678" spans="1:16" x14ac:dyDescent="0.25">
      <c r="A678" s="3">
        <v>45918</v>
      </c>
      <c r="B678" s="4">
        <v>8628</v>
      </c>
      <c r="C678" s="5">
        <v>28700</v>
      </c>
      <c r="D678" s="1" t="s">
        <v>973</v>
      </c>
      <c r="E678" s="1" t="s">
        <v>1068</v>
      </c>
      <c r="F678" s="1" t="s">
        <v>304</v>
      </c>
      <c r="G678" s="1" t="s">
        <v>998</v>
      </c>
      <c r="H678" s="3">
        <v>45932</v>
      </c>
      <c r="I678" s="1" t="s">
        <v>933</v>
      </c>
      <c r="J678" s="1" t="s">
        <v>66</v>
      </c>
      <c r="K678" s="1" t="s">
        <v>998</v>
      </c>
      <c r="L678" s="2">
        <v>5000</v>
      </c>
      <c r="M678" s="3">
        <v>45918</v>
      </c>
      <c r="N678" s="1" t="s">
        <v>57</v>
      </c>
      <c r="O678" s="1" t="s">
        <v>998</v>
      </c>
      <c r="P678" s="1">
        <v>1</v>
      </c>
    </row>
    <row r="679" spans="1:16" x14ac:dyDescent="0.25">
      <c r="A679" s="3">
        <v>45918</v>
      </c>
      <c r="B679" s="4">
        <v>54915</v>
      </c>
      <c r="C679" s="5">
        <v>1135.72</v>
      </c>
      <c r="D679" s="1" t="s">
        <v>973</v>
      </c>
      <c r="E679" s="1" t="s">
        <v>1068</v>
      </c>
      <c r="F679" s="1" t="s">
        <v>955</v>
      </c>
      <c r="G679" s="1" t="s">
        <v>998</v>
      </c>
      <c r="H679" s="3">
        <v>45932</v>
      </c>
      <c r="I679" s="1" t="s">
        <v>933</v>
      </c>
      <c r="J679" s="1" t="s">
        <v>951</v>
      </c>
      <c r="K679" s="1" t="s">
        <v>998</v>
      </c>
      <c r="L679" s="1" t="s">
        <v>1895</v>
      </c>
      <c r="M679" s="3">
        <v>45918</v>
      </c>
      <c r="N679" s="1" t="s">
        <v>821</v>
      </c>
      <c r="O679" s="1" t="s">
        <v>998</v>
      </c>
      <c r="P679" s="1">
        <v>1</v>
      </c>
    </row>
    <row r="680" spans="1:16" x14ac:dyDescent="0.25">
      <c r="A680" s="3">
        <v>45918</v>
      </c>
      <c r="B680" s="4">
        <v>55033</v>
      </c>
      <c r="C680" s="5">
        <v>124</v>
      </c>
      <c r="D680" s="1" t="s">
        <v>973</v>
      </c>
      <c r="E680" s="1" t="s">
        <v>1068</v>
      </c>
      <c r="F680" s="1" t="s">
        <v>955</v>
      </c>
      <c r="G680" s="1" t="s">
        <v>998</v>
      </c>
      <c r="H680" s="3">
        <v>45934</v>
      </c>
      <c r="I680" s="1" t="s">
        <v>933</v>
      </c>
      <c r="J680" s="1" t="s">
        <v>951</v>
      </c>
      <c r="K680" s="1" t="s">
        <v>1814</v>
      </c>
      <c r="L680" s="1" t="s">
        <v>1896</v>
      </c>
      <c r="M680" s="3">
        <v>45918</v>
      </c>
      <c r="N680" s="1" t="s">
        <v>821</v>
      </c>
      <c r="O680" s="1" t="s">
        <v>998</v>
      </c>
      <c r="P680" s="1">
        <v>1</v>
      </c>
    </row>
    <row r="681" spans="1:16" x14ac:dyDescent="0.25">
      <c r="A681" s="3">
        <v>45918</v>
      </c>
      <c r="B681" s="4">
        <v>55038</v>
      </c>
      <c r="C681" s="5">
        <v>1749.94</v>
      </c>
      <c r="D681" s="1" t="s">
        <v>973</v>
      </c>
      <c r="E681" s="1" t="s">
        <v>1068</v>
      </c>
      <c r="F681" s="1" t="s">
        <v>955</v>
      </c>
      <c r="G681" s="1" t="s">
        <v>998</v>
      </c>
      <c r="H681" s="3">
        <v>45934</v>
      </c>
      <c r="I681" s="1" t="s">
        <v>933</v>
      </c>
      <c r="J681" s="1" t="s">
        <v>951</v>
      </c>
      <c r="K681" s="1" t="s">
        <v>1814</v>
      </c>
      <c r="L681" s="1" t="s">
        <v>1897</v>
      </c>
      <c r="M681" s="3">
        <v>45918</v>
      </c>
      <c r="N681" s="1" t="s">
        <v>821</v>
      </c>
      <c r="O681" s="1" t="s">
        <v>998</v>
      </c>
      <c r="P681" s="1">
        <v>1</v>
      </c>
    </row>
    <row r="682" spans="1:16" x14ac:dyDescent="0.25">
      <c r="A682" s="3">
        <v>45918</v>
      </c>
      <c r="B682" s="4">
        <v>55039</v>
      </c>
      <c r="C682" s="5">
        <v>908.76</v>
      </c>
      <c r="D682" s="1" t="s">
        <v>973</v>
      </c>
      <c r="E682" s="1" t="s">
        <v>1068</v>
      </c>
      <c r="F682" s="1" t="s">
        <v>955</v>
      </c>
      <c r="G682" s="1" t="s">
        <v>998</v>
      </c>
      <c r="H682" s="3">
        <v>45934</v>
      </c>
      <c r="I682" s="1" t="s">
        <v>933</v>
      </c>
      <c r="J682" s="1" t="s">
        <v>951</v>
      </c>
      <c r="K682" s="1" t="s">
        <v>1814</v>
      </c>
      <c r="L682" s="1" t="s">
        <v>1898</v>
      </c>
      <c r="M682" s="3">
        <v>45918</v>
      </c>
      <c r="N682" s="1" t="s">
        <v>821</v>
      </c>
      <c r="O682" s="1" t="s">
        <v>998</v>
      </c>
      <c r="P682" s="1">
        <v>1</v>
      </c>
    </row>
    <row r="683" spans="1:16" x14ac:dyDescent="0.25">
      <c r="A683" s="3">
        <v>45918</v>
      </c>
      <c r="B683" s="4">
        <v>55044</v>
      </c>
      <c r="C683" s="5">
        <v>869.13</v>
      </c>
      <c r="D683" s="1" t="s">
        <v>973</v>
      </c>
      <c r="E683" s="1" t="s">
        <v>1068</v>
      </c>
      <c r="F683" s="1" t="s">
        <v>955</v>
      </c>
      <c r="G683" s="1" t="s">
        <v>998</v>
      </c>
      <c r="H683" s="3">
        <v>45934</v>
      </c>
      <c r="I683" s="1" t="s">
        <v>933</v>
      </c>
      <c r="J683" s="1" t="s">
        <v>951</v>
      </c>
      <c r="K683" s="1" t="s">
        <v>1814</v>
      </c>
      <c r="L683" s="1" t="s">
        <v>1899</v>
      </c>
      <c r="M683" s="3">
        <v>45918</v>
      </c>
      <c r="N683" s="1" t="s">
        <v>821</v>
      </c>
      <c r="O683" s="1" t="s">
        <v>998</v>
      </c>
      <c r="P683" s="1">
        <v>1</v>
      </c>
    </row>
    <row r="684" spans="1:16" x14ac:dyDescent="0.25">
      <c r="A684" s="3">
        <v>45918</v>
      </c>
      <c r="B684" s="4">
        <v>55043</v>
      </c>
      <c r="C684" s="5">
        <v>1997.52</v>
      </c>
      <c r="D684" s="1" t="s">
        <v>973</v>
      </c>
      <c r="E684" s="1" t="s">
        <v>1068</v>
      </c>
      <c r="F684" s="1" t="s">
        <v>955</v>
      </c>
      <c r="G684" s="1" t="s">
        <v>998</v>
      </c>
      <c r="H684" s="3">
        <v>45934</v>
      </c>
      <c r="I684" s="1" t="s">
        <v>933</v>
      </c>
      <c r="J684" s="1" t="s">
        <v>951</v>
      </c>
      <c r="K684" s="1" t="s">
        <v>1814</v>
      </c>
      <c r="L684" s="1" t="s">
        <v>1900</v>
      </c>
      <c r="M684" s="3">
        <v>45918</v>
      </c>
      <c r="N684" s="1" t="s">
        <v>821</v>
      </c>
      <c r="O684" s="1" t="s">
        <v>998</v>
      </c>
      <c r="P684" s="1">
        <v>1</v>
      </c>
    </row>
    <row r="685" spans="1:16" x14ac:dyDescent="0.25">
      <c r="A685" s="3">
        <v>45918</v>
      </c>
      <c r="B685" s="4">
        <v>8649</v>
      </c>
      <c r="C685" s="5">
        <v>28700</v>
      </c>
      <c r="D685" s="1" t="s">
        <v>973</v>
      </c>
      <c r="E685" s="1" t="s">
        <v>1068</v>
      </c>
      <c r="F685" s="1" t="s">
        <v>955</v>
      </c>
      <c r="G685" s="1" t="s">
        <v>998</v>
      </c>
      <c r="H685" s="3">
        <v>45934</v>
      </c>
      <c r="I685" s="1" t="s">
        <v>933</v>
      </c>
      <c r="J685" s="1" t="s">
        <v>951</v>
      </c>
      <c r="K685" s="1" t="s">
        <v>998</v>
      </c>
      <c r="L685" s="1">
        <v>5000</v>
      </c>
      <c r="M685" s="3">
        <v>45918</v>
      </c>
      <c r="N685" s="1" t="s">
        <v>821</v>
      </c>
      <c r="O685" s="1" t="s">
        <v>998</v>
      </c>
      <c r="P685" s="1">
        <v>1</v>
      </c>
    </row>
    <row r="686" spans="1:16" x14ac:dyDescent="0.25">
      <c r="A686" s="3">
        <v>45918</v>
      </c>
      <c r="B686" s="4">
        <v>1476</v>
      </c>
      <c r="C686" s="5">
        <v>4891.07</v>
      </c>
      <c r="D686" s="1" t="s">
        <v>1901</v>
      </c>
      <c r="E686" s="1" t="s">
        <v>1902</v>
      </c>
      <c r="F686" s="1" t="s">
        <v>955</v>
      </c>
      <c r="G686" s="1" t="s">
        <v>940</v>
      </c>
      <c r="H686" s="3">
        <v>45945</v>
      </c>
      <c r="I686" s="1" t="s">
        <v>933</v>
      </c>
      <c r="J686" s="1" t="s">
        <v>951</v>
      </c>
      <c r="K686" s="1" t="s">
        <v>487</v>
      </c>
      <c r="L686" s="1" t="s">
        <v>1903</v>
      </c>
      <c r="M686" s="3">
        <v>45924</v>
      </c>
      <c r="N686" s="1" t="s">
        <v>821</v>
      </c>
      <c r="O686" s="1" t="s">
        <v>936</v>
      </c>
      <c r="P686" s="1">
        <v>1</v>
      </c>
    </row>
    <row r="687" spans="1:16" x14ac:dyDescent="0.25">
      <c r="A687" s="3">
        <v>45918</v>
      </c>
      <c r="B687" s="4">
        <v>1476</v>
      </c>
      <c r="C687" s="5">
        <v>3590</v>
      </c>
      <c r="D687" s="1" t="s">
        <v>1901</v>
      </c>
      <c r="E687" s="1" t="s">
        <v>1902</v>
      </c>
      <c r="F687" s="1" t="s">
        <v>955</v>
      </c>
      <c r="G687" s="1" t="s">
        <v>940</v>
      </c>
      <c r="H687" s="3">
        <v>45945</v>
      </c>
      <c r="I687" s="1" t="s">
        <v>933</v>
      </c>
      <c r="J687" s="1" t="s">
        <v>951</v>
      </c>
      <c r="K687" s="1" t="s">
        <v>659</v>
      </c>
      <c r="L687" s="1" t="s">
        <v>1904</v>
      </c>
      <c r="M687" s="3">
        <v>45924</v>
      </c>
      <c r="N687" s="1" t="s">
        <v>821</v>
      </c>
      <c r="O687" s="1" t="s">
        <v>936</v>
      </c>
      <c r="P687" s="1">
        <v>1</v>
      </c>
    </row>
    <row r="688" spans="1:16" x14ac:dyDescent="0.25">
      <c r="A688" s="3">
        <v>45919</v>
      </c>
      <c r="B688" s="4">
        <v>8650</v>
      </c>
      <c r="C688" s="5">
        <v>6046.04</v>
      </c>
      <c r="D688" s="1" t="s">
        <v>973</v>
      </c>
      <c r="E688" s="1" t="s">
        <v>1068</v>
      </c>
      <c r="F688" s="1" t="s">
        <v>955</v>
      </c>
      <c r="G688" s="1" t="s">
        <v>998</v>
      </c>
      <c r="H688" s="3">
        <v>45934</v>
      </c>
      <c r="I688" s="1" t="s">
        <v>933</v>
      </c>
      <c r="J688" s="1"/>
      <c r="K688" s="1" t="s">
        <v>998</v>
      </c>
      <c r="L688" s="1" t="s">
        <v>1905</v>
      </c>
      <c r="M688" s="3">
        <v>45918</v>
      </c>
      <c r="N688" s="1"/>
      <c r="O688" s="1" t="s">
        <v>998</v>
      </c>
      <c r="P688" s="1"/>
    </row>
    <row r="689" spans="1:16" x14ac:dyDescent="0.25">
      <c r="A689" s="3">
        <v>45919</v>
      </c>
      <c r="B689" s="1">
        <v>105</v>
      </c>
      <c r="C689" s="5">
        <v>7600</v>
      </c>
      <c r="D689" s="1" t="s">
        <v>1773</v>
      </c>
      <c r="E689" s="1" t="s">
        <v>1774</v>
      </c>
      <c r="F689" s="1" t="s">
        <v>955</v>
      </c>
      <c r="G689" s="1" t="s">
        <v>1029</v>
      </c>
      <c r="H689" s="3">
        <v>45940</v>
      </c>
      <c r="I689" s="1" t="s">
        <v>933</v>
      </c>
      <c r="J689" s="1" t="s">
        <v>951</v>
      </c>
      <c r="K689" s="1" t="s">
        <v>52</v>
      </c>
      <c r="L689" s="1" t="s">
        <v>1906</v>
      </c>
      <c r="M689" s="3">
        <v>45923</v>
      </c>
      <c r="N689" s="1" t="s">
        <v>821</v>
      </c>
      <c r="O689" s="1" t="s">
        <v>990</v>
      </c>
      <c r="P689" s="1">
        <v>1</v>
      </c>
    </row>
    <row r="690" spans="1:16" x14ac:dyDescent="0.25">
      <c r="A690" s="3">
        <v>45919</v>
      </c>
      <c r="B690" s="1">
        <v>106</v>
      </c>
      <c r="C690" s="5">
        <v>100</v>
      </c>
      <c r="D690" s="1" t="s">
        <v>1773</v>
      </c>
      <c r="E690" s="1" t="s">
        <v>1774</v>
      </c>
      <c r="F690" s="1" t="s">
        <v>955</v>
      </c>
      <c r="G690" s="1" t="s">
        <v>1029</v>
      </c>
      <c r="H690" s="3">
        <v>45910</v>
      </c>
      <c r="I690" s="1" t="s">
        <v>933</v>
      </c>
      <c r="J690" s="1" t="s">
        <v>951</v>
      </c>
      <c r="K690" s="1" t="s">
        <v>308</v>
      </c>
      <c r="L690" s="1" t="s">
        <v>1907</v>
      </c>
      <c r="M690" s="3">
        <v>45923</v>
      </c>
      <c r="N690" s="1" t="s">
        <v>821</v>
      </c>
      <c r="O690" s="1" t="s">
        <v>990</v>
      </c>
      <c r="P690" s="1">
        <v>1</v>
      </c>
    </row>
    <row r="691" spans="1:16" x14ac:dyDescent="0.25">
      <c r="A691" s="3">
        <v>45919</v>
      </c>
      <c r="B691" s="1">
        <v>180</v>
      </c>
      <c r="C691" s="5">
        <v>280</v>
      </c>
      <c r="D691" s="1" t="s">
        <v>1908</v>
      </c>
      <c r="E691" s="1" t="s">
        <v>1909</v>
      </c>
      <c r="F691" s="1" t="s">
        <v>906</v>
      </c>
      <c r="G691" s="1" t="s">
        <v>990</v>
      </c>
      <c r="H691" s="3">
        <v>45942</v>
      </c>
      <c r="I691" s="1" t="s">
        <v>933</v>
      </c>
      <c r="J691" s="1" t="s">
        <v>66</v>
      </c>
      <c r="K691" s="1" t="s">
        <v>308</v>
      </c>
      <c r="L691" s="1" t="s">
        <v>1910</v>
      </c>
      <c r="M691" s="3">
        <v>45929</v>
      </c>
      <c r="N691" s="1" t="s">
        <v>57</v>
      </c>
      <c r="O691" s="1" t="s">
        <v>990</v>
      </c>
      <c r="P691" s="1">
        <v>1</v>
      </c>
    </row>
    <row r="692" spans="1:16" x14ac:dyDescent="0.25">
      <c r="A692" s="3">
        <v>45920</v>
      </c>
      <c r="B692" s="4">
        <v>8654</v>
      </c>
      <c r="C692" s="5">
        <v>796</v>
      </c>
      <c r="D692" s="1" t="s">
        <v>973</v>
      </c>
      <c r="E692" s="1" t="s">
        <v>1068</v>
      </c>
      <c r="F692" s="1" t="s">
        <v>955</v>
      </c>
      <c r="G692" s="1" t="s">
        <v>998</v>
      </c>
      <c r="H692" s="3">
        <v>45937</v>
      </c>
      <c r="I692" s="1" t="s">
        <v>933</v>
      </c>
      <c r="J692" s="1" t="s">
        <v>951</v>
      </c>
      <c r="K692" s="1" t="s">
        <v>66</v>
      </c>
      <c r="L692" s="1" t="s">
        <v>1911</v>
      </c>
      <c r="M692" s="3">
        <v>45923</v>
      </c>
      <c r="N692" s="1" t="s">
        <v>821</v>
      </c>
      <c r="O692" s="1" t="s">
        <v>998</v>
      </c>
      <c r="P692" s="1">
        <v>1</v>
      </c>
    </row>
    <row r="693" spans="1:16" x14ac:dyDescent="0.25">
      <c r="A693" s="3">
        <v>45920</v>
      </c>
      <c r="B693" s="1">
        <v>53</v>
      </c>
      <c r="C693" s="5">
        <v>8310</v>
      </c>
      <c r="D693" s="1" t="s">
        <v>1588</v>
      </c>
      <c r="E693" s="1" t="s">
        <v>1589</v>
      </c>
      <c r="F693" s="1" t="s">
        <v>955</v>
      </c>
      <c r="G693" s="1" t="s">
        <v>940</v>
      </c>
      <c r="H693" s="3">
        <v>45937</v>
      </c>
      <c r="I693" s="1" t="s">
        <v>933</v>
      </c>
      <c r="J693" s="1" t="s">
        <v>951</v>
      </c>
      <c r="K693" s="1" t="s">
        <v>659</v>
      </c>
      <c r="L693" s="1" t="s">
        <v>1912</v>
      </c>
      <c r="M693" s="3">
        <v>45929</v>
      </c>
      <c r="N693" s="1" t="s">
        <v>821</v>
      </c>
      <c r="O693" s="1" t="s">
        <v>990</v>
      </c>
      <c r="P693" s="1">
        <v>1</v>
      </c>
    </row>
    <row r="694" spans="1:16" x14ac:dyDescent="0.25">
      <c r="A694" s="3">
        <v>45921</v>
      </c>
      <c r="B694" s="4">
        <v>3435</v>
      </c>
      <c r="C694" s="5">
        <v>17400</v>
      </c>
      <c r="D694" s="1" t="s">
        <v>1596</v>
      </c>
      <c r="E694" s="1" t="s">
        <v>1597</v>
      </c>
      <c r="F694" s="1" t="s">
        <v>447</v>
      </c>
      <c r="G694" s="1" t="s">
        <v>1029</v>
      </c>
      <c r="H694" s="3">
        <v>45941</v>
      </c>
      <c r="I694" s="1" t="s">
        <v>933</v>
      </c>
      <c r="J694" s="1" t="s">
        <v>66</v>
      </c>
      <c r="K694" s="1" t="s">
        <v>308</v>
      </c>
      <c r="L694" s="1" t="s">
        <v>1913</v>
      </c>
      <c r="M694" s="3">
        <v>45923</v>
      </c>
      <c r="N694" s="1" t="s">
        <v>450</v>
      </c>
      <c r="O694" s="1" t="s">
        <v>1031</v>
      </c>
      <c r="P694" s="1">
        <v>1</v>
      </c>
    </row>
    <row r="695" spans="1:16" x14ac:dyDescent="0.25">
      <c r="A695" s="3">
        <v>45922</v>
      </c>
      <c r="B695" s="1">
        <v>34</v>
      </c>
      <c r="C695" s="5">
        <v>2100</v>
      </c>
      <c r="D695" s="1" t="s">
        <v>1197</v>
      </c>
      <c r="E695" s="1" t="s">
        <v>1198</v>
      </c>
      <c r="F695" s="1" t="s">
        <v>713</v>
      </c>
      <c r="G695" s="1" t="s">
        <v>940</v>
      </c>
      <c r="H695" s="3">
        <v>45930</v>
      </c>
      <c r="I695" s="1" t="s">
        <v>933</v>
      </c>
      <c r="J695" s="1" t="s">
        <v>66</v>
      </c>
      <c r="K695" s="1" t="s">
        <v>340</v>
      </c>
      <c r="L695" s="1" t="s">
        <v>1914</v>
      </c>
      <c r="M695" s="3">
        <v>45918</v>
      </c>
      <c r="N695" s="1" t="s">
        <v>712</v>
      </c>
      <c r="O695" s="1" t="s">
        <v>936</v>
      </c>
      <c r="P695" s="1">
        <v>2</v>
      </c>
    </row>
    <row r="696" spans="1:16" x14ac:dyDescent="0.25">
      <c r="A696" s="3">
        <v>45922</v>
      </c>
      <c r="B696" s="4">
        <v>7051235</v>
      </c>
      <c r="C696" s="5">
        <v>450</v>
      </c>
      <c r="D696" s="1" t="s">
        <v>1224</v>
      </c>
      <c r="E696" s="1" t="s">
        <v>1915</v>
      </c>
      <c r="F696" s="1" t="s">
        <v>245</v>
      </c>
      <c r="G696" s="1" t="s">
        <v>940</v>
      </c>
      <c r="H696" s="3">
        <v>45930</v>
      </c>
      <c r="I696" s="1" t="s">
        <v>933</v>
      </c>
      <c r="J696" s="1" t="s">
        <v>66</v>
      </c>
      <c r="K696" s="1" t="s">
        <v>340</v>
      </c>
      <c r="L696" s="1" t="s">
        <v>1916</v>
      </c>
      <c r="M696" s="3">
        <v>45918</v>
      </c>
      <c r="N696" s="1" t="s">
        <v>57</v>
      </c>
      <c r="O696" s="1" t="s">
        <v>936</v>
      </c>
      <c r="P696" s="1">
        <v>1</v>
      </c>
    </row>
    <row r="697" spans="1:16" x14ac:dyDescent="0.25">
      <c r="A697" s="3">
        <v>45922</v>
      </c>
      <c r="B697" s="4">
        <v>50572</v>
      </c>
      <c r="C697" s="5">
        <v>1335.49</v>
      </c>
      <c r="D697" s="1" t="s">
        <v>1637</v>
      </c>
      <c r="E697" s="1" t="s">
        <v>1638</v>
      </c>
      <c r="F697" s="1" t="s">
        <v>594</v>
      </c>
      <c r="G697" s="1" t="s">
        <v>940</v>
      </c>
      <c r="H697" s="3">
        <v>45948</v>
      </c>
      <c r="I697" s="1" t="s">
        <v>933</v>
      </c>
      <c r="J697" s="1" t="s">
        <v>66</v>
      </c>
      <c r="K697" s="1" t="s">
        <v>1639</v>
      </c>
      <c r="L697" s="1" t="s">
        <v>1917</v>
      </c>
      <c r="M697" s="3">
        <v>45918</v>
      </c>
      <c r="N697" s="1" t="s">
        <v>57</v>
      </c>
      <c r="O697" s="1" t="s">
        <v>936</v>
      </c>
      <c r="P697" s="1">
        <v>1</v>
      </c>
    </row>
    <row r="698" spans="1:16" x14ac:dyDescent="0.25">
      <c r="A698" s="3">
        <v>45922</v>
      </c>
      <c r="B698" s="4">
        <v>45831</v>
      </c>
      <c r="C698" s="5">
        <v>3431</v>
      </c>
      <c r="D698" s="1" t="s">
        <v>1489</v>
      </c>
      <c r="E698" s="1" t="s">
        <v>1490</v>
      </c>
      <c r="F698" s="1" t="s">
        <v>794</v>
      </c>
      <c r="G698" s="1" t="s">
        <v>940</v>
      </c>
      <c r="H698" s="3">
        <v>45949</v>
      </c>
      <c r="I698" s="1" t="s">
        <v>933</v>
      </c>
      <c r="J698" s="1" t="s">
        <v>66</v>
      </c>
      <c r="K698" s="1" t="s">
        <v>1639</v>
      </c>
      <c r="L698" s="1" t="s">
        <v>1918</v>
      </c>
      <c r="M698" s="3">
        <v>45918</v>
      </c>
      <c r="N698" s="1" t="s">
        <v>57</v>
      </c>
      <c r="O698" s="1" t="s">
        <v>936</v>
      </c>
      <c r="P698" s="1">
        <v>1</v>
      </c>
    </row>
    <row r="699" spans="1:16" x14ac:dyDescent="0.25">
      <c r="A699" s="3">
        <v>45922</v>
      </c>
      <c r="B699" s="4">
        <v>1068</v>
      </c>
      <c r="C699" s="5">
        <v>320</v>
      </c>
      <c r="D699" s="1" t="s">
        <v>1074</v>
      </c>
      <c r="E699" s="1" t="s">
        <v>1075</v>
      </c>
      <c r="F699" s="1" t="s">
        <v>775</v>
      </c>
      <c r="G699" s="1" t="s">
        <v>981</v>
      </c>
      <c r="H699" s="3">
        <v>45930</v>
      </c>
      <c r="I699" s="1" t="s">
        <v>933</v>
      </c>
      <c r="J699" s="1" t="s">
        <v>66</v>
      </c>
      <c r="K699" s="1" t="s">
        <v>340</v>
      </c>
      <c r="L699" s="1" t="s">
        <v>1919</v>
      </c>
      <c r="M699" s="3">
        <v>45918</v>
      </c>
      <c r="N699" s="1" t="s">
        <v>580</v>
      </c>
      <c r="O699" s="1" t="s">
        <v>936</v>
      </c>
      <c r="P699" s="1">
        <v>1</v>
      </c>
    </row>
    <row r="700" spans="1:16" x14ac:dyDescent="0.25">
      <c r="A700" s="3">
        <v>45922</v>
      </c>
      <c r="B700" s="4">
        <v>1069</v>
      </c>
      <c r="C700" s="5">
        <v>390</v>
      </c>
      <c r="D700" s="1" t="s">
        <v>1074</v>
      </c>
      <c r="E700" s="1" t="s">
        <v>1075</v>
      </c>
      <c r="F700" s="1" t="s">
        <v>753</v>
      </c>
      <c r="G700" s="1" t="s">
        <v>981</v>
      </c>
      <c r="H700" s="3">
        <v>45930</v>
      </c>
      <c r="I700" s="1" t="s">
        <v>933</v>
      </c>
      <c r="J700" s="1" t="s">
        <v>66</v>
      </c>
      <c r="K700" s="1" t="s">
        <v>340</v>
      </c>
      <c r="L700" s="1" t="s">
        <v>1919</v>
      </c>
      <c r="M700" s="3">
        <v>45918</v>
      </c>
      <c r="N700" s="1" t="s">
        <v>57</v>
      </c>
      <c r="O700" s="1" t="s">
        <v>936</v>
      </c>
      <c r="P700" s="1">
        <v>1</v>
      </c>
    </row>
    <row r="701" spans="1:16" x14ac:dyDescent="0.25">
      <c r="A701" s="3">
        <v>45922</v>
      </c>
      <c r="B701" s="4">
        <v>259601</v>
      </c>
      <c r="C701" s="5">
        <v>389.99</v>
      </c>
      <c r="D701" s="1" t="s">
        <v>1920</v>
      </c>
      <c r="E701" s="1" t="s">
        <v>1921</v>
      </c>
      <c r="F701" s="1" t="s">
        <v>307</v>
      </c>
      <c r="G701" s="1" t="s">
        <v>940</v>
      </c>
      <c r="H701" s="3">
        <v>45945</v>
      </c>
      <c r="I701" s="1" t="s">
        <v>933</v>
      </c>
      <c r="J701" s="1" t="s">
        <v>66</v>
      </c>
      <c r="K701" s="1" t="s">
        <v>340</v>
      </c>
      <c r="L701" s="1" t="s">
        <v>1922</v>
      </c>
      <c r="M701" s="3">
        <v>45918</v>
      </c>
      <c r="N701" s="1" t="s">
        <v>57</v>
      </c>
      <c r="O701" s="1" t="s">
        <v>936</v>
      </c>
      <c r="P701" s="1">
        <v>1</v>
      </c>
    </row>
    <row r="702" spans="1:16" x14ac:dyDescent="0.25">
      <c r="A702" s="3">
        <v>45922</v>
      </c>
      <c r="B702" s="4">
        <v>2338</v>
      </c>
      <c r="C702" s="5">
        <v>1507</v>
      </c>
      <c r="D702" s="1" t="s">
        <v>1745</v>
      </c>
      <c r="E702" s="1" t="s">
        <v>1746</v>
      </c>
      <c r="F702" s="1" t="s">
        <v>83</v>
      </c>
      <c r="G702" s="1" t="s">
        <v>940</v>
      </c>
      <c r="H702" s="3">
        <v>45933</v>
      </c>
      <c r="I702" s="1" t="s">
        <v>933</v>
      </c>
      <c r="J702" s="1" t="s">
        <v>66</v>
      </c>
      <c r="K702" s="1" t="s">
        <v>1639</v>
      </c>
      <c r="L702" s="1" t="s">
        <v>1923</v>
      </c>
      <c r="M702" s="3">
        <v>45918</v>
      </c>
      <c r="N702" s="1" t="s">
        <v>57</v>
      </c>
      <c r="O702" s="1" t="s">
        <v>936</v>
      </c>
      <c r="P702" s="1">
        <v>1</v>
      </c>
    </row>
    <row r="703" spans="1:16" x14ac:dyDescent="0.25">
      <c r="A703" s="3">
        <v>45922</v>
      </c>
      <c r="B703" s="4">
        <v>2686</v>
      </c>
      <c r="C703" s="5">
        <v>14000</v>
      </c>
      <c r="D703" s="1" t="s">
        <v>1285</v>
      </c>
      <c r="E703" s="1" t="s">
        <v>1286</v>
      </c>
      <c r="F703" s="1" t="s">
        <v>37</v>
      </c>
      <c r="G703" s="1" t="s">
        <v>932</v>
      </c>
      <c r="H703" s="3">
        <v>45934</v>
      </c>
      <c r="I703" s="1" t="s">
        <v>933</v>
      </c>
      <c r="J703" s="1" t="s">
        <v>66</v>
      </c>
      <c r="K703" s="1" t="s">
        <v>20</v>
      </c>
      <c r="L703" s="1" t="s">
        <v>1924</v>
      </c>
      <c r="M703" s="3">
        <v>45918</v>
      </c>
      <c r="N703" s="1" t="s">
        <v>25</v>
      </c>
      <c r="O703" s="1" t="s">
        <v>932</v>
      </c>
      <c r="P703" s="1">
        <v>1</v>
      </c>
    </row>
    <row r="704" spans="1:16" x14ac:dyDescent="0.25">
      <c r="A704" s="3">
        <v>45922</v>
      </c>
      <c r="B704" s="4">
        <v>1157358</v>
      </c>
      <c r="C704" s="5">
        <v>450</v>
      </c>
      <c r="D704" s="1" t="s">
        <v>1925</v>
      </c>
      <c r="E704" s="1" t="s">
        <v>1926</v>
      </c>
      <c r="F704" s="1" t="s">
        <v>955</v>
      </c>
      <c r="G704" s="1" t="s">
        <v>940</v>
      </c>
      <c r="H704" s="1" t="s">
        <v>1927</v>
      </c>
      <c r="I704" s="1" t="s">
        <v>933</v>
      </c>
      <c r="J704" s="1" t="s">
        <v>951</v>
      </c>
      <c r="K704" s="1" t="s">
        <v>52</v>
      </c>
      <c r="L704" s="1" t="s">
        <v>1928</v>
      </c>
      <c r="M704" s="3">
        <v>45927</v>
      </c>
      <c r="N704" s="1" t="s">
        <v>821</v>
      </c>
      <c r="O704" s="1" t="s">
        <v>936</v>
      </c>
      <c r="P704" s="1">
        <v>1</v>
      </c>
    </row>
    <row r="705" spans="1:16" x14ac:dyDescent="0.25">
      <c r="A705" s="3">
        <v>45922</v>
      </c>
      <c r="B705" s="4">
        <v>81406</v>
      </c>
      <c r="C705" s="5">
        <v>622.70000000000005</v>
      </c>
      <c r="D705" s="1" t="s">
        <v>1174</v>
      </c>
      <c r="E705" s="1" t="s">
        <v>1314</v>
      </c>
      <c r="F705" s="1" t="s">
        <v>827</v>
      </c>
      <c r="G705" s="1" t="s">
        <v>940</v>
      </c>
      <c r="H705" s="3">
        <v>45936</v>
      </c>
      <c r="I705" s="1" t="s">
        <v>933</v>
      </c>
      <c r="J705" s="1" t="s">
        <v>66</v>
      </c>
      <c r="K705" s="1" t="s">
        <v>340</v>
      </c>
      <c r="L705" s="1" t="s">
        <v>1929</v>
      </c>
      <c r="M705" s="3">
        <v>45927</v>
      </c>
      <c r="N705" s="1" t="s">
        <v>772</v>
      </c>
      <c r="O705" s="1" t="s">
        <v>936</v>
      </c>
      <c r="P705" s="1">
        <v>1</v>
      </c>
    </row>
    <row r="706" spans="1:16" x14ac:dyDescent="0.25">
      <c r="A706" s="3">
        <v>45922</v>
      </c>
      <c r="B706" s="4">
        <v>8281042</v>
      </c>
      <c r="C706" s="5">
        <v>5151.0200000000004</v>
      </c>
      <c r="D706" s="1" t="s">
        <v>1872</v>
      </c>
      <c r="E706" s="1" t="s">
        <v>1873</v>
      </c>
      <c r="F706" s="1" t="s">
        <v>955</v>
      </c>
      <c r="G706" s="1" t="s">
        <v>940</v>
      </c>
      <c r="H706" s="3">
        <v>45943</v>
      </c>
      <c r="I706" s="1" t="s">
        <v>933</v>
      </c>
      <c r="J706" s="1" t="s">
        <v>951</v>
      </c>
      <c r="K706" s="1" t="s">
        <v>20</v>
      </c>
      <c r="L706" s="1" t="s">
        <v>1930</v>
      </c>
      <c r="M706" s="3">
        <v>45927</v>
      </c>
      <c r="N706" s="1" t="s">
        <v>821</v>
      </c>
      <c r="O706" s="1" t="s">
        <v>936</v>
      </c>
      <c r="P706" s="1" t="s">
        <v>937</v>
      </c>
    </row>
    <row r="707" spans="1:16" x14ac:dyDescent="0.25">
      <c r="A707" s="3">
        <v>45922</v>
      </c>
      <c r="B707" s="1">
        <v>283</v>
      </c>
      <c r="C707" s="5">
        <v>320</v>
      </c>
      <c r="D707" s="1" t="s">
        <v>1931</v>
      </c>
      <c r="E707" s="1" t="s">
        <v>1932</v>
      </c>
      <c r="F707" s="1" t="s">
        <v>955</v>
      </c>
      <c r="G707" s="1" t="s">
        <v>940</v>
      </c>
      <c r="H707" s="3">
        <v>45923</v>
      </c>
      <c r="I707" s="1" t="s">
        <v>933</v>
      </c>
      <c r="J707" s="1" t="s">
        <v>951</v>
      </c>
      <c r="K707" s="1" t="s">
        <v>66</v>
      </c>
      <c r="L707" s="1" t="s">
        <v>1933</v>
      </c>
      <c r="M707" s="3">
        <v>45927</v>
      </c>
      <c r="N707" s="1" t="s">
        <v>821</v>
      </c>
      <c r="O707" s="1" t="s">
        <v>936</v>
      </c>
      <c r="P707" s="1">
        <v>1</v>
      </c>
    </row>
    <row r="708" spans="1:16" x14ac:dyDescent="0.25">
      <c r="A708" s="3">
        <v>45922</v>
      </c>
      <c r="B708" s="1">
        <v>21</v>
      </c>
      <c r="C708" s="5">
        <v>82995</v>
      </c>
      <c r="D708" s="1" t="s">
        <v>1354</v>
      </c>
      <c r="E708" s="1" t="s">
        <v>1934</v>
      </c>
      <c r="F708" s="1" t="s">
        <v>1567</v>
      </c>
      <c r="G708" s="1" t="s">
        <v>940</v>
      </c>
      <c r="H708" s="3">
        <v>45936</v>
      </c>
      <c r="I708" s="1" t="s">
        <v>933</v>
      </c>
      <c r="J708" s="1"/>
      <c r="K708" s="1" t="s">
        <v>20</v>
      </c>
      <c r="L708" s="1" t="s">
        <v>1935</v>
      </c>
      <c r="M708" s="3">
        <v>45927</v>
      </c>
      <c r="N708" s="1"/>
      <c r="O708" s="1"/>
      <c r="P708" s="1"/>
    </row>
    <row r="709" spans="1:16" x14ac:dyDescent="0.25">
      <c r="A709" s="3">
        <v>45922</v>
      </c>
      <c r="B709" s="4">
        <v>3991</v>
      </c>
      <c r="C709" s="5">
        <v>400</v>
      </c>
      <c r="D709" s="1" t="s">
        <v>1936</v>
      </c>
      <c r="E709" s="1" t="s">
        <v>1937</v>
      </c>
      <c r="F709" s="1" t="s">
        <v>153</v>
      </c>
      <c r="G709" s="1" t="s">
        <v>1058</v>
      </c>
      <c r="H709" s="1" t="s">
        <v>1832</v>
      </c>
      <c r="I709" s="1" t="s">
        <v>933</v>
      </c>
      <c r="J709" s="1" t="s">
        <v>66</v>
      </c>
      <c r="K709" s="1" t="s">
        <v>52</v>
      </c>
      <c r="L709" s="1" t="s">
        <v>1938</v>
      </c>
      <c r="M709" s="3">
        <v>45927</v>
      </c>
      <c r="N709" s="1" t="s">
        <v>82</v>
      </c>
      <c r="O709" s="1" t="s">
        <v>1497</v>
      </c>
      <c r="P709" s="1">
        <v>1</v>
      </c>
    </row>
    <row r="710" spans="1:16" x14ac:dyDescent="0.25">
      <c r="A710" s="3">
        <v>45922</v>
      </c>
      <c r="B710" s="4">
        <v>8665</v>
      </c>
      <c r="C710" s="5">
        <v>5751.95</v>
      </c>
      <c r="D710" s="1" t="s">
        <v>973</v>
      </c>
      <c r="E710" s="1" t="s">
        <v>1068</v>
      </c>
      <c r="F710" s="1" t="s">
        <v>955</v>
      </c>
      <c r="G710" s="1" t="s">
        <v>998</v>
      </c>
      <c r="H710" s="3">
        <v>45937</v>
      </c>
      <c r="I710" s="1" t="s">
        <v>933</v>
      </c>
      <c r="J710" s="1" t="s">
        <v>951</v>
      </c>
      <c r="K710" s="1" t="s">
        <v>66</v>
      </c>
      <c r="L710" s="1" t="s">
        <v>1939</v>
      </c>
      <c r="M710" s="3">
        <v>45923</v>
      </c>
      <c r="N710" s="1" t="s">
        <v>821</v>
      </c>
      <c r="O710" s="1" t="s">
        <v>998</v>
      </c>
      <c r="P710" s="1">
        <v>1</v>
      </c>
    </row>
    <row r="711" spans="1:16" x14ac:dyDescent="0.25">
      <c r="A711" s="3">
        <v>45922</v>
      </c>
      <c r="B711" s="4">
        <v>8666</v>
      </c>
      <c r="C711" s="5">
        <v>28700</v>
      </c>
      <c r="D711" s="1" t="s">
        <v>973</v>
      </c>
      <c r="E711" s="1" t="s">
        <v>1068</v>
      </c>
      <c r="F711" s="1" t="s">
        <v>955</v>
      </c>
      <c r="G711" s="1" t="s">
        <v>998</v>
      </c>
      <c r="H711" s="3">
        <v>45937</v>
      </c>
      <c r="I711" s="1" t="s">
        <v>933</v>
      </c>
      <c r="J711" s="1" t="s">
        <v>951</v>
      </c>
      <c r="K711" s="1" t="s">
        <v>66</v>
      </c>
      <c r="L711" s="1" t="s">
        <v>1940</v>
      </c>
      <c r="M711" s="3">
        <v>45923</v>
      </c>
      <c r="N711" s="1" t="s">
        <v>821</v>
      </c>
      <c r="O711" s="1" t="s">
        <v>998</v>
      </c>
      <c r="P711" s="1">
        <v>1</v>
      </c>
    </row>
    <row r="712" spans="1:16" x14ac:dyDescent="0.25">
      <c r="A712" s="3">
        <v>45922</v>
      </c>
      <c r="B712" s="4">
        <v>45900</v>
      </c>
      <c r="C712" s="5">
        <v>902</v>
      </c>
      <c r="D712" s="1" t="s">
        <v>1489</v>
      </c>
      <c r="E712" s="1" t="s">
        <v>1490</v>
      </c>
      <c r="F712" s="1" t="s">
        <v>955</v>
      </c>
      <c r="G712" s="1" t="s">
        <v>940</v>
      </c>
      <c r="H712" s="3">
        <v>45952</v>
      </c>
      <c r="I712" s="1" t="s">
        <v>933</v>
      </c>
      <c r="J712" s="1" t="s">
        <v>951</v>
      </c>
      <c r="K712" s="1" t="s">
        <v>996</v>
      </c>
      <c r="L712" s="1" t="s">
        <v>1941</v>
      </c>
      <c r="M712" s="3">
        <v>45923</v>
      </c>
      <c r="N712" s="1" t="s">
        <v>821</v>
      </c>
      <c r="O712" s="1" t="s">
        <v>936</v>
      </c>
      <c r="P712" s="1">
        <v>1</v>
      </c>
    </row>
    <row r="713" spans="1:16" x14ac:dyDescent="0.25">
      <c r="A713" s="3">
        <v>45922</v>
      </c>
      <c r="B713" s="1">
        <v>179</v>
      </c>
      <c r="C713" s="5">
        <v>220</v>
      </c>
      <c r="D713" s="1" t="s">
        <v>1908</v>
      </c>
      <c r="E713" s="1" t="s">
        <v>1909</v>
      </c>
      <c r="F713" s="1" t="s">
        <v>753</v>
      </c>
      <c r="G713" s="1" t="s">
        <v>990</v>
      </c>
      <c r="H713" s="3">
        <v>45942</v>
      </c>
      <c r="I713" s="1" t="s">
        <v>933</v>
      </c>
      <c r="J713" s="1" t="s">
        <v>66</v>
      </c>
      <c r="K713" s="1" t="s">
        <v>308</v>
      </c>
      <c r="L713" s="1" t="s">
        <v>1942</v>
      </c>
      <c r="M713" s="3">
        <v>45929</v>
      </c>
      <c r="N713" s="1" t="s">
        <v>57</v>
      </c>
      <c r="O713" s="1" t="s">
        <v>990</v>
      </c>
      <c r="P713" s="1">
        <v>1</v>
      </c>
    </row>
    <row r="714" spans="1:16" x14ac:dyDescent="0.25">
      <c r="A714" s="3">
        <v>45922</v>
      </c>
      <c r="B714" s="1">
        <v>178</v>
      </c>
      <c r="C714" s="5">
        <v>420</v>
      </c>
      <c r="D714" s="1" t="s">
        <v>1908</v>
      </c>
      <c r="E714" s="1" t="s">
        <v>1909</v>
      </c>
      <c r="F714" s="1" t="s">
        <v>955</v>
      </c>
      <c r="G714" s="1" t="s">
        <v>990</v>
      </c>
      <c r="H714" s="3">
        <v>45942</v>
      </c>
      <c r="I714" s="1" t="s">
        <v>933</v>
      </c>
      <c r="J714" s="1" t="s">
        <v>951</v>
      </c>
      <c r="K714" s="1" t="s">
        <v>308</v>
      </c>
      <c r="L714" s="1" t="s">
        <v>1943</v>
      </c>
      <c r="M714" s="3">
        <v>45929</v>
      </c>
      <c r="N714" s="1" t="s">
        <v>821</v>
      </c>
      <c r="O714" s="1" t="s">
        <v>990</v>
      </c>
      <c r="P714" s="1">
        <v>1</v>
      </c>
    </row>
    <row r="715" spans="1:16" x14ac:dyDescent="0.25">
      <c r="A715" s="3">
        <v>45922</v>
      </c>
      <c r="B715" s="1">
        <v>177</v>
      </c>
      <c r="C715" s="5">
        <v>2180</v>
      </c>
      <c r="D715" s="1" t="s">
        <v>1908</v>
      </c>
      <c r="E715" s="1" t="s">
        <v>1909</v>
      </c>
      <c r="F715" s="1" t="s">
        <v>955</v>
      </c>
      <c r="G715" s="1" t="s">
        <v>990</v>
      </c>
      <c r="H715" s="3">
        <v>45942</v>
      </c>
      <c r="I715" s="1" t="s">
        <v>933</v>
      </c>
      <c r="J715" s="1" t="s">
        <v>951</v>
      </c>
      <c r="K715" s="1" t="s">
        <v>308</v>
      </c>
      <c r="L715" s="1" t="s">
        <v>1944</v>
      </c>
      <c r="M715" s="3">
        <v>45929</v>
      </c>
      <c r="N715" s="1" t="s">
        <v>821</v>
      </c>
      <c r="O715" s="1" t="s">
        <v>990</v>
      </c>
      <c r="P715" s="1">
        <v>1</v>
      </c>
    </row>
    <row r="716" spans="1:16" x14ac:dyDescent="0.25">
      <c r="A716" s="3">
        <v>45922</v>
      </c>
      <c r="B716" s="1">
        <v>176</v>
      </c>
      <c r="C716" s="5">
        <v>490</v>
      </c>
      <c r="D716" s="1" t="s">
        <v>1908</v>
      </c>
      <c r="E716" s="1" t="s">
        <v>1909</v>
      </c>
      <c r="F716" s="1" t="s">
        <v>955</v>
      </c>
      <c r="G716" s="1" t="s">
        <v>990</v>
      </c>
      <c r="H716" s="3">
        <v>45942</v>
      </c>
      <c r="I716" s="1" t="s">
        <v>933</v>
      </c>
      <c r="J716" s="1" t="s">
        <v>951</v>
      </c>
      <c r="K716" s="1" t="s">
        <v>308</v>
      </c>
      <c r="L716" s="1" t="s">
        <v>1945</v>
      </c>
      <c r="M716" s="3">
        <v>45929</v>
      </c>
      <c r="N716" s="1" t="s">
        <v>821</v>
      </c>
      <c r="O716" s="1" t="s">
        <v>990</v>
      </c>
      <c r="P716" s="1">
        <v>1</v>
      </c>
    </row>
    <row r="717" spans="1:16" x14ac:dyDescent="0.25">
      <c r="A717" s="3">
        <v>45922</v>
      </c>
      <c r="B717" s="1">
        <v>175</v>
      </c>
      <c r="C717" s="5">
        <v>180</v>
      </c>
      <c r="D717" s="1" t="s">
        <v>1908</v>
      </c>
      <c r="E717" s="1" t="s">
        <v>1909</v>
      </c>
      <c r="F717" s="1" t="s">
        <v>259</v>
      </c>
      <c r="G717" s="1" t="s">
        <v>990</v>
      </c>
      <c r="H717" s="3">
        <v>45942</v>
      </c>
      <c r="I717" s="1" t="s">
        <v>933</v>
      </c>
      <c r="J717" s="1" t="s">
        <v>66</v>
      </c>
      <c r="K717" s="1" t="s">
        <v>308</v>
      </c>
      <c r="L717" s="1" t="s">
        <v>1946</v>
      </c>
      <c r="M717" s="3">
        <v>45929</v>
      </c>
      <c r="N717" s="1" t="s">
        <v>264</v>
      </c>
      <c r="O717" s="1" t="s">
        <v>990</v>
      </c>
      <c r="P717" s="1">
        <v>1</v>
      </c>
    </row>
    <row r="718" spans="1:16" x14ac:dyDescent="0.25">
      <c r="A718" s="3">
        <v>45922</v>
      </c>
      <c r="B718" s="1">
        <v>174</v>
      </c>
      <c r="C718" s="5">
        <v>270</v>
      </c>
      <c r="D718" s="1" t="s">
        <v>1908</v>
      </c>
      <c r="E718" s="1" t="s">
        <v>1909</v>
      </c>
      <c r="F718" s="1" t="s">
        <v>736</v>
      </c>
      <c r="G718" s="1" t="s">
        <v>990</v>
      </c>
      <c r="H718" s="3">
        <v>45942</v>
      </c>
      <c r="I718" s="1" t="s">
        <v>933</v>
      </c>
      <c r="J718" s="1" t="s">
        <v>66</v>
      </c>
      <c r="K718" s="1" t="s">
        <v>308</v>
      </c>
      <c r="L718" s="1" t="s">
        <v>1947</v>
      </c>
      <c r="M718" s="3">
        <v>45929</v>
      </c>
      <c r="N718" s="1" t="s">
        <v>57</v>
      </c>
      <c r="O718" s="1" t="s">
        <v>990</v>
      </c>
      <c r="P718" s="1">
        <v>1</v>
      </c>
    </row>
    <row r="719" spans="1:16" x14ac:dyDescent="0.25">
      <c r="A719" s="3">
        <v>45922</v>
      </c>
      <c r="B719" s="1">
        <v>173</v>
      </c>
      <c r="C719" s="5">
        <v>140</v>
      </c>
      <c r="D719" s="1" t="s">
        <v>1908</v>
      </c>
      <c r="E719" s="1" t="s">
        <v>1909</v>
      </c>
      <c r="F719" s="1" t="s">
        <v>955</v>
      </c>
      <c r="G719" s="1" t="s">
        <v>990</v>
      </c>
      <c r="H719" s="3">
        <v>45942</v>
      </c>
      <c r="I719" s="1" t="s">
        <v>933</v>
      </c>
      <c r="J719" s="1" t="s">
        <v>951</v>
      </c>
      <c r="K719" s="1" t="s">
        <v>308</v>
      </c>
      <c r="L719" s="1" t="s">
        <v>1948</v>
      </c>
      <c r="M719" s="3">
        <v>45929</v>
      </c>
      <c r="N719" s="1" t="s">
        <v>821</v>
      </c>
      <c r="O719" s="1" t="s">
        <v>990</v>
      </c>
      <c r="P719" s="1">
        <v>1</v>
      </c>
    </row>
    <row r="720" spans="1:16" x14ac:dyDescent="0.25">
      <c r="A720" s="3">
        <v>45922</v>
      </c>
      <c r="B720" s="1">
        <v>172</v>
      </c>
      <c r="C720" s="5">
        <v>260</v>
      </c>
      <c r="D720" s="1" t="s">
        <v>1908</v>
      </c>
      <c r="E720" s="1" t="s">
        <v>1909</v>
      </c>
      <c r="F720" s="1" t="s">
        <v>833</v>
      </c>
      <c r="G720" s="1" t="s">
        <v>990</v>
      </c>
      <c r="H720" s="3">
        <v>45942</v>
      </c>
      <c r="I720" s="1" t="s">
        <v>933</v>
      </c>
      <c r="J720" s="1" t="s">
        <v>66</v>
      </c>
      <c r="K720" s="1" t="s">
        <v>308</v>
      </c>
      <c r="L720" s="1" t="s">
        <v>1949</v>
      </c>
      <c r="M720" s="3">
        <v>45929</v>
      </c>
      <c r="N720" s="1" t="s">
        <v>836</v>
      </c>
      <c r="O720" s="1" t="s">
        <v>990</v>
      </c>
      <c r="P720" s="1">
        <v>1</v>
      </c>
    </row>
    <row r="721" spans="1:16" x14ac:dyDescent="0.25">
      <c r="A721" s="3">
        <v>45922</v>
      </c>
      <c r="B721" s="1">
        <v>30</v>
      </c>
      <c r="C721" s="5">
        <v>1440</v>
      </c>
      <c r="D721" s="1" t="s">
        <v>1950</v>
      </c>
      <c r="E721" s="1" t="s">
        <v>1951</v>
      </c>
      <c r="F721" s="1" t="s">
        <v>955</v>
      </c>
      <c r="G721" s="1" t="s">
        <v>1058</v>
      </c>
      <c r="H721" s="3">
        <v>45940</v>
      </c>
      <c r="I721" s="1" t="s">
        <v>933</v>
      </c>
      <c r="J721" s="1" t="s">
        <v>951</v>
      </c>
      <c r="K721" s="1" t="s">
        <v>934</v>
      </c>
      <c r="L721" s="1" t="s">
        <v>1952</v>
      </c>
      <c r="M721" s="3">
        <v>45930</v>
      </c>
      <c r="N721" s="1" t="s">
        <v>821</v>
      </c>
      <c r="O721" s="1" t="s">
        <v>936</v>
      </c>
      <c r="P721" s="1" t="s">
        <v>937</v>
      </c>
    </row>
    <row r="722" spans="1:16" x14ac:dyDescent="0.25">
      <c r="A722" s="3">
        <v>45922</v>
      </c>
      <c r="B722" s="1">
        <v>168</v>
      </c>
      <c r="C722" s="5">
        <v>475</v>
      </c>
      <c r="D722" s="1" t="s">
        <v>1953</v>
      </c>
      <c r="E722" s="1" t="s">
        <v>1954</v>
      </c>
      <c r="F722" s="1" t="s">
        <v>564</v>
      </c>
      <c r="G722" s="1" t="s">
        <v>950</v>
      </c>
      <c r="H722" s="3">
        <v>45940</v>
      </c>
      <c r="I722" s="1" t="s">
        <v>933</v>
      </c>
      <c r="J722" s="1" t="s">
        <v>66</v>
      </c>
      <c r="K722" s="1" t="s">
        <v>66</v>
      </c>
      <c r="L722" s="1" t="s">
        <v>1955</v>
      </c>
      <c r="M722" s="3">
        <v>45931</v>
      </c>
      <c r="N722" s="1" t="s">
        <v>440</v>
      </c>
      <c r="O722" s="1" t="s">
        <v>936</v>
      </c>
      <c r="P722" s="1">
        <v>1</v>
      </c>
    </row>
    <row r="723" spans="1:16" x14ac:dyDescent="0.25">
      <c r="A723" s="3">
        <v>45922</v>
      </c>
      <c r="B723" s="1">
        <v>171</v>
      </c>
      <c r="C723" s="5">
        <v>330</v>
      </c>
      <c r="D723" s="1" t="s">
        <v>1953</v>
      </c>
      <c r="E723" s="1" t="s">
        <v>1954</v>
      </c>
      <c r="F723" s="1" t="s">
        <v>775</v>
      </c>
      <c r="G723" s="1" t="s">
        <v>940</v>
      </c>
      <c r="H723" s="3">
        <v>45940</v>
      </c>
      <c r="I723" s="1" t="s">
        <v>933</v>
      </c>
      <c r="J723" s="1" t="s">
        <v>66</v>
      </c>
      <c r="K723" s="1" t="s">
        <v>66</v>
      </c>
      <c r="L723" s="1" t="s">
        <v>1956</v>
      </c>
      <c r="M723" s="3">
        <v>45931</v>
      </c>
      <c r="N723" s="1" t="s">
        <v>580</v>
      </c>
      <c r="O723" s="1" t="s">
        <v>936</v>
      </c>
      <c r="P723" s="1">
        <v>1</v>
      </c>
    </row>
    <row r="724" spans="1:16" x14ac:dyDescent="0.25">
      <c r="A724" s="3">
        <v>45922</v>
      </c>
      <c r="B724" s="1">
        <v>170</v>
      </c>
      <c r="C724" s="5">
        <v>790</v>
      </c>
      <c r="D724" s="1" t="s">
        <v>1908</v>
      </c>
      <c r="E724" s="1" t="s">
        <v>1909</v>
      </c>
      <c r="F724" s="1" t="s">
        <v>426</v>
      </c>
      <c r="G724" s="1" t="s">
        <v>940</v>
      </c>
      <c r="H724" s="3">
        <v>45948</v>
      </c>
      <c r="I724" s="1" t="s">
        <v>933</v>
      </c>
      <c r="J724" s="1" t="s">
        <v>66</v>
      </c>
      <c r="K724" s="1" t="s">
        <v>308</v>
      </c>
      <c r="L724" s="1" t="s">
        <v>1957</v>
      </c>
      <c r="M724" s="3">
        <v>45930</v>
      </c>
      <c r="N724" s="1" t="s">
        <v>429</v>
      </c>
      <c r="O724" s="1" t="s">
        <v>990</v>
      </c>
      <c r="P724" s="1">
        <v>1</v>
      </c>
    </row>
    <row r="725" spans="1:16" x14ac:dyDescent="0.25">
      <c r="A725" s="3">
        <v>45922</v>
      </c>
      <c r="B725" s="1">
        <v>167</v>
      </c>
      <c r="C725" s="5">
        <v>650</v>
      </c>
      <c r="D725" s="1" t="s">
        <v>1908</v>
      </c>
      <c r="E725" s="1" t="s">
        <v>1909</v>
      </c>
      <c r="F725" s="1" t="s">
        <v>748</v>
      </c>
      <c r="G725" s="1" t="s">
        <v>940</v>
      </c>
      <c r="H725" s="3">
        <v>45948</v>
      </c>
      <c r="I725" s="1" t="s">
        <v>933</v>
      </c>
      <c r="J725" s="1" t="s">
        <v>66</v>
      </c>
      <c r="K725" s="1" t="s">
        <v>308</v>
      </c>
      <c r="L725" s="1" t="s">
        <v>1958</v>
      </c>
      <c r="M725" s="3">
        <v>45930</v>
      </c>
      <c r="N725" s="1" t="s">
        <v>75</v>
      </c>
      <c r="O725" s="1" t="s">
        <v>990</v>
      </c>
      <c r="P725" s="1">
        <v>1</v>
      </c>
    </row>
    <row r="726" spans="1:16" x14ac:dyDescent="0.25">
      <c r="A726" s="3">
        <v>45922</v>
      </c>
      <c r="B726" s="4">
        <v>71052</v>
      </c>
      <c r="C726" s="5">
        <v>580.5</v>
      </c>
      <c r="D726" s="1" t="s">
        <v>1959</v>
      </c>
      <c r="E726" s="1" t="s">
        <v>1960</v>
      </c>
      <c r="F726" s="1" t="s">
        <v>871</v>
      </c>
      <c r="G726" s="1" t="s">
        <v>940</v>
      </c>
      <c r="H726" s="3">
        <v>45957</v>
      </c>
      <c r="I726" s="1" t="s">
        <v>933</v>
      </c>
      <c r="J726" s="1" t="s">
        <v>66</v>
      </c>
      <c r="K726" s="1" t="s">
        <v>659</v>
      </c>
      <c r="L726" s="1" t="s">
        <v>1961</v>
      </c>
      <c r="M726" s="3">
        <v>45930</v>
      </c>
      <c r="N726" s="1" t="s">
        <v>767</v>
      </c>
      <c r="O726" s="1" t="s">
        <v>936</v>
      </c>
      <c r="P726" s="1">
        <v>1</v>
      </c>
    </row>
    <row r="727" spans="1:16" x14ac:dyDescent="0.25">
      <c r="A727" s="3">
        <v>45922</v>
      </c>
      <c r="B727" s="1">
        <v>169</v>
      </c>
      <c r="C727" s="5">
        <v>790</v>
      </c>
      <c r="D727" s="1" t="s">
        <v>1908</v>
      </c>
      <c r="E727" s="1" t="s">
        <v>1909</v>
      </c>
      <c r="F727" s="1" t="s">
        <v>955</v>
      </c>
      <c r="G727" s="1" t="s">
        <v>940</v>
      </c>
      <c r="H727" s="3">
        <v>45948</v>
      </c>
      <c r="I727" s="1" t="s">
        <v>933</v>
      </c>
      <c r="J727" s="1" t="s">
        <v>951</v>
      </c>
      <c r="K727" s="1" t="s">
        <v>308</v>
      </c>
      <c r="L727" s="1" t="s">
        <v>1962</v>
      </c>
      <c r="M727" s="3">
        <v>45930</v>
      </c>
      <c r="N727" s="1" t="s">
        <v>821</v>
      </c>
      <c r="O727" s="1" t="s">
        <v>990</v>
      </c>
      <c r="P727" s="1">
        <v>1</v>
      </c>
    </row>
    <row r="728" spans="1:16" x14ac:dyDescent="0.25">
      <c r="A728" s="3">
        <v>45922</v>
      </c>
      <c r="B728" s="4">
        <v>288038</v>
      </c>
      <c r="C728" s="5">
        <v>5674.12</v>
      </c>
      <c r="D728" s="1" t="s">
        <v>1959</v>
      </c>
      <c r="E728" s="1" t="s">
        <v>1960</v>
      </c>
      <c r="F728" s="1" t="s">
        <v>955</v>
      </c>
      <c r="G728" s="1" t="s">
        <v>1254</v>
      </c>
      <c r="H728" s="3">
        <v>45957</v>
      </c>
      <c r="I728" s="1" t="s">
        <v>933</v>
      </c>
      <c r="J728" s="1" t="s">
        <v>951</v>
      </c>
      <c r="K728" s="1" t="s">
        <v>340</v>
      </c>
      <c r="L728" s="1" t="s">
        <v>1963</v>
      </c>
      <c r="M728" s="3">
        <v>45930</v>
      </c>
      <c r="N728" s="1" t="s">
        <v>821</v>
      </c>
      <c r="O728" s="1" t="s">
        <v>936</v>
      </c>
      <c r="P728" s="1">
        <v>1</v>
      </c>
    </row>
    <row r="729" spans="1:16" x14ac:dyDescent="0.25">
      <c r="A729" s="3">
        <v>45922</v>
      </c>
      <c r="B729" s="4">
        <v>18725</v>
      </c>
      <c r="C729" s="5">
        <v>7047.5</v>
      </c>
      <c r="D729" s="1" t="s">
        <v>1964</v>
      </c>
      <c r="E729" s="1" t="s">
        <v>1965</v>
      </c>
      <c r="F729" s="1" t="s">
        <v>955</v>
      </c>
      <c r="G729" s="1" t="s">
        <v>1254</v>
      </c>
      <c r="H729" s="3">
        <v>45951</v>
      </c>
      <c r="I729" s="1" t="s">
        <v>933</v>
      </c>
      <c r="J729" s="1" t="s">
        <v>951</v>
      </c>
      <c r="K729" s="1" t="s">
        <v>308</v>
      </c>
      <c r="L729" s="1" t="s">
        <v>1966</v>
      </c>
      <c r="M729" s="3">
        <v>45930</v>
      </c>
      <c r="N729" s="1" t="s">
        <v>821</v>
      </c>
      <c r="O729" s="1" t="s">
        <v>932</v>
      </c>
      <c r="P729" s="1">
        <v>1</v>
      </c>
    </row>
    <row r="730" spans="1:16" x14ac:dyDescent="0.25">
      <c r="A730" s="3">
        <v>45922</v>
      </c>
      <c r="B730" s="4">
        <v>8711</v>
      </c>
      <c r="C730" s="5">
        <v>2288.7399999999998</v>
      </c>
      <c r="D730" s="1" t="s">
        <v>973</v>
      </c>
      <c r="E730" s="1" t="s">
        <v>1068</v>
      </c>
      <c r="F730" s="1" t="s">
        <v>955</v>
      </c>
      <c r="G730" s="1" t="s">
        <v>998</v>
      </c>
      <c r="H730" s="3">
        <v>45941</v>
      </c>
      <c r="I730" s="1" t="s">
        <v>933</v>
      </c>
      <c r="J730" s="1" t="s">
        <v>951</v>
      </c>
      <c r="K730" s="1" t="s">
        <v>996</v>
      </c>
      <c r="L730" s="1" t="s">
        <v>1967</v>
      </c>
      <c r="M730" s="3">
        <v>45930</v>
      </c>
      <c r="N730" s="1" t="s">
        <v>821</v>
      </c>
      <c r="O730" s="1" t="s">
        <v>998</v>
      </c>
      <c r="P730" s="1">
        <v>1</v>
      </c>
    </row>
    <row r="731" spans="1:16" x14ac:dyDescent="0.25">
      <c r="A731" s="3">
        <v>45922</v>
      </c>
      <c r="B731" s="4">
        <v>8726</v>
      </c>
      <c r="C731" s="5">
        <v>16920</v>
      </c>
      <c r="D731" s="1" t="s">
        <v>973</v>
      </c>
      <c r="E731" s="1" t="s">
        <v>1068</v>
      </c>
      <c r="F731" s="1" t="s">
        <v>955</v>
      </c>
      <c r="G731" s="1" t="s">
        <v>998</v>
      </c>
      <c r="H731" s="3">
        <v>45941</v>
      </c>
      <c r="I731" s="1" t="s">
        <v>933</v>
      </c>
      <c r="J731" s="1" t="s">
        <v>951</v>
      </c>
      <c r="K731" s="1" t="s">
        <v>996</v>
      </c>
      <c r="L731" s="1">
        <v>3000</v>
      </c>
      <c r="M731" s="3">
        <v>45930</v>
      </c>
      <c r="N731" s="1" t="s">
        <v>821</v>
      </c>
      <c r="O731" s="1" t="s">
        <v>998</v>
      </c>
      <c r="P731" s="1">
        <v>1</v>
      </c>
    </row>
    <row r="732" spans="1:16" x14ac:dyDescent="0.25">
      <c r="A732" s="3">
        <v>45922</v>
      </c>
      <c r="B732" s="1">
        <v>155</v>
      </c>
      <c r="C732" s="5">
        <v>30730.05</v>
      </c>
      <c r="D732" s="1" t="s">
        <v>1968</v>
      </c>
      <c r="E732" s="1" t="s">
        <v>1969</v>
      </c>
      <c r="F732" s="1" t="s">
        <v>955</v>
      </c>
      <c r="G732" s="1" t="s">
        <v>932</v>
      </c>
      <c r="H732" s="3">
        <v>45910</v>
      </c>
      <c r="I732" s="1" t="s">
        <v>933</v>
      </c>
      <c r="J732" s="1" t="s">
        <v>951</v>
      </c>
      <c r="K732" s="1" t="s">
        <v>340</v>
      </c>
      <c r="L732" s="1" t="s">
        <v>1970</v>
      </c>
      <c r="M732" s="3">
        <v>45930</v>
      </c>
      <c r="N732" s="1" t="s">
        <v>821</v>
      </c>
      <c r="O732" s="1" t="s">
        <v>937</v>
      </c>
      <c r="P732" s="1">
        <v>1</v>
      </c>
    </row>
    <row r="733" spans="1:16" x14ac:dyDescent="0.25">
      <c r="A733" s="3">
        <v>45923</v>
      </c>
      <c r="B733" s="1">
        <v>107</v>
      </c>
      <c r="C733" s="5">
        <v>1225</v>
      </c>
      <c r="D733" s="1" t="s">
        <v>1867</v>
      </c>
      <c r="E733" s="1" t="s">
        <v>1971</v>
      </c>
      <c r="F733" s="1" t="s">
        <v>955</v>
      </c>
      <c r="G733" s="1" t="s">
        <v>932</v>
      </c>
      <c r="H733" s="3">
        <v>45930</v>
      </c>
      <c r="I733" s="1" t="s">
        <v>933</v>
      </c>
      <c r="J733" s="1" t="s">
        <v>951</v>
      </c>
      <c r="K733" s="1" t="s">
        <v>20</v>
      </c>
      <c r="L733" s="1" t="s">
        <v>1972</v>
      </c>
      <c r="M733" s="3">
        <v>45923</v>
      </c>
      <c r="N733" s="1" t="s">
        <v>821</v>
      </c>
      <c r="O733" s="1" t="s">
        <v>936</v>
      </c>
      <c r="P733" s="1">
        <v>1</v>
      </c>
    </row>
    <row r="734" spans="1:16" x14ac:dyDescent="0.25">
      <c r="A734" s="3">
        <v>45923</v>
      </c>
      <c r="B734" s="1">
        <v>35</v>
      </c>
      <c r="C734" s="5">
        <v>8500</v>
      </c>
      <c r="D734" s="1" t="s">
        <v>1197</v>
      </c>
      <c r="E734" s="1" t="s">
        <v>1198</v>
      </c>
      <c r="F734" s="1" t="s">
        <v>955</v>
      </c>
      <c r="G734" s="1" t="s">
        <v>940</v>
      </c>
      <c r="H734" s="3">
        <v>45933</v>
      </c>
      <c r="I734" s="1" t="s">
        <v>933</v>
      </c>
      <c r="J734" s="1" t="s">
        <v>951</v>
      </c>
      <c r="K734" s="1" t="s">
        <v>66</v>
      </c>
      <c r="L734" s="1" t="s">
        <v>1973</v>
      </c>
      <c r="M734" s="3">
        <v>45923</v>
      </c>
      <c r="N734" s="1" t="s">
        <v>821</v>
      </c>
      <c r="O734" s="1" t="s">
        <v>936</v>
      </c>
      <c r="P734" s="1">
        <v>1</v>
      </c>
    </row>
    <row r="735" spans="1:16" x14ac:dyDescent="0.25">
      <c r="A735" s="3">
        <v>45923</v>
      </c>
      <c r="B735" s="4">
        <v>7625</v>
      </c>
      <c r="C735" s="5">
        <v>15000</v>
      </c>
      <c r="D735" s="1" t="s">
        <v>1974</v>
      </c>
      <c r="E735" s="1" t="s">
        <v>1975</v>
      </c>
      <c r="F735" s="1" t="s">
        <v>110</v>
      </c>
      <c r="G735" s="1" t="s">
        <v>932</v>
      </c>
      <c r="H735" s="3">
        <v>45933</v>
      </c>
      <c r="I735" s="1" t="s">
        <v>933</v>
      </c>
      <c r="J735" s="1" t="s">
        <v>66</v>
      </c>
      <c r="K735" s="1" t="s">
        <v>1654</v>
      </c>
      <c r="L735" s="1" t="s">
        <v>1976</v>
      </c>
      <c r="M735" s="3">
        <v>45923</v>
      </c>
      <c r="N735" s="1" t="s">
        <v>115</v>
      </c>
      <c r="O735" s="1" t="s">
        <v>937</v>
      </c>
      <c r="P735" s="1">
        <v>1</v>
      </c>
    </row>
    <row r="736" spans="1:16" x14ac:dyDescent="0.25">
      <c r="A736" s="3">
        <v>45923</v>
      </c>
      <c r="B736" s="4">
        <v>3259</v>
      </c>
      <c r="C736" s="5">
        <v>14391.35</v>
      </c>
      <c r="D736" s="1" t="s">
        <v>1134</v>
      </c>
      <c r="E736" s="1" t="s">
        <v>1282</v>
      </c>
      <c r="F736" s="1" t="s">
        <v>955</v>
      </c>
      <c r="G736" s="1" t="s">
        <v>1082</v>
      </c>
      <c r="H736" s="3">
        <v>45953</v>
      </c>
      <c r="I736" s="1" t="s">
        <v>933</v>
      </c>
      <c r="J736" s="1" t="s">
        <v>951</v>
      </c>
      <c r="K736" s="1" t="s">
        <v>20</v>
      </c>
      <c r="L736" s="1" t="s">
        <v>1977</v>
      </c>
      <c r="M736" s="3">
        <v>45923</v>
      </c>
      <c r="N736" s="1" t="s">
        <v>821</v>
      </c>
      <c r="O736" s="1" t="s">
        <v>936</v>
      </c>
      <c r="P736" s="1">
        <v>1</v>
      </c>
    </row>
    <row r="737" spans="1:16" x14ac:dyDescent="0.25">
      <c r="A737" s="3">
        <v>45923</v>
      </c>
      <c r="B737" s="1">
        <v>106</v>
      </c>
      <c r="C737" s="5">
        <v>1153</v>
      </c>
      <c r="D737" s="1" t="s">
        <v>1579</v>
      </c>
      <c r="E737" s="1" t="s">
        <v>1580</v>
      </c>
      <c r="F737" s="1" t="s">
        <v>955</v>
      </c>
      <c r="G737" s="1" t="s">
        <v>1260</v>
      </c>
      <c r="H737" s="3">
        <v>45938</v>
      </c>
      <c r="I737" s="1" t="s">
        <v>933</v>
      </c>
      <c r="J737" s="1" t="s">
        <v>951</v>
      </c>
      <c r="K737" s="1" t="s">
        <v>66</v>
      </c>
      <c r="L737" s="1" t="s">
        <v>1978</v>
      </c>
      <c r="M737" s="3">
        <v>45923</v>
      </c>
      <c r="N737" s="1" t="s">
        <v>821</v>
      </c>
      <c r="O737" s="1" t="s">
        <v>936</v>
      </c>
      <c r="P737" s="1">
        <v>1</v>
      </c>
    </row>
    <row r="738" spans="1:16" x14ac:dyDescent="0.25">
      <c r="A738" s="3">
        <v>45923</v>
      </c>
      <c r="B738" s="4">
        <v>1549</v>
      </c>
      <c r="C738" s="5">
        <v>176</v>
      </c>
      <c r="D738" s="1" t="s">
        <v>1080</v>
      </c>
      <c r="E738" s="1" t="s">
        <v>1081</v>
      </c>
      <c r="F738" s="1" t="s">
        <v>966</v>
      </c>
      <c r="G738" s="1" t="s">
        <v>1082</v>
      </c>
      <c r="H738" s="3">
        <v>45938</v>
      </c>
      <c r="I738" s="1" t="s">
        <v>933</v>
      </c>
      <c r="J738" s="1" t="s">
        <v>951</v>
      </c>
      <c r="K738" s="1" t="s">
        <v>66</v>
      </c>
      <c r="L738" s="1" t="s">
        <v>1979</v>
      </c>
      <c r="M738" s="3">
        <v>45923</v>
      </c>
      <c r="N738" s="1" t="s">
        <v>821</v>
      </c>
      <c r="O738" s="1" t="s">
        <v>936</v>
      </c>
      <c r="P738" s="1">
        <v>1</v>
      </c>
    </row>
    <row r="739" spans="1:16" x14ac:dyDescent="0.25">
      <c r="A739" s="3">
        <v>45923</v>
      </c>
      <c r="B739" s="4">
        <v>1549</v>
      </c>
      <c r="C739" s="5">
        <v>7780</v>
      </c>
      <c r="D739" s="1" t="s">
        <v>1080</v>
      </c>
      <c r="E739" s="1" t="s">
        <v>1081</v>
      </c>
      <c r="F739" s="1" t="s">
        <v>304</v>
      </c>
      <c r="G739" s="1" t="s">
        <v>1082</v>
      </c>
      <c r="H739" s="3">
        <v>45938</v>
      </c>
      <c r="I739" s="1" t="s">
        <v>933</v>
      </c>
      <c r="J739" s="1" t="s">
        <v>66</v>
      </c>
      <c r="K739" s="1" t="s">
        <v>340</v>
      </c>
      <c r="L739" s="1" t="s">
        <v>1980</v>
      </c>
      <c r="M739" s="3">
        <v>45923</v>
      </c>
      <c r="N739" s="1" t="s">
        <v>57</v>
      </c>
      <c r="O739" s="1" t="s">
        <v>936</v>
      </c>
      <c r="P739" s="1">
        <v>1</v>
      </c>
    </row>
    <row r="740" spans="1:16" x14ac:dyDescent="0.25">
      <c r="A740" s="3">
        <v>45923</v>
      </c>
      <c r="B740" s="4">
        <v>1549</v>
      </c>
      <c r="C740" s="5">
        <v>9520</v>
      </c>
      <c r="D740" s="1" t="s">
        <v>1080</v>
      </c>
      <c r="E740" s="1" t="s">
        <v>1081</v>
      </c>
      <c r="F740" s="1" t="s">
        <v>759</v>
      </c>
      <c r="G740" s="1" t="s">
        <v>1082</v>
      </c>
      <c r="H740" s="3">
        <v>45938</v>
      </c>
      <c r="I740" s="1" t="s">
        <v>933</v>
      </c>
      <c r="J740" s="1" t="s">
        <v>66</v>
      </c>
      <c r="K740" s="1" t="s">
        <v>340</v>
      </c>
      <c r="L740" s="1" t="s">
        <v>1981</v>
      </c>
      <c r="M740" s="3">
        <v>45923</v>
      </c>
      <c r="N740" s="1" t="s">
        <v>75</v>
      </c>
      <c r="O740" s="1" t="s">
        <v>936</v>
      </c>
      <c r="P740" s="1">
        <v>1</v>
      </c>
    </row>
    <row r="741" spans="1:16" x14ac:dyDescent="0.25">
      <c r="A741" s="3">
        <v>45923</v>
      </c>
      <c r="B741" s="4">
        <v>1549</v>
      </c>
      <c r="C741" s="5">
        <v>6900</v>
      </c>
      <c r="D741" s="1" t="s">
        <v>1080</v>
      </c>
      <c r="E741" s="1" t="s">
        <v>1081</v>
      </c>
      <c r="F741" s="1" t="s">
        <v>955</v>
      </c>
      <c r="G741" s="1" t="s">
        <v>1082</v>
      </c>
      <c r="H741" s="3">
        <v>45938</v>
      </c>
      <c r="I741" s="1" t="s">
        <v>933</v>
      </c>
      <c r="J741" s="1" t="s">
        <v>951</v>
      </c>
      <c r="K741" s="1" t="s">
        <v>66</v>
      </c>
      <c r="L741" s="1" t="s">
        <v>1982</v>
      </c>
      <c r="M741" s="3">
        <v>45923</v>
      </c>
      <c r="N741" s="1" t="s">
        <v>821</v>
      </c>
      <c r="O741" s="1" t="s">
        <v>936</v>
      </c>
      <c r="P741" s="1">
        <v>1</v>
      </c>
    </row>
    <row r="742" spans="1:16" x14ac:dyDescent="0.25">
      <c r="A742" s="3">
        <v>45923</v>
      </c>
      <c r="B742" s="4">
        <v>1549</v>
      </c>
      <c r="C742" s="5">
        <v>7120</v>
      </c>
      <c r="D742" s="1" t="s">
        <v>1080</v>
      </c>
      <c r="E742" s="1" t="s">
        <v>1081</v>
      </c>
      <c r="F742" s="1" t="s">
        <v>736</v>
      </c>
      <c r="G742" s="1" t="s">
        <v>1082</v>
      </c>
      <c r="H742" s="3">
        <v>45938</v>
      </c>
      <c r="I742" s="1" t="s">
        <v>933</v>
      </c>
      <c r="J742" s="1" t="s">
        <v>66</v>
      </c>
      <c r="K742" s="1" t="s">
        <v>340</v>
      </c>
      <c r="L742" s="1" t="s">
        <v>1983</v>
      </c>
      <c r="M742" s="3">
        <v>45923</v>
      </c>
      <c r="N742" s="1" t="s">
        <v>57</v>
      </c>
      <c r="O742" s="1" t="s">
        <v>936</v>
      </c>
      <c r="P742" s="1">
        <v>1</v>
      </c>
    </row>
    <row r="743" spans="1:16" x14ac:dyDescent="0.25">
      <c r="A743" s="3">
        <v>45923</v>
      </c>
      <c r="B743" s="4">
        <v>1549</v>
      </c>
      <c r="C743" s="5">
        <v>3450</v>
      </c>
      <c r="D743" s="1" t="s">
        <v>1080</v>
      </c>
      <c r="E743" s="1" t="s">
        <v>1081</v>
      </c>
      <c r="F743" s="1" t="s">
        <v>906</v>
      </c>
      <c r="G743" s="1" t="s">
        <v>1082</v>
      </c>
      <c r="H743" s="3">
        <v>45938</v>
      </c>
      <c r="I743" s="1" t="s">
        <v>933</v>
      </c>
      <c r="J743" s="1" t="s">
        <v>66</v>
      </c>
      <c r="K743" s="1" t="s">
        <v>340</v>
      </c>
      <c r="L743" s="1" t="s">
        <v>1984</v>
      </c>
      <c r="M743" s="3">
        <v>45923</v>
      </c>
      <c r="N743" s="1" t="s">
        <v>57</v>
      </c>
      <c r="O743" s="1" t="s">
        <v>936</v>
      </c>
      <c r="P743" s="1">
        <v>1</v>
      </c>
    </row>
    <row r="744" spans="1:16" x14ac:dyDescent="0.25">
      <c r="A744" s="3">
        <v>45923</v>
      </c>
      <c r="B744" s="4">
        <v>1549</v>
      </c>
      <c r="C744" s="5">
        <v>420</v>
      </c>
      <c r="D744" s="1" t="s">
        <v>1080</v>
      </c>
      <c r="E744" s="1" t="s">
        <v>1081</v>
      </c>
      <c r="F744" s="1" t="s">
        <v>966</v>
      </c>
      <c r="G744" s="1" t="s">
        <v>1082</v>
      </c>
      <c r="H744" s="3">
        <v>45938</v>
      </c>
      <c r="I744" s="1" t="s">
        <v>933</v>
      </c>
      <c r="J744" s="1" t="s">
        <v>951</v>
      </c>
      <c r="K744" s="1" t="s">
        <v>817</v>
      </c>
      <c r="L744" s="1" t="s">
        <v>1985</v>
      </c>
      <c r="M744" s="3">
        <v>45923</v>
      </c>
      <c r="N744" s="1" t="s">
        <v>821</v>
      </c>
      <c r="O744" s="1" t="s">
        <v>936</v>
      </c>
      <c r="P744" s="1">
        <v>1</v>
      </c>
    </row>
    <row r="745" spans="1:16" x14ac:dyDescent="0.25">
      <c r="A745" s="3">
        <v>45923</v>
      </c>
      <c r="B745" s="4">
        <v>1549</v>
      </c>
      <c r="C745" s="5">
        <v>870</v>
      </c>
      <c r="D745" s="1" t="s">
        <v>1080</v>
      </c>
      <c r="E745" s="1" t="s">
        <v>1081</v>
      </c>
      <c r="F745" s="1" t="s">
        <v>457</v>
      </c>
      <c r="G745" s="1" t="s">
        <v>1082</v>
      </c>
      <c r="H745" s="3">
        <v>45938</v>
      </c>
      <c r="I745" s="1" t="s">
        <v>933</v>
      </c>
      <c r="J745" s="1" t="s">
        <v>66</v>
      </c>
      <c r="K745" s="1" t="s">
        <v>340</v>
      </c>
      <c r="L745" s="1" t="s">
        <v>1986</v>
      </c>
      <c r="M745" s="3">
        <v>45923</v>
      </c>
      <c r="N745" s="1" t="s">
        <v>358</v>
      </c>
      <c r="O745" s="1" t="s">
        <v>936</v>
      </c>
      <c r="P745" s="1">
        <v>1</v>
      </c>
    </row>
    <row r="746" spans="1:16" x14ac:dyDescent="0.25">
      <c r="A746" s="3">
        <v>45923</v>
      </c>
      <c r="B746" s="4">
        <v>1549</v>
      </c>
      <c r="C746" s="5">
        <v>1740</v>
      </c>
      <c r="D746" s="1" t="s">
        <v>1080</v>
      </c>
      <c r="E746" s="1" t="s">
        <v>1081</v>
      </c>
      <c r="F746" s="1" t="s">
        <v>453</v>
      </c>
      <c r="G746" s="1" t="s">
        <v>1082</v>
      </c>
      <c r="H746" s="3">
        <v>45938</v>
      </c>
      <c r="I746" s="1" t="s">
        <v>933</v>
      </c>
      <c r="J746" s="1" t="s">
        <v>66</v>
      </c>
      <c r="K746" s="1" t="s">
        <v>340</v>
      </c>
      <c r="L746" s="1" t="s">
        <v>1987</v>
      </c>
      <c r="M746" s="3">
        <v>45923</v>
      </c>
      <c r="N746" s="1" t="s">
        <v>455</v>
      </c>
      <c r="O746" s="1" t="s">
        <v>936</v>
      </c>
      <c r="P746" s="1">
        <v>1</v>
      </c>
    </row>
    <row r="747" spans="1:16" x14ac:dyDescent="0.25">
      <c r="A747" s="3">
        <v>45923</v>
      </c>
      <c r="B747" s="4">
        <v>70990</v>
      </c>
      <c r="C747" s="5">
        <v>104.41</v>
      </c>
      <c r="D747" s="1" t="s">
        <v>1098</v>
      </c>
      <c r="E747" s="1" t="s">
        <v>1099</v>
      </c>
      <c r="F747" s="1" t="s">
        <v>837</v>
      </c>
      <c r="G747" s="1" t="s">
        <v>940</v>
      </c>
      <c r="H747" s="3">
        <v>45953</v>
      </c>
      <c r="I747" s="1" t="s">
        <v>50</v>
      </c>
      <c r="J747" s="1" t="s">
        <v>66</v>
      </c>
      <c r="K747" s="1" t="s">
        <v>340</v>
      </c>
      <c r="L747" s="1" t="s">
        <v>1988</v>
      </c>
      <c r="M747" s="3">
        <v>45923</v>
      </c>
      <c r="N747" s="1" t="s">
        <v>50</v>
      </c>
      <c r="O747" s="1" t="s">
        <v>936</v>
      </c>
      <c r="P747" s="1">
        <v>1</v>
      </c>
    </row>
    <row r="748" spans="1:16" x14ac:dyDescent="0.25">
      <c r="A748" s="3">
        <v>45923</v>
      </c>
      <c r="B748" s="4">
        <v>9860</v>
      </c>
      <c r="C748" s="5">
        <v>1095</v>
      </c>
      <c r="D748" s="1" t="s">
        <v>1573</v>
      </c>
      <c r="E748" s="1" t="s">
        <v>1574</v>
      </c>
      <c r="F748" s="1" t="s">
        <v>809</v>
      </c>
      <c r="G748" s="1" t="s">
        <v>940</v>
      </c>
      <c r="H748" s="3">
        <v>45952</v>
      </c>
      <c r="I748" s="1" t="s">
        <v>933</v>
      </c>
      <c r="J748" s="1" t="s">
        <v>66</v>
      </c>
      <c r="K748" s="1" t="s">
        <v>340</v>
      </c>
      <c r="L748" s="1" t="s">
        <v>1989</v>
      </c>
      <c r="M748" s="3">
        <v>45923</v>
      </c>
      <c r="N748" s="1" t="s">
        <v>212</v>
      </c>
      <c r="O748" s="1" t="s">
        <v>936</v>
      </c>
      <c r="P748" s="1">
        <v>1</v>
      </c>
    </row>
    <row r="749" spans="1:16" x14ac:dyDescent="0.25">
      <c r="A749" s="3">
        <v>45923</v>
      </c>
      <c r="B749" s="1">
        <v>66</v>
      </c>
      <c r="C749" s="5">
        <v>2250</v>
      </c>
      <c r="D749" s="1" t="s">
        <v>1060</v>
      </c>
      <c r="E749" s="1" t="s">
        <v>1061</v>
      </c>
      <c r="F749" s="1" t="s">
        <v>809</v>
      </c>
      <c r="G749" s="1" t="s">
        <v>940</v>
      </c>
      <c r="H749" s="3">
        <v>45938</v>
      </c>
      <c r="I749" s="1" t="s">
        <v>933</v>
      </c>
      <c r="J749" s="1" t="s">
        <v>66</v>
      </c>
      <c r="K749" s="1" t="s">
        <v>340</v>
      </c>
      <c r="L749" s="1" t="s">
        <v>1990</v>
      </c>
      <c r="M749" s="3">
        <v>45923</v>
      </c>
      <c r="N749" s="1" t="s">
        <v>212</v>
      </c>
      <c r="O749" s="1" t="s">
        <v>936</v>
      </c>
      <c r="P749" s="1">
        <v>1</v>
      </c>
    </row>
    <row r="750" spans="1:16" x14ac:dyDescent="0.25">
      <c r="A750" s="3">
        <v>45923</v>
      </c>
      <c r="B750" s="4">
        <v>1535460</v>
      </c>
      <c r="C750" s="5">
        <v>71305.98</v>
      </c>
      <c r="D750" s="1" t="s">
        <v>979</v>
      </c>
      <c r="E750" s="1" t="s">
        <v>980</v>
      </c>
      <c r="F750" s="1" t="s">
        <v>66</v>
      </c>
      <c r="G750" s="1" t="s">
        <v>1029</v>
      </c>
      <c r="H750" s="1" t="s">
        <v>821</v>
      </c>
      <c r="I750" s="1" t="s">
        <v>933</v>
      </c>
      <c r="J750" s="1" t="s">
        <v>66</v>
      </c>
      <c r="K750" s="1" t="s">
        <v>66</v>
      </c>
      <c r="L750" s="1" t="s">
        <v>1991</v>
      </c>
      <c r="M750" s="3">
        <v>45923</v>
      </c>
      <c r="N750" s="1" t="s">
        <v>821</v>
      </c>
      <c r="O750" s="1" t="s">
        <v>936</v>
      </c>
      <c r="P750" s="1">
        <v>1</v>
      </c>
    </row>
    <row r="751" spans="1:16" x14ac:dyDescent="0.25">
      <c r="A751" s="3">
        <v>45923</v>
      </c>
      <c r="B751" s="1">
        <v>67</v>
      </c>
      <c r="C751" s="5">
        <v>250</v>
      </c>
      <c r="D751" s="1" t="s">
        <v>1060</v>
      </c>
      <c r="E751" s="1" t="s">
        <v>1061</v>
      </c>
      <c r="F751" s="1" t="s">
        <v>121</v>
      </c>
      <c r="G751" s="1" t="s">
        <v>940</v>
      </c>
      <c r="H751" s="3">
        <v>45938</v>
      </c>
      <c r="I751" s="1" t="s">
        <v>933</v>
      </c>
      <c r="J751" s="1" t="s">
        <v>66</v>
      </c>
      <c r="K751" s="1" t="s">
        <v>52</v>
      </c>
      <c r="L751" s="1" t="s">
        <v>1992</v>
      </c>
      <c r="M751" s="3">
        <v>45924</v>
      </c>
      <c r="N751" s="1" t="s">
        <v>50</v>
      </c>
      <c r="O751" s="1" t="s">
        <v>936</v>
      </c>
      <c r="P751" s="1">
        <v>1</v>
      </c>
    </row>
    <row r="752" spans="1:16" x14ac:dyDescent="0.25">
      <c r="A752" s="3">
        <v>45923</v>
      </c>
      <c r="B752" s="4">
        <v>45961</v>
      </c>
      <c r="C752" s="5">
        <v>362</v>
      </c>
      <c r="D752" s="1" t="s">
        <v>1489</v>
      </c>
      <c r="E752" s="1" t="s">
        <v>1490</v>
      </c>
      <c r="F752" s="1" t="s">
        <v>307</v>
      </c>
      <c r="G752" s="1" t="s">
        <v>940</v>
      </c>
      <c r="H752" s="3">
        <v>45953</v>
      </c>
      <c r="I752" s="1" t="s">
        <v>933</v>
      </c>
      <c r="J752" s="1" t="s">
        <v>66</v>
      </c>
      <c r="K752" s="1" t="s">
        <v>340</v>
      </c>
      <c r="L752" s="1" t="s">
        <v>1993</v>
      </c>
      <c r="M752" s="3">
        <v>45924</v>
      </c>
      <c r="N752" s="1" t="s">
        <v>57</v>
      </c>
      <c r="O752" s="1" t="s">
        <v>936</v>
      </c>
      <c r="P752" s="1">
        <v>1</v>
      </c>
    </row>
    <row r="753" spans="1:16" x14ac:dyDescent="0.25">
      <c r="A753" s="3">
        <v>45923</v>
      </c>
      <c r="B753" s="4">
        <v>72353</v>
      </c>
      <c r="C753" s="5">
        <v>4455</v>
      </c>
      <c r="D753" s="1" t="s">
        <v>1994</v>
      </c>
      <c r="E753" s="1" t="s">
        <v>1995</v>
      </c>
      <c r="F753" s="1" t="s">
        <v>753</v>
      </c>
      <c r="G753" s="1" t="s">
        <v>940</v>
      </c>
      <c r="H753" s="3">
        <v>45951</v>
      </c>
      <c r="I753" s="1" t="s">
        <v>933</v>
      </c>
      <c r="J753" s="1" t="s">
        <v>66</v>
      </c>
      <c r="K753" s="1" t="s">
        <v>66</v>
      </c>
      <c r="L753" s="1" t="s">
        <v>1996</v>
      </c>
      <c r="M753" s="3">
        <v>45927</v>
      </c>
      <c r="N753" s="1" t="s">
        <v>57</v>
      </c>
      <c r="O753" s="1" t="s">
        <v>936</v>
      </c>
      <c r="P753" s="1">
        <v>1</v>
      </c>
    </row>
    <row r="754" spans="1:16" x14ac:dyDescent="0.25">
      <c r="A754" s="3">
        <v>45924</v>
      </c>
      <c r="B754" s="1" t="s">
        <v>1997</v>
      </c>
      <c r="C754" s="5">
        <v>2500</v>
      </c>
      <c r="D754" s="1" t="s">
        <v>1782</v>
      </c>
      <c r="E754" s="1" t="s">
        <v>1998</v>
      </c>
      <c r="F754" s="1" t="s">
        <v>955</v>
      </c>
      <c r="G754" s="1" t="s">
        <v>932</v>
      </c>
      <c r="H754" s="3">
        <v>45952</v>
      </c>
      <c r="I754" s="1" t="s">
        <v>933</v>
      </c>
      <c r="J754" s="1" t="s">
        <v>951</v>
      </c>
      <c r="K754" s="1" t="s">
        <v>340</v>
      </c>
      <c r="L754" s="1" t="s">
        <v>1999</v>
      </c>
      <c r="M754" s="3">
        <v>45924</v>
      </c>
      <c r="N754" s="1" t="s">
        <v>821</v>
      </c>
      <c r="O754" s="1" t="s">
        <v>936</v>
      </c>
      <c r="P754" s="1">
        <v>1</v>
      </c>
    </row>
    <row r="755" spans="1:16" x14ac:dyDescent="0.25">
      <c r="A755" s="3">
        <v>45924</v>
      </c>
      <c r="B755" s="1">
        <v>41</v>
      </c>
      <c r="C755" s="5">
        <v>147.6</v>
      </c>
      <c r="D755" s="1" t="s">
        <v>947</v>
      </c>
      <c r="E755" s="1" t="s">
        <v>948</v>
      </c>
      <c r="F755" s="1" t="s">
        <v>955</v>
      </c>
      <c r="G755" s="1" t="s">
        <v>950</v>
      </c>
      <c r="H755" s="1" t="s">
        <v>941</v>
      </c>
      <c r="I755" s="1" t="s">
        <v>933</v>
      </c>
      <c r="J755" s="1" t="s">
        <v>951</v>
      </c>
      <c r="K755" s="1" t="s">
        <v>934</v>
      </c>
      <c r="L755" s="1" t="s">
        <v>2000</v>
      </c>
      <c r="M755" s="3">
        <v>45924</v>
      </c>
      <c r="N755" s="1" t="s">
        <v>821</v>
      </c>
      <c r="O755" s="1" t="s">
        <v>936</v>
      </c>
      <c r="P755" s="1">
        <v>1</v>
      </c>
    </row>
    <row r="756" spans="1:16" x14ac:dyDescent="0.25">
      <c r="A756" s="3">
        <v>45924</v>
      </c>
      <c r="B756" s="4">
        <v>3575</v>
      </c>
      <c r="C756" s="5">
        <v>15049</v>
      </c>
      <c r="D756" s="1" t="s">
        <v>2001</v>
      </c>
      <c r="E756" s="1" t="s">
        <v>2002</v>
      </c>
      <c r="F756" s="1" t="s">
        <v>66</v>
      </c>
      <c r="G756" s="1" t="s">
        <v>940</v>
      </c>
      <c r="H756" s="3">
        <v>45960</v>
      </c>
      <c r="I756" s="1" t="s">
        <v>933</v>
      </c>
      <c r="J756" s="1" t="s">
        <v>66</v>
      </c>
      <c r="K756" s="1" t="s">
        <v>20</v>
      </c>
      <c r="L756" s="1" t="s">
        <v>2003</v>
      </c>
      <c r="M756" s="3">
        <v>45924</v>
      </c>
      <c r="N756" s="1" t="s">
        <v>821</v>
      </c>
      <c r="O756" s="1" t="s">
        <v>936</v>
      </c>
      <c r="P756" s="1">
        <v>1</v>
      </c>
    </row>
    <row r="757" spans="1:16" x14ac:dyDescent="0.25">
      <c r="A757" s="3">
        <v>45924</v>
      </c>
      <c r="B757" s="4">
        <v>16885</v>
      </c>
      <c r="C757" s="5">
        <v>36</v>
      </c>
      <c r="D757" s="1" t="s">
        <v>961</v>
      </c>
      <c r="E757" s="1" t="s">
        <v>1162</v>
      </c>
      <c r="F757" s="1" t="s">
        <v>426</v>
      </c>
      <c r="G757" s="1" t="s">
        <v>940</v>
      </c>
      <c r="H757" s="1" t="s">
        <v>941</v>
      </c>
      <c r="I757" s="1" t="s">
        <v>2004</v>
      </c>
      <c r="J757" s="1" t="s">
        <v>66</v>
      </c>
      <c r="K757" s="1" t="s">
        <v>308</v>
      </c>
      <c r="L757" s="1" t="s">
        <v>2005</v>
      </c>
      <c r="M757" s="3">
        <v>45924</v>
      </c>
      <c r="N757" s="1" t="s">
        <v>429</v>
      </c>
      <c r="O757" s="1" t="s">
        <v>936</v>
      </c>
      <c r="P757" s="1">
        <v>1</v>
      </c>
    </row>
    <row r="758" spans="1:16" x14ac:dyDescent="0.25">
      <c r="A758" s="3">
        <v>45924</v>
      </c>
      <c r="B758" s="4">
        <v>1479</v>
      </c>
      <c r="C758" s="5">
        <v>3176.5</v>
      </c>
      <c r="D758" s="1" t="s">
        <v>1901</v>
      </c>
      <c r="E758" s="1" t="s">
        <v>1902</v>
      </c>
      <c r="F758" s="1" t="s">
        <v>955</v>
      </c>
      <c r="G758" s="1" t="s">
        <v>990</v>
      </c>
      <c r="H758" s="3">
        <v>45945</v>
      </c>
      <c r="I758" s="1" t="s">
        <v>933</v>
      </c>
      <c r="J758" s="1" t="s">
        <v>951</v>
      </c>
      <c r="K758" s="1" t="s">
        <v>20</v>
      </c>
      <c r="L758" s="1" t="s">
        <v>2006</v>
      </c>
      <c r="M758" s="3">
        <v>45929</v>
      </c>
      <c r="N758" s="1" t="s">
        <v>821</v>
      </c>
      <c r="O758" s="1" t="s">
        <v>936</v>
      </c>
      <c r="P758" s="1">
        <v>1</v>
      </c>
    </row>
    <row r="759" spans="1:16" x14ac:dyDescent="0.25">
      <c r="A759" s="3">
        <v>45924</v>
      </c>
      <c r="B759" s="4">
        <v>55951</v>
      </c>
      <c r="C759" s="5">
        <v>60</v>
      </c>
      <c r="D759" s="1" t="s">
        <v>1754</v>
      </c>
      <c r="E759" s="1" t="s">
        <v>1755</v>
      </c>
      <c r="F759" s="1" t="s">
        <v>392</v>
      </c>
      <c r="G759" s="1" t="s">
        <v>940</v>
      </c>
      <c r="H759" s="1" t="s">
        <v>941</v>
      </c>
      <c r="I759" s="1" t="s">
        <v>933</v>
      </c>
      <c r="J759" s="1" t="s">
        <v>66</v>
      </c>
      <c r="K759" s="1" t="s">
        <v>52</v>
      </c>
      <c r="L759" s="1" t="s">
        <v>2007</v>
      </c>
      <c r="M759" s="3">
        <v>45924</v>
      </c>
      <c r="N759" s="1" t="s">
        <v>93</v>
      </c>
      <c r="O759" s="1" t="s">
        <v>936</v>
      </c>
      <c r="P759" s="1">
        <v>1</v>
      </c>
    </row>
    <row r="760" spans="1:16" x14ac:dyDescent="0.25">
      <c r="A760" s="3">
        <v>45924</v>
      </c>
      <c r="B760" s="4">
        <v>90293</v>
      </c>
      <c r="C760" s="5">
        <v>57.14</v>
      </c>
      <c r="D760" s="1" t="s">
        <v>1791</v>
      </c>
      <c r="E760" s="1" t="s">
        <v>1792</v>
      </c>
      <c r="F760" s="1" t="s">
        <v>955</v>
      </c>
      <c r="G760" s="1" t="s">
        <v>940</v>
      </c>
      <c r="H760" s="1" t="s">
        <v>941</v>
      </c>
      <c r="I760" s="1" t="s">
        <v>933</v>
      </c>
      <c r="J760" s="1" t="s">
        <v>951</v>
      </c>
      <c r="K760" s="1" t="s">
        <v>52</v>
      </c>
      <c r="L760" s="1" t="s">
        <v>2008</v>
      </c>
      <c r="M760" s="3">
        <v>45924</v>
      </c>
      <c r="N760" s="1" t="s">
        <v>821</v>
      </c>
      <c r="O760" s="1" t="s">
        <v>936</v>
      </c>
      <c r="P760" s="1">
        <v>1</v>
      </c>
    </row>
    <row r="761" spans="1:16" x14ac:dyDescent="0.25">
      <c r="A761" s="3">
        <v>45924</v>
      </c>
      <c r="B761" s="1">
        <v>975</v>
      </c>
      <c r="C761" s="5">
        <v>49.5</v>
      </c>
      <c r="D761" s="1" t="s">
        <v>2009</v>
      </c>
      <c r="E761" s="1" t="s">
        <v>2010</v>
      </c>
      <c r="F761" s="1" t="s">
        <v>955</v>
      </c>
      <c r="G761" s="1" t="s">
        <v>940</v>
      </c>
      <c r="H761" s="1" t="s">
        <v>941</v>
      </c>
      <c r="I761" s="1" t="s">
        <v>933</v>
      </c>
      <c r="J761" s="1" t="s">
        <v>951</v>
      </c>
      <c r="K761" s="1" t="s">
        <v>52</v>
      </c>
      <c r="L761" s="1" t="s">
        <v>1916</v>
      </c>
      <c r="M761" s="3">
        <v>45924</v>
      </c>
      <c r="N761" s="1" t="s">
        <v>821</v>
      </c>
      <c r="O761" s="1" t="s">
        <v>936</v>
      </c>
      <c r="P761" s="1">
        <v>1</v>
      </c>
    </row>
    <row r="762" spans="1:16" x14ac:dyDescent="0.25">
      <c r="A762" s="3">
        <v>45924</v>
      </c>
      <c r="B762" s="4">
        <v>8691</v>
      </c>
      <c r="C762" s="5">
        <v>2937</v>
      </c>
      <c r="D762" s="1" t="s">
        <v>973</v>
      </c>
      <c r="E762" s="1" t="s">
        <v>1068</v>
      </c>
      <c r="F762" s="1" t="s">
        <v>955</v>
      </c>
      <c r="G762" s="1" t="s">
        <v>998</v>
      </c>
      <c r="H762" s="3">
        <v>45939</v>
      </c>
      <c r="I762" s="1" t="s">
        <v>933</v>
      </c>
      <c r="J762" s="1" t="s">
        <v>951</v>
      </c>
      <c r="K762" s="1" t="s">
        <v>340</v>
      </c>
      <c r="L762" s="1" t="s">
        <v>2011</v>
      </c>
      <c r="M762" s="3">
        <v>45927</v>
      </c>
      <c r="N762" s="1" t="s">
        <v>821</v>
      </c>
      <c r="O762" s="1" t="s">
        <v>998</v>
      </c>
      <c r="P762" s="1">
        <v>1</v>
      </c>
    </row>
    <row r="763" spans="1:16" x14ac:dyDescent="0.25">
      <c r="A763" s="3">
        <v>45924</v>
      </c>
      <c r="B763" s="4">
        <v>8687</v>
      </c>
      <c r="C763" s="5">
        <v>1332.65</v>
      </c>
      <c r="D763" s="1" t="s">
        <v>973</v>
      </c>
      <c r="E763" s="1" t="s">
        <v>1068</v>
      </c>
      <c r="F763" s="1" t="s">
        <v>955</v>
      </c>
      <c r="G763" s="1" t="s">
        <v>998</v>
      </c>
      <c r="H763" s="3">
        <v>45939</v>
      </c>
      <c r="I763" s="1" t="s">
        <v>933</v>
      </c>
      <c r="J763" s="1" t="s">
        <v>951</v>
      </c>
      <c r="K763" s="1" t="s">
        <v>340</v>
      </c>
      <c r="L763" s="1" t="s">
        <v>2012</v>
      </c>
      <c r="M763" s="3">
        <v>45927</v>
      </c>
      <c r="N763" s="1" t="s">
        <v>821</v>
      </c>
      <c r="O763" s="1" t="s">
        <v>998</v>
      </c>
      <c r="P763" s="1">
        <v>1</v>
      </c>
    </row>
    <row r="764" spans="1:16" x14ac:dyDescent="0.25">
      <c r="A764" s="3">
        <v>45924</v>
      </c>
      <c r="B764" s="4">
        <v>8690</v>
      </c>
      <c r="C764" s="5">
        <v>28200</v>
      </c>
      <c r="D764" s="1" t="s">
        <v>973</v>
      </c>
      <c r="E764" s="1" t="s">
        <v>1068</v>
      </c>
      <c r="F764" s="1" t="s">
        <v>955</v>
      </c>
      <c r="G764" s="1" t="s">
        <v>998</v>
      </c>
      <c r="H764" s="3">
        <v>45939</v>
      </c>
      <c r="I764" s="1" t="s">
        <v>933</v>
      </c>
      <c r="J764" s="1" t="s">
        <v>951</v>
      </c>
      <c r="K764" s="1" t="s">
        <v>996</v>
      </c>
      <c r="L764" s="1">
        <v>5000</v>
      </c>
      <c r="M764" s="3">
        <v>45927</v>
      </c>
      <c r="N764" s="1" t="s">
        <v>821</v>
      </c>
      <c r="O764" s="1" t="s">
        <v>998</v>
      </c>
      <c r="P764" s="1">
        <v>1</v>
      </c>
    </row>
    <row r="765" spans="1:16" x14ac:dyDescent="0.25">
      <c r="A765" s="3">
        <v>45924</v>
      </c>
      <c r="B765" s="1">
        <v>35</v>
      </c>
      <c r="C765" s="5">
        <v>390</v>
      </c>
      <c r="D765" s="1" t="s">
        <v>1607</v>
      </c>
      <c r="E765" s="1" t="s">
        <v>1608</v>
      </c>
      <c r="F765" s="1" t="s">
        <v>955</v>
      </c>
      <c r="G765" s="1" t="s">
        <v>932</v>
      </c>
      <c r="H765" s="3">
        <v>45939</v>
      </c>
      <c r="I765" s="1" t="s">
        <v>933</v>
      </c>
      <c r="J765" s="1" t="s">
        <v>951</v>
      </c>
      <c r="K765" s="1" t="s">
        <v>20</v>
      </c>
      <c r="L765" s="1" t="s">
        <v>2013</v>
      </c>
      <c r="M765" s="3">
        <v>45927</v>
      </c>
      <c r="N765" s="1" t="s">
        <v>821</v>
      </c>
      <c r="O765" s="1" t="s">
        <v>1497</v>
      </c>
      <c r="P765" s="1" t="s">
        <v>937</v>
      </c>
    </row>
    <row r="766" spans="1:16" x14ac:dyDescent="0.25">
      <c r="A766" s="3">
        <v>45925</v>
      </c>
      <c r="B766" s="1">
        <v>36</v>
      </c>
      <c r="C766" s="5">
        <v>2150</v>
      </c>
      <c r="D766" s="1" t="s">
        <v>1197</v>
      </c>
      <c r="E766" s="1" t="s">
        <v>1198</v>
      </c>
      <c r="F766" s="1" t="s">
        <v>400</v>
      </c>
      <c r="G766" s="1" t="s">
        <v>940</v>
      </c>
      <c r="H766" s="3">
        <v>45940</v>
      </c>
      <c r="I766" s="1" t="s">
        <v>933</v>
      </c>
      <c r="J766" s="1" t="s">
        <v>66</v>
      </c>
      <c r="K766" s="1" t="s">
        <v>340</v>
      </c>
      <c r="L766" s="1" t="s">
        <v>2014</v>
      </c>
      <c r="M766" s="3">
        <v>45927</v>
      </c>
      <c r="N766" s="1" t="s">
        <v>57</v>
      </c>
      <c r="O766" s="1" t="s">
        <v>936</v>
      </c>
      <c r="P766" s="1">
        <v>1</v>
      </c>
    </row>
    <row r="767" spans="1:16" x14ac:dyDescent="0.25">
      <c r="A767" s="3">
        <v>45925</v>
      </c>
      <c r="B767" s="1">
        <v>37</v>
      </c>
      <c r="C767" s="5">
        <v>8900</v>
      </c>
      <c r="D767" s="1" t="s">
        <v>1197</v>
      </c>
      <c r="E767" s="1" t="s">
        <v>1198</v>
      </c>
      <c r="F767" s="1" t="s">
        <v>955</v>
      </c>
      <c r="G767" s="1" t="s">
        <v>940</v>
      </c>
      <c r="H767" s="3">
        <v>45945</v>
      </c>
      <c r="I767" s="1" t="s">
        <v>933</v>
      </c>
      <c r="J767" s="1" t="s">
        <v>951</v>
      </c>
      <c r="K767" s="1" t="s">
        <v>340</v>
      </c>
      <c r="L767" s="1" t="s">
        <v>2015</v>
      </c>
      <c r="M767" s="3">
        <v>45927</v>
      </c>
      <c r="N767" s="1" t="s">
        <v>821</v>
      </c>
      <c r="O767" s="1" t="s">
        <v>936</v>
      </c>
      <c r="P767" s="1">
        <v>1</v>
      </c>
    </row>
    <row r="768" spans="1:16" x14ac:dyDescent="0.25">
      <c r="A768" s="3">
        <v>45925</v>
      </c>
      <c r="B768" s="1">
        <v>391</v>
      </c>
      <c r="C768" s="5">
        <v>740</v>
      </c>
      <c r="D768" s="1" t="s">
        <v>2016</v>
      </c>
      <c r="E768" s="1" t="s">
        <v>2017</v>
      </c>
      <c r="F768" s="1" t="s">
        <v>955</v>
      </c>
      <c r="G768" s="1" t="s">
        <v>940</v>
      </c>
      <c r="H768" s="3">
        <v>45943</v>
      </c>
      <c r="I768" s="1" t="s">
        <v>933</v>
      </c>
      <c r="J768" s="1" t="s">
        <v>951</v>
      </c>
      <c r="K768" s="1" t="s">
        <v>2018</v>
      </c>
      <c r="L768" s="1" t="s">
        <v>2019</v>
      </c>
      <c r="M768" s="3">
        <v>45927</v>
      </c>
      <c r="N768" s="1" t="s">
        <v>821</v>
      </c>
      <c r="O768" s="1" t="s">
        <v>936</v>
      </c>
      <c r="P768" s="1">
        <v>1</v>
      </c>
    </row>
    <row r="769" spans="1:16" x14ac:dyDescent="0.25">
      <c r="A769" s="3">
        <v>45925</v>
      </c>
      <c r="B769" s="4">
        <v>71028</v>
      </c>
      <c r="C769" s="2">
        <v>1994.95</v>
      </c>
      <c r="D769" s="1" t="s">
        <v>1098</v>
      </c>
      <c r="E769" s="1" t="s">
        <v>1099</v>
      </c>
      <c r="F769" s="1" t="s">
        <v>955</v>
      </c>
      <c r="G769" s="1" t="s">
        <v>940</v>
      </c>
      <c r="H769" s="3">
        <v>45951</v>
      </c>
      <c r="I769" s="1" t="s">
        <v>933</v>
      </c>
      <c r="J769" s="1" t="s">
        <v>951</v>
      </c>
      <c r="K769" s="1" t="s">
        <v>659</v>
      </c>
      <c r="L769" s="1" t="s">
        <v>2020</v>
      </c>
      <c r="M769" s="3">
        <v>45927</v>
      </c>
      <c r="N769" s="1" t="s">
        <v>821</v>
      </c>
      <c r="O769" s="1" t="s">
        <v>936</v>
      </c>
      <c r="P769" s="1">
        <v>1</v>
      </c>
    </row>
    <row r="770" spans="1:16" x14ac:dyDescent="0.25">
      <c r="A770" s="3">
        <v>45925</v>
      </c>
      <c r="B770" s="4">
        <v>1735</v>
      </c>
      <c r="C770" s="5">
        <v>6250</v>
      </c>
      <c r="D770" s="1" t="s">
        <v>953</v>
      </c>
      <c r="E770" s="1" t="s">
        <v>954</v>
      </c>
      <c r="F770" s="1" t="s">
        <v>955</v>
      </c>
      <c r="G770" s="1" t="s">
        <v>940</v>
      </c>
      <c r="H770" s="3">
        <v>45954</v>
      </c>
      <c r="I770" s="1" t="s">
        <v>933</v>
      </c>
      <c r="J770" s="1" t="s">
        <v>951</v>
      </c>
      <c r="K770" s="1" t="s">
        <v>659</v>
      </c>
      <c r="L770" s="1" t="s">
        <v>2021</v>
      </c>
      <c r="M770" s="3">
        <v>45929</v>
      </c>
      <c r="N770" s="1" t="s">
        <v>821</v>
      </c>
      <c r="O770" s="1" t="s">
        <v>936</v>
      </c>
      <c r="P770" s="1">
        <v>1</v>
      </c>
    </row>
    <row r="771" spans="1:16" x14ac:dyDescent="0.25">
      <c r="A771" s="3">
        <v>45925</v>
      </c>
      <c r="B771" s="1">
        <v>55</v>
      </c>
      <c r="C771" s="5">
        <v>3040</v>
      </c>
      <c r="D771" s="1" t="s">
        <v>1588</v>
      </c>
      <c r="E771" s="1" t="s">
        <v>1589</v>
      </c>
      <c r="F771" s="1" t="s">
        <v>955</v>
      </c>
      <c r="G771" s="1" t="s">
        <v>940</v>
      </c>
      <c r="H771" s="3">
        <v>45937</v>
      </c>
      <c r="I771" s="1" t="s">
        <v>933</v>
      </c>
      <c r="J771" s="1" t="s">
        <v>951</v>
      </c>
      <c r="K771" s="1" t="s">
        <v>659</v>
      </c>
      <c r="L771" s="1" t="s">
        <v>2022</v>
      </c>
      <c r="M771" s="3">
        <v>45929</v>
      </c>
      <c r="N771" s="1" t="s">
        <v>821</v>
      </c>
      <c r="O771" s="1" t="s">
        <v>990</v>
      </c>
      <c r="P771" s="1">
        <v>1</v>
      </c>
    </row>
    <row r="772" spans="1:16" x14ac:dyDescent="0.25">
      <c r="A772" s="3">
        <v>45925</v>
      </c>
      <c r="B772" s="4">
        <v>71052</v>
      </c>
      <c r="C772" s="5">
        <v>650</v>
      </c>
      <c r="D772" s="1" t="s">
        <v>1098</v>
      </c>
      <c r="E772" s="1" t="s">
        <v>1099</v>
      </c>
      <c r="F772" s="1" t="s">
        <v>955</v>
      </c>
      <c r="G772" s="1" t="s">
        <v>940</v>
      </c>
      <c r="H772" s="3">
        <v>45957</v>
      </c>
      <c r="I772" s="1" t="s">
        <v>933</v>
      </c>
      <c r="J772" s="1" t="s">
        <v>951</v>
      </c>
      <c r="K772" s="1" t="s">
        <v>308</v>
      </c>
      <c r="L772" s="1" t="s">
        <v>2023</v>
      </c>
      <c r="M772" s="3">
        <v>45929</v>
      </c>
      <c r="N772" s="1" t="s">
        <v>821</v>
      </c>
      <c r="O772" s="1" t="s">
        <v>936</v>
      </c>
      <c r="P772" s="1">
        <v>1</v>
      </c>
    </row>
    <row r="773" spans="1:16" x14ac:dyDescent="0.25">
      <c r="A773" s="3">
        <v>45925</v>
      </c>
      <c r="B773" s="4">
        <v>8701</v>
      </c>
      <c r="C773" s="5">
        <v>1907.74</v>
      </c>
      <c r="D773" s="1" t="s">
        <v>973</v>
      </c>
      <c r="E773" s="1" t="s">
        <v>1068</v>
      </c>
      <c r="F773" s="1" t="s">
        <v>955</v>
      </c>
      <c r="G773" s="1" t="s">
        <v>998</v>
      </c>
      <c r="H773" s="3">
        <v>45940</v>
      </c>
      <c r="I773" s="1" t="s">
        <v>933</v>
      </c>
      <c r="J773" s="1" t="s">
        <v>951</v>
      </c>
      <c r="K773" s="1" t="s">
        <v>996</v>
      </c>
      <c r="L773" s="1" t="s">
        <v>2024</v>
      </c>
      <c r="M773" s="3">
        <v>45930</v>
      </c>
      <c r="N773" s="1" t="s">
        <v>821</v>
      </c>
      <c r="O773" s="1" t="s">
        <v>998</v>
      </c>
      <c r="P773" s="1">
        <v>1</v>
      </c>
    </row>
    <row r="774" spans="1:16" x14ac:dyDescent="0.25">
      <c r="A774" s="3">
        <v>45925</v>
      </c>
      <c r="B774" s="4">
        <v>1733</v>
      </c>
      <c r="C774" s="5">
        <v>425</v>
      </c>
      <c r="D774" s="1" t="s">
        <v>953</v>
      </c>
      <c r="E774" s="1" t="s">
        <v>954</v>
      </c>
      <c r="F774" s="1" t="s">
        <v>955</v>
      </c>
      <c r="G774" s="1" t="s">
        <v>940</v>
      </c>
      <c r="H774" s="3">
        <v>45954</v>
      </c>
      <c r="I774" s="1" t="s">
        <v>933</v>
      </c>
      <c r="J774" s="1" t="s">
        <v>951</v>
      </c>
      <c r="K774" s="1" t="s">
        <v>20</v>
      </c>
      <c r="L774" s="1" t="s">
        <v>2025</v>
      </c>
      <c r="M774" s="3">
        <v>45930</v>
      </c>
      <c r="N774" s="1" t="s">
        <v>821</v>
      </c>
      <c r="O774" s="1" t="s">
        <v>936</v>
      </c>
      <c r="P774" s="1">
        <v>1</v>
      </c>
    </row>
    <row r="775" spans="1:16" x14ac:dyDescent="0.25">
      <c r="A775" s="3">
        <v>45925</v>
      </c>
      <c r="B775" s="1">
        <v>108</v>
      </c>
      <c r="C775" s="5">
        <v>7600</v>
      </c>
      <c r="D775" s="1" t="s">
        <v>1773</v>
      </c>
      <c r="E775" s="1" t="s">
        <v>1774</v>
      </c>
      <c r="F775" s="1" t="s">
        <v>1778</v>
      </c>
      <c r="G775" s="1" t="s">
        <v>1029</v>
      </c>
      <c r="H775" s="3">
        <v>45946</v>
      </c>
      <c r="I775" s="1" t="s">
        <v>933</v>
      </c>
      <c r="J775" s="1" t="s">
        <v>951</v>
      </c>
      <c r="K775" s="1" t="s">
        <v>308</v>
      </c>
      <c r="L775" s="1" t="s">
        <v>2026</v>
      </c>
      <c r="M775" s="3">
        <v>45930</v>
      </c>
      <c r="N775" s="1" t="s">
        <v>821</v>
      </c>
      <c r="O775" s="1" t="s">
        <v>990</v>
      </c>
      <c r="P775" s="1">
        <v>1</v>
      </c>
    </row>
    <row r="776" spans="1:16" x14ac:dyDescent="0.25">
      <c r="A776" s="3">
        <v>45925</v>
      </c>
      <c r="B776" s="1">
        <v>109</v>
      </c>
      <c r="C776" s="5">
        <v>100</v>
      </c>
      <c r="D776" s="1" t="s">
        <v>1773</v>
      </c>
      <c r="E776" s="1" t="s">
        <v>1774</v>
      </c>
      <c r="F776" s="1" t="s">
        <v>1778</v>
      </c>
      <c r="G776" s="1" t="s">
        <v>1029</v>
      </c>
      <c r="H776" s="3">
        <v>45946</v>
      </c>
      <c r="I776" s="1" t="s">
        <v>933</v>
      </c>
      <c r="J776" s="1" t="s">
        <v>951</v>
      </c>
      <c r="K776" s="1" t="s">
        <v>308</v>
      </c>
      <c r="L776" s="1" t="s">
        <v>2027</v>
      </c>
      <c r="M776" s="3">
        <v>45930</v>
      </c>
      <c r="N776" s="1" t="s">
        <v>821</v>
      </c>
      <c r="O776" s="1" t="s">
        <v>990</v>
      </c>
      <c r="P776" s="1">
        <v>1</v>
      </c>
    </row>
    <row r="777" spans="1:16" x14ac:dyDescent="0.25">
      <c r="A777" s="3">
        <v>45925</v>
      </c>
      <c r="B777" s="4">
        <v>26906</v>
      </c>
      <c r="C777" s="5">
        <v>2200</v>
      </c>
      <c r="D777" s="1" t="s">
        <v>2028</v>
      </c>
      <c r="E777" s="1" t="s">
        <v>2029</v>
      </c>
      <c r="F777" s="1" t="s">
        <v>955</v>
      </c>
      <c r="G777" s="1" t="s">
        <v>940</v>
      </c>
      <c r="H777" s="3">
        <v>45954</v>
      </c>
      <c r="I777" s="1" t="s">
        <v>933</v>
      </c>
      <c r="J777" s="1" t="s">
        <v>951</v>
      </c>
      <c r="K777" s="1" t="s">
        <v>308</v>
      </c>
      <c r="L777" s="1" t="s">
        <v>2030</v>
      </c>
      <c r="M777" s="3">
        <v>45930</v>
      </c>
      <c r="N777" s="1" t="s">
        <v>821</v>
      </c>
      <c r="O777" s="1" t="s">
        <v>936</v>
      </c>
      <c r="P777" s="1" t="s">
        <v>937</v>
      </c>
    </row>
    <row r="778" spans="1:16" x14ac:dyDescent="0.25">
      <c r="A778" s="3">
        <v>45925</v>
      </c>
      <c r="B778" s="4">
        <v>26910</v>
      </c>
      <c r="C778" s="5">
        <v>13590</v>
      </c>
      <c r="D778" s="1" t="s">
        <v>2028</v>
      </c>
      <c r="E778" s="1" t="s">
        <v>2029</v>
      </c>
      <c r="F778" s="1" t="s">
        <v>955</v>
      </c>
      <c r="G778" s="1" t="s">
        <v>2031</v>
      </c>
      <c r="H778" s="3">
        <v>45955</v>
      </c>
      <c r="I778" s="1" t="s">
        <v>933</v>
      </c>
      <c r="J778" s="1" t="s">
        <v>951</v>
      </c>
      <c r="K778" s="1" t="s">
        <v>308</v>
      </c>
      <c r="L778" s="1" t="s">
        <v>2027</v>
      </c>
      <c r="M778" s="3">
        <v>45930</v>
      </c>
      <c r="N778" s="1" t="s">
        <v>821</v>
      </c>
      <c r="O778" s="1" t="s">
        <v>936</v>
      </c>
      <c r="P778" s="1" t="s">
        <v>937</v>
      </c>
    </row>
    <row r="779" spans="1:16" x14ac:dyDescent="0.25">
      <c r="A779" s="3">
        <v>45925</v>
      </c>
      <c r="B779" s="4">
        <v>1596439</v>
      </c>
      <c r="C779" s="5">
        <v>74.37</v>
      </c>
      <c r="D779" s="1" t="s">
        <v>1855</v>
      </c>
      <c r="E779" s="1" t="s">
        <v>1856</v>
      </c>
      <c r="F779" s="1" t="s">
        <v>955</v>
      </c>
      <c r="G779" s="1" t="s">
        <v>1029</v>
      </c>
      <c r="H779" s="3">
        <v>45940</v>
      </c>
      <c r="I779" s="1" t="s">
        <v>933</v>
      </c>
      <c r="J779" s="1" t="s">
        <v>951</v>
      </c>
      <c r="K779" s="1" t="s">
        <v>66</v>
      </c>
      <c r="L779" s="1" t="s">
        <v>2032</v>
      </c>
      <c r="M779" s="3">
        <v>45930</v>
      </c>
      <c r="N779" s="1" t="s">
        <v>821</v>
      </c>
      <c r="O779" s="1" t="s">
        <v>936</v>
      </c>
      <c r="P779" s="1">
        <v>1</v>
      </c>
    </row>
    <row r="780" spans="1:16" x14ac:dyDescent="0.25">
      <c r="A780" s="3">
        <v>45925</v>
      </c>
      <c r="B780" s="4">
        <v>1596439</v>
      </c>
      <c r="C780" s="5">
        <v>70.14</v>
      </c>
      <c r="D780" s="1" t="s">
        <v>1855</v>
      </c>
      <c r="E780" s="1" t="s">
        <v>1856</v>
      </c>
      <c r="F780" s="1" t="s">
        <v>955</v>
      </c>
      <c r="G780" s="1" t="s">
        <v>1029</v>
      </c>
      <c r="H780" s="3">
        <v>45940</v>
      </c>
      <c r="I780" s="1" t="s">
        <v>933</v>
      </c>
      <c r="J780" s="1" t="s">
        <v>951</v>
      </c>
      <c r="K780" s="1" t="s">
        <v>66</v>
      </c>
      <c r="L780" s="1" t="s">
        <v>2032</v>
      </c>
      <c r="M780" s="3">
        <v>45930</v>
      </c>
      <c r="N780" s="1" t="s">
        <v>821</v>
      </c>
      <c r="O780" s="1" t="s">
        <v>936</v>
      </c>
      <c r="P780" s="1">
        <v>1</v>
      </c>
    </row>
    <row r="781" spans="1:16" x14ac:dyDescent="0.25">
      <c r="A781" s="3">
        <v>45926</v>
      </c>
      <c r="B781" s="1">
        <v>861</v>
      </c>
      <c r="C781" s="5">
        <v>20704.8</v>
      </c>
      <c r="D781" s="1" t="s">
        <v>1055</v>
      </c>
      <c r="E781" s="1" t="s">
        <v>1056</v>
      </c>
      <c r="F781" s="1" t="s">
        <v>955</v>
      </c>
      <c r="G781" s="1" t="s">
        <v>940</v>
      </c>
      <c r="H781" s="3">
        <v>45947</v>
      </c>
      <c r="I781" s="1" t="s">
        <v>933</v>
      </c>
      <c r="J781" s="1" t="s">
        <v>951</v>
      </c>
      <c r="K781" s="1" t="s">
        <v>66</v>
      </c>
      <c r="L781" s="1" t="s">
        <v>2033</v>
      </c>
      <c r="M781" s="3">
        <v>45927</v>
      </c>
      <c r="N781" s="1" t="s">
        <v>821</v>
      </c>
      <c r="O781" s="1" t="s">
        <v>936</v>
      </c>
      <c r="P781" s="1">
        <v>1</v>
      </c>
    </row>
    <row r="782" spans="1:16" x14ac:dyDescent="0.25">
      <c r="A782" s="3">
        <v>45926</v>
      </c>
      <c r="B782" s="1">
        <v>384</v>
      </c>
      <c r="C782" s="5">
        <v>1833</v>
      </c>
      <c r="D782" s="1" t="s">
        <v>1077</v>
      </c>
      <c r="E782" s="1" t="s">
        <v>1078</v>
      </c>
      <c r="F782" s="1" t="s">
        <v>533</v>
      </c>
      <c r="G782" s="1" t="s">
        <v>940</v>
      </c>
      <c r="H782" s="3">
        <v>45932</v>
      </c>
      <c r="I782" s="1" t="s">
        <v>933</v>
      </c>
      <c r="J782" s="1" t="s">
        <v>66</v>
      </c>
      <c r="K782" s="1" t="s">
        <v>52</v>
      </c>
      <c r="L782" s="1" t="s">
        <v>2034</v>
      </c>
      <c r="M782" s="3">
        <v>45927</v>
      </c>
      <c r="N782" s="1" t="s">
        <v>57</v>
      </c>
      <c r="O782" s="1" t="s">
        <v>936</v>
      </c>
      <c r="P782" s="1">
        <v>1</v>
      </c>
    </row>
    <row r="783" spans="1:16" x14ac:dyDescent="0.25">
      <c r="A783" s="3">
        <v>45926</v>
      </c>
      <c r="B783" s="1">
        <v>16</v>
      </c>
      <c r="C783" s="5">
        <v>5732</v>
      </c>
      <c r="D783" s="1" t="s">
        <v>1327</v>
      </c>
      <c r="E783" s="1" t="s">
        <v>1328</v>
      </c>
      <c r="F783" s="1" t="s">
        <v>955</v>
      </c>
      <c r="G783" s="1" t="s">
        <v>940</v>
      </c>
      <c r="H783" s="3">
        <v>45941</v>
      </c>
      <c r="I783" s="1" t="s">
        <v>933</v>
      </c>
      <c r="J783" s="1" t="s">
        <v>951</v>
      </c>
      <c r="K783" s="1" t="s">
        <v>20</v>
      </c>
      <c r="L783" s="1" t="s">
        <v>2035</v>
      </c>
      <c r="M783" s="3">
        <v>45927</v>
      </c>
      <c r="N783" s="1" t="s">
        <v>821</v>
      </c>
      <c r="O783" s="1" t="s">
        <v>936</v>
      </c>
      <c r="P783" s="1" t="s">
        <v>937</v>
      </c>
    </row>
    <row r="784" spans="1:16" x14ac:dyDescent="0.25">
      <c r="A784" s="3">
        <v>45926</v>
      </c>
      <c r="B784" s="4">
        <v>46113</v>
      </c>
      <c r="C784" s="5">
        <v>4205</v>
      </c>
      <c r="D784" s="1" t="s">
        <v>1489</v>
      </c>
      <c r="E784" s="1" t="s">
        <v>1490</v>
      </c>
      <c r="F784" s="1" t="s">
        <v>304</v>
      </c>
      <c r="G784" s="1" t="s">
        <v>940</v>
      </c>
      <c r="H784" s="3">
        <v>45956</v>
      </c>
      <c r="I784" s="1" t="s">
        <v>933</v>
      </c>
      <c r="J784" s="1" t="s">
        <v>66</v>
      </c>
      <c r="K784" s="1" t="s">
        <v>340</v>
      </c>
      <c r="L784" s="1" t="s">
        <v>2036</v>
      </c>
      <c r="M784" s="3">
        <v>45929</v>
      </c>
      <c r="N784" s="1" t="s">
        <v>57</v>
      </c>
      <c r="O784" s="1" t="s">
        <v>936</v>
      </c>
      <c r="P784" s="1">
        <v>2</v>
      </c>
    </row>
    <row r="785" spans="1:16" x14ac:dyDescent="0.25">
      <c r="A785" s="3">
        <v>45926</v>
      </c>
      <c r="B785" s="1">
        <v>13</v>
      </c>
      <c r="C785" s="5">
        <v>900</v>
      </c>
      <c r="D785" s="1" t="s">
        <v>2037</v>
      </c>
      <c r="E785" s="1" t="s">
        <v>2038</v>
      </c>
      <c r="F785" s="1" t="s">
        <v>955</v>
      </c>
      <c r="G785" s="1" t="s">
        <v>940</v>
      </c>
      <c r="H785" s="3">
        <v>45932</v>
      </c>
      <c r="I785" s="1" t="s">
        <v>933</v>
      </c>
      <c r="J785" s="1" t="s">
        <v>951</v>
      </c>
      <c r="K785" s="1" t="s">
        <v>20</v>
      </c>
      <c r="L785" s="1" t="s">
        <v>2039</v>
      </c>
      <c r="M785" s="3">
        <v>45929</v>
      </c>
      <c r="N785" s="1" t="s">
        <v>821</v>
      </c>
      <c r="O785" s="1" t="s">
        <v>936</v>
      </c>
      <c r="P785" s="1" t="s">
        <v>937</v>
      </c>
    </row>
    <row r="786" spans="1:16" x14ac:dyDescent="0.25">
      <c r="A786" s="3">
        <v>45926</v>
      </c>
      <c r="B786" s="1">
        <v>861</v>
      </c>
      <c r="C786" s="5">
        <v>20704.8</v>
      </c>
      <c r="D786" s="1" t="s">
        <v>1294</v>
      </c>
      <c r="E786" s="1" t="s">
        <v>1295</v>
      </c>
      <c r="F786" s="1" t="s">
        <v>955</v>
      </c>
      <c r="G786" s="1" t="s">
        <v>950</v>
      </c>
      <c r="H786" s="3">
        <v>45947</v>
      </c>
      <c r="I786" s="1" t="s">
        <v>933</v>
      </c>
      <c r="J786" s="1" t="s">
        <v>951</v>
      </c>
      <c r="K786" s="1" t="s">
        <v>308</v>
      </c>
      <c r="L786" s="1" t="s">
        <v>2040</v>
      </c>
      <c r="M786" s="3">
        <v>45930</v>
      </c>
      <c r="N786" s="1" t="s">
        <v>821</v>
      </c>
      <c r="O786" s="1" t="s">
        <v>936</v>
      </c>
      <c r="P786" s="1">
        <v>1</v>
      </c>
    </row>
    <row r="787" spans="1:16" x14ac:dyDescent="0.25">
      <c r="A787" s="3">
        <v>45926</v>
      </c>
      <c r="B787" s="4">
        <v>46113</v>
      </c>
      <c r="C787" s="5">
        <v>4205</v>
      </c>
      <c r="D787" s="1" t="s">
        <v>1489</v>
      </c>
      <c r="E787" s="1" t="s">
        <v>1490</v>
      </c>
      <c r="F787" s="1" t="s">
        <v>304</v>
      </c>
      <c r="G787" s="1" t="s">
        <v>940</v>
      </c>
      <c r="H787" s="3">
        <v>45956</v>
      </c>
      <c r="I787" s="1" t="s">
        <v>933</v>
      </c>
      <c r="J787" s="1" t="s">
        <v>66</v>
      </c>
      <c r="K787" s="1" t="s">
        <v>996</v>
      </c>
      <c r="L787" s="1" t="s">
        <v>2041</v>
      </c>
      <c r="M787" s="3">
        <v>45930</v>
      </c>
      <c r="N787" s="1" t="s">
        <v>57</v>
      </c>
      <c r="O787" s="1" t="s">
        <v>936</v>
      </c>
      <c r="P787" s="1">
        <v>2</v>
      </c>
    </row>
    <row r="788" spans="1:16" x14ac:dyDescent="0.25">
      <c r="A788" s="3">
        <v>45927</v>
      </c>
      <c r="B788" s="4">
        <v>8727</v>
      </c>
      <c r="C788" s="5">
        <v>6186.21</v>
      </c>
      <c r="D788" s="1" t="s">
        <v>973</v>
      </c>
      <c r="E788" s="1" t="s">
        <v>1068</v>
      </c>
      <c r="F788" s="1" t="s">
        <v>955</v>
      </c>
      <c r="G788" s="1" t="s">
        <v>998</v>
      </c>
      <c r="H788" s="3">
        <v>45942</v>
      </c>
      <c r="I788" s="1" t="s">
        <v>933</v>
      </c>
      <c r="J788" s="1" t="s">
        <v>951</v>
      </c>
      <c r="K788" s="1" t="s">
        <v>996</v>
      </c>
      <c r="L788" s="1" t="s">
        <v>2042</v>
      </c>
      <c r="M788" s="3">
        <v>45930</v>
      </c>
      <c r="N788" s="1" t="s">
        <v>821</v>
      </c>
      <c r="O788" s="1" t="s">
        <v>998</v>
      </c>
      <c r="P788" s="1">
        <v>1</v>
      </c>
    </row>
    <row r="789" spans="1:16" x14ac:dyDescent="0.25">
      <c r="A789" s="3">
        <v>45927</v>
      </c>
      <c r="B789" s="4">
        <v>8762</v>
      </c>
      <c r="C789" s="5">
        <v>4469.92</v>
      </c>
      <c r="D789" s="1" t="s">
        <v>973</v>
      </c>
      <c r="E789" s="1" t="s">
        <v>1068</v>
      </c>
      <c r="F789" s="1" t="s">
        <v>955</v>
      </c>
      <c r="G789" s="1" t="s">
        <v>998</v>
      </c>
      <c r="H789" s="3">
        <v>45945</v>
      </c>
      <c r="I789" s="1" t="s">
        <v>933</v>
      </c>
      <c r="J789" s="1" t="s">
        <v>951</v>
      </c>
      <c r="K789" s="1" t="s">
        <v>996</v>
      </c>
      <c r="L789" s="1" t="s">
        <v>2043</v>
      </c>
      <c r="M789" s="3">
        <v>45930</v>
      </c>
      <c r="N789" s="1" t="s">
        <v>821</v>
      </c>
      <c r="O789" s="1" t="s">
        <v>998</v>
      </c>
      <c r="P789" s="1">
        <v>1</v>
      </c>
    </row>
    <row r="790" spans="1:16" x14ac:dyDescent="0.25">
      <c r="A790" s="3">
        <v>45928</v>
      </c>
      <c r="B790" s="1">
        <v>129</v>
      </c>
      <c r="C790" s="5">
        <v>500</v>
      </c>
      <c r="D790" s="1" t="s">
        <v>2044</v>
      </c>
      <c r="E790" s="1" t="s">
        <v>931</v>
      </c>
      <c r="F790" s="1" t="s">
        <v>955</v>
      </c>
      <c r="G790" s="1" t="s">
        <v>932</v>
      </c>
      <c r="H790" s="3">
        <v>45937</v>
      </c>
      <c r="I790" s="1" t="s">
        <v>933</v>
      </c>
      <c r="J790" s="1" t="s">
        <v>951</v>
      </c>
      <c r="K790" s="1" t="s">
        <v>20</v>
      </c>
      <c r="L790" s="1" t="s">
        <v>2045</v>
      </c>
      <c r="M790" s="3">
        <v>45929</v>
      </c>
      <c r="N790" s="1" t="s">
        <v>821</v>
      </c>
      <c r="O790" s="1" t="s">
        <v>936</v>
      </c>
      <c r="P790" s="1" t="s">
        <v>937</v>
      </c>
    </row>
    <row r="791" spans="1:16" x14ac:dyDescent="0.25">
      <c r="A791" s="3">
        <v>45929</v>
      </c>
      <c r="B791" s="4">
        <v>138510</v>
      </c>
      <c r="C791" s="5">
        <v>141.58000000000001</v>
      </c>
      <c r="D791" s="1" t="s">
        <v>1696</v>
      </c>
      <c r="E791" s="1" t="s">
        <v>1697</v>
      </c>
      <c r="F791" s="1" t="s">
        <v>966</v>
      </c>
      <c r="G791" s="1" t="s">
        <v>998</v>
      </c>
      <c r="H791" s="1" t="s">
        <v>941</v>
      </c>
      <c r="I791" s="1" t="s">
        <v>933</v>
      </c>
      <c r="J791" s="1" t="s">
        <v>951</v>
      </c>
      <c r="K791" s="1" t="s">
        <v>934</v>
      </c>
      <c r="L791" s="1" t="s">
        <v>2046</v>
      </c>
      <c r="M791" s="3">
        <v>45929</v>
      </c>
      <c r="N791" s="1" t="s">
        <v>821</v>
      </c>
      <c r="O791" s="1" t="s">
        <v>998</v>
      </c>
      <c r="P791" s="1" t="s">
        <v>937</v>
      </c>
    </row>
    <row r="792" spans="1:16" x14ac:dyDescent="0.25">
      <c r="A792" s="3">
        <v>45929</v>
      </c>
      <c r="B792" s="4">
        <v>9436</v>
      </c>
      <c r="C792" s="5">
        <v>297.51</v>
      </c>
      <c r="D792" s="1" t="s">
        <v>1739</v>
      </c>
      <c r="E792" s="1" t="s">
        <v>1740</v>
      </c>
      <c r="F792" s="1" t="s">
        <v>66</v>
      </c>
      <c r="G792" s="1" t="s">
        <v>940</v>
      </c>
      <c r="H792" s="3">
        <v>45944</v>
      </c>
      <c r="I792" s="1" t="s">
        <v>933</v>
      </c>
      <c r="J792" s="1" t="s">
        <v>66</v>
      </c>
      <c r="K792" s="1" t="s">
        <v>52</v>
      </c>
      <c r="L792" s="1" t="s">
        <v>2047</v>
      </c>
      <c r="M792" s="3">
        <v>45930</v>
      </c>
      <c r="N792" s="1" t="s">
        <v>821</v>
      </c>
      <c r="O792" s="1" t="s">
        <v>936</v>
      </c>
      <c r="P792" s="1">
        <v>1</v>
      </c>
    </row>
    <row r="793" spans="1:16" x14ac:dyDescent="0.25">
      <c r="A793" s="3">
        <v>45929</v>
      </c>
      <c r="B793" s="4">
        <v>5415</v>
      </c>
      <c r="C793" s="5">
        <v>12900</v>
      </c>
      <c r="D793" s="1" t="s">
        <v>2048</v>
      </c>
      <c r="E793" s="1" t="s">
        <v>2049</v>
      </c>
      <c r="F793" s="1" t="s">
        <v>955</v>
      </c>
      <c r="G793" s="1" t="s">
        <v>932</v>
      </c>
      <c r="H793" s="3">
        <v>45941</v>
      </c>
      <c r="I793" s="1" t="s">
        <v>933</v>
      </c>
      <c r="J793" s="1" t="s">
        <v>951</v>
      </c>
      <c r="K793" s="1" t="s">
        <v>659</v>
      </c>
      <c r="L793" s="1" t="s">
        <v>2050</v>
      </c>
      <c r="M793" s="3">
        <v>45930</v>
      </c>
      <c r="N793" s="1" t="s">
        <v>821</v>
      </c>
      <c r="O793" s="1" t="s">
        <v>936</v>
      </c>
      <c r="P793" s="1">
        <v>1</v>
      </c>
    </row>
    <row r="794" spans="1:16" x14ac:dyDescent="0.25">
      <c r="A794" s="3">
        <v>45929</v>
      </c>
      <c r="B794" s="4">
        <v>8743</v>
      </c>
      <c r="C794" s="5">
        <v>2490.34</v>
      </c>
      <c r="D794" s="1" t="s">
        <v>973</v>
      </c>
      <c r="E794" s="1" t="s">
        <v>1068</v>
      </c>
      <c r="F794" s="1" t="s">
        <v>955</v>
      </c>
      <c r="G794" s="1" t="s">
        <v>998</v>
      </c>
      <c r="H794" s="3">
        <v>45944</v>
      </c>
      <c r="I794" s="1" t="s">
        <v>933</v>
      </c>
      <c r="J794" s="1" t="s">
        <v>951</v>
      </c>
      <c r="K794" s="1" t="s">
        <v>996</v>
      </c>
      <c r="L794" s="1" t="s">
        <v>2051</v>
      </c>
      <c r="M794" s="3">
        <v>45930</v>
      </c>
      <c r="N794" s="1" t="s">
        <v>821</v>
      </c>
      <c r="O794" s="1" t="s">
        <v>998</v>
      </c>
      <c r="P794" s="1">
        <v>1</v>
      </c>
    </row>
    <row r="795" spans="1:16" x14ac:dyDescent="0.25">
      <c r="A795" s="3">
        <v>45929</v>
      </c>
      <c r="B795" s="4">
        <v>50739</v>
      </c>
      <c r="C795" s="5">
        <v>15562</v>
      </c>
      <c r="D795" s="1" t="s">
        <v>1504</v>
      </c>
      <c r="E795" s="1" t="s">
        <v>1505</v>
      </c>
      <c r="F795" s="1" t="s">
        <v>906</v>
      </c>
      <c r="G795" s="1" t="s">
        <v>940</v>
      </c>
      <c r="H795" s="3">
        <v>45958</v>
      </c>
      <c r="I795" s="1" t="s">
        <v>933</v>
      </c>
      <c r="J795" s="1" t="s">
        <v>66</v>
      </c>
      <c r="K795" s="1" t="s">
        <v>340</v>
      </c>
      <c r="L795" s="1" t="s">
        <v>2052</v>
      </c>
      <c r="M795" s="3">
        <v>45930</v>
      </c>
      <c r="N795" s="1" t="s">
        <v>57</v>
      </c>
      <c r="O795" s="1" t="s">
        <v>936</v>
      </c>
      <c r="P795" s="1">
        <v>1</v>
      </c>
    </row>
    <row r="796" spans="1:16" x14ac:dyDescent="0.25">
      <c r="A796" s="3">
        <v>45929</v>
      </c>
      <c r="B796" s="4">
        <v>22666</v>
      </c>
      <c r="C796" s="5">
        <v>938</v>
      </c>
      <c r="D796" s="1" t="s">
        <v>1319</v>
      </c>
      <c r="E796" s="1" t="s">
        <v>1320</v>
      </c>
      <c r="F796" s="1" t="s">
        <v>955</v>
      </c>
      <c r="G796" s="1" t="s">
        <v>990</v>
      </c>
      <c r="H796" s="3">
        <v>45940</v>
      </c>
      <c r="I796" s="1" t="s">
        <v>933</v>
      </c>
      <c r="J796" s="1" t="s">
        <v>951</v>
      </c>
      <c r="K796" s="1" t="s">
        <v>20</v>
      </c>
      <c r="L796" s="1" t="s">
        <v>2053</v>
      </c>
      <c r="M796" s="3">
        <v>45930</v>
      </c>
      <c r="N796" s="1" t="s">
        <v>821</v>
      </c>
      <c r="O796" s="1" t="s">
        <v>936</v>
      </c>
      <c r="P796" s="1">
        <v>1</v>
      </c>
    </row>
    <row r="797" spans="1:16" x14ac:dyDescent="0.25">
      <c r="A797" s="3">
        <v>45929</v>
      </c>
      <c r="B797" s="4">
        <v>2346</v>
      </c>
      <c r="C797" s="5">
        <v>60</v>
      </c>
      <c r="D797" s="1" t="s">
        <v>1745</v>
      </c>
      <c r="E797" s="1" t="s">
        <v>1746</v>
      </c>
      <c r="F797" s="1" t="s">
        <v>955</v>
      </c>
      <c r="G797" s="1" t="s">
        <v>940</v>
      </c>
      <c r="H797" s="3">
        <v>45940</v>
      </c>
      <c r="I797" s="1" t="s">
        <v>933</v>
      </c>
      <c r="J797" s="1" t="s">
        <v>951</v>
      </c>
      <c r="K797" s="1" t="s">
        <v>52</v>
      </c>
      <c r="L797" s="1" t="s">
        <v>2054</v>
      </c>
      <c r="M797" s="3">
        <v>45930</v>
      </c>
      <c r="N797" s="1" t="s">
        <v>821</v>
      </c>
      <c r="O797" s="1" t="s">
        <v>936</v>
      </c>
      <c r="P797" s="1">
        <v>1</v>
      </c>
    </row>
    <row r="798" spans="1:16" x14ac:dyDescent="0.25">
      <c r="A798" s="3">
        <v>45929</v>
      </c>
      <c r="B798" s="4">
        <v>1078</v>
      </c>
      <c r="C798" s="5">
        <v>310</v>
      </c>
      <c r="D798" s="1" t="s">
        <v>1074</v>
      </c>
      <c r="E798" s="1" t="s">
        <v>1075</v>
      </c>
      <c r="F798" s="1" t="s">
        <v>713</v>
      </c>
      <c r="G798" s="1" t="s">
        <v>981</v>
      </c>
      <c r="H798" s="3">
        <v>45942</v>
      </c>
      <c r="I798" s="1" t="s">
        <v>933</v>
      </c>
      <c r="J798" s="1" t="s">
        <v>66</v>
      </c>
      <c r="K798" s="1" t="s">
        <v>66</v>
      </c>
      <c r="L798" s="1" t="s">
        <v>2055</v>
      </c>
      <c r="M798" s="3">
        <v>45930</v>
      </c>
      <c r="N798" s="1" t="s">
        <v>712</v>
      </c>
      <c r="O798" s="1" t="s">
        <v>936</v>
      </c>
      <c r="P798" s="1">
        <v>1</v>
      </c>
    </row>
    <row r="799" spans="1:16" x14ac:dyDescent="0.25">
      <c r="A799" s="3">
        <v>45929</v>
      </c>
      <c r="B799" s="4">
        <v>1078</v>
      </c>
      <c r="C799" s="5">
        <v>270</v>
      </c>
      <c r="D799" s="1" t="s">
        <v>1074</v>
      </c>
      <c r="E799" s="1" t="s">
        <v>1075</v>
      </c>
      <c r="F799" s="1" t="s">
        <v>659</v>
      </c>
      <c r="G799" s="1" t="s">
        <v>981</v>
      </c>
      <c r="H799" s="3">
        <v>45942</v>
      </c>
      <c r="I799" s="1" t="s">
        <v>933</v>
      </c>
      <c r="J799" s="1" t="s">
        <v>951</v>
      </c>
      <c r="K799" s="1" t="s">
        <v>66</v>
      </c>
      <c r="L799" s="1" t="s">
        <v>2056</v>
      </c>
      <c r="M799" s="3">
        <v>45930</v>
      </c>
      <c r="N799" s="1"/>
      <c r="O799" s="1" t="s">
        <v>936</v>
      </c>
      <c r="P799" s="1">
        <v>1</v>
      </c>
    </row>
    <row r="800" spans="1:16" x14ac:dyDescent="0.25">
      <c r="A800" s="3">
        <v>45929</v>
      </c>
      <c r="B800" s="4">
        <v>1079</v>
      </c>
      <c r="C800" s="5">
        <v>200</v>
      </c>
      <c r="D800" s="1" t="s">
        <v>1074</v>
      </c>
      <c r="E800" s="1" t="s">
        <v>1075</v>
      </c>
      <c r="F800" s="1" t="s">
        <v>753</v>
      </c>
      <c r="G800" s="1" t="s">
        <v>1058</v>
      </c>
      <c r="H800" s="3">
        <v>45942</v>
      </c>
      <c r="I800" s="1" t="s">
        <v>933</v>
      </c>
      <c r="J800" s="1" t="s">
        <v>66</v>
      </c>
      <c r="K800" s="1" t="s">
        <v>66</v>
      </c>
      <c r="L800" s="1" t="s">
        <v>2057</v>
      </c>
      <c r="M800" s="3">
        <v>45930</v>
      </c>
      <c r="N800" s="1" t="s">
        <v>57</v>
      </c>
      <c r="O800" s="1" t="s">
        <v>936</v>
      </c>
      <c r="P800" s="1">
        <v>1</v>
      </c>
    </row>
    <row r="801" spans="1:16" x14ac:dyDescent="0.25">
      <c r="A801" s="3">
        <v>45929</v>
      </c>
      <c r="B801" s="4">
        <v>1079</v>
      </c>
      <c r="C801" s="5">
        <v>406.9</v>
      </c>
      <c r="D801" s="1" t="s">
        <v>1074</v>
      </c>
      <c r="E801" s="1" t="s">
        <v>1075</v>
      </c>
      <c r="F801" s="1" t="s">
        <v>594</v>
      </c>
      <c r="G801" s="1" t="s">
        <v>1058</v>
      </c>
      <c r="H801" s="3">
        <v>45942</v>
      </c>
      <c r="I801" s="1" t="s">
        <v>933</v>
      </c>
      <c r="J801" s="1" t="s">
        <v>66</v>
      </c>
      <c r="K801" s="1" t="s">
        <v>66</v>
      </c>
      <c r="L801" s="1" t="s">
        <v>2058</v>
      </c>
      <c r="M801" s="3">
        <v>45930</v>
      </c>
      <c r="N801" s="1" t="s">
        <v>57</v>
      </c>
      <c r="O801" s="1" t="s">
        <v>936</v>
      </c>
      <c r="P801" s="1">
        <v>1</v>
      </c>
    </row>
    <row r="802" spans="1:16" x14ac:dyDescent="0.25">
      <c r="A802" s="3">
        <v>45929</v>
      </c>
      <c r="B802" s="4">
        <v>1079</v>
      </c>
      <c r="C802" s="5">
        <v>80</v>
      </c>
      <c r="D802" s="1" t="s">
        <v>1074</v>
      </c>
      <c r="E802" s="1" t="s">
        <v>1075</v>
      </c>
      <c r="F802" s="1" t="s">
        <v>955</v>
      </c>
      <c r="G802" s="1" t="s">
        <v>1058</v>
      </c>
      <c r="H802" s="3">
        <v>45942</v>
      </c>
      <c r="I802" s="1" t="s">
        <v>933</v>
      </c>
      <c r="J802" s="1" t="s">
        <v>951</v>
      </c>
      <c r="K802" s="1" t="s">
        <v>66</v>
      </c>
      <c r="L802" s="1" t="s">
        <v>2057</v>
      </c>
      <c r="M802" s="3">
        <v>45930</v>
      </c>
      <c r="N802" s="1" t="s">
        <v>821</v>
      </c>
      <c r="O802" s="1" t="s">
        <v>936</v>
      </c>
      <c r="P802" s="1">
        <v>1</v>
      </c>
    </row>
    <row r="803" spans="1:16" x14ac:dyDescent="0.25">
      <c r="A803" s="3">
        <v>45929</v>
      </c>
      <c r="B803" s="4">
        <v>1079</v>
      </c>
      <c r="C803" s="5">
        <v>80</v>
      </c>
      <c r="D803" s="1" t="s">
        <v>1074</v>
      </c>
      <c r="E803" s="1" t="s">
        <v>1075</v>
      </c>
      <c r="F803" s="1" t="s">
        <v>955</v>
      </c>
      <c r="G803" s="1" t="s">
        <v>1058</v>
      </c>
      <c r="H803" s="3">
        <v>45942</v>
      </c>
      <c r="I803" s="1" t="s">
        <v>933</v>
      </c>
      <c r="J803" s="1" t="s">
        <v>951</v>
      </c>
      <c r="K803" s="1" t="s">
        <v>66</v>
      </c>
      <c r="L803" s="1" t="s">
        <v>2057</v>
      </c>
      <c r="M803" s="3">
        <v>45930</v>
      </c>
      <c r="N803" s="1" t="s">
        <v>821</v>
      </c>
      <c r="O803" s="1" t="s">
        <v>936</v>
      </c>
      <c r="P803" s="1">
        <v>1</v>
      </c>
    </row>
    <row r="804" spans="1:16" x14ac:dyDescent="0.25">
      <c r="A804" s="3">
        <v>45929</v>
      </c>
      <c r="B804" s="4">
        <v>1079</v>
      </c>
      <c r="C804" s="5">
        <v>80</v>
      </c>
      <c r="D804" s="1" t="s">
        <v>1074</v>
      </c>
      <c r="E804" s="1" t="s">
        <v>1075</v>
      </c>
      <c r="F804" s="1" t="s">
        <v>955</v>
      </c>
      <c r="G804" s="1" t="s">
        <v>1058</v>
      </c>
      <c r="H804" s="3">
        <v>45942</v>
      </c>
      <c r="I804" s="1" t="s">
        <v>933</v>
      </c>
      <c r="J804" s="1" t="s">
        <v>951</v>
      </c>
      <c r="K804" s="1" t="s">
        <v>66</v>
      </c>
      <c r="L804" s="1" t="s">
        <v>2059</v>
      </c>
      <c r="M804" s="3">
        <v>45930</v>
      </c>
      <c r="N804" s="1" t="s">
        <v>821</v>
      </c>
      <c r="O804" s="1" t="s">
        <v>936</v>
      </c>
      <c r="P804" s="1">
        <v>1</v>
      </c>
    </row>
    <row r="805" spans="1:16" x14ac:dyDescent="0.25">
      <c r="A805" s="3">
        <v>45929</v>
      </c>
      <c r="B805" s="4">
        <v>1079</v>
      </c>
      <c r="C805" s="5">
        <v>40</v>
      </c>
      <c r="D805" s="1" t="s">
        <v>1074</v>
      </c>
      <c r="E805" s="1" t="s">
        <v>1075</v>
      </c>
      <c r="F805" s="1" t="s">
        <v>955</v>
      </c>
      <c r="G805" s="1" t="s">
        <v>1058</v>
      </c>
      <c r="H805" s="3">
        <v>45942</v>
      </c>
      <c r="I805" s="1" t="s">
        <v>933</v>
      </c>
      <c r="J805" s="1" t="s">
        <v>951</v>
      </c>
      <c r="K805" s="1" t="s">
        <v>66</v>
      </c>
      <c r="L805" s="1" t="s">
        <v>2060</v>
      </c>
      <c r="M805" s="3">
        <v>45930</v>
      </c>
      <c r="N805" s="1" t="s">
        <v>821</v>
      </c>
      <c r="O805" s="1" t="s">
        <v>936</v>
      </c>
      <c r="P805" s="1">
        <v>1</v>
      </c>
    </row>
    <row r="806" spans="1:16" x14ac:dyDescent="0.25">
      <c r="A806" s="3">
        <v>45929</v>
      </c>
      <c r="B806" s="4">
        <v>1079</v>
      </c>
      <c r="C806" s="5">
        <v>80</v>
      </c>
      <c r="D806" s="1" t="s">
        <v>1074</v>
      </c>
      <c r="E806" s="1" t="s">
        <v>1075</v>
      </c>
      <c r="F806" s="1" t="s">
        <v>955</v>
      </c>
      <c r="G806" s="1" t="s">
        <v>1058</v>
      </c>
      <c r="H806" s="3">
        <v>45942</v>
      </c>
      <c r="I806" s="1" t="s">
        <v>933</v>
      </c>
      <c r="J806" s="1" t="s">
        <v>951</v>
      </c>
      <c r="K806" s="1" t="s">
        <v>66</v>
      </c>
      <c r="L806" s="1" t="s">
        <v>2061</v>
      </c>
      <c r="M806" s="3">
        <v>45930</v>
      </c>
      <c r="N806" s="1" t="s">
        <v>821</v>
      </c>
      <c r="O806" s="1" t="s">
        <v>936</v>
      </c>
      <c r="P806" s="1">
        <v>1</v>
      </c>
    </row>
    <row r="807" spans="1:16" x14ac:dyDescent="0.25">
      <c r="A807" s="3">
        <v>45929</v>
      </c>
      <c r="B807" s="4">
        <v>1079</v>
      </c>
      <c r="C807" s="5">
        <v>80</v>
      </c>
      <c r="D807" s="1" t="s">
        <v>1074</v>
      </c>
      <c r="E807" s="1" t="s">
        <v>1075</v>
      </c>
      <c r="F807" s="1" t="s">
        <v>955</v>
      </c>
      <c r="G807" s="1" t="s">
        <v>1058</v>
      </c>
      <c r="H807" s="3">
        <v>45942</v>
      </c>
      <c r="I807" s="1" t="s">
        <v>933</v>
      </c>
      <c r="J807" s="1" t="s">
        <v>951</v>
      </c>
      <c r="K807" s="1" t="s">
        <v>66</v>
      </c>
      <c r="L807" s="1" t="s">
        <v>2062</v>
      </c>
      <c r="M807" s="3">
        <v>45930</v>
      </c>
      <c r="N807" s="1" t="s">
        <v>821</v>
      </c>
      <c r="O807" s="1" t="s">
        <v>936</v>
      </c>
      <c r="P807" s="1">
        <v>1</v>
      </c>
    </row>
    <row r="808" spans="1:16" x14ac:dyDescent="0.25">
      <c r="A808" s="3">
        <v>45929</v>
      </c>
      <c r="B808" s="4">
        <v>1079</v>
      </c>
      <c r="C808" s="5">
        <v>80</v>
      </c>
      <c r="D808" s="1" t="s">
        <v>1074</v>
      </c>
      <c r="E808" s="1" t="s">
        <v>1075</v>
      </c>
      <c r="F808" s="1" t="s">
        <v>955</v>
      </c>
      <c r="G808" s="1" t="s">
        <v>1058</v>
      </c>
      <c r="H808" s="3">
        <v>45942</v>
      </c>
      <c r="I808" s="1" t="s">
        <v>933</v>
      </c>
      <c r="J808" s="1" t="s">
        <v>951</v>
      </c>
      <c r="K808" s="1" t="s">
        <v>66</v>
      </c>
      <c r="L808" s="1" t="s">
        <v>2063</v>
      </c>
      <c r="M808" s="3">
        <v>45930</v>
      </c>
      <c r="N808" s="1" t="s">
        <v>821</v>
      </c>
      <c r="O808" s="1" t="s">
        <v>936</v>
      </c>
      <c r="P808" s="1">
        <v>1</v>
      </c>
    </row>
    <row r="809" spans="1:16" x14ac:dyDescent="0.25">
      <c r="A809" s="3">
        <v>45929</v>
      </c>
      <c r="B809" s="4">
        <v>1079</v>
      </c>
      <c r="C809" s="5">
        <v>80</v>
      </c>
      <c r="D809" s="1" t="s">
        <v>1074</v>
      </c>
      <c r="E809" s="1" t="s">
        <v>1075</v>
      </c>
      <c r="F809" s="1" t="s">
        <v>955</v>
      </c>
      <c r="G809" s="1" t="s">
        <v>1058</v>
      </c>
      <c r="H809" s="3">
        <v>45942</v>
      </c>
      <c r="I809" s="1" t="s">
        <v>933</v>
      </c>
      <c r="J809" s="1" t="s">
        <v>951</v>
      </c>
      <c r="K809" s="1" t="s">
        <v>66</v>
      </c>
      <c r="L809" s="1" t="s">
        <v>2062</v>
      </c>
      <c r="M809" s="3">
        <v>45930</v>
      </c>
      <c r="N809" s="1" t="s">
        <v>821</v>
      </c>
      <c r="O809" s="1" t="s">
        <v>936</v>
      </c>
      <c r="P809" s="1">
        <v>1</v>
      </c>
    </row>
    <row r="810" spans="1:16" x14ac:dyDescent="0.25">
      <c r="A810" s="3">
        <v>45929</v>
      </c>
      <c r="B810" s="4">
        <v>1079</v>
      </c>
      <c r="C810" s="5">
        <v>80</v>
      </c>
      <c r="D810" s="1" t="s">
        <v>1074</v>
      </c>
      <c r="E810" s="1" t="s">
        <v>1075</v>
      </c>
      <c r="F810" s="1" t="s">
        <v>955</v>
      </c>
      <c r="G810" s="1" t="s">
        <v>1058</v>
      </c>
      <c r="H810" s="3">
        <v>45942</v>
      </c>
      <c r="I810" s="1" t="s">
        <v>933</v>
      </c>
      <c r="J810" s="1" t="s">
        <v>951</v>
      </c>
      <c r="K810" s="1" t="s">
        <v>66</v>
      </c>
      <c r="L810" s="1" t="s">
        <v>2064</v>
      </c>
      <c r="M810" s="3">
        <v>45930</v>
      </c>
      <c r="N810" s="1" t="s">
        <v>821</v>
      </c>
      <c r="O810" s="1" t="s">
        <v>936</v>
      </c>
      <c r="P810" s="1">
        <v>1</v>
      </c>
    </row>
    <row r="811" spans="1:16" x14ac:dyDescent="0.25">
      <c r="A811" s="3">
        <v>45929</v>
      </c>
      <c r="B811" s="4">
        <v>1079</v>
      </c>
      <c r="C811" s="5">
        <v>80</v>
      </c>
      <c r="D811" s="1" t="s">
        <v>1074</v>
      </c>
      <c r="E811" s="1" t="s">
        <v>1075</v>
      </c>
      <c r="F811" s="1" t="s">
        <v>955</v>
      </c>
      <c r="G811" s="1" t="s">
        <v>1058</v>
      </c>
      <c r="H811" s="3">
        <v>45942</v>
      </c>
      <c r="I811" s="1" t="s">
        <v>933</v>
      </c>
      <c r="J811" s="1" t="s">
        <v>951</v>
      </c>
      <c r="K811" s="1" t="s">
        <v>66</v>
      </c>
      <c r="L811" s="1" t="s">
        <v>2065</v>
      </c>
      <c r="M811" s="3">
        <v>45930</v>
      </c>
      <c r="N811" s="1" t="s">
        <v>821</v>
      </c>
      <c r="O811" s="1" t="s">
        <v>936</v>
      </c>
      <c r="P811" s="1">
        <v>1</v>
      </c>
    </row>
    <row r="812" spans="1:16" x14ac:dyDescent="0.25">
      <c r="A812" s="3">
        <v>45929</v>
      </c>
      <c r="B812" s="4">
        <v>1079</v>
      </c>
      <c r="C812" s="5">
        <v>80</v>
      </c>
      <c r="D812" s="1" t="s">
        <v>1074</v>
      </c>
      <c r="E812" s="1" t="s">
        <v>1075</v>
      </c>
      <c r="F812" s="1" t="s">
        <v>955</v>
      </c>
      <c r="G812" s="1" t="s">
        <v>1058</v>
      </c>
      <c r="H812" s="3">
        <v>45942</v>
      </c>
      <c r="I812" s="1" t="s">
        <v>933</v>
      </c>
      <c r="J812" s="1" t="s">
        <v>951</v>
      </c>
      <c r="K812" s="1" t="s">
        <v>66</v>
      </c>
      <c r="L812" s="1" t="s">
        <v>2062</v>
      </c>
      <c r="M812" s="3">
        <v>45930</v>
      </c>
      <c r="N812" s="1" t="s">
        <v>821</v>
      </c>
      <c r="O812" s="1" t="s">
        <v>936</v>
      </c>
      <c r="P812" s="1">
        <v>1</v>
      </c>
    </row>
    <row r="813" spans="1:16" x14ac:dyDescent="0.25">
      <c r="A813" s="3">
        <v>45929</v>
      </c>
      <c r="B813" s="4">
        <v>1079</v>
      </c>
      <c r="C813" s="5">
        <v>400</v>
      </c>
      <c r="D813" s="1" t="s">
        <v>1074</v>
      </c>
      <c r="E813" s="1" t="s">
        <v>1075</v>
      </c>
      <c r="F813" s="1" t="s">
        <v>599</v>
      </c>
      <c r="G813" s="1" t="s">
        <v>1058</v>
      </c>
      <c r="H813" s="3">
        <v>45942</v>
      </c>
      <c r="I813" s="1" t="s">
        <v>933</v>
      </c>
      <c r="J813" s="1" t="s">
        <v>66</v>
      </c>
      <c r="K813" s="1" t="s">
        <v>66</v>
      </c>
      <c r="L813" s="1" t="s">
        <v>2057</v>
      </c>
      <c r="M813" s="3">
        <v>45930</v>
      </c>
      <c r="N813" s="1" t="s">
        <v>57</v>
      </c>
      <c r="O813" s="1" t="s">
        <v>936</v>
      </c>
      <c r="P813" s="1">
        <v>1</v>
      </c>
    </row>
    <row r="814" spans="1:16" x14ac:dyDescent="0.25">
      <c r="A814" s="3">
        <v>45929</v>
      </c>
      <c r="B814" s="4">
        <v>1079</v>
      </c>
      <c r="C814" s="5">
        <v>230</v>
      </c>
      <c r="D814" s="1" t="s">
        <v>1074</v>
      </c>
      <c r="E814" s="1" t="s">
        <v>1075</v>
      </c>
      <c r="F814" s="1" t="s">
        <v>451</v>
      </c>
      <c r="G814" s="1" t="s">
        <v>1058</v>
      </c>
      <c r="H814" s="3">
        <v>45942</v>
      </c>
      <c r="I814" s="1" t="s">
        <v>933</v>
      </c>
      <c r="J814" s="1" t="s">
        <v>66</v>
      </c>
      <c r="K814" s="1" t="s">
        <v>66</v>
      </c>
      <c r="L814" s="1" t="s">
        <v>2057</v>
      </c>
      <c r="M814" s="3">
        <v>45930</v>
      </c>
      <c r="N814" s="1" t="s">
        <v>212</v>
      </c>
      <c r="O814" s="1" t="s">
        <v>936</v>
      </c>
      <c r="P814" s="1">
        <v>1</v>
      </c>
    </row>
    <row r="815" spans="1:16" x14ac:dyDescent="0.25">
      <c r="A815" s="3">
        <v>45929</v>
      </c>
      <c r="B815" s="4">
        <v>1079</v>
      </c>
      <c r="C815" s="5">
        <v>230</v>
      </c>
      <c r="D815" s="1" t="s">
        <v>1074</v>
      </c>
      <c r="E815" s="1" t="s">
        <v>1075</v>
      </c>
      <c r="F815" s="1" t="s">
        <v>775</v>
      </c>
      <c r="G815" s="1" t="s">
        <v>1058</v>
      </c>
      <c r="H815" s="3">
        <v>45942</v>
      </c>
      <c r="I815" s="1" t="s">
        <v>933</v>
      </c>
      <c r="J815" s="1" t="s">
        <v>66</v>
      </c>
      <c r="K815" s="1" t="s">
        <v>66</v>
      </c>
      <c r="L815" s="1" t="s">
        <v>2057</v>
      </c>
      <c r="M815" s="3">
        <v>45930</v>
      </c>
      <c r="N815" s="1" t="s">
        <v>580</v>
      </c>
      <c r="O815" s="1" t="s">
        <v>936</v>
      </c>
      <c r="P815" s="1">
        <v>1</v>
      </c>
    </row>
    <row r="816" spans="1:16" x14ac:dyDescent="0.25">
      <c r="A816" s="3">
        <v>45929</v>
      </c>
      <c r="B816" s="4">
        <v>1079</v>
      </c>
      <c r="C816" s="5">
        <v>230</v>
      </c>
      <c r="D816" s="1" t="s">
        <v>1074</v>
      </c>
      <c r="E816" s="1" t="s">
        <v>1075</v>
      </c>
      <c r="F816" s="1" t="s">
        <v>451</v>
      </c>
      <c r="G816" s="1" t="s">
        <v>1058</v>
      </c>
      <c r="H816" s="3">
        <v>45942</v>
      </c>
      <c r="I816" s="1" t="s">
        <v>933</v>
      </c>
      <c r="J816" s="1"/>
      <c r="K816" s="1" t="s">
        <v>66</v>
      </c>
      <c r="L816" s="1" t="s">
        <v>2057</v>
      </c>
      <c r="M816" s="3">
        <v>45930</v>
      </c>
      <c r="N816" s="1"/>
      <c r="O816" s="1" t="s">
        <v>936</v>
      </c>
      <c r="P816" s="1">
        <v>1</v>
      </c>
    </row>
    <row r="817" spans="1:16" x14ac:dyDescent="0.25">
      <c r="A817" s="3">
        <v>45929</v>
      </c>
      <c r="B817" s="4">
        <v>1079</v>
      </c>
      <c r="C817" s="5">
        <v>442.4</v>
      </c>
      <c r="D817" s="1" t="s">
        <v>1074</v>
      </c>
      <c r="E817" s="1" t="s">
        <v>1075</v>
      </c>
      <c r="F817" s="1" t="s">
        <v>218</v>
      </c>
      <c r="G817" s="1" t="s">
        <v>1058</v>
      </c>
      <c r="H817" s="3">
        <v>45942</v>
      </c>
      <c r="I817" s="1" t="s">
        <v>933</v>
      </c>
      <c r="J817" s="1" t="s">
        <v>66</v>
      </c>
      <c r="K817" s="1" t="s">
        <v>66</v>
      </c>
      <c r="L817" s="1" t="s">
        <v>2066</v>
      </c>
      <c r="M817" s="3">
        <v>45930</v>
      </c>
      <c r="N817" s="1" t="s">
        <v>221</v>
      </c>
      <c r="O817" s="1" t="s">
        <v>936</v>
      </c>
      <c r="P817" s="1">
        <v>1</v>
      </c>
    </row>
    <row r="818" spans="1:16" x14ac:dyDescent="0.25">
      <c r="A818" s="3">
        <v>45929</v>
      </c>
      <c r="B818" s="4">
        <v>1079</v>
      </c>
      <c r="C818" s="5">
        <v>430</v>
      </c>
      <c r="D818" s="1" t="s">
        <v>1074</v>
      </c>
      <c r="E818" s="1" t="s">
        <v>1075</v>
      </c>
      <c r="F818" s="1" t="s">
        <v>400</v>
      </c>
      <c r="G818" s="1" t="s">
        <v>1058</v>
      </c>
      <c r="H818" s="3">
        <v>45942</v>
      </c>
      <c r="I818" s="1" t="s">
        <v>933</v>
      </c>
      <c r="J818" s="1" t="s">
        <v>66</v>
      </c>
      <c r="K818" s="1" t="s">
        <v>66</v>
      </c>
      <c r="L818" s="1" t="s">
        <v>2057</v>
      </c>
      <c r="M818" s="3">
        <v>45930</v>
      </c>
      <c r="N818" s="1" t="s">
        <v>57</v>
      </c>
      <c r="O818" s="1" t="s">
        <v>936</v>
      </c>
      <c r="P818" s="1">
        <v>1</v>
      </c>
    </row>
    <row r="819" spans="1:16" x14ac:dyDescent="0.25">
      <c r="A819" s="3">
        <v>45929</v>
      </c>
      <c r="B819" s="4">
        <v>1079</v>
      </c>
      <c r="C819" s="5">
        <v>356.9</v>
      </c>
      <c r="D819" s="1" t="s">
        <v>1074</v>
      </c>
      <c r="E819" s="1" t="s">
        <v>1075</v>
      </c>
      <c r="F819" s="1" t="s">
        <v>659</v>
      </c>
      <c r="G819" s="1" t="s">
        <v>1058</v>
      </c>
      <c r="H819" s="3">
        <v>45942</v>
      </c>
      <c r="I819" s="1" t="s">
        <v>933</v>
      </c>
      <c r="J819" s="1" t="s">
        <v>951</v>
      </c>
      <c r="K819" s="1" t="s">
        <v>66</v>
      </c>
      <c r="L819" s="1" t="s">
        <v>2057</v>
      </c>
      <c r="M819" s="3">
        <v>45930</v>
      </c>
      <c r="N819" s="1"/>
      <c r="O819" s="1" t="s">
        <v>936</v>
      </c>
      <c r="P819" s="1">
        <v>1</v>
      </c>
    </row>
    <row r="820" spans="1:16" x14ac:dyDescent="0.25">
      <c r="A820" s="3">
        <v>45929</v>
      </c>
      <c r="B820" s="1">
        <v>44</v>
      </c>
      <c r="C820" s="5">
        <v>450</v>
      </c>
      <c r="D820" s="1" t="s">
        <v>2067</v>
      </c>
      <c r="E820" s="1" t="s">
        <v>2068</v>
      </c>
      <c r="F820" s="1" t="s">
        <v>128</v>
      </c>
      <c r="G820" s="1" t="s">
        <v>940</v>
      </c>
      <c r="H820" s="1" t="s">
        <v>1083</v>
      </c>
      <c r="I820" s="1" t="s">
        <v>933</v>
      </c>
      <c r="J820" s="1" t="s">
        <v>66</v>
      </c>
      <c r="K820" s="1" t="s">
        <v>52</v>
      </c>
      <c r="L820" s="1" t="s">
        <v>2069</v>
      </c>
      <c r="M820" s="3">
        <v>45931</v>
      </c>
      <c r="N820" s="1" t="s">
        <v>93</v>
      </c>
      <c r="O820" s="1" t="s">
        <v>936</v>
      </c>
      <c r="P820" s="1">
        <v>1</v>
      </c>
    </row>
    <row r="821" spans="1:16" x14ac:dyDescent="0.25">
      <c r="A821" s="3">
        <v>45930</v>
      </c>
      <c r="B821" s="1">
        <v>63</v>
      </c>
      <c r="C821" s="5">
        <v>7569.56</v>
      </c>
      <c r="D821" s="1" t="s">
        <v>1658</v>
      </c>
      <c r="E821" s="1" t="s">
        <v>1659</v>
      </c>
      <c r="F821" s="1" t="s">
        <v>949</v>
      </c>
      <c r="G821" s="1" t="s">
        <v>950</v>
      </c>
      <c r="H821" s="3">
        <v>45936</v>
      </c>
      <c r="I821" s="1" t="s">
        <v>933</v>
      </c>
      <c r="J821" s="1" t="s">
        <v>951</v>
      </c>
      <c r="K821" s="1" t="s">
        <v>817</v>
      </c>
      <c r="L821" s="1" t="s">
        <v>2070</v>
      </c>
      <c r="M821" s="3">
        <v>45930</v>
      </c>
      <c r="N821" s="1" t="s">
        <v>821</v>
      </c>
      <c r="O821" s="1" t="s">
        <v>936</v>
      </c>
      <c r="P821" s="1">
        <v>1</v>
      </c>
    </row>
    <row r="822" spans="1:16" x14ac:dyDescent="0.25">
      <c r="A822" s="3">
        <v>45930</v>
      </c>
      <c r="B822" s="4">
        <v>3265</v>
      </c>
      <c r="C822" s="5">
        <v>7929.6</v>
      </c>
      <c r="D822" s="1" t="s">
        <v>1134</v>
      </c>
      <c r="E822" s="1" t="s">
        <v>1135</v>
      </c>
      <c r="F822" s="1" t="s">
        <v>955</v>
      </c>
      <c r="G822" s="1" t="s">
        <v>940</v>
      </c>
      <c r="H822" s="3">
        <v>45951</v>
      </c>
      <c r="I822" s="1" t="s">
        <v>933</v>
      </c>
      <c r="J822" s="1" t="s">
        <v>951</v>
      </c>
      <c r="K822" s="1" t="s">
        <v>20</v>
      </c>
      <c r="L822" s="1" t="s">
        <v>2071</v>
      </c>
      <c r="M822" s="3">
        <v>45930</v>
      </c>
      <c r="N822" s="1" t="s">
        <v>821</v>
      </c>
      <c r="O822" s="1" t="s">
        <v>936</v>
      </c>
      <c r="P822" s="1">
        <v>1</v>
      </c>
    </row>
    <row r="823" spans="1:16" x14ac:dyDescent="0.25">
      <c r="A823" s="3">
        <v>45930</v>
      </c>
      <c r="B823" s="4">
        <v>8737</v>
      </c>
      <c r="C823" s="5">
        <v>28200</v>
      </c>
      <c r="D823" s="1" t="s">
        <v>973</v>
      </c>
      <c r="E823" s="1" t="s">
        <v>1068</v>
      </c>
      <c r="F823" s="1" t="s">
        <v>955</v>
      </c>
      <c r="G823" s="1" t="s">
        <v>998</v>
      </c>
      <c r="H823" s="3">
        <v>45945</v>
      </c>
      <c r="I823" s="1" t="s">
        <v>933</v>
      </c>
      <c r="J823" s="1" t="s">
        <v>951</v>
      </c>
      <c r="K823" s="1" t="s">
        <v>996</v>
      </c>
      <c r="L823" s="1" t="s">
        <v>2072</v>
      </c>
      <c r="M823" s="3">
        <v>45930</v>
      </c>
      <c r="N823" s="1" t="s">
        <v>821</v>
      </c>
      <c r="O823" s="1" t="s">
        <v>998</v>
      </c>
      <c r="P823" s="1">
        <v>1</v>
      </c>
    </row>
    <row r="824" spans="1:16" x14ac:dyDescent="0.25">
      <c r="A824" s="3">
        <v>45930</v>
      </c>
      <c r="B824" s="4">
        <v>8757</v>
      </c>
      <c r="C824" s="5">
        <v>22560</v>
      </c>
      <c r="D824" s="1" t="s">
        <v>973</v>
      </c>
      <c r="E824" s="1" t="s">
        <v>1068</v>
      </c>
      <c r="F824" s="1" t="s">
        <v>304</v>
      </c>
      <c r="G824" s="1" t="s">
        <v>998</v>
      </c>
      <c r="H824" s="3">
        <v>45959</v>
      </c>
      <c r="I824" s="1" t="s">
        <v>933</v>
      </c>
      <c r="J824" s="1" t="s">
        <v>66</v>
      </c>
      <c r="K824" s="1" t="s">
        <v>66</v>
      </c>
      <c r="L824" s="1">
        <v>4000</v>
      </c>
      <c r="M824" s="3">
        <v>45933</v>
      </c>
      <c r="N824" s="1" t="s">
        <v>57</v>
      </c>
      <c r="O824" s="1" t="s">
        <v>998</v>
      </c>
      <c r="P824" s="1">
        <v>1</v>
      </c>
    </row>
    <row r="825" spans="1:16" x14ac:dyDescent="0.25">
      <c r="A825" s="3">
        <v>45930</v>
      </c>
      <c r="B825" s="1">
        <v>14</v>
      </c>
      <c r="C825" s="5">
        <v>4500</v>
      </c>
      <c r="D825" s="1" t="s">
        <v>2073</v>
      </c>
      <c r="E825" s="1" t="s">
        <v>2074</v>
      </c>
      <c r="F825" s="1" t="s">
        <v>419</v>
      </c>
      <c r="G825" s="1" t="s">
        <v>940</v>
      </c>
      <c r="H825" s="3">
        <v>45952</v>
      </c>
      <c r="I825" s="1" t="s">
        <v>933</v>
      </c>
      <c r="J825" s="1" t="s">
        <v>66</v>
      </c>
      <c r="K825" s="1" t="s">
        <v>308</v>
      </c>
      <c r="L825" s="1" t="s">
        <v>2075</v>
      </c>
      <c r="M825" s="3">
        <v>45930</v>
      </c>
      <c r="N825" s="1" t="s">
        <v>98</v>
      </c>
      <c r="O825" s="1" t="s">
        <v>936</v>
      </c>
      <c r="P825" s="1" t="s">
        <v>937</v>
      </c>
    </row>
    <row r="826" spans="1:16" x14ac:dyDescent="0.25">
      <c r="A826" s="3">
        <v>45930</v>
      </c>
      <c r="B826" s="4">
        <v>8760</v>
      </c>
      <c r="C826" s="5">
        <v>2947.21</v>
      </c>
      <c r="D826" s="1" t="s">
        <v>1801</v>
      </c>
      <c r="E826" s="1" t="s">
        <v>1802</v>
      </c>
      <c r="F826" s="1" t="s">
        <v>2076</v>
      </c>
      <c r="G826" s="1" t="s">
        <v>950</v>
      </c>
      <c r="H826" s="3">
        <v>45940</v>
      </c>
      <c r="I826" s="1" t="s">
        <v>933</v>
      </c>
      <c r="J826" s="1" t="s">
        <v>951</v>
      </c>
      <c r="K826" s="1" t="s">
        <v>996</v>
      </c>
      <c r="L826" s="1" t="s">
        <v>2077</v>
      </c>
      <c r="M826" s="3">
        <v>45930</v>
      </c>
      <c r="N826" s="1"/>
      <c r="O826" s="1" t="s">
        <v>998</v>
      </c>
      <c r="P826" s="1">
        <v>1</v>
      </c>
    </row>
    <row r="827" spans="1:16" x14ac:dyDescent="0.25">
      <c r="A827" s="3">
        <v>45930</v>
      </c>
      <c r="B827" s="1">
        <v>65</v>
      </c>
      <c r="C827" s="5">
        <v>500</v>
      </c>
      <c r="D827" s="1" t="s">
        <v>1658</v>
      </c>
      <c r="E827" s="1" t="s">
        <v>1659</v>
      </c>
      <c r="F827" s="1" t="s">
        <v>955</v>
      </c>
      <c r="G827" s="1" t="s">
        <v>940</v>
      </c>
      <c r="H827" s="3">
        <v>45945</v>
      </c>
      <c r="I827" s="1" t="s">
        <v>933</v>
      </c>
      <c r="J827" s="1" t="s">
        <v>951</v>
      </c>
      <c r="K827" s="1" t="s">
        <v>20</v>
      </c>
      <c r="L827" s="1" t="s">
        <v>2078</v>
      </c>
      <c r="M827" s="3">
        <v>45930</v>
      </c>
      <c r="N827" s="1" t="s">
        <v>821</v>
      </c>
      <c r="O827" s="1" t="s">
        <v>936</v>
      </c>
      <c r="P827" s="1">
        <v>1</v>
      </c>
    </row>
    <row r="828" spans="1:16" x14ac:dyDescent="0.25">
      <c r="A828" s="3">
        <v>45930</v>
      </c>
      <c r="B828" s="4">
        <v>46225</v>
      </c>
      <c r="C828" s="5">
        <v>2355</v>
      </c>
      <c r="D828" s="1" t="s">
        <v>1489</v>
      </c>
      <c r="E828" s="1" t="s">
        <v>1490</v>
      </c>
      <c r="F828" s="1" t="s">
        <v>245</v>
      </c>
      <c r="G828" s="1" t="s">
        <v>940</v>
      </c>
      <c r="H828" s="3">
        <v>45960</v>
      </c>
      <c r="I828" s="1" t="s">
        <v>933</v>
      </c>
      <c r="J828" s="1" t="s">
        <v>66</v>
      </c>
      <c r="K828" s="1" t="s">
        <v>66</v>
      </c>
      <c r="L828" s="1" t="s">
        <v>2079</v>
      </c>
      <c r="M828" s="3">
        <v>45930</v>
      </c>
      <c r="N828" s="1" t="s">
        <v>57</v>
      </c>
      <c r="O828" s="1" t="s">
        <v>936</v>
      </c>
      <c r="P828" s="1">
        <v>1</v>
      </c>
    </row>
    <row r="829" spans="1:16" x14ac:dyDescent="0.25">
      <c r="A829" s="3">
        <v>45931</v>
      </c>
      <c r="B829" s="4">
        <v>50972866</v>
      </c>
      <c r="C829" s="5">
        <v>13486.11</v>
      </c>
      <c r="D829" s="1" t="s">
        <v>1604</v>
      </c>
      <c r="E829" s="1" t="s">
        <v>1605</v>
      </c>
      <c r="F829" s="1" t="s">
        <v>955</v>
      </c>
      <c r="G829" s="1" t="s">
        <v>950</v>
      </c>
      <c r="H829" s="3">
        <v>45944</v>
      </c>
      <c r="I829" s="1" t="s">
        <v>933</v>
      </c>
      <c r="J829" s="1" t="s">
        <v>951</v>
      </c>
      <c r="K829" s="1" t="s">
        <v>934</v>
      </c>
      <c r="L829" s="1" t="s">
        <v>1605</v>
      </c>
      <c r="M829" s="3">
        <v>45930</v>
      </c>
      <c r="N829" s="1" t="s">
        <v>821</v>
      </c>
      <c r="O829" s="1" t="s">
        <v>932</v>
      </c>
      <c r="P829" s="1">
        <v>1</v>
      </c>
    </row>
    <row r="830" spans="1:16" x14ac:dyDescent="0.25">
      <c r="A830" s="3">
        <v>45931</v>
      </c>
      <c r="B830" s="4">
        <v>1750</v>
      </c>
      <c r="C830" s="5">
        <v>1591</v>
      </c>
      <c r="D830" s="1" t="s">
        <v>953</v>
      </c>
      <c r="E830" s="1" t="s">
        <v>954</v>
      </c>
      <c r="F830" s="1" t="s">
        <v>955</v>
      </c>
      <c r="G830" s="1" t="s">
        <v>940</v>
      </c>
      <c r="H830" s="3">
        <v>45962</v>
      </c>
      <c r="I830" s="1" t="s">
        <v>933</v>
      </c>
      <c r="J830" s="1" t="s">
        <v>951</v>
      </c>
      <c r="K830" s="1" t="s">
        <v>20</v>
      </c>
      <c r="L830" s="1" t="s">
        <v>2080</v>
      </c>
      <c r="M830" s="3">
        <v>45932</v>
      </c>
      <c r="N830" s="1" t="s">
        <v>821</v>
      </c>
      <c r="O830" s="1" t="s">
        <v>936</v>
      </c>
      <c r="P830" s="1">
        <v>1</v>
      </c>
    </row>
    <row r="831" spans="1:16" x14ac:dyDescent="0.25">
      <c r="A831" s="3">
        <v>45931</v>
      </c>
      <c r="B831" s="1">
        <v>17</v>
      </c>
      <c r="C831" s="5">
        <v>3284.25</v>
      </c>
      <c r="D831" s="1" t="s">
        <v>1730</v>
      </c>
      <c r="E831" s="1" t="s">
        <v>2081</v>
      </c>
      <c r="F831" s="1" t="s">
        <v>955</v>
      </c>
      <c r="G831" s="1" t="s">
        <v>940</v>
      </c>
      <c r="H831" s="3">
        <v>45952</v>
      </c>
      <c r="I831" s="1" t="s">
        <v>933</v>
      </c>
      <c r="J831" s="1" t="s">
        <v>951</v>
      </c>
      <c r="K831" s="1" t="s">
        <v>20</v>
      </c>
      <c r="L831" s="1" t="s">
        <v>2082</v>
      </c>
      <c r="M831" s="3">
        <v>45932</v>
      </c>
      <c r="N831" s="1" t="s">
        <v>821</v>
      </c>
      <c r="O831" s="1" t="s">
        <v>936</v>
      </c>
      <c r="P831" s="1" t="s">
        <v>937</v>
      </c>
    </row>
    <row r="832" spans="1:16" x14ac:dyDescent="0.25">
      <c r="A832" s="3">
        <v>45931</v>
      </c>
      <c r="B832" s="4">
        <v>1038</v>
      </c>
      <c r="C832" s="5">
        <v>5875</v>
      </c>
      <c r="D832" s="1" t="s">
        <v>1126</v>
      </c>
      <c r="E832" s="1" t="s">
        <v>1620</v>
      </c>
      <c r="F832" s="1" t="s">
        <v>955</v>
      </c>
      <c r="G832" s="1" t="s">
        <v>940</v>
      </c>
      <c r="H832" s="3">
        <v>45948</v>
      </c>
      <c r="I832" s="1" t="s">
        <v>933</v>
      </c>
      <c r="J832" s="1" t="s">
        <v>951</v>
      </c>
      <c r="K832" s="1" t="s">
        <v>659</v>
      </c>
      <c r="L832" s="1" t="s">
        <v>2083</v>
      </c>
      <c r="M832" s="3">
        <v>45932</v>
      </c>
      <c r="N832" s="1" t="s">
        <v>821</v>
      </c>
      <c r="O832" s="1" t="s">
        <v>936</v>
      </c>
      <c r="P832" s="1">
        <v>1</v>
      </c>
    </row>
    <row r="833" spans="1:16" x14ac:dyDescent="0.25">
      <c r="A833" s="3">
        <v>45931</v>
      </c>
      <c r="B833" s="4">
        <v>1043</v>
      </c>
      <c r="C833" s="5">
        <v>730</v>
      </c>
      <c r="D833" s="1" t="s">
        <v>1126</v>
      </c>
      <c r="E833" s="1" t="s">
        <v>1620</v>
      </c>
      <c r="F833" s="1" t="s">
        <v>955</v>
      </c>
      <c r="G833" s="1" t="s">
        <v>940</v>
      </c>
      <c r="H833" s="3">
        <v>45948</v>
      </c>
      <c r="I833" s="1" t="s">
        <v>933</v>
      </c>
      <c r="J833" s="1" t="s">
        <v>951</v>
      </c>
      <c r="K833" s="1" t="s">
        <v>66</v>
      </c>
      <c r="L833" s="1" t="s">
        <v>2084</v>
      </c>
      <c r="M833" s="3">
        <v>45932</v>
      </c>
      <c r="N833" s="1" t="s">
        <v>821</v>
      </c>
      <c r="O833" s="1" t="s">
        <v>936</v>
      </c>
      <c r="P833" s="1">
        <v>1</v>
      </c>
    </row>
    <row r="834" spans="1:16" x14ac:dyDescent="0.25">
      <c r="A834" s="3">
        <v>45931</v>
      </c>
      <c r="B834" s="4">
        <v>1044</v>
      </c>
      <c r="C834" s="5">
        <v>1250</v>
      </c>
      <c r="D834" s="1" t="s">
        <v>1126</v>
      </c>
      <c r="E834" s="1" t="s">
        <v>1620</v>
      </c>
      <c r="F834" s="1" t="s">
        <v>955</v>
      </c>
      <c r="G834" s="1" t="s">
        <v>940</v>
      </c>
      <c r="H834" s="3">
        <v>45948</v>
      </c>
      <c r="I834" s="1" t="s">
        <v>933</v>
      </c>
      <c r="J834" s="1" t="s">
        <v>951</v>
      </c>
      <c r="K834" s="1" t="s">
        <v>2085</v>
      </c>
      <c r="L834" s="1" t="s">
        <v>2086</v>
      </c>
      <c r="M834" s="3">
        <v>45932</v>
      </c>
      <c r="N834" s="1" t="s">
        <v>821</v>
      </c>
      <c r="O834" s="1" t="s">
        <v>936</v>
      </c>
      <c r="P834" s="1">
        <v>1</v>
      </c>
    </row>
    <row r="835" spans="1:16" x14ac:dyDescent="0.25">
      <c r="A835" s="3">
        <v>45931</v>
      </c>
      <c r="B835" s="4">
        <v>1045</v>
      </c>
      <c r="C835" s="5">
        <v>350</v>
      </c>
      <c r="D835" s="1" t="s">
        <v>1126</v>
      </c>
      <c r="E835" s="1" t="s">
        <v>1620</v>
      </c>
      <c r="F835" s="1" t="s">
        <v>307</v>
      </c>
      <c r="G835" s="1" t="s">
        <v>940</v>
      </c>
      <c r="H835" s="3">
        <v>45948</v>
      </c>
      <c r="I835" s="1" t="s">
        <v>933</v>
      </c>
      <c r="J835" s="1" t="s">
        <v>66</v>
      </c>
      <c r="K835" s="1" t="s">
        <v>340</v>
      </c>
      <c r="L835" s="1" t="s">
        <v>2087</v>
      </c>
      <c r="M835" s="3">
        <v>45932</v>
      </c>
      <c r="N835" s="1" t="s">
        <v>57</v>
      </c>
      <c r="O835" s="1" t="s">
        <v>936</v>
      </c>
      <c r="P835" s="1">
        <v>1</v>
      </c>
    </row>
    <row r="836" spans="1:16" x14ac:dyDescent="0.25">
      <c r="A836" s="3">
        <v>45931</v>
      </c>
      <c r="B836" s="4">
        <v>1046</v>
      </c>
      <c r="C836" s="5">
        <v>6835</v>
      </c>
      <c r="D836" s="1" t="s">
        <v>1126</v>
      </c>
      <c r="E836" s="1" t="s">
        <v>1620</v>
      </c>
      <c r="F836" s="1" t="s">
        <v>955</v>
      </c>
      <c r="G836" s="1" t="s">
        <v>940</v>
      </c>
      <c r="H836" s="3">
        <v>45948</v>
      </c>
      <c r="I836" s="1" t="s">
        <v>933</v>
      </c>
      <c r="J836" s="1" t="s">
        <v>951</v>
      </c>
      <c r="K836" s="1" t="s">
        <v>340</v>
      </c>
      <c r="L836" s="1" t="s">
        <v>2088</v>
      </c>
      <c r="M836" s="3">
        <v>45932</v>
      </c>
      <c r="N836" s="1" t="s">
        <v>821</v>
      </c>
      <c r="O836" s="1" t="s">
        <v>936</v>
      </c>
      <c r="P836" s="1">
        <v>1</v>
      </c>
    </row>
    <row r="837" spans="1:16" x14ac:dyDescent="0.25">
      <c r="A837" s="3">
        <v>45931</v>
      </c>
      <c r="B837" s="4">
        <v>1047</v>
      </c>
      <c r="C837" s="5">
        <v>3980</v>
      </c>
      <c r="D837" s="1" t="s">
        <v>1126</v>
      </c>
      <c r="E837" s="1" t="s">
        <v>1620</v>
      </c>
      <c r="F837" s="1" t="s">
        <v>955</v>
      </c>
      <c r="G837" s="1" t="s">
        <v>940</v>
      </c>
      <c r="H837" s="3">
        <v>45948</v>
      </c>
      <c r="I837" s="1" t="s">
        <v>933</v>
      </c>
      <c r="J837" s="1" t="s">
        <v>951</v>
      </c>
      <c r="K837" s="1" t="s">
        <v>66</v>
      </c>
      <c r="L837" s="1" t="s">
        <v>2089</v>
      </c>
      <c r="M837" s="3">
        <v>45932</v>
      </c>
      <c r="N837" s="1" t="s">
        <v>821</v>
      </c>
      <c r="O837" s="1" t="s">
        <v>936</v>
      </c>
      <c r="P837" s="1">
        <v>1</v>
      </c>
    </row>
    <row r="838" spans="1:16" x14ac:dyDescent="0.25">
      <c r="A838" s="3">
        <v>45931</v>
      </c>
      <c r="B838" s="4">
        <v>1048</v>
      </c>
      <c r="C838" s="5">
        <v>2150</v>
      </c>
      <c r="D838" s="1" t="s">
        <v>1126</v>
      </c>
      <c r="E838" s="1" t="s">
        <v>1620</v>
      </c>
      <c r="F838" s="1" t="s">
        <v>955</v>
      </c>
      <c r="G838" s="1" t="s">
        <v>940</v>
      </c>
      <c r="H838" s="3">
        <v>45948</v>
      </c>
      <c r="I838" s="1" t="s">
        <v>933</v>
      </c>
      <c r="J838" s="1" t="s">
        <v>951</v>
      </c>
      <c r="K838" s="1" t="s">
        <v>20</v>
      </c>
      <c r="L838" s="1" t="s">
        <v>2090</v>
      </c>
      <c r="M838" s="3">
        <v>45932</v>
      </c>
      <c r="N838" s="1" t="s">
        <v>821</v>
      </c>
      <c r="O838" s="1" t="s">
        <v>936</v>
      </c>
      <c r="P838" s="1">
        <v>1</v>
      </c>
    </row>
    <row r="839" spans="1:16" x14ac:dyDescent="0.25">
      <c r="A839" s="3">
        <v>45931</v>
      </c>
      <c r="B839" s="4">
        <v>1049</v>
      </c>
      <c r="C839" s="5">
        <v>2380</v>
      </c>
      <c r="D839" s="1" t="s">
        <v>1126</v>
      </c>
      <c r="E839" s="1" t="s">
        <v>1620</v>
      </c>
      <c r="F839" s="1" t="s">
        <v>955</v>
      </c>
      <c r="G839" s="1" t="s">
        <v>940</v>
      </c>
      <c r="H839" s="3">
        <v>45948</v>
      </c>
      <c r="I839" s="1" t="s">
        <v>933</v>
      </c>
      <c r="J839" s="1" t="s">
        <v>951</v>
      </c>
      <c r="K839" s="1" t="s">
        <v>20</v>
      </c>
      <c r="L839" s="1" t="s">
        <v>2091</v>
      </c>
      <c r="M839" s="3">
        <v>45932</v>
      </c>
      <c r="N839" s="1" t="s">
        <v>821</v>
      </c>
      <c r="O839" s="1" t="s">
        <v>936</v>
      </c>
      <c r="P839" s="1">
        <v>1</v>
      </c>
    </row>
    <row r="840" spans="1:16" x14ac:dyDescent="0.25">
      <c r="A840" s="3">
        <v>45931</v>
      </c>
      <c r="B840" s="4">
        <v>1050</v>
      </c>
      <c r="C840" s="5">
        <v>1850</v>
      </c>
      <c r="D840" s="1" t="s">
        <v>1126</v>
      </c>
      <c r="E840" s="1" t="s">
        <v>1620</v>
      </c>
      <c r="F840" s="1" t="s">
        <v>955</v>
      </c>
      <c r="G840" s="1" t="s">
        <v>940</v>
      </c>
      <c r="H840" s="3">
        <v>45948</v>
      </c>
      <c r="I840" s="1" t="s">
        <v>933</v>
      </c>
      <c r="J840" s="1" t="s">
        <v>951</v>
      </c>
      <c r="K840" s="1" t="s">
        <v>1654</v>
      </c>
      <c r="L840" s="1" t="s">
        <v>2092</v>
      </c>
      <c r="M840" s="3">
        <v>45932</v>
      </c>
      <c r="N840" s="1" t="s">
        <v>821</v>
      </c>
      <c r="O840" s="1" t="s">
        <v>936</v>
      </c>
      <c r="P840" s="1">
        <v>1</v>
      </c>
    </row>
    <row r="841" spans="1:16" x14ac:dyDescent="0.25">
      <c r="A841" s="3">
        <v>45931</v>
      </c>
      <c r="B841" s="4">
        <v>1051</v>
      </c>
      <c r="C841" s="5">
        <v>8490</v>
      </c>
      <c r="D841" s="1" t="s">
        <v>1126</v>
      </c>
      <c r="E841" s="1" t="s">
        <v>1620</v>
      </c>
      <c r="F841" s="1" t="s">
        <v>966</v>
      </c>
      <c r="G841" s="1" t="s">
        <v>940</v>
      </c>
      <c r="H841" s="3">
        <v>45948</v>
      </c>
      <c r="I841" s="1" t="s">
        <v>933</v>
      </c>
      <c r="J841" s="1" t="s">
        <v>951</v>
      </c>
      <c r="K841" s="1" t="s">
        <v>20</v>
      </c>
      <c r="L841" s="1" t="s">
        <v>2093</v>
      </c>
      <c r="M841" s="3">
        <v>45932</v>
      </c>
      <c r="N841" s="1" t="s">
        <v>821</v>
      </c>
      <c r="O841" s="1" t="s">
        <v>936</v>
      </c>
      <c r="P841" s="1">
        <v>1</v>
      </c>
    </row>
    <row r="842" spans="1:16" x14ac:dyDescent="0.25">
      <c r="A842" s="3">
        <v>45931</v>
      </c>
      <c r="B842" s="4">
        <v>1052</v>
      </c>
      <c r="C842" s="5">
        <v>480</v>
      </c>
      <c r="D842" s="1" t="s">
        <v>1126</v>
      </c>
      <c r="E842" s="1" t="s">
        <v>1620</v>
      </c>
      <c r="F842" s="1" t="s">
        <v>955</v>
      </c>
      <c r="G842" s="1" t="s">
        <v>940</v>
      </c>
      <c r="H842" s="3">
        <v>45948</v>
      </c>
      <c r="I842" s="1" t="s">
        <v>933</v>
      </c>
      <c r="J842" s="1" t="s">
        <v>951</v>
      </c>
      <c r="K842" s="1" t="s">
        <v>340</v>
      </c>
      <c r="L842" s="1" t="s">
        <v>2094</v>
      </c>
      <c r="M842" s="3">
        <v>45932</v>
      </c>
      <c r="N842" s="1" t="s">
        <v>821</v>
      </c>
      <c r="O842" s="1" t="s">
        <v>936</v>
      </c>
      <c r="P842" s="1">
        <v>1</v>
      </c>
    </row>
    <row r="843" spans="1:16" x14ac:dyDescent="0.25">
      <c r="A843" s="3">
        <v>45931</v>
      </c>
      <c r="B843" s="4">
        <v>25595</v>
      </c>
      <c r="C843" s="5">
        <v>7646.59</v>
      </c>
      <c r="D843" s="1" t="s">
        <v>2095</v>
      </c>
      <c r="E843" s="1" t="s">
        <v>2096</v>
      </c>
      <c r="F843" s="1" t="s">
        <v>955</v>
      </c>
      <c r="G843" s="1" t="s">
        <v>940</v>
      </c>
      <c r="H843" s="3">
        <v>45952</v>
      </c>
      <c r="I843" s="1" t="s">
        <v>933</v>
      </c>
      <c r="J843" s="1" t="s">
        <v>951</v>
      </c>
      <c r="K843" s="1" t="s">
        <v>659</v>
      </c>
      <c r="L843" s="1" t="s">
        <v>2097</v>
      </c>
      <c r="M843" s="3">
        <v>45932</v>
      </c>
      <c r="N843" s="1" t="s">
        <v>821</v>
      </c>
      <c r="O843" s="1" t="s">
        <v>936</v>
      </c>
      <c r="P843" s="1" t="s">
        <v>937</v>
      </c>
    </row>
    <row r="844" spans="1:16" x14ac:dyDescent="0.25">
      <c r="A844" s="3">
        <v>45931</v>
      </c>
      <c r="B844" s="1">
        <v>218</v>
      </c>
      <c r="C844" s="5">
        <v>31386</v>
      </c>
      <c r="D844" s="1" t="s">
        <v>1023</v>
      </c>
      <c r="E844" s="1" t="s">
        <v>1447</v>
      </c>
      <c r="F844" s="1" t="s">
        <v>955</v>
      </c>
      <c r="G844" s="1" t="s">
        <v>932</v>
      </c>
      <c r="H844" s="3">
        <v>45950</v>
      </c>
      <c r="I844" s="1" t="s">
        <v>933</v>
      </c>
      <c r="J844" s="1" t="s">
        <v>951</v>
      </c>
      <c r="K844" s="1" t="s">
        <v>659</v>
      </c>
      <c r="L844" s="1" t="s">
        <v>2098</v>
      </c>
      <c r="M844" s="3">
        <v>45933</v>
      </c>
      <c r="N844" s="1" t="s">
        <v>821</v>
      </c>
      <c r="O844" s="1" t="s">
        <v>936</v>
      </c>
      <c r="P844" s="1">
        <v>1</v>
      </c>
    </row>
    <row r="845" spans="1:16" x14ac:dyDescent="0.25">
      <c r="A845" s="3">
        <v>45931</v>
      </c>
      <c r="B845" s="4">
        <v>71159</v>
      </c>
      <c r="C845" s="5">
        <v>3330</v>
      </c>
      <c r="D845" s="1" t="s">
        <v>1098</v>
      </c>
      <c r="E845" s="1" t="s">
        <v>1099</v>
      </c>
      <c r="F845" s="1" t="s">
        <v>599</v>
      </c>
      <c r="G845" s="1" t="s">
        <v>940</v>
      </c>
      <c r="H845" s="3">
        <v>45961</v>
      </c>
      <c r="I845" s="1" t="s">
        <v>933</v>
      </c>
      <c r="J845" s="1" t="s">
        <v>66</v>
      </c>
      <c r="K845" s="1" t="s">
        <v>340</v>
      </c>
      <c r="L845" s="1" t="s">
        <v>2099</v>
      </c>
      <c r="M845" s="3">
        <v>45934</v>
      </c>
      <c r="N845" s="1" t="s">
        <v>57</v>
      </c>
      <c r="O845" s="1" t="s">
        <v>936</v>
      </c>
      <c r="P845" s="1">
        <v>1</v>
      </c>
    </row>
    <row r="846" spans="1:16" x14ac:dyDescent="0.25">
      <c r="A846" s="3">
        <v>45931</v>
      </c>
      <c r="B846" s="4">
        <v>8810</v>
      </c>
      <c r="C846" s="5">
        <v>188.74</v>
      </c>
      <c r="D846" s="1" t="s">
        <v>1801</v>
      </c>
      <c r="E846" s="1" t="s">
        <v>1802</v>
      </c>
      <c r="F846" s="1" t="s">
        <v>955</v>
      </c>
      <c r="G846" s="1" t="s">
        <v>950</v>
      </c>
      <c r="H846" s="3">
        <v>45945</v>
      </c>
      <c r="I846" s="1" t="s">
        <v>933</v>
      </c>
      <c r="J846" s="1" t="s">
        <v>951</v>
      </c>
      <c r="K846" s="1" t="s">
        <v>996</v>
      </c>
      <c r="L846" s="1" t="s">
        <v>2100</v>
      </c>
      <c r="M846" s="3">
        <v>38634</v>
      </c>
      <c r="N846" s="1" t="s">
        <v>821</v>
      </c>
      <c r="O846" s="1" t="s">
        <v>998</v>
      </c>
      <c r="P846" s="1">
        <v>1</v>
      </c>
    </row>
    <row r="847" spans="1:16" x14ac:dyDescent="0.25">
      <c r="A847" s="3">
        <v>45931</v>
      </c>
      <c r="B847" s="4">
        <v>1084</v>
      </c>
      <c r="C847" s="5">
        <v>150</v>
      </c>
      <c r="D847" s="1" t="s">
        <v>1074</v>
      </c>
      <c r="E847" s="1" t="s">
        <v>1075</v>
      </c>
      <c r="F847" s="1" t="s">
        <v>955</v>
      </c>
      <c r="G847" s="1" t="s">
        <v>2101</v>
      </c>
      <c r="H847" s="3">
        <v>45960</v>
      </c>
      <c r="I847" s="1" t="s">
        <v>933</v>
      </c>
      <c r="J847" s="1" t="s">
        <v>951</v>
      </c>
      <c r="K847" s="1" t="s">
        <v>340</v>
      </c>
      <c r="L847" s="1" t="s">
        <v>2102</v>
      </c>
      <c r="M847" s="3">
        <v>45941</v>
      </c>
      <c r="N847" s="1" t="s">
        <v>821</v>
      </c>
      <c r="O847" s="1" t="s">
        <v>936</v>
      </c>
      <c r="P847" s="1">
        <v>1</v>
      </c>
    </row>
    <row r="848" spans="1:16" x14ac:dyDescent="0.25">
      <c r="A848" s="3">
        <v>45932</v>
      </c>
      <c r="B848" s="4">
        <v>700928</v>
      </c>
      <c r="C848" s="5">
        <v>298</v>
      </c>
      <c r="D848" s="1" t="s">
        <v>973</v>
      </c>
      <c r="E848" s="1" t="s">
        <v>1068</v>
      </c>
      <c r="F848" s="1" t="s">
        <v>955</v>
      </c>
      <c r="G848" s="1" t="s">
        <v>950</v>
      </c>
      <c r="H848" s="1" t="s">
        <v>941</v>
      </c>
      <c r="I848" s="1" t="s">
        <v>933</v>
      </c>
      <c r="J848" s="1" t="s">
        <v>951</v>
      </c>
      <c r="K848" s="1" t="s">
        <v>996</v>
      </c>
      <c r="L848" s="1" t="s">
        <v>2103</v>
      </c>
      <c r="M848" s="3">
        <v>45933</v>
      </c>
      <c r="N848" s="1" t="s">
        <v>821</v>
      </c>
      <c r="O848" s="1" t="s">
        <v>998</v>
      </c>
      <c r="P848" s="1">
        <v>1</v>
      </c>
    </row>
    <row r="849" spans="1:16" x14ac:dyDescent="0.25">
      <c r="A849" s="3">
        <v>45932</v>
      </c>
      <c r="B849" s="1">
        <v>347</v>
      </c>
      <c r="C849" s="5">
        <v>24593.58</v>
      </c>
      <c r="D849" s="1" t="s">
        <v>1810</v>
      </c>
      <c r="E849" s="1" t="s">
        <v>1811</v>
      </c>
      <c r="F849" s="1" t="s">
        <v>955</v>
      </c>
      <c r="G849" s="1" t="s">
        <v>940</v>
      </c>
      <c r="H849" s="3">
        <v>45951</v>
      </c>
      <c r="I849" s="1" t="s">
        <v>933</v>
      </c>
      <c r="J849" s="1" t="s">
        <v>951</v>
      </c>
      <c r="K849" s="1" t="s">
        <v>20</v>
      </c>
      <c r="L849" s="1" t="s">
        <v>2104</v>
      </c>
      <c r="M849" s="3">
        <v>45932</v>
      </c>
      <c r="N849" s="1" t="s">
        <v>821</v>
      </c>
      <c r="O849" s="1" t="s">
        <v>936</v>
      </c>
      <c r="P849" s="1">
        <v>1</v>
      </c>
    </row>
    <row r="850" spans="1:16" x14ac:dyDescent="0.25">
      <c r="A850" s="3">
        <v>45932</v>
      </c>
      <c r="B850" s="4">
        <v>1039</v>
      </c>
      <c r="C850" s="5">
        <v>1680</v>
      </c>
      <c r="D850" s="1" t="s">
        <v>1126</v>
      </c>
      <c r="E850" s="1" t="s">
        <v>1620</v>
      </c>
      <c r="F850" s="1" t="s">
        <v>307</v>
      </c>
      <c r="G850" s="1" t="s">
        <v>940</v>
      </c>
      <c r="H850" s="3">
        <v>45948</v>
      </c>
      <c r="I850" s="1" t="s">
        <v>933</v>
      </c>
      <c r="J850" s="1" t="s">
        <v>66</v>
      </c>
      <c r="K850" s="1" t="s">
        <v>340</v>
      </c>
      <c r="L850" s="1" t="s">
        <v>2105</v>
      </c>
      <c r="M850" s="3">
        <v>45932</v>
      </c>
      <c r="N850" s="1" t="s">
        <v>57</v>
      </c>
      <c r="O850" s="1" t="s">
        <v>936</v>
      </c>
      <c r="P850" s="1">
        <v>1</v>
      </c>
    </row>
    <row r="851" spans="1:16" x14ac:dyDescent="0.25">
      <c r="A851" s="3">
        <v>45932</v>
      </c>
      <c r="B851" s="4">
        <v>1040</v>
      </c>
      <c r="C851" s="5">
        <v>6575</v>
      </c>
      <c r="D851" s="1" t="s">
        <v>1126</v>
      </c>
      <c r="E851" s="1" t="s">
        <v>1620</v>
      </c>
      <c r="F851" s="1" t="s">
        <v>955</v>
      </c>
      <c r="G851" s="1" t="s">
        <v>940</v>
      </c>
      <c r="H851" s="3">
        <v>45948</v>
      </c>
      <c r="I851" s="1" t="s">
        <v>933</v>
      </c>
      <c r="J851" s="1" t="s">
        <v>951</v>
      </c>
      <c r="K851" s="1" t="s">
        <v>659</v>
      </c>
      <c r="L851" s="1" t="s">
        <v>2083</v>
      </c>
      <c r="M851" s="3">
        <v>45932</v>
      </c>
      <c r="N851" s="1" t="s">
        <v>821</v>
      </c>
      <c r="O851" s="1" t="s">
        <v>936</v>
      </c>
      <c r="P851" s="1">
        <v>1</v>
      </c>
    </row>
    <row r="852" spans="1:16" x14ac:dyDescent="0.25">
      <c r="A852" s="3">
        <v>45932</v>
      </c>
      <c r="B852" s="4">
        <v>1041</v>
      </c>
      <c r="C852" s="5">
        <v>1500</v>
      </c>
      <c r="D852" s="1" t="s">
        <v>1126</v>
      </c>
      <c r="E852" s="1" t="s">
        <v>1620</v>
      </c>
      <c r="F852" s="1" t="s">
        <v>218</v>
      </c>
      <c r="G852" s="1" t="s">
        <v>940</v>
      </c>
      <c r="H852" s="3">
        <v>45948</v>
      </c>
      <c r="I852" s="1" t="s">
        <v>933</v>
      </c>
      <c r="J852" s="1" t="s">
        <v>66</v>
      </c>
      <c r="K852" s="1" t="s">
        <v>1654</v>
      </c>
      <c r="L852" s="1" t="s">
        <v>2106</v>
      </c>
      <c r="M852" s="3">
        <v>45932</v>
      </c>
      <c r="N852" s="1" t="s">
        <v>221</v>
      </c>
      <c r="O852" s="1" t="s">
        <v>936</v>
      </c>
      <c r="P852" s="1">
        <v>1</v>
      </c>
    </row>
    <row r="853" spans="1:16" x14ac:dyDescent="0.25">
      <c r="A853" s="3">
        <v>45932</v>
      </c>
      <c r="B853" s="4">
        <v>1042</v>
      </c>
      <c r="C853" s="5">
        <v>5800</v>
      </c>
      <c r="D853" s="1" t="s">
        <v>1126</v>
      </c>
      <c r="E853" s="1" t="s">
        <v>1620</v>
      </c>
      <c r="F853" s="1" t="s">
        <v>218</v>
      </c>
      <c r="G853" s="1" t="s">
        <v>940</v>
      </c>
      <c r="H853" s="3">
        <v>45948</v>
      </c>
      <c r="I853" s="1" t="s">
        <v>933</v>
      </c>
      <c r="J853" s="1" t="s">
        <v>66</v>
      </c>
      <c r="K853" s="1" t="s">
        <v>340</v>
      </c>
      <c r="L853" s="1" t="s">
        <v>2107</v>
      </c>
      <c r="M853" s="3">
        <v>45932</v>
      </c>
      <c r="N853" s="1" t="s">
        <v>221</v>
      </c>
      <c r="O853" s="1" t="s">
        <v>936</v>
      </c>
      <c r="P853" s="1">
        <v>1</v>
      </c>
    </row>
    <row r="854" spans="1:16" x14ac:dyDescent="0.25">
      <c r="A854" s="3">
        <v>45932</v>
      </c>
      <c r="B854" s="1">
        <v>96</v>
      </c>
      <c r="C854" s="5">
        <v>1714.42</v>
      </c>
      <c r="D854" s="1" t="s">
        <v>1187</v>
      </c>
      <c r="E854" s="1" t="s">
        <v>1188</v>
      </c>
      <c r="F854" s="1" t="s">
        <v>955</v>
      </c>
      <c r="G854" s="1" t="s">
        <v>950</v>
      </c>
      <c r="H854" s="3">
        <v>45943</v>
      </c>
      <c r="I854" s="1" t="s">
        <v>933</v>
      </c>
      <c r="J854" s="1" t="s">
        <v>951</v>
      </c>
      <c r="K854" s="1" t="s">
        <v>934</v>
      </c>
      <c r="L854" s="1" t="s">
        <v>2108</v>
      </c>
      <c r="M854" s="3">
        <v>45933</v>
      </c>
      <c r="N854" s="1" t="s">
        <v>821</v>
      </c>
      <c r="O854" s="1" t="s">
        <v>936</v>
      </c>
      <c r="P854" s="1" t="s">
        <v>937</v>
      </c>
    </row>
    <row r="855" spans="1:16" x14ac:dyDescent="0.25">
      <c r="A855" s="3">
        <v>45932</v>
      </c>
      <c r="B855" s="1">
        <v>403</v>
      </c>
      <c r="C855" s="5">
        <v>550</v>
      </c>
      <c r="D855" s="1" t="s">
        <v>2016</v>
      </c>
      <c r="E855" s="1" t="s">
        <v>2017</v>
      </c>
      <c r="F855" s="1" t="s">
        <v>599</v>
      </c>
      <c r="G855" s="1" t="s">
        <v>940</v>
      </c>
      <c r="H855" s="3">
        <v>45943</v>
      </c>
      <c r="I855" s="1" t="s">
        <v>933</v>
      </c>
      <c r="J855" s="1" t="s">
        <v>66</v>
      </c>
      <c r="K855" s="1" t="s">
        <v>340</v>
      </c>
      <c r="L855" s="1" t="s">
        <v>2109</v>
      </c>
      <c r="M855" s="3">
        <v>45933</v>
      </c>
      <c r="N855" s="1" t="s">
        <v>57</v>
      </c>
      <c r="O855" s="1" t="s">
        <v>936</v>
      </c>
      <c r="P855" s="1">
        <v>1</v>
      </c>
    </row>
    <row r="856" spans="1:16" x14ac:dyDescent="0.25">
      <c r="A856" s="3">
        <v>45932</v>
      </c>
      <c r="B856" s="4">
        <v>260847</v>
      </c>
      <c r="C856" s="5">
        <v>399.98</v>
      </c>
      <c r="D856" s="1" t="s">
        <v>1920</v>
      </c>
      <c r="E856" s="1" t="s">
        <v>2110</v>
      </c>
      <c r="F856" s="1" t="s">
        <v>245</v>
      </c>
      <c r="G856" s="1" t="s">
        <v>940</v>
      </c>
      <c r="H856" s="3">
        <v>45960</v>
      </c>
      <c r="I856" s="1" t="s">
        <v>933</v>
      </c>
      <c r="J856" s="1" t="s">
        <v>66</v>
      </c>
      <c r="K856" s="1" t="s">
        <v>340</v>
      </c>
      <c r="L856" s="1" t="s">
        <v>2111</v>
      </c>
      <c r="M856" s="3">
        <v>45933</v>
      </c>
      <c r="N856" s="1" t="s">
        <v>57</v>
      </c>
      <c r="O856" s="1" t="s">
        <v>936</v>
      </c>
      <c r="P856" s="1">
        <v>1</v>
      </c>
    </row>
    <row r="857" spans="1:16" x14ac:dyDescent="0.25">
      <c r="A857" s="3">
        <v>45932</v>
      </c>
      <c r="B857" s="4">
        <v>46356</v>
      </c>
      <c r="C857" s="5">
        <v>1255</v>
      </c>
      <c r="D857" s="1" t="s">
        <v>1489</v>
      </c>
      <c r="E857" s="1" t="s">
        <v>1490</v>
      </c>
      <c r="F857" s="1" t="s">
        <v>304</v>
      </c>
      <c r="G857" s="1" t="s">
        <v>950</v>
      </c>
      <c r="H857" s="3">
        <v>45962</v>
      </c>
      <c r="I857" s="1" t="s">
        <v>933</v>
      </c>
      <c r="J857" s="1" t="s">
        <v>66</v>
      </c>
      <c r="K857" s="1" t="s">
        <v>996</v>
      </c>
      <c r="L857" s="1" t="s">
        <v>2112</v>
      </c>
      <c r="M857" s="3">
        <v>45933</v>
      </c>
      <c r="N857" s="1" t="s">
        <v>57</v>
      </c>
      <c r="O857" s="1" t="s">
        <v>936</v>
      </c>
      <c r="P857" s="1">
        <v>1</v>
      </c>
    </row>
    <row r="858" spans="1:16" x14ac:dyDescent="0.25">
      <c r="A858" s="3">
        <v>45932</v>
      </c>
      <c r="B858" s="1">
        <v>19</v>
      </c>
      <c r="C858" s="5">
        <v>320</v>
      </c>
      <c r="D858" s="1" t="s">
        <v>1611</v>
      </c>
      <c r="E858" s="1" t="s">
        <v>1612</v>
      </c>
      <c r="F858" s="1" t="s">
        <v>955</v>
      </c>
      <c r="G858" s="1" t="s">
        <v>950</v>
      </c>
      <c r="H858" s="1" t="s">
        <v>941</v>
      </c>
      <c r="I858" s="1" t="s">
        <v>933</v>
      </c>
      <c r="J858" s="1" t="s">
        <v>951</v>
      </c>
      <c r="K858" s="1" t="s">
        <v>934</v>
      </c>
      <c r="L858" s="1" t="s">
        <v>2113</v>
      </c>
      <c r="M858" s="3">
        <v>45933</v>
      </c>
      <c r="N858" s="1" t="s">
        <v>821</v>
      </c>
      <c r="O858" s="1" t="s">
        <v>937</v>
      </c>
      <c r="P858" s="1">
        <v>2</v>
      </c>
    </row>
    <row r="859" spans="1:16" x14ac:dyDescent="0.25">
      <c r="A859" s="3">
        <v>45932</v>
      </c>
      <c r="B859" s="1">
        <v>870</v>
      </c>
      <c r="C859" s="5">
        <v>2245</v>
      </c>
      <c r="D859" s="1" t="s">
        <v>1294</v>
      </c>
      <c r="E859" s="1" t="s">
        <v>1295</v>
      </c>
      <c r="F859" s="1" t="s">
        <v>1131</v>
      </c>
      <c r="G859" s="1" t="s">
        <v>940</v>
      </c>
      <c r="H859" s="3">
        <v>45953</v>
      </c>
      <c r="I859" s="1" t="s">
        <v>933</v>
      </c>
      <c r="J859" s="1" t="s">
        <v>1131</v>
      </c>
      <c r="K859" s="1" t="s">
        <v>340</v>
      </c>
      <c r="L859" s="1" t="s">
        <v>2114</v>
      </c>
      <c r="M859" s="3">
        <v>45934</v>
      </c>
      <c r="N859" s="1" t="s">
        <v>821</v>
      </c>
      <c r="O859" s="1" t="s">
        <v>936</v>
      </c>
      <c r="P859" s="1">
        <v>1</v>
      </c>
    </row>
    <row r="860" spans="1:16" x14ac:dyDescent="0.25">
      <c r="A860" s="3">
        <v>45932</v>
      </c>
      <c r="B860" s="4">
        <v>1876</v>
      </c>
      <c r="C860" s="5">
        <v>2000</v>
      </c>
      <c r="D860" s="1" t="s">
        <v>1376</v>
      </c>
      <c r="E860" s="1" t="s">
        <v>31</v>
      </c>
      <c r="F860" s="1" t="s">
        <v>955</v>
      </c>
      <c r="G860" s="1" t="s">
        <v>932</v>
      </c>
      <c r="H860" s="3">
        <v>45954</v>
      </c>
      <c r="I860" s="1" t="s">
        <v>933</v>
      </c>
      <c r="J860" s="1" t="s">
        <v>951</v>
      </c>
      <c r="K860" s="1" t="s">
        <v>20</v>
      </c>
      <c r="L860" s="1" t="s">
        <v>2115</v>
      </c>
      <c r="M860" s="3">
        <v>45937</v>
      </c>
      <c r="N860" s="1" t="s">
        <v>821</v>
      </c>
      <c r="O860" s="1" t="s">
        <v>936</v>
      </c>
      <c r="P860" s="1" t="s">
        <v>937</v>
      </c>
    </row>
    <row r="861" spans="1:16" x14ac:dyDescent="0.25">
      <c r="A861" s="3">
        <v>45932</v>
      </c>
      <c r="B861" s="4">
        <v>1602780</v>
      </c>
      <c r="C861" s="5">
        <v>74.37</v>
      </c>
      <c r="D861" s="1" t="s">
        <v>1855</v>
      </c>
      <c r="E861" s="1" t="s">
        <v>2116</v>
      </c>
      <c r="F861" s="1" t="s">
        <v>430</v>
      </c>
      <c r="G861" s="1" t="s">
        <v>950</v>
      </c>
      <c r="H861" s="3">
        <v>45955</v>
      </c>
      <c r="I861" s="1" t="s">
        <v>933</v>
      </c>
      <c r="J861" s="1" t="s">
        <v>66</v>
      </c>
      <c r="K861" s="1" t="s">
        <v>1654</v>
      </c>
      <c r="L861" s="1" t="s">
        <v>2117</v>
      </c>
      <c r="M861" s="3">
        <v>45948</v>
      </c>
      <c r="N861" s="1" t="s">
        <v>57</v>
      </c>
      <c r="O861" s="1" t="s">
        <v>1031</v>
      </c>
      <c r="P861" s="1">
        <v>1</v>
      </c>
    </row>
    <row r="862" spans="1:16" x14ac:dyDescent="0.25">
      <c r="A862" s="3">
        <v>45932</v>
      </c>
      <c r="B862" s="4">
        <v>1084</v>
      </c>
      <c r="C862" s="5">
        <v>330</v>
      </c>
      <c r="D862" s="1" t="s">
        <v>1074</v>
      </c>
      <c r="E862" s="1" t="s">
        <v>1075</v>
      </c>
      <c r="F862" s="1" t="s">
        <v>955</v>
      </c>
      <c r="G862" s="1" t="s">
        <v>2101</v>
      </c>
      <c r="H862" s="3">
        <v>45960</v>
      </c>
      <c r="I862" s="1" t="s">
        <v>933</v>
      </c>
      <c r="J862" s="1" t="s">
        <v>951</v>
      </c>
      <c r="K862" s="1" t="s">
        <v>340</v>
      </c>
      <c r="L862" s="1" t="s">
        <v>2118</v>
      </c>
      <c r="M862" s="3">
        <v>45941</v>
      </c>
      <c r="N862" s="1" t="s">
        <v>821</v>
      </c>
      <c r="O862" s="1" t="s">
        <v>936</v>
      </c>
      <c r="P862" s="1">
        <v>1</v>
      </c>
    </row>
    <row r="863" spans="1:16" x14ac:dyDescent="0.25">
      <c r="A863" s="3">
        <v>45933</v>
      </c>
      <c r="B863" s="4">
        <v>8808</v>
      </c>
      <c r="C863" s="5">
        <v>16920</v>
      </c>
      <c r="D863" s="1" t="s">
        <v>973</v>
      </c>
      <c r="E863" s="1" t="s">
        <v>1068</v>
      </c>
      <c r="F863" s="1" t="s">
        <v>304</v>
      </c>
      <c r="G863" s="1" t="s">
        <v>998</v>
      </c>
      <c r="H863" s="3">
        <v>45947</v>
      </c>
      <c r="I863" s="1" t="s">
        <v>933</v>
      </c>
      <c r="J863" s="1" t="s">
        <v>66</v>
      </c>
      <c r="K863" s="1" t="s">
        <v>996</v>
      </c>
      <c r="L863" s="1">
        <v>3000</v>
      </c>
      <c r="M863" s="3">
        <v>45933</v>
      </c>
      <c r="N863" s="1" t="s">
        <v>57</v>
      </c>
      <c r="O863" s="1" t="s">
        <v>998</v>
      </c>
      <c r="P863" s="1">
        <v>1</v>
      </c>
    </row>
    <row r="864" spans="1:16" x14ac:dyDescent="0.25">
      <c r="A864" s="3">
        <v>45933</v>
      </c>
      <c r="B864" s="4">
        <v>8813</v>
      </c>
      <c r="C864" s="5">
        <v>6020.58</v>
      </c>
      <c r="D864" s="1" t="s">
        <v>973</v>
      </c>
      <c r="E864" s="1" t="s">
        <v>1068</v>
      </c>
      <c r="F864" s="1" t="s">
        <v>955</v>
      </c>
      <c r="G864" s="1" t="s">
        <v>998</v>
      </c>
      <c r="H864" s="3">
        <v>45948</v>
      </c>
      <c r="I864" s="1" t="s">
        <v>933</v>
      </c>
      <c r="J864" s="1" t="s">
        <v>951</v>
      </c>
      <c r="K864" s="1" t="s">
        <v>996</v>
      </c>
      <c r="L864" s="1" t="s">
        <v>2119</v>
      </c>
      <c r="M864" s="3">
        <v>45937</v>
      </c>
      <c r="N864" s="1" t="s">
        <v>821</v>
      </c>
      <c r="O864" s="1" t="s">
        <v>998</v>
      </c>
      <c r="P864" s="1">
        <v>1</v>
      </c>
    </row>
    <row r="865" spans="1:16" x14ac:dyDescent="0.25">
      <c r="A865" s="3">
        <v>45933</v>
      </c>
      <c r="B865" s="1">
        <v>7877</v>
      </c>
      <c r="C865" s="5">
        <v>5100</v>
      </c>
      <c r="D865" s="1" t="s">
        <v>1504</v>
      </c>
      <c r="E865" s="1" t="s">
        <v>1505</v>
      </c>
      <c r="F865" s="1" t="s">
        <v>906</v>
      </c>
      <c r="G865" s="1" t="s">
        <v>950</v>
      </c>
      <c r="H865" s="3">
        <v>45945</v>
      </c>
      <c r="I865" s="1" t="s">
        <v>1100</v>
      </c>
      <c r="J865" s="1" t="s">
        <v>66</v>
      </c>
      <c r="K865" s="1" t="s">
        <v>308</v>
      </c>
      <c r="L865" s="1" t="s">
        <v>2120</v>
      </c>
      <c r="M865" s="3">
        <v>45933</v>
      </c>
      <c r="N865" s="1" t="s">
        <v>57</v>
      </c>
      <c r="O865" s="1" t="s">
        <v>936</v>
      </c>
      <c r="P865" s="1">
        <v>1</v>
      </c>
    </row>
    <row r="866" spans="1:16" x14ac:dyDescent="0.25">
      <c r="A866" s="3">
        <v>45933</v>
      </c>
      <c r="B866" s="4">
        <v>50793</v>
      </c>
      <c r="C866" s="5">
        <v>15562.44</v>
      </c>
      <c r="D866" s="1" t="s">
        <v>1504</v>
      </c>
      <c r="E866" s="1" t="s">
        <v>1505</v>
      </c>
      <c r="F866" s="1" t="s">
        <v>906</v>
      </c>
      <c r="G866" s="1" t="s">
        <v>940</v>
      </c>
      <c r="H866" s="3">
        <v>45958</v>
      </c>
      <c r="I866" s="1" t="s">
        <v>1100</v>
      </c>
      <c r="J866" s="1" t="s">
        <v>66</v>
      </c>
      <c r="K866" s="1" t="s">
        <v>308</v>
      </c>
      <c r="L866" s="1" t="s">
        <v>2121</v>
      </c>
      <c r="M866" s="3">
        <v>45933</v>
      </c>
      <c r="N866" s="1" t="s">
        <v>57</v>
      </c>
      <c r="O866" s="1" t="s">
        <v>936</v>
      </c>
      <c r="P866" s="1">
        <v>1</v>
      </c>
    </row>
    <row r="867" spans="1:16" x14ac:dyDescent="0.25">
      <c r="A867" s="3">
        <v>45933</v>
      </c>
      <c r="B867" s="4">
        <v>1484</v>
      </c>
      <c r="C867" s="5">
        <v>22600</v>
      </c>
      <c r="D867" s="1" t="s">
        <v>1498</v>
      </c>
      <c r="E867" s="1" t="s">
        <v>1499</v>
      </c>
      <c r="F867" s="1" t="s">
        <v>955</v>
      </c>
      <c r="G867" s="1" t="s">
        <v>950</v>
      </c>
      <c r="H867" s="3">
        <v>45948</v>
      </c>
      <c r="I867" s="1" t="s">
        <v>933</v>
      </c>
      <c r="J867" s="1" t="s">
        <v>951</v>
      </c>
      <c r="K867" s="1" t="s">
        <v>659</v>
      </c>
      <c r="L867" s="1" t="s">
        <v>2122</v>
      </c>
      <c r="M867" s="3">
        <v>45934</v>
      </c>
      <c r="N867" s="1" t="s">
        <v>821</v>
      </c>
      <c r="O867" s="1" t="s">
        <v>936</v>
      </c>
      <c r="P867" s="1">
        <v>1</v>
      </c>
    </row>
    <row r="868" spans="1:16" x14ac:dyDescent="0.25">
      <c r="A868" s="3">
        <v>45933</v>
      </c>
      <c r="B868" s="1">
        <v>167</v>
      </c>
      <c r="C868" s="5">
        <v>150</v>
      </c>
      <c r="D868" s="1" t="s">
        <v>1336</v>
      </c>
      <c r="E868" s="1" t="s">
        <v>1337</v>
      </c>
      <c r="F868" s="1" t="s">
        <v>955</v>
      </c>
      <c r="G868" s="1" t="s">
        <v>940</v>
      </c>
      <c r="H868" s="3">
        <v>45950</v>
      </c>
      <c r="I868" s="1" t="s">
        <v>933</v>
      </c>
      <c r="J868" s="1" t="s">
        <v>951</v>
      </c>
      <c r="K868" s="1" t="s">
        <v>340</v>
      </c>
      <c r="L868" s="1" t="s">
        <v>2123</v>
      </c>
      <c r="M868" s="3">
        <v>45934</v>
      </c>
      <c r="N868" s="1" t="s">
        <v>821</v>
      </c>
      <c r="O868" s="1" t="s">
        <v>936</v>
      </c>
      <c r="P868" s="1">
        <v>1</v>
      </c>
    </row>
    <row r="869" spans="1:16" x14ac:dyDescent="0.25">
      <c r="A869" s="3">
        <v>45933</v>
      </c>
      <c r="B869" s="1">
        <v>296</v>
      </c>
      <c r="C869" s="5">
        <v>11510</v>
      </c>
      <c r="D869" s="1" t="s">
        <v>2124</v>
      </c>
      <c r="E869" s="1" t="s">
        <v>2125</v>
      </c>
      <c r="F869" s="1" t="s">
        <v>966</v>
      </c>
      <c r="G869" s="1" t="s">
        <v>1131</v>
      </c>
      <c r="H869" s="3">
        <v>45963</v>
      </c>
      <c r="I869" s="1" t="s">
        <v>933</v>
      </c>
      <c r="J869" s="1" t="s">
        <v>951</v>
      </c>
      <c r="K869" s="1" t="s">
        <v>340</v>
      </c>
      <c r="L869" s="1" t="s">
        <v>2126</v>
      </c>
      <c r="M869" s="3">
        <v>45937</v>
      </c>
      <c r="N869" s="1" t="s">
        <v>821</v>
      </c>
      <c r="O869" s="1" t="s">
        <v>936</v>
      </c>
      <c r="P869" s="1">
        <v>1</v>
      </c>
    </row>
    <row r="870" spans="1:16" x14ac:dyDescent="0.25">
      <c r="A870" s="3">
        <v>45933</v>
      </c>
      <c r="B870" s="4">
        <v>71186</v>
      </c>
      <c r="C870" s="5">
        <v>350.84</v>
      </c>
      <c r="D870" s="1" t="s">
        <v>1098</v>
      </c>
      <c r="E870" s="1" t="s">
        <v>1099</v>
      </c>
      <c r="F870" s="1" t="s">
        <v>245</v>
      </c>
      <c r="G870" s="1" t="s">
        <v>940</v>
      </c>
      <c r="H870" s="3">
        <v>45964</v>
      </c>
      <c r="I870" s="1" t="s">
        <v>933</v>
      </c>
      <c r="J870" s="1" t="s">
        <v>66</v>
      </c>
      <c r="K870" s="1" t="s">
        <v>308</v>
      </c>
      <c r="L870" s="1" t="s">
        <v>2127</v>
      </c>
      <c r="M870" s="3">
        <v>45934</v>
      </c>
      <c r="N870" s="1" t="s">
        <v>57</v>
      </c>
      <c r="O870" s="1" t="s">
        <v>936</v>
      </c>
      <c r="P870" s="1">
        <v>1</v>
      </c>
    </row>
    <row r="871" spans="1:16" x14ac:dyDescent="0.25">
      <c r="A871" s="3">
        <v>45933</v>
      </c>
      <c r="B871" s="4">
        <v>71185</v>
      </c>
      <c r="C871" s="5">
        <v>1055</v>
      </c>
      <c r="D871" s="1" t="s">
        <v>1098</v>
      </c>
      <c r="E871" s="1" t="s">
        <v>1099</v>
      </c>
      <c r="F871" s="1" t="s">
        <v>128</v>
      </c>
      <c r="G871" s="1" t="s">
        <v>940</v>
      </c>
      <c r="H871" s="3">
        <v>45964</v>
      </c>
      <c r="I871" s="1" t="s">
        <v>933</v>
      </c>
      <c r="J871" s="1" t="s">
        <v>66</v>
      </c>
      <c r="K871" s="1" t="s">
        <v>340</v>
      </c>
      <c r="L871" s="1" t="s">
        <v>2128</v>
      </c>
      <c r="M871" s="3">
        <v>45934</v>
      </c>
      <c r="N871" s="1" t="s">
        <v>93</v>
      </c>
      <c r="O871" s="1" t="s">
        <v>936</v>
      </c>
      <c r="P871" s="1">
        <v>1</v>
      </c>
    </row>
    <row r="872" spans="1:16" x14ac:dyDescent="0.25">
      <c r="A872" s="3">
        <v>45933</v>
      </c>
      <c r="B872" s="4">
        <v>71188</v>
      </c>
      <c r="C872" s="5">
        <v>1085.6099999999999</v>
      </c>
      <c r="D872" s="1" t="s">
        <v>1253</v>
      </c>
      <c r="E872" s="1" t="s">
        <v>1487</v>
      </c>
      <c r="F872" s="1" t="s">
        <v>392</v>
      </c>
      <c r="G872" s="1" t="s">
        <v>940</v>
      </c>
      <c r="H872" s="3">
        <v>45951</v>
      </c>
      <c r="I872" s="1" t="s">
        <v>933</v>
      </c>
      <c r="J872" s="1" t="s">
        <v>66</v>
      </c>
      <c r="K872" s="1" t="s">
        <v>340</v>
      </c>
      <c r="L872" s="1" t="s">
        <v>2129</v>
      </c>
      <c r="M872" s="3">
        <v>45934</v>
      </c>
      <c r="N872" s="1" t="s">
        <v>93</v>
      </c>
      <c r="O872" s="1" t="s">
        <v>936</v>
      </c>
      <c r="P872" s="1">
        <v>1</v>
      </c>
    </row>
    <row r="873" spans="1:16" x14ac:dyDescent="0.25">
      <c r="A873" s="3">
        <v>45933</v>
      </c>
      <c r="B873" s="4">
        <v>9899</v>
      </c>
      <c r="C873" s="5">
        <v>2007.2</v>
      </c>
      <c r="D873" s="1" t="s">
        <v>1573</v>
      </c>
      <c r="E873" s="1" t="s">
        <v>2130</v>
      </c>
      <c r="F873" s="1" t="s">
        <v>643</v>
      </c>
      <c r="G873" s="1" t="s">
        <v>940</v>
      </c>
      <c r="H873" s="3">
        <v>45963</v>
      </c>
      <c r="I873" s="1" t="s">
        <v>933</v>
      </c>
      <c r="J873" s="1" t="s">
        <v>66</v>
      </c>
      <c r="K873" s="1" t="s">
        <v>659</v>
      </c>
      <c r="L873" s="1" t="s">
        <v>2131</v>
      </c>
      <c r="M873" s="3">
        <v>45934</v>
      </c>
      <c r="N873" s="1" t="s">
        <v>646</v>
      </c>
      <c r="O873" s="1" t="s">
        <v>936</v>
      </c>
      <c r="P873" s="1">
        <v>1</v>
      </c>
    </row>
    <row r="874" spans="1:16" x14ac:dyDescent="0.25">
      <c r="A874" s="3">
        <v>45933</v>
      </c>
      <c r="B874" s="4">
        <v>3756</v>
      </c>
      <c r="C874" s="5">
        <v>240</v>
      </c>
      <c r="D874" s="1" t="s">
        <v>1179</v>
      </c>
      <c r="E874" s="1" t="s">
        <v>1180</v>
      </c>
      <c r="F874" s="1" t="s">
        <v>683</v>
      </c>
      <c r="G874" s="1" t="s">
        <v>940</v>
      </c>
      <c r="H874" s="3">
        <v>45947</v>
      </c>
      <c r="I874" s="1" t="s">
        <v>1484</v>
      </c>
      <c r="J874" s="1" t="s">
        <v>66</v>
      </c>
      <c r="K874" s="1" t="s">
        <v>308</v>
      </c>
      <c r="L874" s="1" t="s">
        <v>2132</v>
      </c>
      <c r="M874" s="3">
        <v>45937</v>
      </c>
      <c r="N874" s="1" t="s">
        <v>75</v>
      </c>
      <c r="O874" s="1" t="s">
        <v>936</v>
      </c>
      <c r="P874" s="1">
        <v>1</v>
      </c>
    </row>
    <row r="875" spans="1:16" x14ac:dyDescent="0.25">
      <c r="A875" s="3">
        <v>45933</v>
      </c>
      <c r="B875" s="4">
        <v>3757</v>
      </c>
      <c r="C875" s="5">
        <v>852</v>
      </c>
      <c r="D875" s="1" t="s">
        <v>1179</v>
      </c>
      <c r="E875" s="1" t="s">
        <v>1180</v>
      </c>
      <c r="F875" s="1" t="s">
        <v>110</v>
      </c>
      <c r="G875" s="1" t="s">
        <v>940</v>
      </c>
      <c r="H875" s="3">
        <v>45947</v>
      </c>
      <c r="I875" s="1" t="s">
        <v>2133</v>
      </c>
      <c r="J875" s="1" t="s">
        <v>66</v>
      </c>
      <c r="K875" s="1" t="s">
        <v>308</v>
      </c>
      <c r="L875" s="1" t="s">
        <v>2134</v>
      </c>
      <c r="M875" s="3">
        <v>45937</v>
      </c>
      <c r="N875" s="1" t="s">
        <v>115</v>
      </c>
      <c r="O875" s="1" t="s">
        <v>936</v>
      </c>
      <c r="P875" s="1">
        <v>1</v>
      </c>
    </row>
    <row r="876" spans="1:16" x14ac:dyDescent="0.25">
      <c r="A876" s="3">
        <v>45933</v>
      </c>
      <c r="B876" s="4">
        <v>3324</v>
      </c>
      <c r="C876" s="5">
        <v>300</v>
      </c>
      <c r="D876" s="1" t="s">
        <v>1179</v>
      </c>
      <c r="E876" s="1" t="s">
        <v>1180</v>
      </c>
      <c r="F876" s="1" t="s">
        <v>683</v>
      </c>
      <c r="G876" s="1" t="s">
        <v>940</v>
      </c>
      <c r="H876" s="3">
        <v>45947</v>
      </c>
      <c r="I876" s="1" t="s">
        <v>1484</v>
      </c>
      <c r="J876" s="1" t="s">
        <v>66</v>
      </c>
      <c r="K876" s="1" t="s">
        <v>308</v>
      </c>
      <c r="L876" s="1" t="s">
        <v>2135</v>
      </c>
      <c r="M876" s="3">
        <v>45937</v>
      </c>
      <c r="N876" s="1" t="s">
        <v>75</v>
      </c>
      <c r="O876" s="1" t="s">
        <v>936</v>
      </c>
      <c r="P876" s="1">
        <v>1</v>
      </c>
    </row>
    <row r="877" spans="1:16" x14ac:dyDescent="0.25">
      <c r="A877" s="3">
        <v>45933</v>
      </c>
      <c r="B877" s="4">
        <v>3325</v>
      </c>
      <c r="C877" s="5">
        <v>600</v>
      </c>
      <c r="D877" s="1" t="s">
        <v>1179</v>
      </c>
      <c r="E877" s="1" t="s">
        <v>1180</v>
      </c>
      <c r="F877" s="1" t="s">
        <v>110</v>
      </c>
      <c r="G877" s="1" t="s">
        <v>940</v>
      </c>
      <c r="H877" s="3">
        <v>45947</v>
      </c>
      <c r="I877" s="1" t="s">
        <v>2133</v>
      </c>
      <c r="J877" s="1" t="s">
        <v>66</v>
      </c>
      <c r="K877" s="1" t="s">
        <v>52</v>
      </c>
      <c r="L877" s="1" t="s">
        <v>2136</v>
      </c>
      <c r="M877" s="3">
        <v>45937</v>
      </c>
      <c r="N877" s="1" t="s">
        <v>115</v>
      </c>
      <c r="O877" s="1" t="s">
        <v>936</v>
      </c>
      <c r="P877" s="1">
        <v>1</v>
      </c>
    </row>
    <row r="878" spans="1:16" x14ac:dyDescent="0.25">
      <c r="A878" s="3">
        <v>45933</v>
      </c>
      <c r="B878" s="4">
        <v>2662</v>
      </c>
      <c r="C878" s="5">
        <v>740</v>
      </c>
      <c r="D878" s="1" t="s">
        <v>1843</v>
      </c>
      <c r="E878" s="1" t="s">
        <v>1844</v>
      </c>
      <c r="F878" s="1" t="s">
        <v>185</v>
      </c>
      <c r="G878" s="1" t="s">
        <v>940</v>
      </c>
      <c r="H878" s="1" t="s">
        <v>2137</v>
      </c>
      <c r="I878" s="1" t="s">
        <v>933</v>
      </c>
      <c r="J878" s="1" t="s">
        <v>66</v>
      </c>
      <c r="K878" s="1" t="s">
        <v>52</v>
      </c>
      <c r="L878" s="1" t="s">
        <v>2138</v>
      </c>
      <c r="M878" s="3">
        <v>45936</v>
      </c>
      <c r="N878" s="1" t="s">
        <v>190</v>
      </c>
      <c r="O878" s="1" t="s">
        <v>936</v>
      </c>
      <c r="P878" s="1">
        <v>1</v>
      </c>
    </row>
    <row r="879" spans="1:16" x14ac:dyDescent="0.25">
      <c r="A879" s="3">
        <v>45934</v>
      </c>
      <c r="B879" s="4">
        <v>8824</v>
      </c>
      <c r="C879" s="5">
        <v>3701.44</v>
      </c>
      <c r="D879" s="1" t="s">
        <v>973</v>
      </c>
      <c r="E879" s="1" t="s">
        <v>1068</v>
      </c>
      <c r="F879" s="1" t="s">
        <v>66</v>
      </c>
      <c r="G879" s="1" t="s">
        <v>998</v>
      </c>
      <c r="H879" s="3">
        <v>45949</v>
      </c>
      <c r="I879" s="1" t="s">
        <v>933</v>
      </c>
      <c r="J879" s="1" t="s">
        <v>66</v>
      </c>
      <c r="K879" s="1" t="s">
        <v>996</v>
      </c>
      <c r="L879" s="1" t="s">
        <v>2139</v>
      </c>
      <c r="M879" s="3">
        <v>45937</v>
      </c>
      <c r="N879" s="1" t="s">
        <v>821</v>
      </c>
      <c r="O879" s="1" t="s">
        <v>998</v>
      </c>
      <c r="P879" s="1">
        <v>1</v>
      </c>
    </row>
    <row r="880" spans="1:16" x14ac:dyDescent="0.25">
      <c r="A880" s="3">
        <v>45934</v>
      </c>
      <c r="B880" s="4">
        <v>8849</v>
      </c>
      <c r="C880" s="5">
        <v>22560</v>
      </c>
      <c r="D880" s="1" t="s">
        <v>973</v>
      </c>
      <c r="E880" s="1" t="s">
        <v>1068</v>
      </c>
      <c r="F880" s="1" t="s">
        <v>955</v>
      </c>
      <c r="G880" s="1" t="s">
        <v>998</v>
      </c>
      <c r="H880" s="3">
        <v>45951</v>
      </c>
      <c r="I880" s="1" t="s">
        <v>933</v>
      </c>
      <c r="J880" s="1" t="s">
        <v>951</v>
      </c>
      <c r="K880" s="1" t="s">
        <v>996</v>
      </c>
      <c r="L880" s="1">
        <v>4000</v>
      </c>
      <c r="M880" s="3">
        <v>45939</v>
      </c>
      <c r="N880" s="1" t="s">
        <v>821</v>
      </c>
      <c r="O880" s="1" t="s">
        <v>998</v>
      </c>
      <c r="P880" s="1">
        <v>1</v>
      </c>
    </row>
    <row r="881" spans="1:16" x14ac:dyDescent="0.25">
      <c r="A881" s="3">
        <v>45934</v>
      </c>
      <c r="B881" s="4">
        <v>7116459</v>
      </c>
      <c r="C881" s="5">
        <v>848</v>
      </c>
      <c r="D881" s="1" t="s">
        <v>1224</v>
      </c>
      <c r="E881" s="1" t="s">
        <v>1915</v>
      </c>
      <c r="F881" s="1" t="s">
        <v>844</v>
      </c>
      <c r="G881" s="1" t="s">
        <v>940</v>
      </c>
      <c r="H881" s="3">
        <v>45945</v>
      </c>
      <c r="I881" s="1" t="s">
        <v>933</v>
      </c>
      <c r="J881" s="1" t="s">
        <v>66</v>
      </c>
      <c r="K881" s="1" t="s">
        <v>66</v>
      </c>
      <c r="L881" s="1" t="s">
        <v>2140</v>
      </c>
      <c r="M881" s="3">
        <v>45934</v>
      </c>
      <c r="N881" s="1" t="s">
        <v>836</v>
      </c>
      <c r="O881" s="1" t="s">
        <v>936</v>
      </c>
      <c r="P881" s="1">
        <v>1</v>
      </c>
    </row>
    <row r="882" spans="1:16" x14ac:dyDescent="0.25">
      <c r="A882" s="3">
        <v>45934</v>
      </c>
      <c r="B882" s="4">
        <v>9901</v>
      </c>
      <c r="C882" s="5">
        <v>2813</v>
      </c>
      <c r="D882" s="1" t="s">
        <v>1573</v>
      </c>
      <c r="E882" s="1" t="s">
        <v>1574</v>
      </c>
      <c r="F882" s="1" t="s">
        <v>245</v>
      </c>
      <c r="G882" s="1" t="s">
        <v>940</v>
      </c>
      <c r="H882" s="3">
        <v>45966</v>
      </c>
      <c r="I882" s="1" t="s">
        <v>1100</v>
      </c>
      <c r="J882" s="1" t="s">
        <v>66</v>
      </c>
      <c r="K882" s="1" t="s">
        <v>52</v>
      </c>
      <c r="L882" s="1" t="s">
        <v>2141</v>
      </c>
      <c r="M882" s="3">
        <v>45937</v>
      </c>
      <c r="N882" s="1" t="s">
        <v>57</v>
      </c>
      <c r="O882" s="1" t="s">
        <v>936</v>
      </c>
      <c r="P882" s="1">
        <v>1</v>
      </c>
    </row>
    <row r="883" spans="1:16" x14ac:dyDescent="0.25">
      <c r="A883" s="3">
        <v>45934</v>
      </c>
      <c r="B883" s="1">
        <v>227</v>
      </c>
      <c r="C883" s="5">
        <v>310</v>
      </c>
      <c r="D883" s="1" t="s">
        <v>1953</v>
      </c>
      <c r="E883" s="1" t="s">
        <v>1954</v>
      </c>
      <c r="F883" s="1" t="s">
        <v>422</v>
      </c>
      <c r="G883" s="1" t="s">
        <v>940</v>
      </c>
      <c r="H883" s="3">
        <v>45958</v>
      </c>
      <c r="I883" s="1" t="s">
        <v>933</v>
      </c>
      <c r="J883" s="1" t="s">
        <v>66</v>
      </c>
      <c r="K883" s="1" t="s">
        <v>308</v>
      </c>
      <c r="L883" s="1" t="s">
        <v>2142</v>
      </c>
      <c r="M883" s="3">
        <v>45943</v>
      </c>
      <c r="N883" s="1" t="s">
        <v>75</v>
      </c>
      <c r="O883" s="1" t="s">
        <v>936</v>
      </c>
      <c r="P883" s="1">
        <v>1</v>
      </c>
    </row>
    <row r="884" spans="1:16" x14ac:dyDescent="0.25">
      <c r="A884" s="3">
        <v>45935</v>
      </c>
      <c r="B884" s="4">
        <v>8850</v>
      </c>
      <c r="C884" s="5">
        <v>22559.38</v>
      </c>
      <c r="D884" s="1" t="s">
        <v>973</v>
      </c>
      <c r="E884" s="1" t="s">
        <v>1068</v>
      </c>
      <c r="F884" s="1" t="s">
        <v>955</v>
      </c>
      <c r="G884" s="1" t="s">
        <v>998</v>
      </c>
      <c r="H884" s="3">
        <v>45951</v>
      </c>
      <c r="I884" s="1" t="s">
        <v>933</v>
      </c>
      <c r="J884" s="1" t="s">
        <v>951</v>
      </c>
      <c r="K884" s="1" t="s">
        <v>996</v>
      </c>
      <c r="L884" s="2">
        <v>3999.89</v>
      </c>
      <c r="M884" s="3">
        <v>45937</v>
      </c>
      <c r="N884" s="1" t="s">
        <v>821</v>
      </c>
      <c r="O884" s="1" t="s">
        <v>998</v>
      </c>
      <c r="P884" s="1">
        <v>1</v>
      </c>
    </row>
    <row r="885" spans="1:16" x14ac:dyDescent="0.25">
      <c r="A885" s="3">
        <v>45936</v>
      </c>
      <c r="B885" s="4">
        <v>8848</v>
      </c>
      <c r="C885" s="5">
        <v>11280</v>
      </c>
      <c r="D885" s="1" t="s">
        <v>973</v>
      </c>
      <c r="E885" s="1" t="s">
        <v>1068</v>
      </c>
      <c r="F885" s="1" t="s">
        <v>66</v>
      </c>
      <c r="G885" s="1" t="s">
        <v>998</v>
      </c>
      <c r="H885" s="3">
        <v>45951</v>
      </c>
      <c r="I885" s="1" t="s">
        <v>933</v>
      </c>
      <c r="J885" s="1" t="s">
        <v>66</v>
      </c>
      <c r="K885" s="1" t="s">
        <v>996</v>
      </c>
      <c r="L885" s="1">
        <v>2000</v>
      </c>
      <c r="M885" s="3">
        <v>45936</v>
      </c>
      <c r="N885" s="1" t="s">
        <v>821</v>
      </c>
      <c r="O885" s="1" t="s">
        <v>998</v>
      </c>
      <c r="P885" s="1">
        <v>1</v>
      </c>
    </row>
    <row r="886" spans="1:16" x14ac:dyDescent="0.25">
      <c r="A886" s="3">
        <v>45936</v>
      </c>
      <c r="B886" s="4">
        <v>9476</v>
      </c>
      <c r="C886" s="5">
        <v>560.04999999999995</v>
      </c>
      <c r="D886" s="1" t="s">
        <v>1739</v>
      </c>
      <c r="E886" s="1" t="s">
        <v>1740</v>
      </c>
      <c r="F886" s="1" t="s">
        <v>128</v>
      </c>
      <c r="G886" s="1" t="s">
        <v>940</v>
      </c>
      <c r="H886" s="3">
        <v>45950</v>
      </c>
      <c r="I886" s="1" t="s">
        <v>933</v>
      </c>
      <c r="J886" s="1" t="s">
        <v>66</v>
      </c>
      <c r="K886" s="1" t="s">
        <v>340</v>
      </c>
      <c r="L886" s="1" t="s">
        <v>2143</v>
      </c>
      <c r="M886" s="3">
        <v>45937</v>
      </c>
      <c r="N886" s="1" t="s">
        <v>93</v>
      </c>
      <c r="O886" s="1" t="s">
        <v>936</v>
      </c>
      <c r="P886" s="1">
        <v>1</v>
      </c>
    </row>
    <row r="887" spans="1:16" x14ac:dyDescent="0.25">
      <c r="A887" s="3">
        <v>45936</v>
      </c>
      <c r="B887" s="4">
        <v>71197</v>
      </c>
      <c r="C887" s="5">
        <v>1950.88</v>
      </c>
      <c r="D887" s="1" t="s">
        <v>1253</v>
      </c>
      <c r="E887" s="1" t="s">
        <v>1487</v>
      </c>
      <c r="F887" s="1" t="s">
        <v>753</v>
      </c>
      <c r="G887" s="1" t="s">
        <v>1667</v>
      </c>
      <c r="H887" s="3">
        <v>45966</v>
      </c>
      <c r="I887" s="1" t="s">
        <v>933</v>
      </c>
      <c r="J887" s="1" t="s">
        <v>66</v>
      </c>
      <c r="K887" s="1" t="s">
        <v>340</v>
      </c>
      <c r="L887" s="1" t="s">
        <v>2144</v>
      </c>
      <c r="M887" s="3">
        <v>45937</v>
      </c>
      <c r="N887" s="1" t="s">
        <v>57</v>
      </c>
      <c r="O887" s="1" t="s">
        <v>936</v>
      </c>
      <c r="P887" s="1">
        <v>1</v>
      </c>
    </row>
    <row r="888" spans="1:16" x14ac:dyDescent="0.25">
      <c r="A888" s="3">
        <v>45936</v>
      </c>
      <c r="B888" s="1">
        <v>70</v>
      </c>
      <c r="C888" s="5">
        <v>1480</v>
      </c>
      <c r="D888" s="1" t="s">
        <v>2145</v>
      </c>
      <c r="E888" s="1" t="s">
        <v>2146</v>
      </c>
      <c r="F888" s="1" t="s">
        <v>460</v>
      </c>
      <c r="G888" s="1" t="s">
        <v>940</v>
      </c>
      <c r="H888" s="3">
        <v>45951</v>
      </c>
      <c r="I888" s="1" t="s">
        <v>933</v>
      </c>
      <c r="J888" s="1" t="s">
        <v>66</v>
      </c>
      <c r="K888" s="1" t="s">
        <v>340</v>
      </c>
      <c r="L888" s="1" t="s">
        <v>2147</v>
      </c>
      <c r="M888" s="3">
        <v>45936</v>
      </c>
      <c r="N888" s="1" t="s">
        <v>440</v>
      </c>
      <c r="O888" s="1" t="s">
        <v>936</v>
      </c>
      <c r="P888" s="1">
        <v>1</v>
      </c>
    </row>
    <row r="889" spans="1:16" x14ac:dyDescent="0.25">
      <c r="A889" s="3">
        <v>45936</v>
      </c>
      <c r="B889" s="1">
        <v>72</v>
      </c>
      <c r="C889" s="5">
        <v>310</v>
      </c>
      <c r="D889" s="1" t="s">
        <v>2145</v>
      </c>
      <c r="E889" s="1" t="s">
        <v>2146</v>
      </c>
      <c r="F889" s="1" t="s">
        <v>218</v>
      </c>
      <c r="G889" s="1" t="s">
        <v>940</v>
      </c>
      <c r="H889" s="3">
        <v>45951</v>
      </c>
      <c r="I889" s="1" t="s">
        <v>933</v>
      </c>
      <c r="J889" s="1" t="s">
        <v>66</v>
      </c>
      <c r="K889" s="1" t="s">
        <v>340</v>
      </c>
      <c r="L889" s="1" t="s">
        <v>2148</v>
      </c>
      <c r="M889" s="3">
        <v>45936</v>
      </c>
      <c r="N889" s="1" t="s">
        <v>221</v>
      </c>
      <c r="O889" s="1" t="s">
        <v>936</v>
      </c>
      <c r="P889" s="1">
        <v>1</v>
      </c>
    </row>
    <row r="890" spans="1:16" x14ac:dyDescent="0.25">
      <c r="A890" s="3">
        <v>45936</v>
      </c>
      <c r="B890" s="1">
        <v>71</v>
      </c>
      <c r="C890" s="5">
        <v>530</v>
      </c>
      <c r="D890" s="1" t="s">
        <v>2145</v>
      </c>
      <c r="E890" s="1" t="s">
        <v>2146</v>
      </c>
      <c r="F890" s="1" t="s">
        <v>745</v>
      </c>
      <c r="G890" s="1" t="s">
        <v>940</v>
      </c>
      <c r="H890" s="3">
        <v>45951</v>
      </c>
      <c r="I890" s="1" t="s">
        <v>933</v>
      </c>
      <c r="J890" s="1" t="s">
        <v>66</v>
      </c>
      <c r="K890" s="1" t="s">
        <v>340</v>
      </c>
      <c r="L890" s="1" t="s">
        <v>2149</v>
      </c>
      <c r="M890" s="3">
        <v>45936</v>
      </c>
      <c r="N890" s="1" t="s">
        <v>50</v>
      </c>
      <c r="O890" s="1" t="s">
        <v>936</v>
      </c>
      <c r="P890" s="1">
        <v>1</v>
      </c>
    </row>
    <row r="891" spans="1:16" x14ac:dyDescent="0.25">
      <c r="A891" s="3">
        <v>45936</v>
      </c>
      <c r="B891" s="1">
        <v>69</v>
      </c>
      <c r="C891" s="5">
        <v>6750</v>
      </c>
      <c r="D891" s="1" t="s">
        <v>2145</v>
      </c>
      <c r="E891" s="1" t="s">
        <v>2146</v>
      </c>
      <c r="F891" s="1" t="s">
        <v>599</v>
      </c>
      <c r="G891" s="1" t="s">
        <v>940</v>
      </c>
      <c r="H891" s="3">
        <v>45951</v>
      </c>
      <c r="I891" s="1" t="s">
        <v>933</v>
      </c>
      <c r="J891" s="1" t="s">
        <v>66</v>
      </c>
      <c r="K891" s="1" t="s">
        <v>340</v>
      </c>
      <c r="L891" s="1" t="s">
        <v>2150</v>
      </c>
      <c r="M891" s="3">
        <v>45937</v>
      </c>
      <c r="N891" s="1" t="s">
        <v>57</v>
      </c>
      <c r="O891" s="1" t="s">
        <v>936</v>
      </c>
      <c r="P891" s="1">
        <v>1</v>
      </c>
    </row>
    <row r="892" spans="1:16" x14ac:dyDescent="0.25">
      <c r="A892" s="3">
        <v>45936</v>
      </c>
      <c r="B892" s="1">
        <v>74</v>
      </c>
      <c r="C892" s="5">
        <v>460</v>
      </c>
      <c r="D892" s="1" t="s">
        <v>2145</v>
      </c>
      <c r="E892" s="1" t="s">
        <v>2146</v>
      </c>
      <c r="F892" s="1" t="s">
        <v>753</v>
      </c>
      <c r="G892" s="1" t="s">
        <v>940</v>
      </c>
      <c r="H892" s="3">
        <v>45951</v>
      </c>
      <c r="I892" s="1" t="s">
        <v>933</v>
      </c>
      <c r="J892" s="1" t="s">
        <v>66</v>
      </c>
      <c r="K892" s="1" t="s">
        <v>340</v>
      </c>
      <c r="L892" s="1" t="s">
        <v>2151</v>
      </c>
      <c r="M892" s="3">
        <v>45937</v>
      </c>
      <c r="N892" s="1" t="s">
        <v>57</v>
      </c>
      <c r="O892" s="1" t="s">
        <v>936</v>
      </c>
      <c r="P892" s="1">
        <v>1</v>
      </c>
    </row>
    <row r="893" spans="1:16" x14ac:dyDescent="0.25">
      <c r="A893" s="3">
        <v>45936</v>
      </c>
      <c r="B893" s="1">
        <v>73</v>
      </c>
      <c r="C893" s="5">
        <v>280</v>
      </c>
      <c r="D893" s="1" t="s">
        <v>2145</v>
      </c>
      <c r="E893" s="1" t="s">
        <v>2146</v>
      </c>
      <c r="F893" s="1" t="s">
        <v>745</v>
      </c>
      <c r="G893" s="1" t="s">
        <v>940</v>
      </c>
      <c r="H893" s="3">
        <v>45951</v>
      </c>
      <c r="I893" s="1" t="s">
        <v>933</v>
      </c>
      <c r="J893" s="1" t="s">
        <v>66</v>
      </c>
      <c r="K893" s="1" t="s">
        <v>340</v>
      </c>
      <c r="L893" s="1" t="s">
        <v>2152</v>
      </c>
      <c r="M893" s="3">
        <v>45937</v>
      </c>
      <c r="N893" s="1" t="s">
        <v>50</v>
      </c>
      <c r="O893" s="1" t="s">
        <v>936</v>
      </c>
      <c r="P893" s="1">
        <v>1</v>
      </c>
    </row>
    <row r="894" spans="1:16" x14ac:dyDescent="0.25">
      <c r="A894" s="3">
        <v>45936</v>
      </c>
      <c r="B894" s="1">
        <v>39</v>
      </c>
      <c r="C894" s="5">
        <v>450</v>
      </c>
      <c r="D894" s="1" t="s">
        <v>1607</v>
      </c>
      <c r="E894" s="1" t="s">
        <v>1608</v>
      </c>
      <c r="F894" s="1" t="s">
        <v>955</v>
      </c>
      <c r="G894" s="1" t="s">
        <v>1082</v>
      </c>
      <c r="H894" s="3">
        <v>45951</v>
      </c>
      <c r="I894" s="1" t="s">
        <v>933</v>
      </c>
      <c r="J894" s="1" t="s">
        <v>951</v>
      </c>
      <c r="K894" s="1" t="s">
        <v>20</v>
      </c>
      <c r="L894" s="1" t="s">
        <v>2153</v>
      </c>
      <c r="M894" s="3">
        <v>45937</v>
      </c>
      <c r="N894" s="1" t="s">
        <v>821</v>
      </c>
      <c r="O894" s="1" t="s">
        <v>1497</v>
      </c>
      <c r="P894" s="1" t="s">
        <v>937</v>
      </c>
    </row>
    <row r="895" spans="1:16" x14ac:dyDescent="0.25">
      <c r="A895" s="3">
        <v>45936</v>
      </c>
      <c r="B895" s="4">
        <v>8851</v>
      </c>
      <c r="C895" s="5">
        <v>2676.64</v>
      </c>
      <c r="D895" s="1" t="s">
        <v>973</v>
      </c>
      <c r="E895" s="1" t="s">
        <v>1068</v>
      </c>
      <c r="F895" s="1" t="s">
        <v>955</v>
      </c>
      <c r="G895" s="1" t="s">
        <v>998</v>
      </c>
      <c r="H895" s="3">
        <v>45951</v>
      </c>
      <c r="I895" s="1" t="s">
        <v>933</v>
      </c>
      <c r="J895" s="1" t="s">
        <v>951</v>
      </c>
      <c r="K895" s="1" t="s">
        <v>996</v>
      </c>
      <c r="L895" s="1" t="s">
        <v>2154</v>
      </c>
      <c r="M895" s="3">
        <v>45937</v>
      </c>
      <c r="N895" s="1" t="s">
        <v>821</v>
      </c>
      <c r="O895" s="1" t="s">
        <v>998</v>
      </c>
      <c r="P895" s="1">
        <v>1</v>
      </c>
    </row>
    <row r="896" spans="1:16" x14ac:dyDescent="0.25">
      <c r="A896" s="3">
        <v>45936</v>
      </c>
      <c r="B896" s="1">
        <v>107</v>
      </c>
      <c r="C896" s="5">
        <v>960</v>
      </c>
      <c r="D896" s="1" t="s">
        <v>1579</v>
      </c>
      <c r="E896" s="1" t="s">
        <v>1580</v>
      </c>
      <c r="F896" s="1" t="s">
        <v>955</v>
      </c>
      <c r="G896" s="1" t="s">
        <v>1260</v>
      </c>
      <c r="H896" s="3">
        <v>45951</v>
      </c>
      <c r="I896" s="1" t="s">
        <v>933</v>
      </c>
      <c r="J896" s="1" t="s">
        <v>951</v>
      </c>
      <c r="K896" s="1" t="s">
        <v>308</v>
      </c>
      <c r="L896" s="1" t="s">
        <v>2155</v>
      </c>
      <c r="M896" s="1" t="s">
        <v>2156</v>
      </c>
      <c r="N896" s="1" t="s">
        <v>821</v>
      </c>
      <c r="O896" s="1" t="s">
        <v>936</v>
      </c>
      <c r="P896" s="1">
        <v>1</v>
      </c>
    </row>
    <row r="897" spans="1:16" x14ac:dyDescent="0.25">
      <c r="A897" s="3">
        <v>45936</v>
      </c>
      <c r="B897" s="1">
        <v>25</v>
      </c>
      <c r="C897" s="5">
        <v>81120</v>
      </c>
      <c r="D897" s="1" t="s">
        <v>1354</v>
      </c>
      <c r="E897" s="1" t="s">
        <v>1355</v>
      </c>
      <c r="F897" s="1" t="s">
        <v>955</v>
      </c>
      <c r="G897" s="1" t="s">
        <v>1082</v>
      </c>
      <c r="H897" s="3">
        <v>45951</v>
      </c>
      <c r="I897" s="1" t="s">
        <v>933</v>
      </c>
      <c r="J897" s="1"/>
      <c r="K897" s="1" t="s">
        <v>20</v>
      </c>
      <c r="L897" s="1" t="s">
        <v>2157</v>
      </c>
      <c r="M897" s="3">
        <v>45939</v>
      </c>
      <c r="N897" s="1"/>
      <c r="O897" s="1"/>
      <c r="P897" s="1"/>
    </row>
    <row r="898" spans="1:16" x14ac:dyDescent="0.25">
      <c r="A898" s="3">
        <v>45936</v>
      </c>
      <c r="B898" s="1">
        <v>32</v>
      </c>
      <c r="C898" s="5">
        <v>650</v>
      </c>
      <c r="D898" s="1" t="s">
        <v>2158</v>
      </c>
      <c r="E898" s="1" t="s">
        <v>2159</v>
      </c>
      <c r="F898" s="1" t="s">
        <v>422</v>
      </c>
      <c r="G898" s="1" t="s">
        <v>940</v>
      </c>
      <c r="H898" s="3">
        <v>45955</v>
      </c>
      <c r="I898" s="1" t="s">
        <v>1484</v>
      </c>
      <c r="J898" s="1" t="s">
        <v>66</v>
      </c>
      <c r="K898" s="1" t="s">
        <v>340</v>
      </c>
      <c r="L898" s="1" t="s">
        <v>2160</v>
      </c>
      <c r="M898" s="3">
        <v>45941</v>
      </c>
      <c r="N898" s="1" t="s">
        <v>75</v>
      </c>
      <c r="O898" s="1" t="s">
        <v>936</v>
      </c>
      <c r="P898" s="1" t="s">
        <v>937</v>
      </c>
    </row>
    <row r="899" spans="1:16" x14ac:dyDescent="0.25">
      <c r="A899" s="3">
        <v>45936</v>
      </c>
      <c r="B899" s="4">
        <v>1084</v>
      </c>
      <c r="C899" s="5">
        <v>150</v>
      </c>
      <c r="D899" s="1" t="s">
        <v>1074</v>
      </c>
      <c r="E899" s="1" t="s">
        <v>1075</v>
      </c>
      <c r="F899" s="1" t="s">
        <v>955</v>
      </c>
      <c r="G899" s="1" t="s">
        <v>2101</v>
      </c>
      <c r="H899" s="3">
        <v>45960</v>
      </c>
      <c r="I899" s="1" t="s">
        <v>933</v>
      </c>
      <c r="J899" s="1" t="s">
        <v>951</v>
      </c>
      <c r="K899" s="1" t="s">
        <v>340</v>
      </c>
      <c r="L899" s="1" t="s">
        <v>2161</v>
      </c>
      <c r="M899" s="3">
        <v>45941</v>
      </c>
      <c r="N899" s="1" t="s">
        <v>821</v>
      </c>
      <c r="O899" s="1" t="s">
        <v>936</v>
      </c>
      <c r="P899" s="1">
        <v>1</v>
      </c>
    </row>
    <row r="900" spans="1:16" x14ac:dyDescent="0.25">
      <c r="A900" s="3">
        <v>45936</v>
      </c>
      <c r="B900" s="4">
        <v>1084</v>
      </c>
      <c r="C900" s="5">
        <v>20.5</v>
      </c>
      <c r="D900" s="1" t="s">
        <v>1074</v>
      </c>
      <c r="E900" s="1" t="s">
        <v>1075</v>
      </c>
      <c r="F900" s="1" t="s">
        <v>955</v>
      </c>
      <c r="G900" s="1" t="s">
        <v>2101</v>
      </c>
      <c r="H900" s="3">
        <v>45960</v>
      </c>
      <c r="I900" s="1" t="s">
        <v>933</v>
      </c>
      <c r="J900" s="1" t="s">
        <v>951</v>
      </c>
      <c r="K900" s="1" t="s">
        <v>340</v>
      </c>
      <c r="L900" s="1" t="s">
        <v>2162</v>
      </c>
      <c r="M900" s="3">
        <v>45941</v>
      </c>
      <c r="N900" s="1" t="s">
        <v>821</v>
      </c>
      <c r="O900" s="1" t="s">
        <v>936</v>
      </c>
      <c r="P900" s="1">
        <v>1</v>
      </c>
    </row>
    <row r="901" spans="1:16" x14ac:dyDescent="0.25">
      <c r="A901" s="3">
        <v>45936</v>
      </c>
      <c r="B901" s="4">
        <v>1084</v>
      </c>
      <c r="C901" s="5">
        <v>290</v>
      </c>
      <c r="D901" s="1" t="s">
        <v>1074</v>
      </c>
      <c r="E901" s="1" t="s">
        <v>1075</v>
      </c>
      <c r="F901" s="1" t="s">
        <v>955</v>
      </c>
      <c r="G901" s="1" t="s">
        <v>2101</v>
      </c>
      <c r="H901" s="3">
        <v>45960</v>
      </c>
      <c r="I901" s="1" t="s">
        <v>933</v>
      </c>
      <c r="J901" s="1" t="s">
        <v>951</v>
      </c>
      <c r="K901" s="1" t="s">
        <v>340</v>
      </c>
      <c r="L901" s="1" t="s">
        <v>2163</v>
      </c>
      <c r="M901" s="3">
        <v>45941</v>
      </c>
      <c r="N901" s="1" t="s">
        <v>821</v>
      </c>
      <c r="O901" s="1" t="s">
        <v>936</v>
      </c>
      <c r="P901" s="1">
        <v>1</v>
      </c>
    </row>
    <row r="902" spans="1:16" x14ac:dyDescent="0.25">
      <c r="A902" s="3">
        <v>45937</v>
      </c>
      <c r="B902" s="1">
        <v>201</v>
      </c>
      <c r="C902" s="5">
        <v>430</v>
      </c>
      <c r="D902" s="1" t="s">
        <v>1953</v>
      </c>
      <c r="E902" s="1" t="s">
        <v>1954</v>
      </c>
      <c r="F902" s="1" t="s">
        <v>447</v>
      </c>
      <c r="G902" s="1" t="s">
        <v>940</v>
      </c>
      <c r="H902" s="3">
        <v>45958</v>
      </c>
      <c r="I902" s="1" t="s">
        <v>933</v>
      </c>
      <c r="J902" s="1" t="s">
        <v>66</v>
      </c>
      <c r="K902" s="1" t="s">
        <v>308</v>
      </c>
      <c r="L902" s="1" t="s">
        <v>2164</v>
      </c>
      <c r="M902" s="3">
        <v>45943</v>
      </c>
      <c r="N902" s="1" t="s">
        <v>450</v>
      </c>
      <c r="O902" s="1" t="s">
        <v>936</v>
      </c>
      <c r="P902" s="1">
        <v>1</v>
      </c>
    </row>
    <row r="903" spans="1:16" x14ac:dyDescent="0.25">
      <c r="A903" s="3">
        <v>45937</v>
      </c>
      <c r="B903" s="4">
        <v>8880</v>
      </c>
      <c r="C903" s="5">
        <v>22560</v>
      </c>
      <c r="D903" s="1" t="s">
        <v>973</v>
      </c>
      <c r="E903" s="1" t="s">
        <v>1068</v>
      </c>
      <c r="F903" s="1" t="s">
        <v>955</v>
      </c>
      <c r="G903" s="1" t="s">
        <v>998</v>
      </c>
      <c r="H903" s="3">
        <v>45952</v>
      </c>
      <c r="I903" s="1" t="s">
        <v>933</v>
      </c>
      <c r="J903" s="1" t="s">
        <v>951</v>
      </c>
      <c r="K903" s="1" t="s">
        <v>996</v>
      </c>
      <c r="L903" s="1">
        <v>4000</v>
      </c>
      <c r="M903" s="3">
        <v>45939</v>
      </c>
      <c r="N903" s="1" t="s">
        <v>821</v>
      </c>
      <c r="O903" s="1" t="s">
        <v>998</v>
      </c>
      <c r="P903" s="1">
        <v>1</v>
      </c>
    </row>
    <row r="904" spans="1:16" x14ac:dyDescent="0.25">
      <c r="A904" s="3">
        <v>45937</v>
      </c>
      <c r="B904" s="4">
        <v>9908</v>
      </c>
      <c r="C904" s="5">
        <v>369.8</v>
      </c>
      <c r="D904" s="1" t="s">
        <v>1573</v>
      </c>
      <c r="E904" s="1" t="s">
        <v>1574</v>
      </c>
      <c r="F904" s="1" t="s">
        <v>723</v>
      </c>
      <c r="G904" s="1" t="s">
        <v>940</v>
      </c>
      <c r="H904" s="3">
        <v>45966</v>
      </c>
      <c r="I904" s="1" t="s">
        <v>1100</v>
      </c>
      <c r="J904" s="1" t="s">
        <v>66</v>
      </c>
      <c r="K904" s="1" t="s">
        <v>308</v>
      </c>
      <c r="L904" s="1" t="s">
        <v>2165</v>
      </c>
      <c r="M904" s="3">
        <v>45937</v>
      </c>
      <c r="N904" s="1" t="s">
        <v>726</v>
      </c>
      <c r="O904" s="1" t="s">
        <v>936</v>
      </c>
      <c r="P904" s="1">
        <v>1</v>
      </c>
    </row>
    <row r="905" spans="1:16" x14ac:dyDescent="0.25">
      <c r="A905" s="3">
        <v>45937</v>
      </c>
      <c r="B905" s="1">
        <v>40</v>
      </c>
      <c r="C905" s="5">
        <v>1500</v>
      </c>
      <c r="D905" s="1" t="s">
        <v>1197</v>
      </c>
      <c r="E905" s="1" t="s">
        <v>1198</v>
      </c>
      <c r="F905" s="1" t="s">
        <v>955</v>
      </c>
      <c r="G905" s="1" t="s">
        <v>940</v>
      </c>
      <c r="H905" s="3">
        <v>45950</v>
      </c>
      <c r="I905" s="1" t="s">
        <v>933</v>
      </c>
      <c r="J905" s="1" t="s">
        <v>951</v>
      </c>
      <c r="K905" s="1" t="s">
        <v>340</v>
      </c>
      <c r="L905" s="1" t="s">
        <v>2166</v>
      </c>
      <c r="M905" s="3">
        <v>45939</v>
      </c>
      <c r="N905" s="1" t="s">
        <v>821</v>
      </c>
      <c r="O905" s="1" t="s">
        <v>936</v>
      </c>
      <c r="P905" s="1">
        <v>1</v>
      </c>
    </row>
    <row r="906" spans="1:16" x14ac:dyDescent="0.25">
      <c r="A906" s="3">
        <v>45937</v>
      </c>
      <c r="B906" s="1">
        <v>203</v>
      </c>
      <c r="C906" s="5">
        <v>825</v>
      </c>
      <c r="D906" s="1" t="s">
        <v>1953</v>
      </c>
      <c r="E906" s="1" t="s">
        <v>1954</v>
      </c>
      <c r="F906" s="1" t="s">
        <v>483</v>
      </c>
      <c r="G906" s="1" t="s">
        <v>940</v>
      </c>
      <c r="H906" s="3">
        <v>45958</v>
      </c>
      <c r="I906" s="1" t="s">
        <v>933</v>
      </c>
      <c r="J906" s="1" t="s">
        <v>66</v>
      </c>
      <c r="K906" s="1" t="s">
        <v>308</v>
      </c>
      <c r="L906" s="1" t="s">
        <v>2167</v>
      </c>
      <c r="M906" s="3">
        <v>45943</v>
      </c>
      <c r="N906" s="1" t="s">
        <v>383</v>
      </c>
      <c r="O906" s="1" t="s">
        <v>936</v>
      </c>
      <c r="P906" s="1">
        <v>1</v>
      </c>
    </row>
    <row r="907" spans="1:16" x14ac:dyDescent="0.25">
      <c r="A907" s="3">
        <v>45937</v>
      </c>
      <c r="B907" s="1">
        <v>203</v>
      </c>
      <c r="C907" s="5">
        <v>960</v>
      </c>
      <c r="D907" s="1" t="s">
        <v>1953</v>
      </c>
      <c r="E907" s="1" t="s">
        <v>1954</v>
      </c>
      <c r="F907" s="1" t="s">
        <v>483</v>
      </c>
      <c r="G907" s="1" t="s">
        <v>940</v>
      </c>
      <c r="H907" s="3">
        <v>45958</v>
      </c>
      <c r="I907" s="1" t="s">
        <v>2168</v>
      </c>
      <c r="J907" s="1" t="s">
        <v>66</v>
      </c>
      <c r="K907" s="1" t="s">
        <v>308</v>
      </c>
      <c r="L907" s="1" t="s">
        <v>2167</v>
      </c>
      <c r="M907" s="3">
        <v>45943</v>
      </c>
      <c r="N907" s="1" t="s">
        <v>383</v>
      </c>
      <c r="O907" s="1" t="s">
        <v>936</v>
      </c>
      <c r="P907" s="1">
        <v>1</v>
      </c>
    </row>
    <row r="908" spans="1:16" x14ac:dyDescent="0.25">
      <c r="A908" s="3">
        <v>45937</v>
      </c>
      <c r="B908" s="1">
        <v>204</v>
      </c>
      <c r="C908" s="5">
        <v>570</v>
      </c>
      <c r="D908" s="1" t="s">
        <v>1953</v>
      </c>
      <c r="E908" s="1" t="s">
        <v>1954</v>
      </c>
      <c r="F908" s="1" t="s">
        <v>683</v>
      </c>
      <c r="G908" s="1" t="s">
        <v>940</v>
      </c>
      <c r="H908" s="3">
        <v>45958</v>
      </c>
      <c r="I908" s="1" t="s">
        <v>933</v>
      </c>
      <c r="J908" s="1" t="s">
        <v>66</v>
      </c>
      <c r="K908" s="1" t="s">
        <v>308</v>
      </c>
      <c r="L908" s="1" t="s">
        <v>2169</v>
      </c>
      <c r="M908" s="3">
        <v>45943</v>
      </c>
      <c r="N908" s="1" t="s">
        <v>75</v>
      </c>
      <c r="O908" s="1" t="s">
        <v>936</v>
      </c>
      <c r="P908" s="1">
        <v>1</v>
      </c>
    </row>
    <row r="909" spans="1:16" x14ac:dyDescent="0.25">
      <c r="A909" s="3">
        <v>45937</v>
      </c>
      <c r="B909" s="1">
        <v>211</v>
      </c>
      <c r="C909" s="5">
        <v>480</v>
      </c>
      <c r="D909" s="1" t="s">
        <v>1953</v>
      </c>
      <c r="E909" s="1" t="s">
        <v>1954</v>
      </c>
      <c r="F909" s="1" t="s">
        <v>483</v>
      </c>
      <c r="G909" s="1" t="s">
        <v>940</v>
      </c>
      <c r="H909" s="3">
        <v>45958</v>
      </c>
      <c r="I909" s="1" t="s">
        <v>2168</v>
      </c>
      <c r="J909" s="1" t="s">
        <v>66</v>
      </c>
      <c r="K909" s="1" t="s">
        <v>308</v>
      </c>
      <c r="L909" s="1" t="s">
        <v>2170</v>
      </c>
      <c r="M909" s="3">
        <v>45943</v>
      </c>
      <c r="N909" s="1" t="s">
        <v>383</v>
      </c>
      <c r="O909" s="1" t="s">
        <v>936</v>
      </c>
      <c r="P909" s="1">
        <v>1</v>
      </c>
    </row>
    <row r="910" spans="1:16" x14ac:dyDescent="0.25">
      <c r="A910" s="3">
        <v>45937</v>
      </c>
      <c r="B910" s="1">
        <v>213</v>
      </c>
      <c r="C910" s="5">
        <v>60</v>
      </c>
      <c r="D910" s="1" t="s">
        <v>1953</v>
      </c>
      <c r="E910" s="1" t="s">
        <v>1954</v>
      </c>
      <c r="F910" s="1" t="s">
        <v>736</v>
      </c>
      <c r="G910" s="1" t="s">
        <v>940</v>
      </c>
      <c r="H910" s="1" t="s">
        <v>2171</v>
      </c>
      <c r="I910" s="1" t="s">
        <v>933</v>
      </c>
      <c r="J910" s="1" t="s">
        <v>66</v>
      </c>
      <c r="K910" s="1" t="s">
        <v>308</v>
      </c>
      <c r="L910" s="1" t="s">
        <v>2172</v>
      </c>
      <c r="M910" s="3">
        <v>45943</v>
      </c>
      <c r="N910" s="1" t="s">
        <v>57</v>
      </c>
      <c r="O910" s="1" t="s">
        <v>936</v>
      </c>
      <c r="P910" s="1">
        <v>1</v>
      </c>
    </row>
    <row r="911" spans="1:16" x14ac:dyDescent="0.25">
      <c r="A911" s="3">
        <v>45937</v>
      </c>
      <c r="B911" s="1">
        <v>215</v>
      </c>
      <c r="C911" s="5">
        <v>330</v>
      </c>
      <c r="D911" s="1" t="s">
        <v>1953</v>
      </c>
      <c r="E911" s="1" t="s">
        <v>1954</v>
      </c>
      <c r="F911" s="1" t="s">
        <v>857</v>
      </c>
      <c r="G911" s="1" t="s">
        <v>940</v>
      </c>
      <c r="H911" s="3">
        <v>45958</v>
      </c>
      <c r="I911" s="1" t="s">
        <v>933</v>
      </c>
      <c r="J911" s="1" t="s">
        <v>66</v>
      </c>
      <c r="K911" s="1" t="s">
        <v>308</v>
      </c>
      <c r="L911" s="1" t="s">
        <v>2173</v>
      </c>
      <c r="M911" s="3">
        <v>45943</v>
      </c>
      <c r="N911" s="1" t="s">
        <v>506</v>
      </c>
      <c r="O911" s="1" t="s">
        <v>936</v>
      </c>
      <c r="P911" s="1">
        <v>1</v>
      </c>
    </row>
    <row r="912" spans="1:16" x14ac:dyDescent="0.25">
      <c r="A912" s="3">
        <v>45937</v>
      </c>
      <c r="B912" s="1">
        <v>218</v>
      </c>
      <c r="C912" s="5">
        <v>370</v>
      </c>
      <c r="D912" s="1" t="s">
        <v>1953</v>
      </c>
      <c r="E912" s="1" t="s">
        <v>1954</v>
      </c>
      <c r="F912" s="1" t="s">
        <v>683</v>
      </c>
      <c r="G912" s="1" t="s">
        <v>940</v>
      </c>
      <c r="H912" s="3">
        <v>45958</v>
      </c>
      <c r="I912" s="1" t="s">
        <v>933</v>
      </c>
      <c r="J912" s="1" t="s">
        <v>66</v>
      </c>
      <c r="K912" s="1" t="s">
        <v>308</v>
      </c>
      <c r="L912" s="1" t="s">
        <v>2174</v>
      </c>
      <c r="M912" s="3">
        <v>45943</v>
      </c>
      <c r="N912" s="1" t="s">
        <v>75</v>
      </c>
      <c r="O912" s="1" t="s">
        <v>936</v>
      </c>
      <c r="P912" s="1">
        <v>1</v>
      </c>
    </row>
    <row r="913" spans="1:16" x14ac:dyDescent="0.25">
      <c r="A913" s="3">
        <v>45937</v>
      </c>
      <c r="B913" s="1">
        <v>219</v>
      </c>
      <c r="C913" s="5">
        <v>680</v>
      </c>
      <c r="D913" s="1" t="s">
        <v>1953</v>
      </c>
      <c r="E913" s="1" t="s">
        <v>1954</v>
      </c>
      <c r="F913" s="1" t="s">
        <v>553</v>
      </c>
      <c r="G913" s="1" t="s">
        <v>940</v>
      </c>
      <c r="H913" s="3">
        <v>45958</v>
      </c>
      <c r="I913" s="1" t="s">
        <v>933</v>
      </c>
      <c r="J913" s="1" t="s">
        <v>2175</v>
      </c>
      <c r="K913" s="1" t="s">
        <v>340</v>
      </c>
      <c r="L913" s="1" t="s">
        <v>2176</v>
      </c>
      <c r="M913" s="3">
        <v>45943</v>
      </c>
      <c r="N913" s="1"/>
      <c r="O913" s="1" t="s">
        <v>936</v>
      </c>
      <c r="P913" s="1"/>
    </row>
    <row r="914" spans="1:16" x14ac:dyDescent="0.25">
      <c r="A914" s="3">
        <v>45937</v>
      </c>
      <c r="B914" s="1">
        <v>221</v>
      </c>
      <c r="C914" s="5">
        <v>120</v>
      </c>
      <c r="D914" s="1" t="s">
        <v>1953</v>
      </c>
      <c r="E914" s="1" t="s">
        <v>1954</v>
      </c>
      <c r="F914" s="1" t="s">
        <v>759</v>
      </c>
      <c r="G914" s="1" t="s">
        <v>940</v>
      </c>
      <c r="H914" s="3">
        <v>45958</v>
      </c>
      <c r="I914" s="1" t="s">
        <v>933</v>
      </c>
      <c r="J914" s="1" t="s">
        <v>2177</v>
      </c>
      <c r="K914" s="1" t="s">
        <v>308</v>
      </c>
      <c r="L914" s="1" t="s">
        <v>2178</v>
      </c>
      <c r="M914" s="3">
        <v>45943</v>
      </c>
      <c r="N914" s="1" t="s">
        <v>75</v>
      </c>
      <c r="O914" s="1" t="s">
        <v>936</v>
      </c>
      <c r="P914" s="1">
        <v>1</v>
      </c>
    </row>
    <row r="915" spans="1:16" x14ac:dyDescent="0.25">
      <c r="A915" s="3">
        <v>45937</v>
      </c>
      <c r="B915" s="1">
        <v>224</v>
      </c>
      <c r="C915" s="5">
        <v>210</v>
      </c>
      <c r="D915" s="1" t="s">
        <v>1953</v>
      </c>
      <c r="E915" s="1" t="s">
        <v>1954</v>
      </c>
      <c r="F915" s="1" t="s">
        <v>647</v>
      </c>
      <c r="G915" s="1" t="s">
        <v>940</v>
      </c>
      <c r="H915" s="3">
        <v>45958</v>
      </c>
      <c r="I915" s="1" t="s">
        <v>933</v>
      </c>
      <c r="J915" s="1" t="s">
        <v>2175</v>
      </c>
      <c r="K915" s="1" t="s">
        <v>340</v>
      </c>
      <c r="L915" s="1" t="s">
        <v>2179</v>
      </c>
      <c r="M915" s="3">
        <v>45943</v>
      </c>
      <c r="N915" s="1" t="s">
        <v>57</v>
      </c>
      <c r="O915" s="1" t="s">
        <v>936</v>
      </c>
      <c r="P915" s="1">
        <v>1</v>
      </c>
    </row>
    <row r="916" spans="1:16" x14ac:dyDescent="0.25">
      <c r="A916" s="3">
        <v>45937</v>
      </c>
      <c r="B916" s="1">
        <v>225</v>
      </c>
      <c r="C916" s="5">
        <v>440</v>
      </c>
      <c r="D916" s="1" t="s">
        <v>1953</v>
      </c>
      <c r="E916" s="1" t="s">
        <v>1954</v>
      </c>
      <c r="F916" s="1" t="s">
        <v>426</v>
      </c>
      <c r="G916" s="1" t="s">
        <v>940</v>
      </c>
      <c r="H916" s="3">
        <v>45958</v>
      </c>
      <c r="I916" s="1" t="s">
        <v>933</v>
      </c>
      <c r="J916" s="1" t="s">
        <v>66</v>
      </c>
      <c r="K916" s="1" t="s">
        <v>308</v>
      </c>
      <c r="L916" s="1" t="s">
        <v>2180</v>
      </c>
      <c r="M916" s="3">
        <v>45943</v>
      </c>
      <c r="N916" s="1" t="s">
        <v>429</v>
      </c>
      <c r="O916" s="1" t="s">
        <v>936</v>
      </c>
      <c r="P916" s="1">
        <v>1</v>
      </c>
    </row>
    <row r="917" spans="1:16" x14ac:dyDescent="0.25">
      <c r="A917" s="3">
        <v>45937</v>
      </c>
      <c r="B917" s="1">
        <v>226</v>
      </c>
      <c r="C917" s="5">
        <v>1980</v>
      </c>
      <c r="D917" s="1" t="s">
        <v>1953</v>
      </c>
      <c r="E917" s="1" t="s">
        <v>1954</v>
      </c>
      <c r="F917" s="1" t="s">
        <v>245</v>
      </c>
      <c r="G917" s="1" t="s">
        <v>940</v>
      </c>
      <c r="H917" s="3">
        <v>45958</v>
      </c>
      <c r="I917" s="1" t="s">
        <v>1100</v>
      </c>
      <c r="J917" s="1" t="s">
        <v>2175</v>
      </c>
      <c r="K917" s="1" t="s">
        <v>340</v>
      </c>
      <c r="L917" s="1" t="s">
        <v>2181</v>
      </c>
      <c r="M917" s="3">
        <v>45943</v>
      </c>
      <c r="N917" s="1"/>
      <c r="O917" s="1" t="s">
        <v>936</v>
      </c>
      <c r="P917" s="1"/>
    </row>
    <row r="918" spans="1:16" x14ac:dyDescent="0.25">
      <c r="A918" s="3">
        <v>45937</v>
      </c>
      <c r="B918" s="1">
        <v>226</v>
      </c>
      <c r="C918" s="5">
        <v>1980</v>
      </c>
      <c r="D918" s="1" t="s">
        <v>1953</v>
      </c>
      <c r="E918" s="1" t="s">
        <v>1954</v>
      </c>
      <c r="F918" s="1" t="s">
        <v>245</v>
      </c>
      <c r="G918" s="1" t="s">
        <v>940</v>
      </c>
      <c r="H918" s="3">
        <v>45958</v>
      </c>
      <c r="I918" s="1" t="s">
        <v>933</v>
      </c>
      <c r="J918" s="1" t="s">
        <v>2182</v>
      </c>
      <c r="K918" s="1" t="s">
        <v>308</v>
      </c>
      <c r="L918" s="1" t="s">
        <v>2183</v>
      </c>
      <c r="M918" s="3">
        <v>45943</v>
      </c>
      <c r="N918" s="1" t="s">
        <v>57</v>
      </c>
      <c r="O918" s="1" t="s">
        <v>936</v>
      </c>
      <c r="P918" s="1">
        <v>1</v>
      </c>
    </row>
    <row r="919" spans="1:16" x14ac:dyDescent="0.25">
      <c r="A919" s="3">
        <v>45937</v>
      </c>
      <c r="B919" s="1">
        <v>228</v>
      </c>
      <c r="C919" s="5">
        <v>1050</v>
      </c>
      <c r="D919" s="1" t="s">
        <v>1953</v>
      </c>
      <c r="E919" s="1" t="s">
        <v>1954</v>
      </c>
      <c r="F919" s="1" t="s">
        <v>635</v>
      </c>
      <c r="G919" s="1" t="s">
        <v>940</v>
      </c>
      <c r="H919" s="3">
        <v>45958</v>
      </c>
      <c r="I919" s="1" t="s">
        <v>2004</v>
      </c>
      <c r="J919" s="1" t="s">
        <v>66</v>
      </c>
      <c r="K919" s="1" t="s">
        <v>340</v>
      </c>
      <c r="L919" s="1" t="s">
        <v>2184</v>
      </c>
      <c r="M919" s="3">
        <v>45943</v>
      </c>
      <c r="N919" s="1" t="s">
        <v>429</v>
      </c>
      <c r="O919" s="1" t="s">
        <v>936</v>
      </c>
      <c r="P919" s="1">
        <v>1</v>
      </c>
    </row>
    <row r="920" spans="1:16" x14ac:dyDescent="0.25">
      <c r="A920" s="3">
        <v>45937</v>
      </c>
      <c r="B920" s="1">
        <v>230</v>
      </c>
      <c r="C920" s="5">
        <v>1380</v>
      </c>
      <c r="D920" s="1" t="s">
        <v>1953</v>
      </c>
      <c r="E920" s="1" t="s">
        <v>1954</v>
      </c>
      <c r="F920" s="1" t="s">
        <v>110</v>
      </c>
      <c r="G920" s="1" t="s">
        <v>940</v>
      </c>
      <c r="H920" s="3">
        <v>45958</v>
      </c>
      <c r="I920" s="1" t="s">
        <v>2133</v>
      </c>
      <c r="J920" s="1" t="s">
        <v>66</v>
      </c>
      <c r="K920" s="1" t="s">
        <v>1654</v>
      </c>
      <c r="L920" s="1" t="s">
        <v>2185</v>
      </c>
      <c r="M920" s="3">
        <v>45943</v>
      </c>
      <c r="N920" s="1" t="s">
        <v>115</v>
      </c>
      <c r="O920" s="1" t="s">
        <v>936</v>
      </c>
      <c r="P920" s="1">
        <v>1</v>
      </c>
    </row>
    <row r="921" spans="1:16" x14ac:dyDescent="0.25">
      <c r="A921" s="3">
        <v>45937</v>
      </c>
      <c r="B921" s="1">
        <v>233</v>
      </c>
      <c r="C921" s="5">
        <v>1270</v>
      </c>
      <c r="D921" s="1" t="s">
        <v>1953</v>
      </c>
      <c r="E921" s="1" t="s">
        <v>1954</v>
      </c>
      <c r="F921" s="1" t="s">
        <v>635</v>
      </c>
      <c r="G921" s="1" t="s">
        <v>940</v>
      </c>
      <c r="H921" s="3">
        <v>45958</v>
      </c>
      <c r="I921" s="1" t="s">
        <v>2004</v>
      </c>
      <c r="J921" s="1" t="s">
        <v>66</v>
      </c>
      <c r="K921" s="1" t="s">
        <v>340</v>
      </c>
      <c r="L921" s="1" t="s">
        <v>2186</v>
      </c>
      <c r="M921" s="3">
        <v>45943</v>
      </c>
      <c r="N921" s="1" t="s">
        <v>429</v>
      </c>
      <c r="O921" s="1" t="s">
        <v>936</v>
      </c>
      <c r="P921" s="1">
        <v>1</v>
      </c>
    </row>
    <row r="922" spans="1:16" x14ac:dyDescent="0.25">
      <c r="A922" s="3">
        <v>45937</v>
      </c>
      <c r="B922" s="1">
        <v>236</v>
      </c>
      <c r="C922" s="5">
        <v>570</v>
      </c>
      <c r="D922" s="1" t="s">
        <v>1953</v>
      </c>
      <c r="E922" s="1" t="s">
        <v>1954</v>
      </c>
      <c r="F922" s="1" t="s">
        <v>827</v>
      </c>
      <c r="G922" s="1" t="s">
        <v>990</v>
      </c>
      <c r="H922" s="3">
        <v>45958</v>
      </c>
      <c r="I922" s="1" t="s">
        <v>933</v>
      </c>
      <c r="J922" s="1" t="s">
        <v>66</v>
      </c>
      <c r="K922" s="1" t="s">
        <v>340</v>
      </c>
      <c r="L922" s="1" t="s">
        <v>2187</v>
      </c>
      <c r="M922" s="3">
        <v>45943</v>
      </c>
      <c r="N922" s="1" t="s">
        <v>772</v>
      </c>
      <c r="O922" s="1" t="s">
        <v>936</v>
      </c>
      <c r="P922" s="1">
        <v>1</v>
      </c>
    </row>
    <row r="923" spans="1:16" x14ac:dyDescent="0.25">
      <c r="A923" s="3">
        <v>45937</v>
      </c>
      <c r="B923" s="1">
        <v>237</v>
      </c>
      <c r="C923" s="5">
        <v>460</v>
      </c>
      <c r="D923" s="1" t="s">
        <v>1953</v>
      </c>
      <c r="E923" s="1" t="s">
        <v>1954</v>
      </c>
      <c r="F923" s="1" t="s">
        <v>723</v>
      </c>
      <c r="G923" s="1" t="s">
        <v>990</v>
      </c>
      <c r="H923" s="3">
        <v>45958</v>
      </c>
      <c r="I923" s="1" t="s">
        <v>933</v>
      </c>
      <c r="J923" s="1" t="s">
        <v>66</v>
      </c>
      <c r="K923" s="1" t="s">
        <v>340</v>
      </c>
      <c r="L923" s="1" t="s">
        <v>2188</v>
      </c>
      <c r="M923" s="3">
        <v>45943</v>
      </c>
      <c r="N923" s="1" t="s">
        <v>726</v>
      </c>
      <c r="O923" s="1" t="s">
        <v>936</v>
      </c>
      <c r="P923" s="1">
        <v>1</v>
      </c>
    </row>
    <row r="924" spans="1:16" x14ac:dyDescent="0.25">
      <c r="A924" s="3">
        <v>45937</v>
      </c>
      <c r="B924" s="1">
        <v>240</v>
      </c>
      <c r="C924" s="5">
        <v>470</v>
      </c>
      <c r="D924" s="1" t="s">
        <v>1953</v>
      </c>
      <c r="E924" s="1" t="s">
        <v>1954</v>
      </c>
      <c r="F924" s="1" t="s">
        <v>759</v>
      </c>
      <c r="G924" s="1" t="s">
        <v>940</v>
      </c>
      <c r="H924" s="3">
        <v>45958</v>
      </c>
      <c r="I924" s="1" t="s">
        <v>933</v>
      </c>
      <c r="J924" s="1" t="s">
        <v>66</v>
      </c>
      <c r="K924" s="1" t="s">
        <v>340</v>
      </c>
      <c r="L924" s="1" t="s">
        <v>2189</v>
      </c>
      <c r="M924" s="3">
        <v>45943</v>
      </c>
      <c r="N924" s="1" t="s">
        <v>75</v>
      </c>
      <c r="O924" s="1" t="s">
        <v>936</v>
      </c>
      <c r="P924" s="1">
        <v>1</v>
      </c>
    </row>
    <row r="925" spans="1:16" x14ac:dyDescent="0.25">
      <c r="A925" s="3">
        <v>45937</v>
      </c>
      <c r="B925" s="4">
        <v>1583</v>
      </c>
      <c r="C925" s="5">
        <v>1980</v>
      </c>
      <c r="D925" s="1" t="s">
        <v>1080</v>
      </c>
      <c r="E925" s="1" t="s">
        <v>1081</v>
      </c>
      <c r="F925" s="1" t="s">
        <v>955</v>
      </c>
      <c r="G925" s="1" t="s">
        <v>1082</v>
      </c>
      <c r="H925" s="3">
        <v>45992</v>
      </c>
      <c r="I925" s="1" t="s">
        <v>933</v>
      </c>
      <c r="J925" s="1" t="s">
        <v>951</v>
      </c>
      <c r="K925" s="1" t="s">
        <v>817</v>
      </c>
      <c r="L925" s="1" t="s">
        <v>2190</v>
      </c>
      <c r="M925" s="3">
        <v>45973</v>
      </c>
      <c r="N925" s="1" t="s">
        <v>821</v>
      </c>
      <c r="O925" s="1" t="s">
        <v>936</v>
      </c>
      <c r="P925" s="1">
        <v>1</v>
      </c>
    </row>
    <row r="926" spans="1:16" x14ac:dyDescent="0.25">
      <c r="A926" s="3">
        <v>45937</v>
      </c>
      <c r="B926" s="4">
        <v>1583</v>
      </c>
      <c r="C926" s="5">
        <v>1980</v>
      </c>
      <c r="D926" s="1" t="s">
        <v>1080</v>
      </c>
      <c r="E926" s="1" t="s">
        <v>1081</v>
      </c>
      <c r="F926" s="1" t="s">
        <v>955</v>
      </c>
      <c r="G926" s="1" t="s">
        <v>1082</v>
      </c>
      <c r="H926" s="3">
        <v>45992</v>
      </c>
      <c r="I926" s="1" t="s">
        <v>933</v>
      </c>
      <c r="J926" s="1" t="s">
        <v>951</v>
      </c>
      <c r="K926" s="1" t="s">
        <v>640</v>
      </c>
      <c r="L926" s="1" t="s">
        <v>2191</v>
      </c>
      <c r="M926" s="3">
        <v>45973</v>
      </c>
      <c r="N926" s="1" t="s">
        <v>821</v>
      </c>
      <c r="O926" s="1" t="s">
        <v>936</v>
      </c>
      <c r="P926" s="1">
        <v>1</v>
      </c>
    </row>
    <row r="927" spans="1:16" x14ac:dyDescent="0.25">
      <c r="A927" s="3">
        <v>45937</v>
      </c>
      <c r="B927" s="4">
        <v>1583</v>
      </c>
      <c r="C927" s="5">
        <v>1650</v>
      </c>
      <c r="D927" s="1" t="s">
        <v>1080</v>
      </c>
      <c r="E927" s="1" t="s">
        <v>1081</v>
      </c>
      <c r="F927" s="1" t="s">
        <v>955</v>
      </c>
      <c r="G927" s="1" t="s">
        <v>1082</v>
      </c>
      <c r="H927" s="3">
        <v>45992</v>
      </c>
      <c r="I927" s="1" t="s">
        <v>933</v>
      </c>
      <c r="J927" s="1" t="s">
        <v>951</v>
      </c>
      <c r="K927" s="1" t="s">
        <v>934</v>
      </c>
      <c r="L927" s="1" t="s">
        <v>2192</v>
      </c>
      <c r="M927" s="3">
        <v>45973</v>
      </c>
      <c r="N927" s="1" t="s">
        <v>821</v>
      </c>
      <c r="O927" s="1" t="s">
        <v>936</v>
      </c>
      <c r="P927" s="1">
        <v>1</v>
      </c>
    </row>
    <row r="928" spans="1:16" x14ac:dyDescent="0.25">
      <c r="A928" s="3">
        <v>45937</v>
      </c>
      <c r="B928" s="1">
        <v>242</v>
      </c>
      <c r="C928" s="5">
        <v>870</v>
      </c>
      <c r="D928" s="1" t="s">
        <v>1953</v>
      </c>
      <c r="E928" s="1" t="s">
        <v>1954</v>
      </c>
      <c r="F928" s="1" t="s">
        <v>457</v>
      </c>
      <c r="G928" s="1" t="s">
        <v>940</v>
      </c>
      <c r="H928" s="3">
        <v>45955</v>
      </c>
      <c r="I928" s="1" t="s">
        <v>933</v>
      </c>
      <c r="J928" s="1" t="s">
        <v>66</v>
      </c>
      <c r="K928" s="1" t="s">
        <v>308</v>
      </c>
      <c r="L928" s="1" t="s">
        <v>2193</v>
      </c>
      <c r="M928" s="3">
        <v>45943</v>
      </c>
      <c r="N928" s="1" t="s">
        <v>358</v>
      </c>
      <c r="O928" s="1" t="s">
        <v>936</v>
      </c>
      <c r="P928" s="1">
        <v>1</v>
      </c>
    </row>
    <row r="929" spans="1:16" x14ac:dyDescent="0.25">
      <c r="A929" s="3">
        <v>45938</v>
      </c>
      <c r="B929" s="4">
        <v>1083</v>
      </c>
      <c r="C929" s="5">
        <v>80</v>
      </c>
      <c r="D929" s="1" t="s">
        <v>1074</v>
      </c>
      <c r="E929" s="1" t="s">
        <v>1075</v>
      </c>
      <c r="F929" s="1" t="s">
        <v>955</v>
      </c>
      <c r="G929" s="1" t="s">
        <v>1058</v>
      </c>
      <c r="H929" s="3">
        <v>45958</v>
      </c>
      <c r="I929" s="1" t="s">
        <v>933</v>
      </c>
      <c r="J929" s="1" t="s">
        <v>951</v>
      </c>
      <c r="K929" s="1" t="s">
        <v>340</v>
      </c>
      <c r="L929" s="1" t="s">
        <v>2194</v>
      </c>
      <c r="M929" s="3">
        <v>45940</v>
      </c>
      <c r="N929" s="1" t="s">
        <v>821</v>
      </c>
      <c r="O929" s="1" t="s">
        <v>936</v>
      </c>
      <c r="P929" s="1">
        <v>1</v>
      </c>
    </row>
    <row r="930" spans="1:16" x14ac:dyDescent="0.25">
      <c r="A930" s="3">
        <v>45938</v>
      </c>
      <c r="B930" s="4">
        <v>1083</v>
      </c>
      <c r="C930" s="5">
        <v>308.45</v>
      </c>
      <c r="D930" s="1" t="s">
        <v>1074</v>
      </c>
      <c r="E930" s="1" t="s">
        <v>1075</v>
      </c>
      <c r="F930" s="1" t="s">
        <v>245</v>
      </c>
      <c r="G930" s="1" t="s">
        <v>1058</v>
      </c>
      <c r="H930" s="3">
        <v>45958</v>
      </c>
      <c r="I930" s="1" t="s">
        <v>933</v>
      </c>
      <c r="J930" s="1" t="s">
        <v>66</v>
      </c>
      <c r="K930" s="1" t="s">
        <v>340</v>
      </c>
      <c r="L930" s="1" t="s">
        <v>2195</v>
      </c>
      <c r="M930" s="3">
        <v>45940</v>
      </c>
      <c r="N930" s="1" t="s">
        <v>57</v>
      </c>
      <c r="O930" s="1" t="s">
        <v>936</v>
      </c>
      <c r="P930" s="1">
        <v>1</v>
      </c>
    </row>
    <row r="931" spans="1:16" x14ac:dyDescent="0.25">
      <c r="A931" s="3">
        <v>45938</v>
      </c>
      <c r="B931" s="4">
        <v>1083</v>
      </c>
      <c r="C931" s="5">
        <v>378.45</v>
      </c>
      <c r="D931" s="1" t="s">
        <v>1074</v>
      </c>
      <c r="E931" s="1" t="s">
        <v>1075</v>
      </c>
      <c r="F931" s="1" t="s">
        <v>623</v>
      </c>
      <c r="G931" s="1" t="s">
        <v>1058</v>
      </c>
      <c r="H931" s="3">
        <v>45958</v>
      </c>
      <c r="I931" s="1" t="s">
        <v>933</v>
      </c>
      <c r="J931" s="1" t="s">
        <v>66</v>
      </c>
      <c r="K931" s="1" t="s">
        <v>340</v>
      </c>
      <c r="L931" s="1" t="s">
        <v>2196</v>
      </c>
      <c r="M931" s="3">
        <v>45940</v>
      </c>
      <c r="N931" s="1" t="s">
        <v>383</v>
      </c>
      <c r="O931" s="1" t="s">
        <v>936</v>
      </c>
      <c r="P931" s="1">
        <v>1</v>
      </c>
    </row>
    <row r="932" spans="1:16" x14ac:dyDescent="0.25">
      <c r="A932" s="3">
        <v>45938</v>
      </c>
      <c r="B932" s="4">
        <v>1083</v>
      </c>
      <c r="C932" s="5">
        <v>380</v>
      </c>
      <c r="D932" s="1" t="s">
        <v>1074</v>
      </c>
      <c r="E932" s="1" t="s">
        <v>1075</v>
      </c>
      <c r="F932" s="1" t="s">
        <v>759</v>
      </c>
      <c r="G932" s="1" t="s">
        <v>1058</v>
      </c>
      <c r="H932" s="3">
        <v>45958</v>
      </c>
      <c r="I932" s="1" t="s">
        <v>933</v>
      </c>
      <c r="J932" s="1" t="s">
        <v>66</v>
      </c>
      <c r="K932" s="1" t="s">
        <v>340</v>
      </c>
      <c r="L932" s="1" t="s">
        <v>2197</v>
      </c>
      <c r="M932" s="3">
        <v>45940</v>
      </c>
      <c r="N932" s="1" t="s">
        <v>75</v>
      </c>
      <c r="O932" s="1" t="s">
        <v>936</v>
      </c>
      <c r="P932" s="1">
        <v>1</v>
      </c>
    </row>
    <row r="933" spans="1:16" x14ac:dyDescent="0.25">
      <c r="A933" s="3">
        <v>45938</v>
      </c>
      <c r="B933" s="4">
        <v>1083</v>
      </c>
      <c r="C933" s="5">
        <v>50</v>
      </c>
      <c r="D933" s="1" t="s">
        <v>1074</v>
      </c>
      <c r="E933" s="1" t="s">
        <v>1075</v>
      </c>
      <c r="F933" s="1" t="s">
        <v>422</v>
      </c>
      <c r="G933" s="1" t="s">
        <v>1058</v>
      </c>
      <c r="H933" s="3">
        <v>45958</v>
      </c>
      <c r="I933" s="1" t="s">
        <v>933</v>
      </c>
      <c r="J933" s="1" t="s">
        <v>66</v>
      </c>
      <c r="K933" s="1" t="s">
        <v>340</v>
      </c>
      <c r="L933" s="1" t="s">
        <v>2198</v>
      </c>
      <c r="M933" s="3">
        <v>45940</v>
      </c>
      <c r="N933" s="1" t="s">
        <v>75</v>
      </c>
      <c r="O933" s="1" t="s">
        <v>936</v>
      </c>
      <c r="P933" s="1">
        <v>1</v>
      </c>
    </row>
    <row r="934" spans="1:16" x14ac:dyDescent="0.25">
      <c r="A934" s="3">
        <v>45938</v>
      </c>
      <c r="B934" s="4">
        <v>51011</v>
      </c>
      <c r="C934" s="5">
        <v>27660.16</v>
      </c>
      <c r="D934" s="1" t="s">
        <v>1504</v>
      </c>
      <c r="E934" s="1" t="s">
        <v>1505</v>
      </c>
      <c r="F934" s="1" t="s">
        <v>906</v>
      </c>
      <c r="G934" s="1" t="s">
        <v>950</v>
      </c>
      <c r="H934" s="3">
        <v>45967</v>
      </c>
      <c r="I934" s="1" t="s">
        <v>933</v>
      </c>
      <c r="J934" s="1" t="s">
        <v>66</v>
      </c>
      <c r="K934" s="1" t="s">
        <v>308</v>
      </c>
      <c r="L934" s="1" t="s">
        <v>2199</v>
      </c>
      <c r="M934" s="3">
        <v>45934</v>
      </c>
      <c r="N934" s="1"/>
      <c r="O934" s="1"/>
      <c r="P934" s="1"/>
    </row>
    <row r="935" spans="1:16" x14ac:dyDescent="0.25">
      <c r="A935" s="3">
        <v>45938</v>
      </c>
      <c r="B935" s="1">
        <v>42</v>
      </c>
      <c r="C935" s="5">
        <v>8000</v>
      </c>
      <c r="D935" s="1" t="s">
        <v>1197</v>
      </c>
      <c r="E935" s="1" t="s">
        <v>1198</v>
      </c>
      <c r="F935" s="1" t="s">
        <v>955</v>
      </c>
      <c r="G935" s="1" t="s">
        <v>940</v>
      </c>
      <c r="H935" s="3">
        <v>45950</v>
      </c>
      <c r="I935" s="1" t="s">
        <v>933</v>
      </c>
      <c r="J935" s="1" t="s">
        <v>951</v>
      </c>
      <c r="K935" s="1" t="s">
        <v>340</v>
      </c>
      <c r="L935" s="1" t="s">
        <v>2166</v>
      </c>
      <c r="M935" s="3">
        <v>45939</v>
      </c>
      <c r="N935" s="1" t="s">
        <v>821</v>
      </c>
      <c r="O935" s="1" t="s">
        <v>936</v>
      </c>
      <c r="P935" s="1">
        <v>2</v>
      </c>
    </row>
    <row r="936" spans="1:16" x14ac:dyDescent="0.25">
      <c r="A936" s="3">
        <v>45938</v>
      </c>
      <c r="B936" s="4">
        <v>1083</v>
      </c>
      <c r="C936" s="5">
        <v>380</v>
      </c>
      <c r="D936" s="1" t="s">
        <v>1074</v>
      </c>
      <c r="E936" s="1" t="s">
        <v>1075</v>
      </c>
      <c r="F936" s="1" t="s">
        <v>218</v>
      </c>
      <c r="G936" s="1" t="s">
        <v>1058</v>
      </c>
      <c r="H936" s="3">
        <v>45958</v>
      </c>
      <c r="I936" s="1" t="s">
        <v>933</v>
      </c>
      <c r="J936" s="1" t="s">
        <v>66</v>
      </c>
      <c r="K936" s="1" t="s">
        <v>340</v>
      </c>
      <c r="L936" s="1" t="s">
        <v>2200</v>
      </c>
      <c r="M936" s="3">
        <v>45940</v>
      </c>
      <c r="N936" s="1" t="s">
        <v>221</v>
      </c>
      <c r="O936" s="1" t="s">
        <v>936</v>
      </c>
      <c r="P936" s="1">
        <v>1</v>
      </c>
    </row>
    <row r="937" spans="1:16" x14ac:dyDescent="0.25">
      <c r="A937" s="3">
        <v>45938</v>
      </c>
      <c r="B937" s="4">
        <v>1083</v>
      </c>
      <c r="C937" s="5">
        <v>280</v>
      </c>
      <c r="D937" s="1" t="s">
        <v>1074</v>
      </c>
      <c r="E937" s="1" t="s">
        <v>1075</v>
      </c>
      <c r="F937" s="1" t="s">
        <v>304</v>
      </c>
      <c r="G937" s="1" t="s">
        <v>1058</v>
      </c>
      <c r="H937" s="3">
        <v>45958</v>
      </c>
      <c r="I937" s="1" t="s">
        <v>933</v>
      </c>
      <c r="J937" s="1" t="s">
        <v>66</v>
      </c>
      <c r="K937" s="1" t="s">
        <v>340</v>
      </c>
      <c r="L937" s="1" t="s">
        <v>2201</v>
      </c>
      <c r="M937" s="3">
        <v>45940</v>
      </c>
      <c r="N937" s="1" t="s">
        <v>57</v>
      </c>
      <c r="O937" s="1" t="s">
        <v>936</v>
      </c>
      <c r="P937" s="1">
        <v>1</v>
      </c>
    </row>
    <row r="938" spans="1:16" x14ac:dyDescent="0.25">
      <c r="A938" s="3">
        <v>45938</v>
      </c>
      <c r="B938" s="4">
        <v>1083</v>
      </c>
      <c r="C938" s="5">
        <v>485.35</v>
      </c>
      <c r="D938" s="1" t="s">
        <v>1074</v>
      </c>
      <c r="E938" s="1" t="s">
        <v>1075</v>
      </c>
      <c r="F938" s="1" t="s">
        <v>650</v>
      </c>
      <c r="G938" s="1" t="s">
        <v>1058</v>
      </c>
      <c r="H938" s="3">
        <v>45958</v>
      </c>
      <c r="I938" s="1" t="s">
        <v>933</v>
      </c>
      <c r="J938" s="1" t="s">
        <v>66</v>
      </c>
      <c r="K938" s="1" t="s">
        <v>340</v>
      </c>
      <c r="L938" s="1" t="s">
        <v>2202</v>
      </c>
      <c r="M938" s="3">
        <v>45940</v>
      </c>
      <c r="N938" s="1" t="s">
        <v>57</v>
      </c>
      <c r="O938" s="1" t="s">
        <v>936</v>
      </c>
      <c r="P938" s="1">
        <v>1</v>
      </c>
    </row>
    <row r="939" spans="1:16" x14ac:dyDescent="0.25">
      <c r="A939" s="3">
        <v>45938</v>
      </c>
      <c r="B939" s="4">
        <v>1083</v>
      </c>
      <c r="C939" s="5">
        <v>400</v>
      </c>
      <c r="D939" s="1" t="s">
        <v>1074</v>
      </c>
      <c r="E939" s="1" t="s">
        <v>1075</v>
      </c>
      <c r="F939" s="1" t="s">
        <v>647</v>
      </c>
      <c r="G939" s="1" t="s">
        <v>1058</v>
      </c>
      <c r="H939" s="3">
        <v>45958</v>
      </c>
      <c r="I939" s="1" t="s">
        <v>933</v>
      </c>
      <c r="J939" s="1" t="s">
        <v>66</v>
      </c>
      <c r="K939" s="1" t="s">
        <v>340</v>
      </c>
      <c r="L939" s="1" t="s">
        <v>2203</v>
      </c>
      <c r="M939" s="3">
        <v>45940</v>
      </c>
      <c r="N939" s="1" t="s">
        <v>57</v>
      </c>
      <c r="O939" s="1" t="s">
        <v>936</v>
      </c>
      <c r="P939" s="1">
        <v>1</v>
      </c>
    </row>
    <row r="940" spans="1:16" x14ac:dyDescent="0.25">
      <c r="A940" s="3">
        <v>45938</v>
      </c>
      <c r="B940" s="4">
        <v>1083</v>
      </c>
      <c r="C940" s="5">
        <v>400</v>
      </c>
      <c r="D940" s="1" t="s">
        <v>1074</v>
      </c>
      <c r="E940" s="1" t="s">
        <v>1075</v>
      </c>
      <c r="F940" s="1" t="s">
        <v>833</v>
      </c>
      <c r="G940" s="1" t="s">
        <v>1058</v>
      </c>
      <c r="H940" s="3">
        <v>45958</v>
      </c>
      <c r="I940" s="1" t="s">
        <v>933</v>
      </c>
      <c r="J940" s="1" t="s">
        <v>66</v>
      </c>
      <c r="K940" s="1" t="s">
        <v>340</v>
      </c>
      <c r="L940" s="1" t="s">
        <v>2204</v>
      </c>
      <c r="M940" s="3">
        <v>45940</v>
      </c>
      <c r="N940" s="1" t="s">
        <v>836</v>
      </c>
      <c r="O940" s="1" t="s">
        <v>936</v>
      </c>
      <c r="P940" s="1">
        <v>1</v>
      </c>
    </row>
    <row r="941" spans="1:16" x14ac:dyDescent="0.25">
      <c r="A941" s="3">
        <v>45938</v>
      </c>
      <c r="B941" s="4">
        <v>1083</v>
      </c>
      <c r="C941" s="5">
        <v>230</v>
      </c>
      <c r="D941" s="1" t="s">
        <v>1074</v>
      </c>
      <c r="E941" s="1" t="s">
        <v>1075</v>
      </c>
      <c r="F941" s="1" t="s">
        <v>775</v>
      </c>
      <c r="G941" s="1" t="s">
        <v>1058</v>
      </c>
      <c r="H941" s="3">
        <v>45958</v>
      </c>
      <c r="I941" s="1" t="s">
        <v>933</v>
      </c>
      <c r="J941" s="1" t="s">
        <v>66</v>
      </c>
      <c r="K941" s="1" t="s">
        <v>340</v>
      </c>
      <c r="L941" s="1" t="s">
        <v>2205</v>
      </c>
      <c r="M941" s="3">
        <v>45940</v>
      </c>
      <c r="N941" s="1" t="s">
        <v>580</v>
      </c>
      <c r="O941" s="1" t="s">
        <v>936</v>
      </c>
      <c r="P941" s="1">
        <v>1</v>
      </c>
    </row>
    <row r="942" spans="1:16" x14ac:dyDescent="0.25">
      <c r="A942" s="3">
        <v>45938</v>
      </c>
      <c r="B942" s="4">
        <v>1083</v>
      </c>
      <c r="C942" s="5">
        <v>80</v>
      </c>
      <c r="D942" s="1" t="s">
        <v>1074</v>
      </c>
      <c r="E942" s="1" t="s">
        <v>1075</v>
      </c>
      <c r="F942" s="1" t="s">
        <v>955</v>
      </c>
      <c r="G942" s="1" t="s">
        <v>1058</v>
      </c>
      <c r="H942" s="3">
        <v>45958</v>
      </c>
      <c r="I942" s="1" t="s">
        <v>933</v>
      </c>
      <c r="J942" s="1" t="s">
        <v>951</v>
      </c>
      <c r="K942" s="1" t="s">
        <v>340</v>
      </c>
      <c r="L942" s="1" t="s">
        <v>2206</v>
      </c>
      <c r="M942" s="3">
        <v>45940</v>
      </c>
      <c r="N942" s="1" t="s">
        <v>821</v>
      </c>
      <c r="O942" s="1" t="s">
        <v>936</v>
      </c>
      <c r="P942" s="1">
        <v>1</v>
      </c>
    </row>
    <row r="943" spans="1:16" x14ac:dyDescent="0.25">
      <c r="A943" s="3">
        <v>45938</v>
      </c>
      <c r="B943" s="4">
        <v>1083</v>
      </c>
      <c r="C943" s="5">
        <v>250</v>
      </c>
      <c r="D943" s="1" t="s">
        <v>1074</v>
      </c>
      <c r="E943" s="1" t="s">
        <v>1075</v>
      </c>
      <c r="F943" s="1" t="s">
        <v>430</v>
      </c>
      <c r="G943" s="1" t="s">
        <v>1058</v>
      </c>
      <c r="H943" s="3">
        <v>45958</v>
      </c>
      <c r="I943" s="1" t="s">
        <v>933</v>
      </c>
      <c r="J943" s="1" t="s">
        <v>66</v>
      </c>
      <c r="K943" s="1" t="s">
        <v>340</v>
      </c>
      <c r="L943" s="1" t="s">
        <v>2207</v>
      </c>
      <c r="M943" s="3">
        <v>45940</v>
      </c>
      <c r="N943" s="1" t="s">
        <v>57</v>
      </c>
      <c r="O943" s="1" t="s">
        <v>936</v>
      </c>
      <c r="P943" s="1">
        <v>1</v>
      </c>
    </row>
    <row r="944" spans="1:16" x14ac:dyDescent="0.25">
      <c r="A944" s="3">
        <v>45938</v>
      </c>
      <c r="B944" s="4">
        <v>1083</v>
      </c>
      <c r="C944" s="5">
        <v>70</v>
      </c>
      <c r="D944" s="1" t="s">
        <v>1074</v>
      </c>
      <c r="E944" s="1" t="s">
        <v>1075</v>
      </c>
      <c r="F944" s="1" t="s">
        <v>955</v>
      </c>
      <c r="G944" s="1" t="s">
        <v>1058</v>
      </c>
      <c r="H944" s="3">
        <v>45958</v>
      </c>
      <c r="I944" s="1" t="s">
        <v>933</v>
      </c>
      <c r="J944" s="1" t="s">
        <v>951</v>
      </c>
      <c r="K944" s="1" t="s">
        <v>1654</v>
      </c>
      <c r="L944" s="1" t="s">
        <v>2208</v>
      </c>
      <c r="M944" s="3">
        <v>45940</v>
      </c>
      <c r="N944" s="1" t="s">
        <v>821</v>
      </c>
      <c r="O944" s="1" t="s">
        <v>936</v>
      </c>
      <c r="P944" s="1">
        <v>1</v>
      </c>
    </row>
    <row r="945" spans="1:16" x14ac:dyDescent="0.25">
      <c r="A945" s="3">
        <v>45938</v>
      </c>
      <c r="B945" s="4">
        <v>1083</v>
      </c>
      <c r="C945" s="5">
        <v>70</v>
      </c>
      <c r="D945" s="1" t="s">
        <v>1074</v>
      </c>
      <c r="E945" s="1" t="s">
        <v>1075</v>
      </c>
      <c r="F945" s="1" t="s">
        <v>422</v>
      </c>
      <c r="G945" s="1" t="s">
        <v>1058</v>
      </c>
      <c r="H945" s="3">
        <v>45958</v>
      </c>
      <c r="I945" s="1" t="s">
        <v>933</v>
      </c>
      <c r="J945" s="1" t="s">
        <v>66</v>
      </c>
      <c r="K945" s="1" t="s">
        <v>340</v>
      </c>
      <c r="L945" s="1" t="s">
        <v>2209</v>
      </c>
      <c r="M945" s="3">
        <v>45940</v>
      </c>
      <c r="N945" s="1" t="s">
        <v>75</v>
      </c>
      <c r="O945" s="1" t="s">
        <v>936</v>
      </c>
      <c r="P945" s="1">
        <v>1</v>
      </c>
    </row>
    <row r="946" spans="1:16" x14ac:dyDescent="0.25">
      <c r="A946" s="3">
        <v>45938</v>
      </c>
      <c r="B946" s="4">
        <v>1083</v>
      </c>
      <c r="C946" s="5">
        <v>80</v>
      </c>
      <c r="D946" s="1" t="s">
        <v>1074</v>
      </c>
      <c r="E946" s="1" t="s">
        <v>1075</v>
      </c>
      <c r="F946" s="1" t="s">
        <v>955</v>
      </c>
      <c r="G946" s="1" t="s">
        <v>1058</v>
      </c>
      <c r="H946" s="3">
        <v>45958</v>
      </c>
      <c r="I946" s="1" t="s">
        <v>933</v>
      </c>
      <c r="J946" s="1" t="s">
        <v>951</v>
      </c>
      <c r="K946" s="1" t="s">
        <v>934</v>
      </c>
      <c r="L946" s="1" t="s">
        <v>2210</v>
      </c>
      <c r="M946" s="3">
        <v>45940</v>
      </c>
      <c r="N946" s="1" t="s">
        <v>821</v>
      </c>
      <c r="O946" s="1" t="s">
        <v>936</v>
      </c>
      <c r="P946" s="1">
        <v>1</v>
      </c>
    </row>
    <row r="947" spans="1:16" x14ac:dyDescent="0.25">
      <c r="A947" s="3">
        <v>45938</v>
      </c>
      <c r="B947" s="4">
        <v>1083</v>
      </c>
      <c r="C947" s="5">
        <v>280</v>
      </c>
      <c r="D947" s="1" t="s">
        <v>1074</v>
      </c>
      <c r="E947" s="1" t="s">
        <v>1075</v>
      </c>
      <c r="F947" s="1" t="s">
        <v>710</v>
      </c>
      <c r="G947" s="1" t="s">
        <v>1058</v>
      </c>
      <c r="H947" s="3">
        <v>45958</v>
      </c>
      <c r="I947" s="1" t="s">
        <v>933</v>
      </c>
      <c r="J947" s="1" t="s">
        <v>66</v>
      </c>
      <c r="K947" s="1" t="s">
        <v>340</v>
      </c>
      <c r="L947" s="1" t="s">
        <v>2211</v>
      </c>
      <c r="M947" s="3">
        <v>45940</v>
      </c>
      <c r="N947" s="1" t="s">
        <v>712</v>
      </c>
      <c r="O947" s="1" t="s">
        <v>936</v>
      </c>
      <c r="P947" s="1">
        <v>1</v>
      </c>
    </row>
    <row r="948" spans="1:16" x14ac:dyDescent="0.25">
      <c r="A948" s="3">
        <v>45938</v>
      </c>
      <c r="B948" s="4">
        <v>1083</v>
      </c>
      <c r="C948" s="5">
        <v>280</v>
      </c>
      <c r="D948" s="1" t="s">
        <v>1074</v>
      </c>
      <c r="E948" s="1" t="s">
        <v>1075</v>
      </c>
      <c r="F948" s="1" t="s">
        <v>426</v>
      </c>
      <c r="G948" s="1" t="s">
        <v>1058</v>
      </c>
      <c r="H948" s="3">
        <v>45958</v>
      </c>
      <c r="I948" s="1" t="s">
        <v>933</v>
      </c>
      <c r="J948" s="1" t="s">
        <v>66</v>
      </c>
      <c r="K948" s="1" t="s">
        <v>340</v>
      </c>
      <c r="L948" s="1" t="s">
        <v>2212</v>
      </c>
      <c r="M948" s="3">
        <v>45940</v>
      </c>
      <c r="N948" s="1"/>
      <c r="O948" s="1" t="s">
        <v>936</v>
      </c>
      <c r="P948" s="1">
        <v>1</v>
      </c>
    </row>
    <row r="949" spans="1:16" x14ac:dyDescent="0.25">
      <c r="A949" s="3">
        <v>45938</v>
      </c>
      <c r="B949" s="4">
        <v>1083</v>
      </c>
      <c r="C949" s="5">
        <v>306.89999999999998</v>
      </c>
      <c r="D949" s="1" t="s">
        <v>1074</v>
      </c>
      <c r="E949" s="1" t="s">
        <v>1075</v>
      </c>
      <c r="F949" s="1" t="s">
        <v>453</v>
      </c>
      <c r="G949" s="1" t="s">
        <v>1058</v>
      </c>
      <c r="H949" s="3">
        <v>45958</v>
      </c>
      <c r="I949" s="1" t="s">
        <v>933</v>
      </c>
      <c r="J949" s="1" t="s">
        <v>66</v>
      </c>
      <c r="K949" s="1" t="s">
        <v>340</v>
      </c>
      <c r="L949" s="1" t="s">
        <v>2213</v>
      </c>
      <c r="M949" s="3">
        <v>45940</v>
      </c>
      <c r="N949" s="1"/>
      <c r="O949" s="1"/>
      <c r="P949" s="1">
        <v>1</v>
      </c>
    </row>
    <row r="950" spans="1:16" x14ac:dyDescent="0.25">
      <c r="A950" s="3">
        <v>45938</v>
      </c>
      <c r="B950" s="4">
        <v>1083</v>
      </c>
      <c r="C950" s="5">
        <v>280</v>
      </c>
      <c r="D950" s="1" t="s">
        <v>1074</v>
      </c>
      <c r="E950" s="1" t="s">
        <v>1075</v>
      </c>
      <c r="F950" s="1" t="s">
        <v>426</v>
      </c>
      <c r="G950" s="1" t="s">
        <v>1058</v>
      </c>
      <c r="H950" s="3">
        <v>45958</v>
      </c>
      <c r="I950" s="1" t="s">
        <v>933</v>
      </c>
      <c r="J950" s="1" t="s">
        <v>66</v>
      </c>
      <c r="K950" s="1" t="s">
        <v>340</v>
      </c>
      <c r="L950" s="1" t="s">
        <v>2214</v>
      </c>
      <c r="M950" s="3">
        <v>45940</v>
      </c>
      <c r="N950" s="1"/>
      <c r="O950" s="1"/>
      <c r="P950" s="1">
        <v>1</v>
      </c>
    </row>
    <row r="951" spans="1:16" x14ac:dyDescent="0.25">
      <c r="A951" s="3">
        <v>45938</v>
      </c>
      <c r="B951" s="4">
        <v>8996</v>
      </c>
      <c r="C951" s="5">
        <v>251.08</v>
      </c>
      <c r="D951" s="1" t="s">
        <v>1801</v>
      </c>
      <c r="E951" s="1" t="s">
        <v>1802</v>
      </c>
      <c r="F951" s="1" t="s">
        <v>955</v>
      </c>
      <c r="G951" s="1" t="s">
        <v>950</v>
      </c>
      <c r="H951" s="3">
        <v>45945</v>
      </c>
      <c r="I951" s="1" t="s">
        <v>933</v>
      </c>
      <c r="J951" s="1"/>
      <c r="K951" s="1" t="s">
        <v>996</v>
      </c>
      <c r="L951" s="1" t="s">
        <v>2215</v>
      </c>
      <c r="M951" s="3">
        <v>45939</v>
      </c>
      <c r="N951" s="1" t="s">
        <v>2216</v>
      </c>
      <c r="O951" s="1"/>
      <c r="P951" s="1"/>
    </row>
    <row r="952" spans="1:16" x14ac:dyDescent="0.25">
      <c r="A952" s="3">
        <v>45938</v>
      </c>
      <c r="B952" s="4">
        <v>9177</v>
      </c>
      <c r="C952" s="5">
        <v>1375.71</v>
      </c>
      <c r="D952" s="1" t="s">
        <v>1801</v>
      </c>
      <c r="E952" s="1" t="s">
        <v>1802</v>
      </c>
      <c r="F952" s="1" t="s">
        <v>955</v>
      </c>
      <c r="G952" s="1" t="s">
        <v>950</v>
      </c>
      <c r="H952" s="3">
        <v>45945</v>
      </c>
      <c r="I952" s="1" t="s">
        <v>933</v>
      </c>
      <c r="J952" s="1"/>
      <c r="K952" s="1" t="s">
        <v>996</v>
      </c>
      <c r="L952" s="1" t="s">
        <v>2217</v>
      </c>
      <c r="M952" s="3">
        <v>38634</v>
      </c>
      <c r="N952" s="1"/>
      <c r="O952" s="1"/>
      <c r="P952" s="1"/>
    </row>
    <row r="953" spans="1:16" x14ac:dyDescent="0.25">
      <c r="A953" s="3">
        <v>45938</v>
      </c>
      <c r="B953" s="4">
        <v>9004</v>
      </c>
      <c r="C953" s="5">
        <v>951.08</v>
      </c>
      <c r="D953" s="1" t="s">
        <v>1801</v>
      </c>
      <c r="E953" s="1" t="s">
        <v>1802</v>
      </c>
      <c r="F953" s="1" t="s">
        <v>955</v>
      </c>
      <c r="G953" s="1" t="s">
        <v>950</v>
      </c>
      <c r="H953" s="3">
        <v>45945</v>
      </c>
      <c r="I953" s="1" t="s">
        <v>933</v>
      </c>
      <c r="J953" s="1"/>
      <c r="K953" s="1" t="s">
        <v>996</v>
      </c>
      <c r="L953" s="1" t="s">
        <v>2218</v>
      </c>
      <c r="M953" s="3">
        <v>38634</v>
      </c>
      <c r="N953" s="1"/>
      <c r="O953" s="1"/>
      <c r="P953" s="1"/>
    </row>
    <row r="954" spans="1:16" x14ac:dyDescent="0.25">
      <c r="A954" s="3">
        <v>45938</v>
      </c>
      <c r="B954" s="4">
        <v>71252</v>
      </c>
      <c r="C954" s="5">
        <v>4487.1000000000004</v>
      </c>
      <c r="D954" s="1" t="s">
        <v>1098</v>
      </c>
      <c r="E954" s="1" t="s">
        <v>1099</v>
      </c>
      <c r="F954" s="1" t="s">
        <v>955</v>
      </c>
      <c r="G954" s="1" t="s">
        <v>1254</v>
      </c>
      <c r="H954" s="3">
        <v>45968</v>
      </c>
      <c r="I954" s="1" t="s">
        <v>933</v>
      </c>
      <c r="J954" s="1" t="s">
        <v>951</v>
      </c>
      <c r="K954" s="1" t="s">
        <v>52</v>
      </c>
      <c r="L954" s="1" t="s">
        <v>2219</v>
      </c>
      <c r="M954" s="3">
        <v>45945</v>
      </c>
      <c r="N954" s="1" t="s">
        <v>821</v>
      </c>
      <c r="O954" s="1" t="s">
        <v>936</v>
      </c>
      <c r="P954" s="1">
        <v>1</v>
      </c>
    </row>
    <row r="955" spans="1:16" x14ac:dyDescent="0.25">
      <c r="A955" s="3">
        <v>45938</v>
      </c>
      <c r="B955" s="4">
        <v>1091</v>
      </c>
      <c r="C955" s="5">
        <v>428</v>
      </c>
      <c r="D955" s="1" t="s">
        <v>1074</v>
      </c>
      <c r="E955" s="1" t="s">
        <v>1075</v>
      </c>
      <c r="F955" s="1" t="s">
        <v>71</v>
      </c>
      <c r="G955" s="1" t="s">
        <v>1058</v>
      </c>
      <c r="H955" s="3">
        <v>45960</v>
      </c>
      <c r="I955" s="1" t="s">
        <v>933</v>
      </c>
      <c r="J955" s="1" t="s">
        <v>66</v>
      </c>
      <c r="K955" s="1" t="s">
        <v>340</v>
      </c>
      <c r="L955" s="1" t="s">
        <v>2220</v>
      </c>
      <c r="M955" s="3">
        <v>45947</v>
      </c>
      <c r="N955" s="1" t="s">
        <v>75</v>
      </c>
      <c r="O955" s="1" t="s">
        <v>936</v>
      </c>
      <c r="P955" s="1">
        <v>1</v>
      </c>
    </row>
    <row r="956" spans="1:16" x14ac:dyDescent="0.25">
      <c r="A956" s="3">
        <v>45938</v>
      </c>
      <c r="B956" s="4">
        <v>1091</v>
      </c>
      <c r="C956" s="5">
        <v>80</v>
      </c>
      <c r="D956" s="1" t="s">
        <v>1074</v>
      </c>
      <c r="E956" s="1" t="s">
        <v>1075</v>
      </c>
      <c r="F956" s="1" t="s">
        <v>955</v>
      </c>
      <c r="G956" s="1" t="s">
        <v>1058</v>
      </c>
      <c r="H956" s="3">
        <v>45960</v>
      </c>
      <c r="I956" s="1" t="s">
        <v>933</v>
      </c>
      <c r="J956" s="1" t="s">
        <v>951</v>
      </c>
      <c r="K956" s="1" t="s">
        <v>817</v>
      </c>
      <c r="L956" s="1" t="s">
        <v>2221</v>
      </c>
      <c r="M956" s="3">
        <v>45947</v>
      </c>
      <c r="N956" s="1" t="s">
        <v>821</v>
      </c>
      <c r="O956" s="1" t="s">
        <v>936</v>
      </c>
      <c r="P956" s="1">
        <v>1</v>
      </c>
    </row>
    <row r="957" spans="1:16" x14ac:dyDescent="0.25">
      <c r="A957" s="3">
        <v>45938</v>
      </c>
      <c r="B957" s="4">
        <v>1091</v>
      </c>
      <c r="C957" s="5">
        <v>250</v>
      </c>
      <c r="D957" s="1" t="s">
        <v>1074</v>
      </c>
      <c r="E957" s="1" t="s">
        <v>1075</v>
      </c>
      <c r="F957" s="1" t="s">
        <v>451</v>
      </c>
      <c r="G957" s="1" t="s">
        <v>1058</v>
      </c>
      <c r="H957" s="3">
        <v>45960</v>
      </c>
      <c r="I957" s="1" t="s">
        <v>933</v>
      </c>
      <c r="J957" s="1" t="s">
        <v>66</v>
      </c>
      <c r="K957" s="1" t="s">
        <v>1654</v>
      </c>
      <c r="L957" s="1" t="s">
        <v>2222</v>
      </c>
      <c r="M957" s="3">
        <v>45947</v>
      </c>
      <c r="N957" s="1" t="s">
        <v>212</v>
      </c>
      <c r="O957" s="1" t="s">
        <v>936</v>
      </c>
      <c r="P957" s="1">
        <v>1</v>
      </c>
    </row>
    <row r="958" spans="1:16" x14ac:dyDescent="0.25">
      <c r="A958" s="3">
        <v>45938</v>
      </c>
      <c r="B958" s="4">
        <v>1091</v>
      </c>
      <c r="C958" s="5">
        <v>80</v>
      </c>
      <c r="D958" s="1" t="s">
        <v>1074</v>
      </c>
      <c r="E958" s="1" t="s">
        <v>1075</v>
      </c>
      <c r="F958" s="1" t="s">
        <v>955</v>
      </c>
      <c r="G958" s="1" t="s">
        <v>1058</v>
      </c>
      <c r="H958" s="3">
        <v>45960</v>
      </c>
      <c r="I958" s="1" t="s">
        <v>933</v>
      </c>
      <c r="J958" s="1" t="s">
        <v>951</v>
      </c>
      <c r="K958" s="1" t="s">
        <v>308</v>
      </c>
      <c r="L958" s="1" t="s">
        <v>2223</v>
      </c>
      <c r="M958" s="3">
        <v>45947</v>
      </c>
      <c r="N958" s="1" t="s">
        <v>821</v>
      </c>
      <c r="O958" s="1" t="s">
        <v>936</v>
      </c>
      <c r="P958" s="1">
        <v>1</v>
      </c>
    </row>
    <row r="959" spans="1:16" x14ac:dyDescent="0.25">
      <c r="A959" s="3">
        <v>45939</v>
      </c>
      <c r="B959" s="4">
        <v>1084</v>
      </c>
      <c r="C959" s="5">
        <v>1130</v>
      </c>
      <c r="D959" s="1" t="s">
        <v>1074</v>
      </c>
      <c r="E959" s="1" t="s">
        <v>1075</v>
      </c>
      <c r="F959" s="1" t="s">
        <v>647</v>
      </c>
      <c r="G959" s="1" t="s">
        <v>2101</v>
      </c>
      <c r="H959" s="3">
        <v>45960</v>
      </c>
      <c r="I959" s="1" t="s">
        <v>933</v>
      </c>
      <c r="J959" s="1" t="s">
        <v>66</v>
      </c>
      <c r="K959" s="1" t="s">
        <v>340</v>
      </c>
      <c r="L959" s="1"/>
      <c r="M959" s="3">
        <v>45941</v>
      </c>
      <c r="N959" s="1" t="s">
        <v>57</v>
      </c>
      <c r="O959" s="1" t="s">
        <v>936</v>
      </c>
      <c r="P959" s="1">
        <v>1</v>
      </c>
    </row>
    <row r="960" spans="1:16" x14ac:dyDescent="0.25">
      <c r="A960" s="3">
        <v>45939</v>
      </c>
      <c r="B960" s="4">
        <v>8888</v>
      </c>
      <c r="C960" s="5">
        <v>1030.33</v>
      </c>
      <c r="D960" s="1" t="s">
        <v>973</v>
      </c>
      <c r="E960" s="1" t="s">
        <v>1068</v>
      </c>
      <c r="F960" s="1" t="s">
        <v>955</v>
      </c>
      <c r="G960" s="1" t="s">
        <v>998</v>
      </c>
      <c r="H960" s="3">
        <v>45954</v>
      </c>
      <c r="I960" s="1" t="s">
        <v>933</v>
      </c>
      <c r="J960" s="1" t="s">
        <v>951</v>
      </c>
      <c r="K960" s="1" t="s">
        <v>308</v>
      </c>
      <c r="L960" s="1" t="s">
        <v>2224</v>
      </c>
      <c r="M960" s="1"/>
      <c r="N960" s="1" t="s">
        <v>821</v>
      </c>
      <c r="O960" s="1" t="s">
        <v>998</v>
      </c>
      <c r="P960" s="1">
        <v>0</v>
      </c>
    </row>
    <row r="961" spans="1:16" x14ac:dyDescent="0.25">
      <c r="A961" s="3">
        <v>45939</v>
      </c>
      <c r="B961" s="4">
        <v>8889</v>
      </c>
      <c r="C961" s="5">
        <v>16920</v>
      </c>
      <c r="D961" s="1" t="s">
        <v>973</v>
      </c>
      <c r="E961" s="1" t="s">
        <v>1068</v>
      </c>
      <c r="F961" s="1" t="s">
        <v>66</v>
      </c>
      <c r="G961" s="1" t="s">
        <v>998</v>
      </c>
      <c r="H961" s="3">
        <v>45954</v>
      </c>
      <c r="I961" s="1" t="s">
        <v>933</v>
      </c>
      <c r="J961" s="1" t="s">
        <v>66</v>
      </c>
      <c r="K961" s="1" t="s">
        <v>996</v>
      </c>
      <c r="L961" s="1">
        <v>3000</v>
      </c>
      <c r="M961" s="1"/>
      <c r="N961" s="1" t="s">
        <v>821</v>
      </c>
      <c r="O961" s="1" t="s">
        <v>998</v>
      </c>
      <c r="P961" s="1">
        <v>0</v>
      </c>
    </row>
    <row r="962" spans="1:16" x14ac:dyDescent="0.25">
      <c r="A962" s="3">
        <v>45939</v>
      </c>
      <c r="B962" s="1">
        <v>19</v>
      </c>
      <c r="C962" s="5">
        <v>12538.36</v>
      </c>
      <c r="D962" s="1" t="s">
        <v>1730</v>
      </c>
      <c r="E962" s="1" t="s">
        <v>1328</v>
      </c>
      <c r="F962" s="1" t="s">
        <v>955</v>
      </c>
      <c r="G962" s="1" t="s">
        <v>1082</v>
      </c>
      <c r="H962" s="3">
        <v>45961</v>
      </c>
      <c r="I962" s="1" t="s">
        <v>933</v>
      </c>
      <c r="J962" s="1" t="s">
        <v>951</v>
      </c>
      <c r="K962" s="1" t="s">
        <v>20</v>
      </c>
      <c r="L962" s="1" t="s">
        <v>2225</v>
      </c>
      <c r="M962" s="3">
        <v>45941</v>
      </c>
      <c r="N962" s="1" t="s">
        <v>821</v>
      </c>
      <c r="O962" s="1" t="s">
        <v>936</v>
      </c>
      <c r="P962" s="1" t="s">
        <v>937</v>
      </c>
    </row>
    <row r="963" spans="1:16" x14ac:dyDescent="0.25">
      <c r="A963" s="3">
        <v>45939</v>
      </c>
      <c r="B963" s="1">
        <v>512</v>
      </c>
      <c r="C963" s="5">
        <v>1370.98</v>
      </c>
      <c r="D963" s="1" t="s">
        <v>1376</v>
      </c>
      <c r="E963" s="1" t="s">
        <v>1377</v>
      </c>
      <c r="F963" s="1" t="s">
        <v>955</v>
      </c>
      <c r="G963" s="1" t="s">
        <v>940</v>
      </c>
      <c r="H963" s="3">
        <v>45961</v>
      </c>
      <c r="I963" s="1" t="s">
        <v>933</v>
      </c>
      <c r="J963" s="1" t="s">
        <v>951</v>
      </c>
      <c r="K963" s="1" t="s">
        <v>20</v>
      </c>
      <c r="L963" s="1" t="s">
        <v>2226</v>
      </c>
      <c r="M963" s="3">
        <v>45941</v>
      </c>
      <c r="N963" s="1" t="s">
        <v>821</v>
      </c>
      <c r="O963" s="1" t="s">
        <v>936</v>
      </c>
      <c r="P963" s="1" t="s">
        <v>937</v>
      </c>
    </row>
    <row r="964" spans="1:16" x14ac:dyDescent="0.25">
      <c r="A964" s="3">
        <v>45939</v>
      </c>
      <c r="B964" s="1">
        <v>933</v>
      </c>
      <c r="C964" s="5">
        <v>18000</v>
      </c>
      <c r="D964" s="1" t="s">
        <v>2227</v>
      </c>
      <c r="E964" s="1" t="s">
        <v>2228</v>
      </c>
      <c r="F964" s="1" t="s">
        <v>153</v>
      </c>
      <c r="G964" s="1" t="s">
        <v>932</v>
      </c>
      <c r="H964" s="3">
        <v>45961</v>
      </c>
      <c r="I964" s="1" t="s">
        <v>933</v>
      </c>
      <c r="J964" s="1" t="s">
        <v>66</v>
      </c>
      <c r="K964" s="1" t="s">
        <v>66</v>
      </c>
      <c r="L964" s="1" t="s">
        <v>2229</v>
      </c>
      <c r="M964" s="3">
        <v>45941</v>
      </c>
      <c r="N964" s="1" t="s">
        <v>82</v>
      </c>
      <c r="O964" s="1" t="s">
        <v>932</v>
      </c>
      <c r="P964" s="1">
        <v>1</v>
      </c>
    </row>
    <row r="965" spans="1:16" x14ac:dyDescent="0.25">
      <c r="A965" s="3">
        <v>45939</v>
      </c>
      <c r="B965" s="4">
        <v>15808</v>
      </c>
      <c r="C965" s="5">
        <v>12000</v>
      </c>
      <c r="D965" s="1" t="s">
        <v>1144</v>
      </c>
      <c r="E965" s="1" t="s">
        <v>1145</v>
      </c>
      <c r="F965" s="1" t="s">
        <v>121</v>
      </c>
      <c r="G965" s="1" t="s">
        <v>932</v>
      </c>
      <c r="H965" s="3">
        <v>45961</v>
      </c>
      <c r="I965" s="1" t="s">
        <v>933</v>
      </c>
      <c r="J965" s="1" t="s">
        <v>66</v>
      </c>
      <c r="K965" s="1" t="s">
        <v>308</v>
      </c>
      <c r="L965" s="1" t="s">
        <v>2230</v>
      </c>
      <c r="M965" s="3">
        <v>45941</v>
      </c>
      <c r="N965" s="1" t="s">
        <v>50</v>
      </c>
      <c r="O965" s="1" t="s">
        <v>936</v>
      </c>
      <c r="P965" s="1">
        <v>1</v>
      </c>
    </row>
    <row r="966" spans="1:16" x14ac:dyDescent="0.25">
      <c r="A966" s="3">
        <v>45939</v>
      </c>
      <c r="B966" s="4">
        <v>1977</v>
      </c>
      <c r="C966" s="5">
        <v>3600</v>
      </c>
      <c r="D966" s="1" t="s">
        <v>1596</v>
      </c>
      <c r="E966" s="1" t="s">
        <v>1597</v>
      </c>
      <c r="F966" s="1" t="s">
        <v>419</v>
      </c>
      <c r="G966" s="1" t="s">
        <v>932</v>
      </c>
      <c r="H966" s="3">
        <v>45960</v>
      </c>
      <c r="I966" s="1" t="s">
        <v>933</v>
      </c>
      <c r="J966" s="1" t="s">
        <v>66</v>
      </c>
      <c r="K966" s="1" t="s">
        <v>308</v>
      </c>
      <c r="L966" s="1" t="s">
        <v>2231</v>
      </c>
      <c r="M966" s="3">
        <v>45941</v>
      </c>
      <c r="N966" s="1" t="s">
        <v>98</v>
      </c>
      <c r="O966" s="1" t="s">
        <v>1031</v>
      </c>
      <c r="P966" s="1">
        <v>1</v>
      </c>
    </row>
    <row r="967" spans="1:16" x14ac:dyDescent="0.25">
      <c r="A967" s="3">
        <v>45939</v>
      </c>
      <c r="B967" s="1">
        <v>270</v>
      </c>
      <c r="C967" s="5">
        <v>1400</v>
      </c>
      <c r="D967" s="1" t="s">
        <v>2232</v>
      </c>
      <c r="E967" s="1" t="s">
        <v>2233</v>
      </c>
      <c r="F967" s="1" t="s">
        <v>66</v>
      </c>
      <c r="G967" s="1" t="s">
        <v>932</v>
      </c>
      <c r="H967" s="3">
        <v>45961</v>
      </c>
      <c r="I967" s="1" t="s">
        <v>933</v>
      </c>
      <c r="J967" s="1" t="s">
        <v>66</v>
      </c>
      <c r="K967" s="1" t="s">
        <v>308</v>
      </c>
      <c r="L967" s="1" t="s">
        <v>2234</v>
      </c>
      <c r="M967" s="3">
        <v>45941</v>
      </c>
      <c r="N967" s="1" t="s">
        <v>821</v>
      </c>
      <c r="O967" s="1" t="s">
        <v>936</v>
      </c>
      <c r="P967" s="1">
        <v>1</v>
      </c>
    </row>
    <row r="968" spans="1:16" x14ac:dyDescent="0.25">
      <c r="A968" s="3">
        <v>45939</v>
      </c>
      <c r="B968" s="1">
        <v>71292</v>
      </c>
      <c r="C968" s="5">
        <v>800.62</v>
      </c>
      <c r="D968" s="1" t="s">
        <v>1253</v>
      </c>
      <c r="E968" s="1" t="s">
        <v>1487</v>
      </c>
      <c r="F968" s="1" t="s">
        <v>453</v>
      </c>
      <c r="G968" s="1" t="s">
        <v>940</v>
      </c>
      <c r="H968" s="1" t="s">
        <v>2235</v>
      </c>
      <c r="I968" s="1" t="s">
        <v>933</v>
      </c>
      <c r="J968" s="1" t="s">
        <v>66</v>
      </c>
      <c r="K968" s="1" t="s">
        <v>52</v>
      </c>
      <c r="L968" s="1" t="s">
        <v>2236</v>
      </c>
      <c r="M968" s="3">
        <v>45941</v>
      </c>
      <c r="N968" s="1" t="s">
        <v>455</v>
      </c>
      <c r="O968" s="1" t="s">
        <v>936</v>
      </c>
      <c r="P968" s="1">
        <v>1</v>
      </c>
    </row>
    <row r="969" spans="1:16" x14ac:dyDescent="0.25">
      <c r="A969" s="3">
        <v>45939</v>
      </c>
      <c r="B969" s="7">
        <v>45717</v>
      </c>
      <c r="C969" s="5">
        <v>12000</v>
      </c>
      <c r="D969" s="1" t="s">
        <v>2237</v>
      </c>
      <c r="E969" s="1" t="s">
        <v>2238</v>
      </c>
      <c r="F969" s="1" t="s">
        <v>955</v>
      </c>
      <c r="G969" s="1" t="s">
        <v>932</v>
      </c>
      <c r="H969" s="3">
        <v>45961</v>
      </c>
      <c r="I969" s="1" t="s">
        <v>933</v>
      </c>
      <c r="J969" s="1" t="s">
        <v>951</v>
      </c>
      <c r="K969" s="1" t="s">
        <v>636</v>
      </c>
      <c r="L969" s="1" t="s">
        <v>2239</v>
      </c>
      <c r="M969" s="3">
        <v>45941</v>
      </c>
      <c r="N969" s="1" t="s">
        <v>821</v>
      </c>
      <c r="O969" s="1" t="s">
        <v>932</v>
      </c>
      <c r="P969" s="1">
        <v>1</v>
      </c>
    </row>
    <row r="970" spans="1:16" x14ac:dyDescent="0.25">
      <c r="A970" s="3">
        <v>45939</v>
      </c>
      <c r="B970" s="1">
        <v>45</v>
      </c>
      <c r="C970" s="5">
        <v>890</v>
      </c>
      <c r="D970" s="1" t="s">
        <v>2158</v>
      </c>
      <c r="E970" s="1" t="s">
        <v>2159</v>
      </c>
      <c r="F970" s="1" t="s">
        <v>422</v>
      </c>
      <c r="G970" s="1" t="s">
        <v>940</v>
      </c>
      <c r="H970" s="3">
        <v>45955</v>
      </c>
      <c r="I970" s="1" t="s">
        <v>1484</v>
      </c>
      <c r="J970" s="1" t="s">
        <v>66</v>
      </c>
      <c r="K970" s="1" t="s">
        <v>340</v>
      </c>
      <c r="L970" s="1" t="s">
        <v>2240</v>
      </c>
      <c r="M970" s="3">
        <v>45941</v>
      </c>
      <c r="N970" s="1" t="s">
        <v>75</v>
      </c>
      <c r="O970" s="1" t="s">
        <v>936</v>
      </c>
      <c r="P970" s="1" t="e">
        <v>#REF!</v>
      </c>
    </row>
    <row r="971" spans="1:16" x14ac:dyDescent="0.25">
      <c r="A971" s="3">
        <v>45939</v>
      </c>
      <c r="B971" s="4">
        <v>6708</v>
      </c>
      <c r="C971" s="5">
        <v>1200</v>
      </c>
      <c r="D971" s="1" t="s">
        <v>1106</v>
      </c>
      <c r="E971" s="1" t="s">
        <v>1107</v>
      </c>
      <c r="F971" s="1" t="s">
        <v>955</v>
      </c>
      <c r="G971" s="1" t="s">
        <v>932</v>
      </c>
      <c r="H971" s="3">
        <v>45950</v>
      </c>
      <c r="I971" s="1" t="s">
        <v>933</v>
      </c>
      <c r="J971" s="1" t="s">
        <v>66</v>
      </c>
      <c r="K971" s="1" t="s">
        <v>934</v>
      </c>
      <c r="L971" s="1" t="s">
        <v>2241</v>
      </c>
      <c r="M971" s="3">
        <v>45944</v>
      </c>
      <c r="N971" s="1" t="s">
        <v>821</v>
      </c>
      <c r="O971" s="1" t="s">
        <v>932</v>
      </c>
      <c r="P971" s="1">
        <v>1</v>
      </c>
    </row>
    <row r="972" spans="1:16" x14ac:dyDescent="0.25">
      <c r="A972" s="3">
        <v>45939</v>
      </c>
      <c r="B972" s="4">
        <v>2969</v>
      </c>
      <c r="C972" s="5">
        <v>4953.6000000000004</v>
      </c>
      <c r="D972" s="1" t="s">
        <v>1206</v>
      </c>
      <c r="E972" s="1" t="s">
        <v>1207</v>
      </c>
      <c r="F972" s="1" t="s">
        <v>955</v>
      </c>
      <c r="G972" s="1" t="s">
        <v>940</v>
      </c>
      <c r="H972" s="3">
        <v>45953</v>
      </c>
      <c r="I972" s="1" t="s">
        <v>933</v>
      </c>
      <c r="J972" s="1" t="s">
        <v>66</v>
      </c>
      <c r="K972" s="1" t="s">
        <v>659</v>
      </c>
      <c r="L972" s="1" t="s">
        <v>2242</v>
      </c>
      <c r="M972" s="3">
        <v>45944</v>
      </c>
      <c r="N972" s="1" t="s">
        <v>821</v>
      </c>
      <c r="O972" s="1" t="s">
        <v>936</v>
      </c>
      <c r="P972" s="1">
        <v>1</v>
      </c>
    </row>
    <row r="973" spans="1:16" x14ac:dyDescent="0.25">
      <c r="A973" s="3">
        <v>45939</v>
      </c>
      <c r="B973" s="4">
        <v>1091</v>
      </c>
      <c r="C973" s="5">
        <v>80</v>
      </c>
      <c r="D973" s="1" t="s">
        <v>1074</v>
      </c>
      <c r="E973" s="1" t="s">
        <v>1075</v>
      </c>
      <c r="F973" s="1" t="s">
        <v>955</v>
      </c>
      <c r="G973" s="1" t="s">
        <v>1058</v>
      </c>
      <c r="H973" s="3">
        <v>45960</v>
      </c>
      <c r="I973" s="1" t="s">
        <v>933</v>
      </c>
      <c r="J973" s="1" t="s">
        <v>951</v>
      </c>
      <c r="K973" s="1" t="s">
        <v>934</v>
      </c>
      <c r="L973" s="1" t="s">
        <v>2243</v>
      </c>
      <c r="M973" s="3">
        <v>45947</v>
      </c>
      <c r="N973" s="1" t="s">
        <v>821</v>
      </c>
      <c r="O973" s="1" t="s">
        <v>936</v>
      </c>
      <c r="P973" s="1">
        <v>1</v>
      </c>
    </row>
    <row r="974" spans="1:16" x14ac:dyDescent="0.25">
      <c r="A974" s="3">
        <v>45940</v>
      </c>
      <c r="B974" s="4">
        <v>1089</v>
      </c>
      <c r="C974" s="5">
        <v>3060</v>
      </c>
      <c r="D974" s="1" t="s">
        <v>1074</v>
      </c>
      <c r="E974" s="1" t="s">
        <v>1075</v>
      </c>
      <c r="F974" s="1" t="s">
        <v>1131</v>
      </c>
      <c r="G974" s="1" t="s">
        <v>2101</v>
      </c>
      <c r="H974" s="3">
        <v>45960</v>
      </c>
      <c r="I974" s="1" t="s">
        <v>933</v>
      </c>
      <c r="J974" s="1" t="s">
        <v>1131</v>
      </c>
      <c r="K974" s="1" t="s">
        <v>340</v>
      </c>
      <c r="L974" s="1" t="s">
        <v>2244</v>
      </c>
      <c r="M974" s="3">
        <v>45947</v>
      </c>
      <c r="N974" s="1" t="s">
        <v>821</v>
      </c>
      <c r="O974" s="1" t="s">
        <v>936</v>
      </c>
      <c r="P974" s="1">
        <v>1</v>
      </c>
    </row>
    <row r="975" spans="1:16" x14ac:dyDescent="0.25">
      <c r="A975" s="3">
        <v>45940</v>
      </c>
      <c r="B975" s="1">
        <v>157</v>
      </c>
      <c r="C975" s="5">
        <v>3721.77</v>
      </c>
      <c r="D975" s="1" t="s">
        <v>1436</v>
      </c>
      <c r="E975" s="1" t="s">
        <v>1437</v>
      </c>
      <c r="F975" s="1" t="s">
        <v>955</v>
      </c>
      <c r="G975" s="1" t="s">
        <v>940</v>
      </c>
      <c r="H975" s="3">
        <v>45961</v>
      </c>
      <c r="I975" s="1" t="s">
        <v>933</v>
      </c>
      <c r="J975" s="1" t="s">
        <v>951</v>
      </c>
      <c r="K975" s="1" t="s">
        <v>20</v>
      </c>
      <c r="L975" s="1" t="s">
        <v>2245</v>
      </c>
      <c r="M975" s="3">
        <v>45941</v>
      </c>
      <c r="N975" s="1" t="s">
        <v>821</v>
      </c>
      <c r="O975" s="1" t="s">
        <v>936</v>
      </c>
      <c r="P975" s="1">
        <v>1</v>
      </c>
    </row>
    <row r="976" spans="1:16" x14ac:dyDescent="0.25">
      <c r="A976" s="3">
        <v>45940</v>
      </c>
      <c r="B976" s="1">
        <v>68</v>
      </c>
      <c r="C976" s="5">
        <v>10610.28</v>
      </c>
      <c r="D976" s="1" t="s">
        <v>1658</v>
      </c>
      <c r="E976" s="1" t="s">
        <v>1659</v>
      </c>
      <c r="F976" s="1" t="s">
        <v>955</v>
      </c>
      <c r="G976" s="1" t="s">
        <v>950</v>
      </c>
      <c r="H976" s="3">
        <v>45961</v>
      </c>
      <c r="I976" s="1" t="s">
        <v>933</v>
      </c>
      <c r="J976" s="1" t="s">
        <v>951</v>
      </c>
      <c r="K976" s="1" t="s">
        <v>1654</v>
      </c>
      <c r="L976" s="1" t="s">
        <v>2246</v>
      </c>
      <c r="M976" s="3">
        <v>45941</v>
      </c>
      <c r="N976" s="1" t="s">
        <v>821</v>
      </c>
      <c r="O976" s="1" t="s">
        <v>936</v>
      </c>
      <c r="P976" s="1">
        <v>1</v>
      </c>
    </row>
    <row r="977" spans="1:16" x14ac:dyDescent="0.25">
      <c r="A977" s="3">
        <v>45940</v>
      </c>
      <c r="B977" s="1">
        <v>103</v>
      </c>
      <c r="C977" s="5">
        <v>2600</v>
      </c>
      <c r="D977" s="1" t="s">
        <v>2247</v>
      </c>
      <c r="E977" s="1" t="s">
        <v>2248</v>
      </c>
      <c r="F977" s="1" t="s">
        <v>66</v>
      </c>
      <c r="G977" s="1" t="s">
        <v>940</v>
      </c>
      <c r="H977" s="3">
        <v>45961</v>
      </c>
      <c r="I977" s="1" t="s">
        <v>933</v>
      </c>
      <c r="J977" s="1" t="s">
        <v>951</v>
      </c>
      <c r="K977" s="1" t="s">
        <v>20</v>
      </c>
      <c r="L977" s="1" t="s">
        <v>2249</v>
      </c>
      <c r="M977" s="3">
        <v>45941</v>
      </c>
      <c r="N977" s="1" t="s">
        <v>821</v>
      </c>
      <c r="O977" s="1" t="s">
        <v>936</v>
      </c>
      <c r="P977" s="1">
        <v>1</v>
      </c>
    </row>
    <row r="978" spans="1:16" x14ac:dyDescent="0.25">
      <c r="A978" s="3">
        <v>45940</v>
      </c>
      <c r="B978" s="4">
        <v>8911</v>
      </c>
      <c r="C978" s="5">
        <v>16920</v>
      </c>
      <c r="D978" s="1" t="s">
        <v>973</v>
      </c>
      <c r="E978" s="1" t="s">
        <v>1068</v>
      </c>
      <c r="F978" s="1" t="s">
        <v>304</v>
      </c>
      <c r="G978" s="1" t="s">
        <v>998</v>
      </c>
      <c r="H978" s="3">
        <v>45955</v>
      </c>
      <c r="I978" s="1" t="s">
        <v>933</v>
      </c>
      <c r="J978" s="1" t="s">
        <v>66</v>
      </c>
      <c r="K978" s="1" t="s">
        <v>340</v>
      </c>
      <c r="L978" s="1">
        <v>3000</v>
      </c>
      <c r="M978" s="3">
        <v>45941</v>
      </c>
      <c r="N978" s="1" t="s">
        <v>57</v>
      </c>
      <c r="O978" s="1" t="s">
        <v>998</v>
      </c>
      <c r="P978" s="1">
        <v>1</v>
      </c>
    </row>
    <row r="979" spans="1:16" x14ac:dyDescent="0.25">
      <c r="A979" s="3">
        <v>45940</v>
      </c>
      <c r="B979" s="1" t="s">
        <v>2250</v>
      </c>
      <c r="C979" s="5">
        <v>1500</v>
      </c>
      <c r="D979" s="1" t="s">
        <v>1782</v>
      </c>
      <c r="E979" s="1" t="s">
        <v>1998</v>
      </c>
      <c r="F979" s="1" t="s">
        <v>955</v>
      </c>
      <c r="G979" s="1" t="s">
        <v>932</v>
      </c>
      <c r="H979" s="3">
        <v>45961</v>
      </c>
      <c r="I979" s="1" t="s">
        <v>933</v>
      </c>
      <c r="J979" s="1" t="s">
        <v>951</v>
      </c>
      <c r="K979" s="1" t="s">
        <v>340</v>
      </c>
      <c r="L979" s="1" t="s">
        <v>2251</v>
      </c>
      <c r="M979" s="3">
        <v>45944</v>
      </c>
      <c r="N979" s="1" t="s">
        <v>821</v>
      </c>
      <c r="O979" s="1" t="s">
        <v>936</v>
      </c>
      <c r="P979" s="1">
        <v>1</v>
      </c>
    </row>
    <row r="980" spans="1:16" x14ac:dyDescent="0.25">
      <c r="A980" s="3">
        <v>45940</v>
      </c>
      <c r="B980" s="7">
        <v>45689</v>
      </c>
      <c r="C980" s="5">
        <v>5000</v>
      </c>
      <c r="D980" s="1" t="s">
        <v>2252</v>
      </c>
      <c r="E980" s="1" t="s">
        <v>2253</v>
      </c>
      <c r="F980" s="1" t="s">
        <v>437</v>
      </c>
      <c r="G980" s="1" t="s">
        <v>932</v>
      </c>
      <c r="H980" s="3">
        <v>45955</v>
      </c>
      <c r="I980" s="1" t="s">
        <v>933</v>
      </c>
      <c r="J980" s="1" t="s">
        <v>66</v>
      </c>
      <c r="K980" s="1" t="s">
        <v>308</v>
      </c>
      <c r="L980" s="1" t="s">
        <v>2254</v>
      </c>
      <c r="M980" s="3">
        <v>45945</v>
      </c>
      <c r="N980" s="1" t="s">
        <v>440</v>
      </c>
      <c r="O980" s="1" t="s">
        <v>1031</v>
      </c>
      <c r="P980" s="1">
        <v>1</v>
      </c>
    </row>
    <row r="981" spans="1:16" x14ac:dyDescent="0.25">
      <c r="A981" s="3">
        <v>45940</v>
      </c>
      <c r="B981" s="1" t="s">
        <v>2255</v>
      </c>
      <c r="C981" s="5">
        <v>38266</v>
      </c>
      <c r="D981" s="1" t="s">
        <v>1884</v>
      </c>
      <c r="E981" s="1" t="s">
        <v>2256</v>
      </c>
      <c r="F981" s="1" t="s">
        <v>635</v>
      </c>
      <c r="G981" s="1" t="s">
        <v>932</v>
      </c>
      <c r="H981" s="3">
        <v>45976</v>
      </c>
      <c r="I981" s="1" t="s">
        <v>933</v>
      </c>
      <c r="J981" s="1" t="s">
        <v>2257</v>
      </c>
      <c r="K981" s="1" t="s">
        <v>308</v>
      </c>
      <c r="L981" s="1" t="s">
        <v>2258</v>
      </c>
      <c r="M981" s="1"/>
      <c r="N981" s="1"/>
      <c r="O981" s="1"/>
      <c r="P981" s="1"/>
    </row>
    <row r="982" spans="1:16" x14ac:dyDescent="0.25">
      <c r="A982" s="3">
        <v>45940</v>
      </c>
      <c r="B982" s="7">
        <v>45658</v>
      </c>
      <c r="C982" s="5">
        <v>5600</v>
      </c>
      <c r="D982" s="1" t="s">
        <v>2252</v>
      </c>
      <c r="E982" s="1" t="s">
        <v>2253</v>
      </c>
      <c r="F982" s="1" t="s">
        <v>222</v>
      </c>
      <c r="G982" s="1" t="s">
        <v>932</v>
      </c>
      <c r="H982" s="3">
        <v>45955</v>
      </c>
      <c r="I982" s="1" t="s">
        <v>933</v>
      </c>
      <c r="J982" s="1" t="s">
        <v>66</v>
      </c>
      <c r="K982" s="1" t="s">
        <v>659</v>
      </c>
      <c r="L982" s="1" t="s">
        <v>2259</v>
      </c>
      <c r="M982" s="3">
        <v>45945</v>
      </c>
      <c r="N982" s="1" t="s">
        <v>93</v>
      </c>
      <c r="O982" s="1" t="s">
        <v>1031</v>
      </c>
      <c r="P982" s="1">
        <v>1</v>
      </c>
    </row>
    <row r="983" spans="1:16" x14ac:dyDescent="0.25">
      <c r="A983" s="3">
        <v>45940</v>
      </c>
      <c r="B983" s="4">
        <v>71292</v>
      </c>
      <c r="C983" s="5">
        <v>800.62</v>
      </c>
      <c r="D983" s="1" t="s">
        <v>1098</v>
      </c>
      <c r="E983" s="1" t="s">
        <v>1099</v>
      </c>
      <c r="F983" s="1" t="s">
        <v>837</v>
      </c>
      <c r="G983" s="1" t="s">
        <v>940</v>
      </c>
      <c r="H983" s="3">
        <v>45971</v>
      </c>
      <c r="I983" s="1" t="s">
        <v>50</v>
      </c>
      <c r="J983" s="1" t="s">
        <v>66</v>
      </c>
      <c r="K983" s="1" t="s">
        <v>66</v>
      </c>
      <c r="L983" s="1" t="s">
        <v>2260</v>
      </c>
      <c r="M983" s="3">
        <v>45945</v>
      </c>
      <c r="N983" s="1" t="s">
        <v>50</v>
      </c>
      <c r="O983" s="1" t="s">
        <v>936</v>
      </c>
      <c r="P983" s="1">
        <v>1</v>
      </c>
    </row>
    <row r="984" spans="1:16" x14ac:dyDescent="0.25">
      <c r="A984" s="3">
        <v>45940</v>
      </c>
      <c r="B984" s="4">
        <v>71350</v>
      </c>
      <c r="C984" s="5">
        <v>838.5</v>
      </c>
      <c r="D984" s="1" t="s">
        <v>1098</v>
      </c>
      <c r="E984" s="1" t="s">
        <v>1099</v>
      </c>
      <c r="F984" s="1" t="s">
        <v>182</v>
      </c>
      <c r="G984" s="1" t="s">
        <v>940</v>
      </c>
      <c r="H984" s="3">
        <v>45965</v>
      </c>
      <c r="I984" s="1" t="s">
        <v>933</v>
      </c>
      <c r="J984" s="1" t="s">
        <v>66</v>
      </c>
      <c r="K984" s="1" t="s">
        <v>52</v>
      </c>
      <c r="L984" s="1" t="s">
        <v>2261</v>
      </c>
      <c r="M984" s="3">
        <v>45947</v>
      </c>
      <c r="N984" s="1" t="s">
        <v>93</v>
      </c>
      <c r="O984" s="1" t="s">
        <v>936</v>
      </c>
      <c r="P984" s="1">
        <v>1</v>
      </c>
    </row>
    <row r="985" spans="1:16" x14ac:dyDescent="0.25">
      <c r="A985" s="3">
        <v>45940</v>
      </c>
      <c r="B985" s="4">
        <v>71350</v>
      </c>
      <c r="C985" s="5">
        <v>838.5</v>
      </c>
      <c r="D985" s="1" t="s">
        <v>1098</v>
      </c>
      <c r="E985" s="1" t="s">
        <v>1099</v>
      </c>
      <c r="F985" s="1" t="s">
        <v>128</v>
      </c>
      <c r="G985" s="1" t="s">
        <v>940</v>
      </c>
      <c r="H985" s="3">
        <v>45965</v>
      </c>
      <c r="I985" s="1" t="s">
        <v>933</v>
      </c>
      <c r="J985" s="1" t="s">
        <v>66</v>
      </c>
      <c r="K985" s="1" t="s">
        <v>52</v>
      </c>
      <c r="L985" s="1" t="s">
        <v>2262</v>
      </c>
      <c r="M985" s="3">
        <v>45947</v>
      </c>
      <c r="N985" s="1" t="s">
        <v>93</v>
      </c>
      <c r="O985" s="1" t="s">
        <v>936</v>
      </c>
      <c r="P985" s="1">
        <v>1</v>
      </c>
    </row>
    <row r="986" spans="1:16" x14ac:dyDescent="0.25">
      <c r="A986" s="3">
        <v>45940</v>
      </c>
      <c r="B986" s="4">
        <v>71350</v>
      </c>
      <c r="C986" s="5">
        <v>838.5</v>
      </c>
      <c r="D986" s="1" t="s">
        <v>1098</v>
      </c>
      <c r="E986" s="1" t="s">
        <v>1099</v>
      </c>
      <c r="F986" s="1" t="s">
        <v>392</v>
      </c>
      <c r="G986" s="1" t="s">
        <v>940</v>
      </c>
      <c r="H986" s="3">
        <v>45965</v>
      </c>
      <c r="I986" s="1" t="s">
        <v>933</v>
      </c>
      <c r="J986" s="1" t="s">
        <v>66</v>
      </c>
      <c r="K986" s="1" t="s">
        <v>52</v>
      </c>
      <c r="L986" s="1" t="s">
        <v>2263</v>
      </c>
      <c r="M986" s="3">
        <v>45947</v>
      </c>
      <c r="N986" s="1" t="s">
        <v>93</v>
      </c>
      <c r="O986" s="1" t="s">
        <v>936</v>
      </c>
      <c r="P986" s="1">
        <v>1</v>
      </c>
    </row>
    <row r="987" spans="1:16" x14ac:dyDescent="0.25">
      <c r="A987" s="3">
        <v>45940</v>
      </c>
      <c r="B987" s="4">
        <v>51082006</v>
      </c>
      <c r="C987" s="5">
        <v>14122.91</v>
      </c>
      <c r="D987" s="1" t="s">
        <v>1604</v>
      </c>
      <c r="E987" s="1" t="s">
        <v>1605</v>
      </c>
      <c r="F987" s="1" t="s">
        <v>745</v>
      </c>
      <c r="G987" s="1" t="s">
        <v>940</v>
      </c>
      <c r="H987" s="3">
        <v>45959</v>
      </c>
      <c r="I987" s="1" t="s">
        <v>933</v>
      </c>
      <c r="J987" s="1" t="s">
        <v>66</v>
      </c>
      <c r="K987" s="1" t="s">
        <v>20</v>
      </c>
      <c r="L987" s="1" t="s">
        <v>2264</v>
      </c>
      <c r="M987" s="3">
        <v>45947</v>
      </c>
      <c r="N987" s="1" t="s">
        <v>50</v>
      </c>
      <c r="O987" s="1" t="s">
        <v>932</v>
      </c>
      <c r="P987" s="1">
        <v>1</v>
      </c>
    </row>
    <row r="988" spans="1:16" x14ac:dyDescent="0.25">
      <c r="A988" s="3">
        <v>45940</v>
      </c>
      <c r="B988" s="1">
        <v>260</v>
      </c>
      <c r="C988" s="5">
        <v>2350</v>
      </c>
      <c r="D988" s="1" t="s">
        <v>1953</v>
      </c>
      <c r="E988" s="1" t="s">
        <v>1954</v>
      </c>
      <c r="F988" s="1" t="s">
        <v>966</v>
      </c>
      <c r="G988" s="1" t="s">
        <v>990</v>
      </c>
      <c r="H988" s="3">
        <v>45940</v>
      </c>
      <c r="I988" s="1" t="s">
        <v>933</v>
      </c>
      <c r="J988" s="1" t="s">
        <v>951</v>
      </c>
      <c r="K988" s="1" t="s">
        <v>308</v>
      </c>
      <c r="L988" s="1" t="s">
        <v>2265</v>
      </c>
      <c r="M988" s="3">
        <v>45941</v>
      </c>
      <c r="N988" s="1" t="s">
        <v>821</v>
      </c>
      <c r="O988" s="1" t="s">
        <v>936</v>
      </c>
      <c r="P988" s="1">
        <v>1</v>
      </c>
    </row>
    <row r="989" spans="1:16" x14ac:dyDescent="0.25">
      <c r="A989" s="3">
        <v>45940</v>
      </c>
      <c r="B989" s="4">
        <v>1091</v>
      </c>
      <c r="C989" s="5">
        <v>380</v>
      </c>
      <c r="D989" s="1" t="s">
        <v>1074</v>
      </c>
      <c r="E989" s="1" t="s">
        <v>1075</v>
      </c>
      <c r="F989" s="1" t="s">
        <v>191</v>
      </c>
      <c r="G989" s="1" t="s">
        <v>1058</v>
      </c>
      <c r="H989" s="1" t="s">
        <v>2266</v>
      </c>
      <c r="I989" s="1" t="s">
        <v>933</v>
      </c>
      <c r="J989" s="1" t="s">
        <v>66</v>
      </c>
      <c r="K989" s="1" t="s">
        <v>52</v>
      </c>
      <c r="L989" s="1" t="s">
        <v>2267</v>
      </c>
      <c r="M989" s="3">
        <v>45947</v>
      </c>
      <c r="N989" s="1" t="s">
        <v>190</v>
      </c>
      <c r="O989" s="1" t="s">
        <v>936</v>
      </c>
      <c r="P989" s="1">
        <v>1</v>
      </c>
    </row>
    <row r="990" spans="1:16" x14ac:dyDescent="0.25">
      <c r="A990" s="3">
        <v>45940</v>
      </c>
      <c r="B990" s="4">
        <v>1091</v>
      </c>
      <c r="C990" s="5">
        <v>100</v>
      </c>
      <c r="D990" s="1" t="s">
        <v>1074</v>
      </c>
      <c r="E990" s="1" t="s">
        <v>1075</v>
      </c>
      <c r="F990" s="1" t="s">
        <v>422</v>
      </c>
      <c r="G990" s="1" t="s">
        <v>1058</v>
      </c>
      <c r="H990" s="3">
        <v>45960</v>
      </c>
      <c r="I990" s="1" t="s">
        <v>933</v>
      </c>
      <c r="J990" s="1" t="s">
        <v>66</v>
      </c>
      <c r="K990" s="1" t="s">
        <v>308</v>
      </c>
      <c r="L990" s="1" t="s">
        <v>2268</v>
      </c>
      <c r="M990" s="3">
        <v>45947</v>
      </c>
      <c r="N990" s="1" t="s">
        <v>75</v>
      </c>
      <c r="O990" s="1" t="s">
        <v>936</v>
      </c>
      <c r="P990" s="1">
        <v>1</v>
      </c>
    </row>
    <row r="991" spans="1:16" x14ac:dyDescent="0.25">
      <c r="A991" s="3">
        <v>45941</v>
      </c>
      <c r="B991" s="4">
        <v>1091</v>
      </c>
      <c r="C991" s="5">
        <v>280</v>
      </c>
      <c r="D991" s="1" t="s">
        <v>1074</v>
      </c>
      <c r="E991" s="1" t="s">
        <v>1075</v>
      </c>
      <c r="F991" s="1" t="s">
        <v>304</v>
      </c>
      <c r="G991" s="1" t="s">
        <v>1058</v>
      </c>
      <c r="H991" s="3">
        <v>45960</v>
      </c>
      <c r="I991" s="1" t="s">
        <v>933</v>
      </c>
      <c r="J991" s="1" t="s">
        <v>66</v>
      </c>
      <c r="K991" s="1" t="s">
        <v>340</v>
      </c>
      <c r="L991" s="1" t="s">
        <v>2269</v>
      </c>
      <c r="M991" s="3">
        <v>45947</v>
      </c>
      <c r="N991" s="1" t="s">
        <v>57</v>
      </c>
      <c r="O991" s="1" t="s">
        <v>936</v>
      </c>
      <c r="P991" s="1">
        <v>1</v>
      </c>
    </row>
    <row r="992" spans="1:16" x14ac:dyDescent="0.25">
      <c r="A992" s="3">
        <v>45941</v>
      </c>
      <c r="B992" s="4">
        <v>1091</v>
      </c>
      <c r="C992" s="5">
        <v>40</v>
      </c>
      <c r="D992" s="1" t="s">
        <v>1074</v>
      </c>
      <c r="E992" s="1" t="s">
        <v>1075</v>
      </c>
      <c r="F992" s="1" t="s">
        <v>955</v>
      </c>
      <c r="G992" s="1" t="s">
        <v>1058</v>
      </c>
      <c r="H992" s="3">
        <v>45960</v>
      </c>
      <c r="I992" s="1" t="s">
        <v>933</v>
      </c>
      <c r="J992" s="1" t="s">
        <v>951</v>
      </c>
      <c r="K992" s="1" t="s">
        <v>817</v>
      </c>
      <c r="L992" s="1" t="s">
        <v>2270</v>
      </c>
      <c r="M992" s="3">
        <v>45947</v>
      </c>
      <c r="N992" s="1" t="s">
        <v>821</v>
      </c>
      <c r="O992" s="1" t="s">
        <v>936</v>
      </c>
      <c r="P992" s="1">
        <v>1</v>
      </c>
    </row>
    <row r="993" spans="1:16" x14ac:dyDescent="0.25">
      <c r="A993" s="3">
        <v>45941</v>
      </c>
      <c r="B993" s="4">
        <v>1091</v>
      </c>
      <c r="C993" s="5">
        <v>180</v>
      </c>
      <c r="D993" s="1" t="s">
        <v>1074</v>
      </c>
      <c r="E993" s="1" t="s">
        <v>1075</v>
      </c>
      <c r="F993" s="1" t="s">
        <v>422</v>
      </c>
      <c r="G993" s="1" t="s">
        <v>1058</v>
      </c>
      <c r="H993" s="3">
        <v>45960</v>
      </c>
      <c r="I993" s="1" t="s">
        <v>933</v>
      </c>
      <c r="J993" s="1" t="s">
        <v>66</v>
      </c>
      <c r="K993" s="1" t="s">
        <v>308</v>
      </c>
      <c r="L993" s="1" t="s">
        <v>2268</v>
      </c>
      <c r="M993" s="3">
        <v>45947</v>
      </c>
      <c r="N993" s="1" t="s">
        <v>75</v>
      </c>
      <c r="O993" s="1" t="s">
        <v>936</v>
      </c>
      <c r="P993" s="1">
        <v>1</v>
      </c>
    </row>
    <row r="994" spans="1:16" x14ac:dyDescent="0.25">
      <c r="A994" s="3">
        <v>45943</v>
      </c>
      <c r="B994" s="1">
        <v>20</v>
      </c>
      <c r="C994" s="5">
        <v>2580.87</v>
      </c>
      <c r="D994" s="1" t="s">
        <v>1730</v>
      </c>
      <c r="E994" s="1" t="s">
        <v>1731</v>
      </c>
      <c r="F994" s="1" t="s">
        <v>955</v>
      </c>
      <c r="G994" s="1" t="s">
        <v>940</v>
      </c>
      <c r="H994" s="3">
        <v>45957</v>
      </c>
      <c r="I994" s="1" t="s">
        <v>933</v>
      </c>
      <c r="J994" s="1" t="s">
        <v>66</v>
      </c>
      <c r="K994" s="1" t="s">
        <v>20</v>
      </c>
      <c r="L994" s="1" t="s">
        <v>2271</v>
      </c>
      <c r="M994" s="3">
        <v>45944</v>
      </c>
      <c r="N994" s="1" t="s">
        <v>821</v>
      </c>
      <c r="O994" s="1" t="s">
        <v>936</v>
      </c>
      <c r="P994" s="1" t="s">
        <v>937</v>
      </c>
    </row>
    <row r="995" spans="1:16" x14ac:dyDescent="0.25">
      <c r="A995" s="3">
        <v>45943</v>
      </c>
      <c r="B995" s="1">
        <v>14</v>
      </c>
      <c r="C995" s="5">
        <v>150</v>
      </c>
      <c r="D995" s="1" t="s">
        <v>2037</v>
      </c>
      <c r="E995" s="1" t="s">
        <v>2038</v>
      </c>
      <c r="F995" s="1" t="s">
        <v>955</v>
      </c>
      <c r="G995" s="1" t="s">
        <v>940</v>
      </c>
      <c r="H995" s="3">
        <v>45953</v>
      </c>
      <c r="I995" s="1" t="s">
        <v>933</v>
      </c>
      <c r="J995" s="1" t="s">
        <v>951</v>
      </c>
      <c r="K995" s="1" t="s">
        <v>20</v>
      </c>
      <c r="L995" s="1" t="s">
        <v>2272</v>
      </c>
      <c r="M995" s="3">
        <v>45944</v>
      </c>
      <c r="N995" s="1" t="s">
        <v>821</v>
      </c>
      <c r="O995" s="1" t="s">
        <v>936</v>
      </c>
      <c r="P995" s="1" t="s">
        <v>937</v>
      </c>
    </row>
    <row r="996" spans="1:16" x14ac:dyDescent="0.25">
      <c r="A996" s="3">
        <v>45943</v>
      </c>
      <c r="B996" s="4">
        <v>46755</v>
      </c>
      <c r="C996" s="5">
        <v>3597</v>
      </c>
      <c r="D996" s="1" t="s">
        <v>1489</v>
      </c>
      <c r="E996" s="1" t="s">
        <v>1490</v>
      </c>
      <c r="F996" s="1" t="s">
        <v>304</v>
      </c>
      <c r="G996" s="1" t="s">
        <v>940</v>
      </c>
      <c r="H996" s="3">
        <v>45973</v>
      </c>
      <c r="I996" s="1" t="s">
        <v>933</v>
      </c>
      <c r="J996" s="1" t="s">
        <v>66</v>
      </c>
      <c r="K996" s="1" t="s">
        <v>340</v>
      </c>
      <c r="L996" s="1" t="s">
        <v>2273</v>
      </c>
      <c r="M996" s="3">
        <v>45945</v>
      </c>
      <c r="N996" s="1" t="s">
        <v>57</v>
      </c>
      <c r="O996" s="1" t="s">
        <v>936</v>
      </c>
      <c r="P996" s="1">
        <v>1</v>
      </c>
    </row>
    <row r="997" spans="1:16" x14ac:dyDescent="0.25">
      <c r="A997" s="3">
        <v>45943</v>
      </c>
      <c r="B997" s="1">
        <v>28</v>
      </c>
      <c r="C997" s="5">
        <v>55500</v>
      </c>
      <c r="D997" s="1" t="s">
        <v>2274</v>
      </c>
      <c r="E997" s="1" t="s">
        <v>2275</v>
      </c>
      <c r="F997" s="1" t="s">
        <v>955</v>
      </c>
      <c r="G997" s="1" t="s">
        <v>940</v>
      </c>
      <c r="H997" s="3">
        <v>45958</v>
      </c>
      <c r="I997" s="1" t="s">
        <v>933</v>
      </c>
      <c r="J997" s="1" t="s">
        <v>951</v>
      </c>
      <c r="K997" s="1" t="s">
        <v>20</v>
      </c>
      <c r="L997" s="1" t="s">
        <v>2276</v>
      </c>
      <c r="M997" s="3">
        <v>45945</v>
      </c>
      <c r="N997" s="1" t="s">
        <v>821</v>
      </c>
      <c r="O997" s="1" t="s">
        <v>936</v>
      </c>
      <c r="P997" s="1" t="s">
        <v>937</v>
      </c>
    </row>
    <row r="998" spans="1:16" x14ac:dyDescent="0.25">
      <c r="A998" s="3">
        <v>45943</v>
      </c>
      <c r="B998" s="4">
        <v>71320</v>
      </c>
      <c r="C998" s="5">
        <v>1045.45</v>
      </c>
      <c r="D998" s="1" t="s">
        <v>1098</v>
      </c>
      <c r="E998" s="1" t="s">
        <v>1099</v>
      </c>
      <c r="F998" s="1" t="s">
        <v>745</v>
      </c>
      <c r="G998" s="1" t="s">
        <v>940</v>
      </c>
      <c r="H998" s="3">
        <v>45973</v>
      </c>
      <c r="I998" s="1" t="s">
        <v>50</v>
      </c>
      <c r="J998" s="1" t="s">
        <v>66</v>
      </c>
      <c r="K998" s="1" t="s">
        <v>340</v>
      </c>
      <c r="L998" s="1" t="s">
        <v>2277</v>
      </c>
      <c r="M998" s="3">
        <v>45945</v>
      </c>
      <c r="N998" s="1" t="s">
        <v>50</v>
      </c>
      <c r="O998" s="1" t="s">
        <v>936</v>
      </c>
      <c r="P998" s="1">
        <v>1</v>
      </c>
    </row>
    <row r="999" spans="1:16" x14ac:dyDescent="0.25">
      <c r="A999" s="3">
        <v>45943</v>
      </c>
      <c r="B999" s="4">
        <v>8935</v>
      </c>
      <c r="C999" s="5">
        <v>16920</v>
      </c>
      <c r="D999" s="1" t="s">
        <v>973</v>
      </c>
      <c r="E999" s="1" t="s">
        <v>1068</v>
      </c>
      <c r="F999" s="1" t="s">
        <v>66</v>
      </c>
      <c r="G999" s="1" t="s">
        <v>998</v>
      </c>
      <c r="H999" s="3">
        <v>45959</v>
      </c>
      <c r="I999" s="1" t="s">
        <v>933</v>
      </c>
      <c r="J999" s="1" t="s">
        <v>66</v>
      </c>
      <c r="K999" s="1" t="s">
        <v>996</v>
      </c>
      <c r="L999" s="1">
        <v>3000</v>
      </c>
      <c r="M999" s="3">
        <v>45947</v>
      </c>
      <c r="N999" s="1" t="s">
        <v>821</v>
      </c>
      <c r="O999" s="1" t="s">
        <v>998</v>
      </c>
      <c r="P999" s="1">
        <v>1</v>
      </c>
    </row>
    <row r="1000" spans="1:16" x14ac:dyDescent="0.25">
      <c r="A1000" s="3">
        <v>45943</v>
      </c>
      <c r="B1000" s="1">
        <v>221</v>
      </c>
      <c r="C1000" s="5">
        <v>8069.82</v>
      </c>
      <c r="D1000" s="1" t="s">
        <v>1023</v>
      </c>
      <c r="E1000" s="1" t="s">
        <v>1024</v>
      </c>
      <c r="F1000" s="1" t="s">
        <v>955</v>
      </c>
      <c r="G1000" s="1" t="s">
        <v>932</v>
      </c>
      <c r="H1000" s="1" t="s">
        <v>1124</v>
      </c>
      <c r="I1000" s="1" t="s">
        <v>933</v>
      </c>
      <c r="J1000" s="1" t="s">
        <v>951</v>
      </c>
      <c r="K1000" s="1" t="s">
        <v>1654</v>
      </c>
      <c r="L1000" s="1" t="s">
        <v>2278</v>
      </c>
      <c r="M1000" s="3">
        <v>45947</v>
      </c>
      <c r="N1000" s="1" t="s">
        <v>821</v>
      </c>
      <c r="O1000" s="1" t="s">
        <v>936</v>
      </c>
      <c r="P1000" s="1">
        <v>1</v>
      </c>
    </row>
    <row r="1001" spans="1:16" x14ac:dyDescent="0.25">
      <c r="A1001" s="3">
        <v>45943</v>
      </c>
      <c r="B1001" s="1">
        <v>221</v>
      </c>
      <c r="C1001" s="5">
        <v>8069.82</v>
      </c>
      <c r="D1001" s="1" t="s">
        <v>1023</v>
      </c>
      <c r="E1001" s="1" t="s">
        <v>1024</v>
      </c>
      <c r="F1001" s="1" t="s">
        <v>955</v>
      </c>
      <c r="G1001" s="1" t="s">
        <v>932</v>
      </c>
      <c r="H1001" s="1" t="s">
        <v>1124</v>
      </c>
      <c r="I1001" s="1" t="s">
        <v>933</v>
      </c>
      <c r="J1001" s="1" t="s">
        <v>2279</v>
      </c>
      <c r="K1001" s="1" t="s">
        <v>659</v>
      </c>
      <c r="L1001" s="1" t="s">
        <v>2278</v>
      </c>
      <c r="M1001" s="3">
        <v>45947</v>
      </c>
      <c r="N1001" s="1"/>
      <c r="O1001" s="1" t="s">
        <v>936</v>
      </c>
      <c r="P1001" s="1"/>
    </row>
    <row r="1002" spans="1:16" x14ac:dyDescent="0.25">
      <c r="A1002" s="3">
        <v>45943</v>
      </c>
      <c r="B1002" s="4">
        <v>8921</v>
      </c>
      <c r="C1002" s="5">
        <v>8827.98</v>
      </c>
      <c r="D1002" s="1" t="s">
        <v>973</v>
      </c>
      <c r="E1002" s="1" t="s">
        <v>1068</v>
      </c>
      <c r="F1002" s="1" t="s">
        <v>1814</v>
      </c>
      <c r="G1002" s="1" t="s">
        <v>998</v>
      </c>
      <c r="H1002" s="1" t="s">
        <v>1124</v>
      </c>
      <c r="I1002" s="1" t="s">
        <v>933</v>
      </c>
      <c r="J1002" s="1" t="s">
        <v>66</v>
      </c>
      <c r="K1002" s="1" t="s">
        <v>340</v>
      </c>
      <c r="L1002" s="1" t="s">
        <v>2280</v>
      </c>
      <c r="M1002" s="3">
        <v>45947</v>
      </c>
      <c r="N1002" s="1" t="s">
        <v>1814</v>
      </c>
      <c r="O1002" s="1" t="s">
        <v>998</v>
      </c>
      <c r="P1002" s="1">
        <v>1</v>
      </c>
    </row>
    <row r="1003" spans="1:16" x14ac:dyDescent="0.25">
      <c r="A1003" s="3">
        <v>45943</v>
      </c>
      <c r="B1003" s="1">
        <v>4</v>
      </c>
      <c r="C1003" s="5">
        <v>1313</v>
      </c>
      <c r="D1003" s="1" t="s">
        <v>2281</v>
      </c>
      <c r="E1003" s="1" t="s">
        <v>2282</v>
      </c>
      <c r="F1003" s="1" t="s">
        <v>1778</v>
      </c>
      <c r="G1003" s="1" t="s">
        <v>1029</v>
      </c>
      <c r="H1003" s="3">
        <v>45960</v>
      </c>
      <c r="I1003" s="1" t="s">
        <v>933</v>
      </c>
      <c r="J1003" s="1" t="s">
        <v>951</v>
      </c>
      <c r="K1003" s="1" t="s">
        <v>308</v>
      </c>
      <c r="L1003" s="1" t="s">
        <v>2283</v>
      </c>
      <c r="M1003" s="3">
        <v>45947</v>
      </c>
      <c r="N1003" s="1" t="s">
        <v>821</v>
      </c>
      <c r="O1003" s="1" t="s">
        <v>1031</v>
      </c>
      <c r="P1003" s="1" t="s">
        <v>937</v>
      </c>
    </row>
    <row r="1004" spans="1:16" x14ac:dyDescent="0.25">
      <c r="A1004" s="3">
        <v>45943</v>
      </c>
      <c r="B1004" s="4">
        <v>1091</v>
      </c>
      <c r="C1004" s="5">
        <v>280</v>
      </c>
      <c r="D1004" s="1" t="s">
        <v>1074</v>
      </c>
      <c r="E1004" s="1" t="s">
        <v>1075</v>
      </c>
      <c r="F1004" s="1" t="s">
        <v>110</v>
      </c>
      <c r="G1004" s="1" t="s">
        <v>1058</v>
      </c>
      <c r="H1004" s="3">
        <v>45960</v>
      </c>
      <c r="I1004" s="1" t="s">
        <v>933</v>
      </c>
      <c r="J1004" s="1" t="s">
        <v>66</v>
      </c>
      <c r="K1004" s="1" t="s">
        <v>1654</v>
      </c>
      <c r="L1004" s="1" t="s">
        <v>2284</v>
      </c>
      <c r="M1004" s="3">
        <v>45947</v>
      </c>
      <c r="N1004" s="1" t="s">
        <v>115</v>
      </c>
      <c r="O1004" s="1" t="s">
        <v>936</v>
      </c>
      <c r="P1004" s="1">
        <v>1</v>
      </c>
    </row>
    <row r="1005" spans="1:16" x14ac:dyDescent="0.25">
      <c r="A1005" s="3">
        <v>45943</v>
      </c>
      <c r="B1005" s="4">
        <v>1091</v>
      </c>
      <c r="C1005" s="5">
        <v>308</v>
      </c>
      <c r="D1005" s="1" t="s">
        <v>1074</v>
      </c>
      <c r="E1005" s="1" t="s">
        <v>1075</v>
      </c>
      <c r="F1005" s="1" t="s">
        <v>245</v>
      </c>
      <c r="G1005" s="1" t="s">
        <v>1058</v>
      </c>
      <c r="H1005" s="3">
        <v>45960</v>
      </c>
      <c r="I1005" s="1" t="s">
        <v>933</v>
      </c>
      <c r="J1005" s="1" t="s">
        <v>66</v>
      </c>
      <c r="K1005" s="1" t="s">
        <v>308</v>
      </c>
      <c r="L1005" s="1" t="s">
        <v>2285</v>
      </c>
      <c r="M1005" s="3">
        <v>45947</v>
      </c>
      <c r="N1005" s="1" t="s">
        <v>57</v>
      </c>
      <c r="O1005" s="1" t="s">
        <v>936</v>
      </c>
      <c r="P1005" s="1">
        <v>1</v>
      </c>
    </row>
    <row r="1006" spans="1:16" x14ac:dyDescent="0.25">
      <c r="A1006" s="3">
        <v>45943</v>
      </c>
      <c r="B1006" s="4">
        <v>1091</v>
      </c>
      <c r="C1006" s="5">
        <v>280</v>
      </c>
      <c r="D1006" s="1" t="s">
        <v>1074</v>
      </c>
      <c r="E1006" s="1" t="s">
        <v>1075</v>
      </c>
      <c r="F1006" s="1" t="s">
        <v>721</v>
      </c>
      <c r="G1006" s="1" t="s">
        <v>1058</v>
      </c>
      <c r="H1006" s="3">
        <v>45960</v>
      </c>
      <c r="I1006" s="1" t="s">
        <v>933</v>
      </c>
      <c r="J1006" s="1" t="s">
        <v>66</v>
      </c>
      <c r="K1006" s="1" t="s">
        <v>340</v>
      </c>
      <c r="L1006" s="1" t="s">
        <v>2286</v>
      </c>
      <c r="M1006" s="3">
        <v>45947</v>
      </c>
      <c r="N1006" s="1" t="s">
        <v>712</v>
      </c>
      <c r="O1006" s="1" t="s">
        <v>936</v>
      </c>
      <c r="P1006" s="1">
        <v>1</v>
      </c>
    </row>
    <row r="1007" spans="1:16" x14ac:dyDescent="0.25">
      <c r="A1007" s="3">
        <v>45943</v>
      </c>
      <c r="B1007" s="4">
        <v>1091</v>
      </c>
      <c r="C1007" s="5">
        <v>280</v>
      </c>
      <c r="D1007" s="1" t="s">
        <v>1074</v>
      </c>
      <c r="E1007" s="1" t="s">
        <v>1075</v>
      </c>
      <c r="F1007" s="1" t="s">
        <v>717</v>
      </c>
      <c r="G1007" s="1" t="s">
        <v>1058</v>
      </c>
      <c r="H1007" s="3">
        <v>45960</v>
      </c>
      <c r="I1007" s="1" t="s">
        <v>933</v>
      </c>
      <c r="J1007" s="1" t="s">
        <v>66</v>
      </c>
      <c r="K1007" s="1" t="s">
        <v>340</v>
      </c>
      <c r="L1007" s="1" t="s">
        <v>2286</v>
      </c>
      <c r="M1007" s="3">
        <v>45947</v>
      </c>
      <c r="N1007" s="1" t="s">
        <v>712</v>
      </c>
      <c r="O1007" s="1" t="s">
        <v>936</v>
      </c>
      <c r="P1007" s="1">
        <v>1</v>
      </c>
    </row>
    <row r="1008" spans="1:16" x14ac:dyDescent="0.25">
      <c r="A1008" s="3">
        <v>45943</v>
      </c>
      <c r="B1008" s="4">
        <v>1091</v>
      </c>
      <c r="C1008" s="5">
        <v>280</v>
      </c>
      <c r="D1008" s="1" t="s">
        <v>1074</v>
      </c>
      <c r="E1008" s="1" t="s">
        <v>1075</v>
      </c>
      <c r="F1008" s="1" t="s">
        <v>719</v>
      </c>
      <c r="G1008" s="1" t="s">
        <v>1058</v>
      </c>
      <c r="H1008" s="3">
        <v>45960</v>
      </c>
      <c r="I1008" s="1" t="s">
        <v>933</v>
      </c>
      <c r="J1008" s="1" t="s">
        <v>66</v>
      </c>
      <c r="K1008" s="1" t="s">
        <v>340</v>
      </c>
      <c r="L1008" s="1" t="s">
        <v>2286</v>
      </c>
      <c r="M1008" s="3">
        <v>45947</v>
      </c>
      <c r="N1008" s="1" t="s">
        <v>712</v>
      </c>
      <c r="O1008" s="1" t="s">
        <v>936</v>
      </c>
      <c r="P1008" s="1">
        <v>1</v>
      </c>
    </row>
    <row r="1009" spans="1:16" x14ac:dyDescent="0.25">
      <c r="A1009" s="3">
        <v>45943</v>
      </c>
      <c r="B1009" s="4">
        <v>1091</v>
      </c>
      <c r="C1009" s="5">
        <v>80</v>
      </c>
      <c r="D1009" s="1" t="s">
        <v>1074</v>
      </c>
      <c r="E1009" s="1" t="s">
        <v>1075</v>
      </c>
      <c r="F1009" s="1" t="s">
        <v>955</v>
      </c>
      <c r="G1009" s="1" t="s">
        <v>1058</v>
      </c>
      <c r="H1009" s="3">
        <v>45960</v>
      </c>
      <c r="I1009" s="1" t="s">
        <v>933</v>
      </c>
      <c r="J1009" s="1" t="s">
        <v>951</v>
      </c>
      <c r="K1009" s="1" t="s">
        <v>487</v>
      </c>
      <c r="L1009" s="1" t="s">
        <v>2287</v>
      </c>
      <c r="M1009" s="3">
        <v>45947</v>
      </c>
      <c r="N1009" s="1" t="s">
        <v>821</v>
      </c>
      <c r="O1009" s="1" t="s">
        <v>936</v>
      </c>
      <c r="P1009" s="1">
        <v>1</v>
      </c>
    </row>
    <row r="1010" spans="1:16" x14ac:dyDescent="0.25">
      <c r="A1010" s="3">
        <v>45943</v>
      </c>
      <c r="B1010" s="4">
        <v>1091</v>
      </c>
      <c r="C1010" s="5">
        <v>280</v>
      </c>
      <c r="D1010" s="1" t="s">
        <v>1074</v>
      </c>
      <c r="E1010" s="1" t="s">
        <v>1075</v>
      </c>
      <c r="F1010" s="1" t="s">
        <v>259</v>
      </c>
      <c r="G1010" s="1" t="s">
        <v>1058</v>
      </c>
      <c r="H1010" s="3">
        <v>45960</v>
      </c>
      <c r="I1010" s="1" t="s">
        <v>933</v>
      </c>
      <c r="J1010" s="1" t="s">
        <v>66</v>
      </c>
      <c r="K1010" s="1" t="s">
        <v>340</v>
      </c>
      <c r="L1010" s="1" t="s">
        <v>2288</v>
      </c>
      <c r="M1010" s="3">
        <v>45947</v>
      </c>
      <c r="N1010" s="1" t="s">
        <v>264</v>
      </c>
      <c r="O1010" s="1" t="s">
        <v>936</v>
      </c>
      <c r="P1010" s="1">
        <v>1</v>
      </c>
    </row>
    <row r="1011" spans="1:16" x14ac:dyDescent="0.25">
      <c r="A1011" s="3">
        <v>45943</v>
      </c>
      <c r="B1011" s="1">
        <v>261</v>
      </c>
      <c r="C1011" s="5">
        <v>150</v>
      </c>
      <c r="D1011" s="1" t="s">
        <v>1953</v>
      </c>
      <c r="E1011" s="1" t="s">
        <v>1954</v>
      </c>
      <c r="F1011" s="1" t="s">
        <v>110</v>
      </c>
      <c r="G1011" s="1" t="s">
        <v>940</v>
      </c>
      <c r="H1011" s="3">
        <v>45964</v>
      </c>
      <c r="I1011" s="1" t="s">
        <v>933</v>
      </c>
      <c r="J1011" s="1" t="s">
        <v>66</v>
      </c>
      <c r="K1011" s="1" t="s">
        <v>340</v>
      </c>
      <c r="L1011" s="1" t="s">
        <v>2289</v>
      </c>
      <c r="M1011" s="3">
        <v>45948</v>
      </c>
      <c r="N1011" s="1" t="s">
        <v>115</v>
      </c>
      <c r="O1011" s="1" t="s">
        <v>936</v>
      </c>
      <c r="P1011" s="1">
        <v>1</v>
      </c>
    </row>
    <row r="1012" spans="1:16" x14ac:dyDescent="0.25">
      <c r="A1012" s="3">
        <v>45943</v>
      </c>
      <c r="B1012" s="1">
        <v>262</v>
      </c>
      <c r="C1012" s="5">
        <v>1280</v>
      </c>
      <c r="D1012" s="1" t="s">
        <v>1953</v>
      </c>
      <c r="E1012" s="1" t="s">
        <v>1954</v>
      </c>
      <c r="F1012" s="1" t="s">
        <v>809</v>
      </c>
      <c r="G1012" s="1" t="s">
        <v>940</v>
      </c>
      <c r="H1012" s="3">
        <v>45964</v>
      </c>
      <c r="I1012" s="1" t="s">
        <v>933</v>
      </c>
      <c r="J1012" s="1" t="s">
        <v>66</v>
      </c>
      <c r="K1012" s="1" t="s">
        <v>340</v>
      </c>
      <c r="L1012" s="1" t="s">
        <v>2290</v>
      </c>
      <c r="M1012" s="3">
        <v>45948</v>
      </c>
      <c r="N1012" s="1" t="s">
        <v>212</v>
      </c>
      <c r="O1012" s="1" t="s">
        <v>936</v>
      </c>
      <c r="P1012" s="1">
        <v>1</v>
      </c>
    </row>
    <row r="1013" spans="1:16" x14ac:dyDescent="0.25">
      <c r="A1013" s="3">
        <v>45943</v>
      </c>
      <c r="B1013" s="1">
        <v>263</v>
      </c>
      <c r="C1013" s="5">
        <v>530</v>
      </c>
      <c r="D1013" s="1" t="s">
        <v>1953</v>
      </c>
      <c r="E1013" s="1" t="s">
        <v>1954</v>
      </c>
      <c r="F1013" s="1" t="s">
        <v>906</v>
      </c>
      <c r="G1013" s="1" t="s">
        <v>940</v>
      </c>
      <c r="H1013" s="3">
        <v>45964</v>
      </c>
      <c r="I1013" s="1" t="s">
        <v>933</v>
      </c>
      <c r="J1013" s="1" t="s">
        <v>66</v>
      </c>
      <c r="K1013" s="1" t="s">
        <v>308</v>
      </c>
      <c r="L1013" s="1" t="s">
        <v>2291</v>
      </c>
      <c r="M1013" s="3">
        <v>45950</v>
      </c>
      <c r="N1013" s="1" t="s">
        <v>57</v>
      </c>
      <c r="O1013" s="1" t="s">
        <v>936</v>
      </c>
      <c r="P1013" s="1">
        <v>1</v>
      </c>
    </row>
    <row r="1014" spans="1:16" x14ac:dyDescent="0.25">
      <c r="A1014" s="3">
        <v>45943</v>
      </c>
      <c r="B1014" s="1">
        <v>264</v>
      </c>
      <c r="C1014" s="5">
        <v>280</v>
      </c>
      <c r="D1014" s="1" t="s">
        <v>1953</v>
      </c>
      <c r="E1014" s="1" t="s">
        <v>1954</v>
      </c>
      <c r="F1014" s="1" t="s">
        <v>392</v>
      </c>
      <c r="G1014" s="1" t="s">
        <v>940</v>
      </c>
      <c r="H1014" s="3">
        <v>45964</v>
      </c>
      <c r="I1014" s="1" t="s">
        <v>933</v>
      </c>
      <c r="J1014" s="1" t="s">
        <v>66</v>
      </c>
      <c r="K1014" s="1" t="s">
        <v>52</v>
      </c>
      <c r="L1014" s="1" t="s">
        <v>2292</v>
      </c>
      <c r="M1014" s="3">
        <v>45947</v>
      </c>
      <c r="N1014" s="1" t="s">
        <v>93</v>
      </c>
      <c r="O1014" s="1" t="s">
        <v>936</v>
      </c>
      <c r="P1014" s="1">
        <v>1</v>
      </c>
    </row>
    <row r="1015" spans="1:16" x14ac:dyDescent="0.25">
      <c r="A1015" s="3">
        <v>45943</v>
      </c>
      <c r="B1015" s="1">
        <v>265</v>
      </c>
      <c r="C1015" s="5">
        <v>320</v>
      </c>
      <c r="D1015" s="1" t="s">
        <v>1953</v>
      </c>
      <c r="E1015" s="1" t="s">
        <v>1954</v>
      </c>
      <c r="F1015" s="1" t="s">
        <v>727</v>
      </c>
      <c r="G1015" s="1" t="s">
        <v>940</v>
      </c>
      <c r="H1015" s="3">
        <v>45964</v>
      </c>
      <c r="I1015" s="1" t="s">
        <v>933</v>
      </c>
      <c r="J1015" s="1" t="s">
        <v>66</v>
      </c>
      <c r="K1015" s="1" t="s">
        <v>308</v>
      </c>
      <c r="L1015" s="1" t="s">
        <v>2293</v>
      </c>
      <c r="M1015" s="3">
        <v>45947</v>
      </c>
      <c r="N1015" s="1" t="s">
        <v>57</v>
      </c>
      <c r="O1015" s="1" t="s">
        <v>936</v>
      </c>
      <c r="P1015" s="1">
        <v>1</v>
      </c>
    </row>
    <row r="1016" spans="1:16" x14ac:dyDescent="0.25">
      <c r="A1016" s="3">
        <v>45943</v>
      </c>
      <c r="B1016" s="1">
        <v>267</v>
      </c>
      <c r="C1016" s="5">
        <v>480</v>
      </c>
      <c r="D1016" s="1" t="s">
        <v>1953</v>
      </c>
      <c r="E1016" s="1" t="s">
        <v>1954</v>
      </c>
      <c r="F1016" s="1" t="s">
        <v>955</v>
      </c>
      <c r="G1016" s="1" t="s">
        <v>940</v>
      </c>
      <c r="H1016" s="3">
        <v>45964</v>
      </c>
      <c r="I1016" s="1" t="s">
        <v>933</v>
      </c>
      <c r="J1016" s="1" t="s">
        <v>951</v>
      </c>
      <c r="K1016" s="1" t="s">
        <v>1654</v>
      </c>
      <c r="L1016" s="1" t="s">
        <v>2294</v>
      </c>
      <c r="M1016" s="3">
        <v>45947</v>
      </c>
      <c r="N1016" s="1" t="s">
        <v>821</v>
      </c>
      <c r="O1016" s="1" t="s">
        <v>936</v>
      </c>
      <c r="P1016" s="1">
        <v>1</v>
      </c>
    </row>
    <row r="1017" spans="1:16" x14ac:dyDescent="0.25">
      <c r="A1017" s="3">
        <v>45943</v>
      </c>
      <c r="B1017" s="1">
        <v>268</v>
      </c>
      <c r="C1017" s="5">
        <v>1265</v>
      </c>
      <c r="D1017" s="1" t="s">
        <v>1953</v>
      </c>
      <c r="E1017" s="1" t="s">
        <v>1954</v>
      </c>
      <c r="F1017" s="1" t="s">
        <v>422</v>
      </c>
      <c r="G1017" s="1" t="s">
        <v>940</v>
      </c>
      <c r="H1017" s="3">
        <v>45964</v>
      </c>
      <c r="I1017" s="1" t="s">
        <v>933</v>
      </c>
      <c r="J1017" s="1" t="s">
        <v>66</v>
      </c>
      <c r="K1017" s="1" t="s">
        <v>308</v>
      </c>
      <c r="L1017" s="1" t="s">
        <v>2295</v>
      </c>
      <c r="M1017" s="3">
        <v>45948</v>
      </c>
      <c r="N1017" s="1" t="s">
        <v>75</v>
      </c>
      <c r="O1017" s="1" t="s">
        <v>936</v>
      </c>
      <c r="P1017" s="1">
        <v>1</v>
      </c>
    </row>
    <row r="1018" spans="1:16" x14ac:dyDescent="0.25">
      <c r="A1018" s="3">
        <v>45943</v>
      </c>
      <c r="B1018" s="1">
        <v>269</v>
      </c>
      <c r="C1018" s="5">
        <v>380</v>
      </c>
      <c r="D1018" s="1" t="s">
        <v>1953</v>
      </c>
      <c r="E1018" s="1" t="s">
        <v>1954</v>
      </c>
      <c r="F1018" s="1" t="s">
        <v>430</v>
      </c>
      <c r="G1018" s="1" t="s">
        <v>940</v>
      </c>
      <c r="H1018" s="3">
        <v>45964</v>
      </c>
      <c r="I1018" s="1" t="s">
        <v>933</v>
      </c>
      <c r="J1018" s="1" t="s">
        <v>66</v>
      </c>
      <c r="K1018" s="1" t="s">
        <v>1654</v>
      </c>
      <c r="L1018" s="1" t="s">
        <v>2296</v>
      </c>
      <c r="M1018" s="3">
        <v>45947</v>
      </c>
      <c r="N1018" s="1" t="s">
        <v>57</v>
      </c>
      <c r="O1018" s="1" t="s">
        <v>936</v>
      </c>
      <c r="P1018" s="1">
        <v>2</v>
      </c>
    </row>
    <row r="1019" spans="1:16" x14ac:dyDescent="0.25">
      <c r="A1019" s="3">
        <v>45943</v>
      </c>
      <c r="B1019" s="1">
        <v>269</v>
      </c>
      <c r="C1019" s="5">
        <v>380</v>
      </c>
      <c r="D1019" s="1" t="s">
        <v>1953</v>
      </c>
      <c r="E1019" s="1" t="s">
        <v>1954</v>
      </c>
      <c r="F1019" s="1" t="s">
        <v>430</v>
      </c>
      <c r="G1019" s="1" t="s">
        <v>940</v>
      </c>
      <c r="H1019" s="3">
        <v>45964</v>
      </c>
      <c r="I1019" s="1" t="s">
        <v>933</v>
      </c>
      <c r="J1019" s="1" t="s">
        <v>66</v>
      </c>
      <c r="K1019" s="1" t="s">
        <v>1654</v>
      </c>
      <c r="L1019" s="1" t="s">
        <v>2297</v>
      </c>
      <c r="M1019" s="3">
        <v>45948</v>
      </c>
      <c r="N1019" s="1" t="s">
        <v>57</v>
      </c>
      <c r="O1019" s="1" t="s">
        <v>936</v>
      </c>
      <c r="P1019" s="1">
        <v>2</v>
      </c>
    </row>
    <row r="1020" spans="1:16" x14ac:dyDescent="0.25">
      <c r="A1020" s="3">
        <v>45943</v>
      </c>
      <c r="B1020" s="1">
        <v>270</v>
      </c>
      <c r="C1020" s="5">
        <v>1660</v>
      </c>
      <c r="D1020" s="1" t="s">
        <v>1953</v>
      </c>
      <c r="E1020" s="1" t="s">
        <v>1954</v>
      </c>
      <c r="F1020" s="1" t="s">
        <v>710</v>
      </c>
      <c r="G1020" s="1" t="s">
        <v>940</v>
      </c>
      <c r="H1020" s="3">
        <v>45964</v>
      </c>
      <c r="I1020" s="1" t="s">
        <v>933</v>
      </c>
      <c r="J1020" s="1" t="s">
        <v>66</v>
      </c>
      <c r="K1020" s="1" t="s">
        <v>340</v>
      </c>
      <c r="L1020" s="1" t="s">
        <v>2298</v>
      </c>
      <c r="M1020" s="3">
        <v>45947</v>
      </c>
      <c r="N1020" s="1" t="s">
        <v>712</v>
      </c>
      <c r="O1020" s="1" t="s">
        <v>936</v>
      </c>
      <c r="P1020" s="1">
        <v>1</v>
      </c>
    </row>
    <row r="1021" spans="1:16" x14ac:dyDescent="0.25">
      <c r="A1021" s="3">
        <v>45943</v>
      </c>
      <c r="B1021" s="1">
        <v>271</v>
      </c>
      <c r="C1021" s="5">
        <v>380</v>
      </c>
      <c r="D1021" s="1" t="s">
        <v>1953</v>
      </c>
      <c r="E1021" s="1" t="s">
        <v>1954</v>
      </c>
      <c r="F1021" s="1" t="s">
        <v>773</v>
      </c>
      <c r="G1021" s="1" t="s">
        <v>940</v>
      </c>
      <c r="H1021" s="3">
        <v>45964</v>
      </c>
      <c r="I1021" s="1" t="s">
        <v>933</v>
      </c>
      <c r="J1021" s="1" t="s">
        <v>66</v>
      </c>
      <c r="K1021" s="1" t="s">
        <v>308</v>
      </c>
      <c r="L1021" s="1" t="s">
        <v>2299</v>
      </c>
      <c r="M1021" s="3">
        <v>45947</v>
      </c>
      <c r="N1021" s="1" t="s">
        <v>57</v>
      </c>
      <c r="O1021" s="1" t="s">
        <v>936</v>
      </c>
      <c r="P1021" s="1">
        <v>1</v>
      </c>
    </row>
    <row r="1022" spans="1:16" x14ac:dyDescent="0.25">
      <c r="A1022" s="3">
        <v>45943</v>
      </c>
      <c r="B1022" s="1">
        <v>272</v>
      </c>
      <c r="C1022" s="5">
        <v>360</v>
      </c>
      <c r="D1022" s="1" t="s">
        <v>1953</v>
      </c>
      <c r="E1022" s="1" t="s">
        <v>1954</v>
      </c>
      <c r="F1022" s="1" t="s">
        <v>635</v>
      </c>
      <c r="G1022" s="1" t="s">
        <v>940</v>
      </c>
      <c r="H1022" s="3">
        <v>45964</v>
      </c>
      <c r="I1022" s="1" t="s">
        <v>933</v>
      </c>
      <c r="J1022" s="1" t="s">
        <v>66</v>
      </c>
      <c r="K1022" s="1" t="s">
        <v>636</v>
      </c>
      <c r="L1022" s="1" t="s">
        <v>2300</v>
      </c>
      <c r="M1022" s="3">
        <v>45947</v>
      </c>
      <c r="N1022" s="1" t="s">
        <v>429</v>
      </c>
      <c r="O1022" s="1" t="s">
        <v>936</v>
      </c>
      <c r="P1022" s="1">
        <v>1</v>
      </c>
    </row>
    <row r="1023" spans="1:16" x14ac:dyDescent="0.25">
      <c r="A1023" s="3">
        <v>45943</v>
      </c>
      <c r="B1023" s="1">
        <v>273</v>
      </c>
      <c r="C1023" s="5">
        <v>55</v>
      </c>
      <c r="D1023" s="1" t="s">
        <v>1953</v>
      </c>
      <c r="E1023" s="1" t="s">
        <v>1954</v>
      </c>
      <c r="F1023" s="1" t="s">
        <v>727</v>
      </c>
      <c r="G1023" s="1" t="s">
        <v>940</v>
      </c>
      <c r="H1023" s="3">
        <v>45964</v>
      </c>
      <c r="I1023" s="1" t="s">
        <v>933</v>
      </c>
      <c r="J1023" s="1" t="s">
        <v>66</v>
      </c>
      <c r="K1023" s="1" t="s">
        <v>308</v>
      </c>
      <c r="L1023" s="1" t="s">
        <v>2301</v>
      </c>
      <c r="M1023" s="3">
        <v>45947</v>
      </c>
      <c r="N1023" s="1" t="s">
        <v>57</v>
      </c>
      <c r="O1023" s="1" t="s">
        <v>936</v>
      </c>
      <c r="P1023" s="1">
        <v>1</v>
      </c>
    </row>
    <row r="1024" spans="1:16" x14ac:dyDescent="0.25">
      <c r="A1024" s="3">
        <v>45943</v>
      </c>
      <c r="B1024" s="1">
        <v>274</v>
      </c>
      <c r="C1024" s="5">
        <v>235</v>
      </c>
      <c r="D1024" s="1" t="s">
        <v>1953</v>
      </c>
      <c r="E1024" s="1" t="s">
        <v>1954</v>
      </c>
      <c r="F1024" s="1" t="s">
        <v>475</v>
      </c>
      <c r="G1024" s="1" t="s">
        <v>940</v>
      </c>
      <c r="H1024" s="3">
        <v>45964</v>
      </c>
      <c r="I1024" s="1" t="s">
        <v>933</v>
      </c>
      <c r="J1024" s="1" t="s">
        <v>66</v>
      </c>
      <c r="K1024" s="1" t="s">
        <v>308</v>
      </c>
      <c r="L1024" s="1" t="s">
        <v>2302</v>
      </c>
      <c r="M1024" s="3">
        <v>45947</v>
      </c>
      <c r="N1024" s="1" t="s">
        <v>57</v>
      </c>
      <c r="O1024" s="1" t="s">
        <v>936</v>
      </c>
      <c r="P1024" s="1">
        <v>1</v>
      </c>
    </row>
    <row r="1025" spans="1:16" x14ac:dyDescent="0.25">
      <c r="A1025" s="3">
        <v>45943</v>
      </c>
      <c r="B1025" s="1">
        <v>275</v>
      </c>
      <c r="C1025" s="5">
        <v>100</v>
      </c>
      <c r="D1025" s="1" t="s">
        <v>1953</v>
      </c>
      <c r="E1025" s="1" t="s">
        <v>1954</v>
      </c>
      <c r="F1025" s="1" t="s">
        <v>516</v>
      </c>
      <c r="G1025" s="1" t="s">
        <v>940</v>
      </c>
      <c r="H1025" s="3">
        <v>45964</v>
      </c>
      <c r="I1025" s="1" t="s">
        <v>933</v>
      </c>
      <c r="J1025" s="1" t="s">
        <v>66</v>
      </c>
      <c r="K1025" s="1" t="s">
        <v>487</v>
      </c>
      <c r="L1025" s="1" t="s">
        <v>2303</v>
      </c>
      <c r="M1025" s="3">
        <v>45947</v>
      </c>
      <c r="N1025" s="1" t="s">
        <v>520</v>
      </c>
      <c r="O1025" s="1" t="s">
        <v>936</v>
      </c>
      <c r="P1025" s="1">
        <v>1</v>
      </c>
    </row>
    <row r="1026" spans="1:16" x14ac:dyDescent="0.25">
      <c r="A1026" s="3">
        <v>45943</v>
      </c>
      <c r="B1026" s="1">
        <v>276</v>
      </c>
      <c r="C1026" s="5">
        <v>330</v>
      </c>
      <c r="D1026" s="1" t="s">
        <v>1953</v>
      </c>
      <c r="E1026" s="1" t="s">
        <v>1954</v>
      </c>
      <c r="F1026" s="1" t="s">
        <v>748</v>
      </c>
      <c r="G1026" s="1" t="s">
        <v>940</v>
      </c>
      <c r="H1026" s="3">
        <v>45964</v>
      </c>
      <c r="I1026" s="1" t="s">
        <v>933</v>
      </c>
      <c r="J1026" s="1" t="s">
        <v>66</v>
      </c>
      <c r="K1026" s="1" t="s">
        <v>340</v>
      </c>
      <c r="L1026" s="1" t="s">
        <v>2304</v>
      </c>
      <c r="M1026" s="3">
        <v>45947</v>
      </c>
      <c r="N1026" s="1" t="s">
        <v>75</v>
      </c>
      <c r="O1026" s="1" t="s">
        <v>936</v>
      </c>
      <c r="P1026" s="1">
        <v>1</v>
      </c>
    </row>
    <row r="1027" spans="1:16" x14ac:dyDescent="0.25">
      <c r="A1027" s="3">
        <v>45943</v>
      </c>
      <c r="B1027" s="1">
        <v>277</v>
      </c>
      <c r="C1027" s="5">
        <v>280</v>
      </c>
      <c r="D1027" s="1" t="s">
        <v>1953</v>
      </c>
      <c r="E1027" s="1" t="s">
        <v>1954</v>
      </c>
      <c r="F1027" s="1" t="s">
        <v>437</v>
      </c>
      <c r="G1027" s="1" t="s">
        <v>940</v>
      </c>
      <c r="H1027" s="3">
        <v>45964</v>
      </c>
      <c r="I1027" s="1" t="s">
        <v>933</v>
      </c>
      <c r="J1027" s="1" t="s">
        <v>66</v>
      </c>
      <c r="K1027" s="1" t="s">
        <v>308</v>
      </c>
      <c r="L1027" s="1" t="s">
        <v>2305</v>
      </c>
      <c r="M1027" s="3">
        <v>45947</v>
      </c>
      <c r="N1027" s="1" t="s">
        <v>440</v>
      </c>
      <c r="O1027" s="1" t="s">
        <v>936</v>
      </c>
      <c r="P1027" s="1">
        <v>1</v>
      </c>
    </row>
    <row r="1028" spans="1:16" x14ac:dyDescent="0.25">
      <c r="A1028" s="3">
        <v>45943</v>
      </c>
      <c r="B1028" s="1">
        <v>278</v>
      </c>
      <c r="C1028" s="5">
        <v>265</v>
      </c>
      <c r="D1028" s="1" t="s">
        <v>1953</v>
      </c>
      <c r="E1028" s="1" t="s">
        <v>1954</v>
      </c>
      <c r="F1028" s="1" t="s">
        <v>670</v>
      </c>
      <c r="G1028" s="1" t="s">
        <v>940</v>
      </c>
      <c r="H1028" s="3">
        <v>45964</v>
      </c>
      <c r="I1028" s="1" t="s">
        <v>933</v>
      </c>
      <c r="J1028" s="1" t="s">
        <v>66</v>
      </c>
      <c r="K1028" s="1" t="s">
        <v>659</v>
      </c>
      <c r="L1028" s="1" t="s">
        <v>2306</v>
      </c>
      <c r="M1028" s="3">
        <v>45947</v>
      </c>
      <c r="N1028" s="1" t="s">
        <v>57</v>
      </c>
      <c r="O1028" s="1" t="s">
        <v>936</v>
      </c>
      <c r="P1028" s="1">
        <v>1</v>
      </c>
    </row>
    <row r="1029" spans="1:16" x14ac:dyDescent="0.25">
      <c r="A1029" s="3">
        <v>45943</v>
      </c>
      <c r="B1029" s="1">
        <v>279</v>
      </c>
      <c r="C1029" s="5">
        <v>930</v>
      </c>
      <c r="D1029" s="1" t="s">
        <v>1953</v>
      </c>
      <c r="E1029" s="1" t="s">
        <v>1954</v>
      </c>
      <c r="F1029" s="1" t="s">
        <v>753</v>
      </c>
      <c r="G1029" s="1" t="s">
        <v>940</v>
      </c>
      <c r="H1029" s="3">
        <v>45964</v>
      </c>
      <c r="I1029" s="1" t="s">
        <v>933</v>
      </c>
      <c r="J1029" s="1" t="s">
        <v>66</v>
      </c>
      <c r="K1029" s="1" t="s">
        <v>340</v>
      </c>
      <c r="L1029" s="1" t="s">
        <v>2307</v>
      </c>
      <c r="M1029" s="3">
        <v>45947</v>
      </c>
      <c r="N1029" s="1" t="s">
        <v>57</v>
      </c>
      <c r="O1029" s="1" t="s">
        <v>936</v>
      </c>
      <c r="P1029" s="1">
        <v>1</v>
      </c>
    </row>
    <row r="1030" spans="1:16" x14ac:dyDescent="0.25">
      <c r="A1030" s="3">
        <v>45943</v>
      </c>
      <c r="B1030" s="1">
        <v>280</v>
      </c>
      <c r="C1030" s="5">
        <v>380</v>
      </c>
      <c r="D1030" s="1" t="s">
        <v>1953</v>
      </c>
      <c r="E1030" s="1" t="s">
        <v>1954</v>
      </c>
      <c r="F1030" s="1" t="s">
        <v>307</v>
      </c>
      <c r="G1030" s="1" t="s">
        <v>940</v>
      </c>
      <c r="H1030" s="3">
        <v>45964</v>
      </c>
      <c r="I1030" s="1" t="s">
        <v>933</v>
      </c>
      <c r="J1030" s="1" t="s">
        <v>66</v>
      </c>
      <c r="K1030" s="1" t="s">
        <v>308</v>
      </c>
      <c r="L1030" s="1" t="s">
        <v>2308</v>
      </c>
      <c r="M1030" s="3">
        <v>45947</v>
      </c>
      <c r="N1030" s="1" t="s">
        <v>57</v>
      </c>
      <c r="O1030" s="1" t="s">
        <v>936</v>
      </c>
      <c r="P1030" s="1">
        <v>1</v>
      </c>
    </row>
    <row r="1031" spans="1:16" x14ac:dyDescent="0.25">
      <c r="A1031" s="3">
        <v>45943</v>
      </c>
      <c r="B1031" s="1">
        <v>281</v>
      </c>
      <c r="C1031" s="5">
        <v>170</v>
      </c>
      <c r="D1031" s="1" t="s">
        <v>1953</v>
      </c>
      <c r="E1031" s="1" t="s">
        <v>1954</v>
      </c>
      <c r="F1031" s="1" t="s">
        <v>304</v>
      </c>
      <c r="G1031" s="1" t="s">
        <v>940</v>
      </c>
      <c r="H1031" s="3">
        <v>45964</v>
      </c>
      <c r="I1031" s="1" t="s">
        <v>933</v>
      </c>
      <c r="J1031" s="1" t="s">
        <v>66</v>
      </c>
      <c r="K1031" s="1" t="s">
        <v>340</v>
      </c>
      <c r="L1031" s="1" t="s">
        <v>2309</v>
      </c>
      <c r="M1031" s="3">
        <v>45947</v>
      </c>
      <c r="N1031" s="1" t="s">
        <v>57</v>
      </c>
      <c r="O1031" s="1" t="s">
        <v>936</v>
      </c>
      <c r="P1031" s="1">
        <v>1</v>
      </c>
    </row>
    <row r="1032" spans="1:16" x14ac:dyDescent="0.25">
      <c r="A1032" s="3">
        <v>45943</v>
      </c>
      <c r="B1032" s="1">
        <v>282</v>
      </c>
      <c r="C1032" s="5">
        <v>180</v>
      </c>
      <c r="D1032" s="1" t="s">
        <v>1953</v>
      </c>
      <c r="E1032" s="1" t="s">
        <v>1954</v>
      </c>
      <c r="F1032" s="1" t="s">
        <v>715</v>
      </c>
      <c r="G1032" s="1" t="s">
        <v>940</v>
      </c>
      <c r="H1032" s="3">
        <v>45964</v>
      </c>
      <c r="I1032" s="1" t="s">
        <v>933</v>
      </c>
      <c r="J1032" s="1" t="s">
        <v>66</v>
      </c>
      <c r="K1032" s="1" t="s">
        <v>340</v>
      </c>
      <c r="L1032" s="1" t="s">
        <v>2310</v>
      </c>
      <c r="M1032" s="3">
        <v>45947</v>
      </c>
      <c r="N1032" s="1" t="s">
        <v>712</v>
      </c>
      <c r="O1032" s="1" t="s">
        <v>936</v>
      </c>
      <c r="P1032" s="1">
        <v>1</v>
      </c>
    </row>
    <row r="1033" spans="1:16" x14ac:dyDescent="0.25">
      <c r="A1033" s="3">
        <v>45943</v>
      </c>
      <c r="B1033" s="1">
        <v>283</v>
      </c>
      <c r="C1033" s="5">
        <v>370</v>
      </c>
      <c r="D1033" s="1" t="s">
        <v>1953</v>
      </c>
      <c r="E1033" s="1" t="s">
        <v>1954</v>
      </c>
      <c r="F1033" s="1" t="s">
        <v>426</v>
      </c>
      <c r="G1033" s="1" t="s">
        <v>940</v>
      </c>
      <c r="H1033" s="3">
        <v>45964</v>
      </c>
      <c r="I1033" s="1" t="s">
        <v>933</v>
      </c>
      <c r="J1033" s="1" t="s">
        <v>66</v>
      </c>
      <c r="K1033" s="1" t="s">
        <v>308</v>
      </c>
      <c r="L1033" s="1" t="s">
        <v>2311</v>
      </c>
      <c r="M1033" s="3">
        <v>45947</v>
      </c>
      <c r="N1033" s="1" t="s">
        <v>429</v>
      </c>
      <c r="O1033" s="1" t="s">
        <v>936</v>
      </c>
      <c r="P1033" s="1">
        <v>1</v>
      </c>
    </row>
    <row r="1034" spans="1:16" x14ac:dyDescent="0.25">
      <c r="A1034" s="3">
        <v>45943</v>
      </c>
      <c r="B1034" s="1">
        <v>284</v>
      </c>
      <c r="C1034" s="5">
        <v>470</v>
      </c>
      <c r="D1034" s="1" t="s">
        <v>1953</v>
      </c>
      <c r="E1034" s="1" t="s">
        <v>1954</v>
      </c>
      <c r="F1034" s="1" t="s">
        <v>759</v>
      </c>
      <c r="G1034" s="1" t="s">
        <v>940</v>
      </c>
      <c r="H1034" s="1" t="s">
        <v>2312</v>
      </c>
      <c r="I1034" s="1" t="s">
        <v>933</v>
      </c>
      <c r="J1034" s="1" t="s">
        <v>66</v>
      </c>
      <c r="K1034" s="1" t="s">
        <v>340</v>
      </c>
      <c r="L1034" s="1" t="s">
        <v>2313</v>
      </c>
      <c r="M1034" s="3">
        <v>45947</v>
      </c>
      <c r="N1034" s="1" t="s">
        <v>75</v>
      </c>
      <c r="O1034" s="1" t="s">
        <v>936</v>
      </c>
      <c r="P1034" s="1">
        <v>1</v>
      </c>
    </row>
    <row r="1035" spans="1:16" x14ac:dyDescent="0.25">
      <c r="A1035" s="3">
        <v>45943</v>
      </c>
      <c r="B1035" s="1">
        <v>285</v>
      </c>
      <c r="C1035" s="5">
        <v>680</v>
      </c>
      <c r="D1035" s="1" t="s">
        <v>1953</v>
      </c>
      <c r="E1035" s="1" t="s">
        <v>1954</v>
      </c>
      <c r="F1035" s="1" t="s">
        <v>66</v>
      </c>
      <c r="G1035" s="1" t="s">
        <v>940</v>
      </c>
      <c r="H1035" s="3">
        <v>45964</v>
      </c>
      <c r="I1035" s="1" t="s">
        <v>933</v>
      </c>
      <c r="J1035" s="1" t="s">
        <v>66</v>
      </c>
      <c r="K1035" s="1" t="s">
        <v>308</v>
      </c>
      <c r="L1035" s="1" t="s">
        <v>2314</v>
      </c>
      <c r="M1035" s="3">
        <v>45948</v>
      </c>
      <c r="N1035" s="1" t="s">
        <v>821</v>
      </c>
      <c r="O1035" s="1" t="s">
        <v>936</v>
      </c>
      <c r="P1035" s="1">
        <v>1</v>
      </c>
    </row>
    <row r="1036" spans="1:16" x14ac:dyDescent="0.25">
      <c r="A1036" s="3">
        <v>45943</v>
      </c>
      <c r="B1036" s="4">
        <v>71430</v>
      </c>
      <c r="C1036" s="5">
        <v>661.58</v>
      </c>
      <c r="D1036" s="1" t="s">
        <v>1098</v>
      </c>
      <c r="E1036" s="1" t="s">
        <v>1099</v>
      </c>
      <c r="F1036" s="1" t="s">
        <v>837</v>
      </c>
      <c r="G1036" s="1" t="s">
        <v>940</v>
      </c>
      <c r="H1036" s="3">
        <v>45978</v>
      </c>
      <c r="I1036" s="1" t="s">
        <v>933</v>
      </c>
      <c r="J1036" s="1" t="s">
        <v>66</v>
      </c>
      <c r="K1036" s="1" t="s">
        <v>340</v>
      </c>
      <c r="L1036" s="1" t="s">
        <v>2315</v>
      </c>
      <c r="M1036" s="3">
        <v>45950</v>
      </c>
      <c r="N1036" s="1" t="s">
        <v>50</v>
      </c>
      <c r="O1036" s="1" t="s">
        <v>936</v>
      </c>
      <c r="P1036" s="1">
        <v>1</v>
      </c>
    </row>
    <row r="1037" spans="1:16" x14ac:dyDescent="0.25">
      <c r="A1037" s="3">
        <v>45943</v>
      </c>
      <c r="B1037" s="1">
        <v>287</v>
      </c>
      <c r="C1037" s="5">
        <v>320</v>
      </c>
      <c r="D1037" s="1" t="s">
        <v>1953</v>
      </c>
      <c r="E1037" s="1" t="s">
        <v>1954</v>
      </c>
      <c r="F1037" s="1" t="s">
        <v>110</v>
      </c>
      <c r="G1037" s="1" t="s">
        <v>940</v>
      </c>
      <c r="H1037" s="3">
        <v>45964</v>
      </c>
      <c r="I1037" s="1" t="s">
        <v>933</v>
      </c>
      <c r="J1037" s="1" t="s">
        <v>66</v>
      </c>
      <c r="K1037" s="1" t="s">
        <v>1654</v>
      </c>
      <c r="L1037" s="1" t="s">
        <v>2316</v>
      </c>
      <c r="M1037" s="3">
        <v>45947</v>
      </c>
      <c r="N1037" s="1" t="s">
        <v>115</v>
      </c>
      <c r="O1037" s="1" t="s">
        <v>936</v>
      </c>
      <c r="P1037" s="1">
        <v>1</v>
      </c>
    </row>
    <row r="1038" spans="1:16" x14ac:dyDescent="0.25">
      <c r="A1038" s="3">
        <v>45943</v>
      </c>
      <c r="B1038" s="4">
        <v>1091</v>
      </c>
      <c r="C1038" s="5">
        <v>80</v>
      </c>
      <c r="D1038" s="1" t="s">
        <v>1074</v>
      </c>
      <c r="E1038" s="1" t="s">
        <v>1075</v>
      </c>
      <c r="F1038" s="1" t="s">
        <v>955</v>
      </c>
      <c r="G1038" s="1" t="s">
        <v>1058</v>
      </c>
      <c r="H1038" s="3">
        <v>45960</v>
      </c>
      <c r="I1038" s="1" t="s">
        <v>933</v>
      </c>
      <c r="J1038" s="1" t="s">
        <v>951</v>
      </c>
      <c r="K1038" s="1" t="s">
        <v>934</v>
      </c>
      <c r="L1038" s="1" t="s">
        <v>2317</v>
      </c>
      <c r="M1038" s="3">
        <v>45947</v>
      </c>
      <c r="N1038" s="1" t="s">
        <v>821</v>
      </c>
      <c r="O1038" s="1" t="s">
        <v>936</v>
      </c>
      <c r="P1038" s="1">
        <v>1</v>
      </c>
    </row>
    <row r="1039" spans="1:16" x14ac:dyDescent="0.25">
      <c r="A1039" s="3">
        <v>45943</v>
      </c>
      <c r="B1039" s="4">
        <v>1091</v>
      </c>
      <c r="C1039" s="5">
        <v>80</v>
      </c>
      <c r="D1039" s="1" t="s">
        <v>1074</v>
      </c>
      <c r="E1039" s="1" t="s">
        <v>1075</v>
      </c>
      <c r="F1039" s="1" t="s">
        <v>955</v>
      </c>
      <c r="G1039" s="1" t="s">
        <v>1058</v>
      </c>
      <c r="H1039" s="3">
        <v>45960</v>
      </c>
      <c r="I1039" s="1" t="s">
        <v>933</v>
      </c>
      <c r="J1039" s="1" t="s">
        <v>951</v>
      </c>
      <c r="K1039" s="1" t="s">
        <v>487</v>
      </c>
      <c r="L1039" s="1" t="s">
        <v>2318</v>
      </c>
      <c r="M1039" s="3">
        <v>45947</v>
      </c>
      <c r="N1039" s="1" t="s">
        <v>821</v>
      </c>
      <c r="O1039" s="1" t="s">
        <v>936</v>
      </c>
      <c r="P1039" s="1">
        <v>1</v>
      </c>
    </row>
    <row r="1040" spans="1:16" x14ac:dyDescent="0.25">
      <c r="A1040" s="3">
        <v>45944</v>
      </c>
      <c r="B1040" s="4">
        <v>1089</v>
      </c>
      <c r="C1040" s="5">
        <v>730</v>
      </c>
      <c r="D1040" s="1" t="s">
        <v>1074</v>
      </c>
      <c r="E1040" s="1" t="s">
        <v>1075</v>
      </c>
      <c r="F1040" s="1" t="s">
        <v>647</v>
      </c>
      <c r="G1040" s="1" t="s">
        <v>940</v>
      </c>
      <c r="H1040" s="3">
        <v>45960</v>
      </c>
      <c r="I1040" s="1" t="s">
        <v>933</v>
      </c>
      <c r="J1040" s="1" t="s">
        <v>66</v>
      </c>
      <c r="K1040" s="1" t="s">
        <v>340</v>
      </c>
      <c r="L1040" s="1" t="s">
        <v>2319</v>
      </c>
      <c r="M1040" s="3">
        <v>45947</v>
      </c>
      <c r="N1040" s="1" t="s">
        <v>57</v>
      </c>
      <c r="O1040" s="1" t="s">
        <v>936</v>
      </c>
      <c r="P1040" s="1">
        <v>1</v>
      </c>
    </row>
    <row r="1041" spans="1:16" x14ac:dyDescent="0.25">
      <c r="A1041" s="3">
        <v>45944</v>
      </c>
      <c r="B1041" s="4">
        <v>8971</v>
      </c>
      <c r="C1041" s="5">
        <v>16920</v>
      </c>
      <c r="D1041" s="1" t="s">
        <v>973</v>
      </c>
      <c r="E1041" s="1" t="s">
        <v>1068</v>
      </c>
      <c r="F1041" s="1" t="s">
        <v>66</v>
      </c>
      <c r="G1041" s="1" t="s">
        <v>998</v>
      </c>
      <c r="H1041" s="3">
        <v>45959</v>
      </c>
      <c r="I1041" s="1" t="s">
        <v>933</v>
      </c>
      <c r="J1041" s="1" t="s">
        <v>66</v>
      </c>
      <c r="K1041" s="1" t="s">
        <v>996</v>
      </c>
      <c r="L1041" s="1">
        <v>3000</v>
      </c>
      <c r="M1041" s="3">
        <v>45946</v>
      </c>
      <c r="N1041" s="1" t="s">
        <v>821</v>
      </c>
      <c r="O1041" s="1" t="s">
        <v>998</v>
      </c>
      <c r="P1041" s="1">
        <v>1</v>
      </c>
    </row>
    <row r="1042" spans="1:16" x14ac:dyDescent="0.25">
      <c r="A1042" s="3">
        <v>45944</v>
      </c>
      <c r="B1042" s="4">
        <v>8935</v>
      </c>
      <c r="C1042" s="5">
        <v>16920</v>
      </c>
      <c r="D1042" s="1" t="s">
        <v>973</v>
      </c>
      <c r="E1042" s="1" t="s">
        <v>1068</v>
      </c>
      <c r="F1042" s="1" t="s">
        <v>66</v>
      </c>
      <c r="G1042" s="1" t="s">
        <v>998</v>
      </c>
      <c r="H1042" s="3">
        <v>45959</v>
      </c>
      <c r="I1042" s="1" t="s">
        <v>933</v>
      </c>
      <c r="J1042" s="1" t="s">
        <v>66</v>
      </c>
      <c r="K1042" s="1" t="s">
        <v>996</v>
      </c>
      <c r="L1042" s="1">
        <v>3000</v>
      </c>
      <c r="M1042" s="3">
        <v>45947</v>
      </c>
      <c r="N1042" s="1" t="s">
        <v>821</v>
      </c>
      <c r="O1042" s="1" t="s">
        <v>998</v>
      </c>
      <c r="P1042" s="1">
        <v>1</v>
      </c>
    </row>
    <row r="1043" spans="1:16" x14ac:dyDescent="0.25">
      <c r="A1043" s="3">
        <v>45944</v>
      </c>
      <c r="B1043" s="1">
        <v>987</v>
      </c>
      <c r="C1043" s="5">
        <v>2066.75</v>
      </c>
      <c r="D1043" s="1" t="s">
        <v>2028</v>
      </c>
      <c r="E1043" s="1" t="s">
        <v>2029</v>
      </c>
      <c r="F1043" s="1" t="s">
        <v>955</v>
      </c>
      <c r="G1043" s="1" t="s">
        <v>932</v>
      </c>
      <c r="H1043" s="3">
        <v>45965</v>
      </c>
      <c r="I1043" s="1" t="s">
        <v>933</v>
      </c>
      <c r="J1043" s="1" t="s">
        <v>951</v>
      </c>
      <c r="K1043" s="1" t="s">
        <v>308</v>
      </c>
      <c r="L1043" s="1" t="s">
        <v>2320</v>
      </c>
      <c r="M1043" s="3">
        <v>45947</v>
      </c>
      <c r="N1043" s="1" t="s">
        <v>821</v>
      </c>
      <c r="O1043" s="1" t="s">
        <v>936</v>
      </c>
      <c r="P1043" s="1" t="s">
        <v>937</v>
      </c>
    </row>
    <row r="1044" spans="1:16" x14ac:dyDescent="0.25">
      <c r="A1044" s="3">
        <v>45944</v>
      </c>
      <c r="B1044" s="1">
        <v>987</v>
      </c>
      <c r="C1044" s="5">
        <v>2066.75</v>
      </c>
      <c r="D1044" s="1" t="s">
        <v>2028</v>
      </c>
      <c r="E1044" s="1" t="s">
        <v>2029</v>
      </c>
      <c r="F1044" s="1" t="s">
        <v>955</v>
      </c>
      <c r="G1044" s="1" t="s">
        <v>932</v>
      </c>
      <c r="H1044" s="3">
        <v>45965</v>
      </c>
      <c r="I1044" s="1" t="s">
        <v>933</v>
      </c>
      <c r="J1044" s="1" t="s">
        <v>951</v>
      </c>
      <c r="K1044" s="1" t="s">
        <v>52</v>
      </c>
      <c r="L1044" s="1" t="s">
        <v>2321</v>
      </c>
      <c r="M1044" s="3">
        <v>45947</v>
      </c>
      <c r="N1044" s="1" t="s">
        <v>821</v>
      </c>
      <c r="O1044" s="1" t="s">
        <v>936</v>
      </c>
      <c r="P1044" s="1" t="s">
        <v>937</v>
      </c>
    </row>
    <row r="1045" spans="1:16" x14ac:dyDescent="0.25">
      <c r="A1045" s="3">
        <v>45944</v>
      </c>
      <c r="B1045" s="4">
        <v>71358</v>
      </c>
      <c r="C1045" s="5">
        <v>4556.16</v>
      </c>
      <c r="D1045" s="1" t="s">
        <v>1098</v>
      </c>
      <c r="E1045" s="1" t="s">
        <v>1099</v>
      </c>
      <c r="F1045" s="1" t="s">
        <v>745</v>
      </c>
      <c r="G1045" s="1" t="s">
        <v>940</v>
      </c>
      <c r="H1045" s="3">
        <v>45974</v>
      </c>
      <c r="I1045" s="1" t="s">
        <v>933</v>
      </c>
      <c r="J1045" s="1" t="s">
        <v>66</v>
      </c>
      <c r="K1045" s="1" t="s">
        <v>340</v>
      </c>
      <c r="L1045" s="1" t="s">
        <v>2322</v>
      </c>
      <c r="M1045" s="3">
        <v>45947</v>
      </c>
      <c r="N1045" s="1" t="s">
        <v>50</v>
      </c>
      <c r="O1045" s="1" t="s">
        <v>936</v>
      </c>
      <c r="P1045" s="1">
        <v>1</v>
      </c>
    </row>
    <row r="1046" spans="1:16" x14ac:dyDescent="0.25">
      <c r="A1046" s="3">
        <v>45944</v>
      </c>
      <c r="B1046" s="4">
        <v>2988</v>
      </c>
      <c r="C1046" s="5">
        <v>3715.2</v>
      </c>
      <c r="D1046" s="1" t="s">
        <v>1206</v>
      </c>
      <c r="E1046" s="1" t="s">
        <v>1207</v>
      </c>
      <c r="F1046" s="1" t="s">
        <v>955</v>
      </c>
      <c r="G1046" s="1" t="s">
        <v>940</v>
      </c>
      <c r="H1046" s="3">
        <v>45958</v>
      </c>
      <c r="I1046" s="1" t="s">
        <v>933</v>
      </c>
      <c r="J1046" s="1" t="s">
        <v>951</v>
      </c>
      <c r="K1046" s="1" t="s">
        <v>20</v>
      </c>
      <c r="L1046" s="1" t="s">
        <v>2323</v>
      </c>
      <c r="M1046" s="3">
        <v>45947</v>
      </c>
      <c r="N1046" s="1" t="s">
        <v>821</v>
      </c>
      <c r="O1046" s="1" t="s">
        <v>936</v>
      </c>
      <c r="P1046" s="1">
        <v>1</v>
      </c>
    </row>
    <row r="1047" spans="1:16" x14ac:dyDescent="0.25">
      <c r="A1047" s="3">
        <v>45944</v>
      </c>
      <c r="B1047" s="4">
        <v>196559</v>
      </c>
      <c r="C1047" s="5">
        <v>5119.91</v>
      </c>
      <c r="D1047" s="1" t="s">
        <v>2324</v>
      </c>
      <c r="E1047" s="1" t="s">
        <v>2325</v>
      </c>
      <c r="F1047" s="1" t="s">
        <v>647</v>
      </c>
      <c r="G1047" s="1" t="s">
        <v>1667</v>
      </c>
      <c r="H1047" s="3">
        <v>45974</v>
      </c>
      <c r="I1047" s="1" t="s">
        <v>1100</v>
      </c>
      <c r="J1047" s="1" t="s">
        <v>66</v>
      </c>
      <c r="K1047" s="1" t="s">
        <v>340</v>
      </c>
      <c r="L1047" s="1" t="s">
        <v>2326</v>
      </c>
      <c r="M1047" s="3">
        <v>45947</v>
      </c>
      <c r="N1047" s="1" t="s">
        <v>57</v>
      </c>
      <c r="O1047" s="1" t="s">
        <v>936</v>
      </c>
      <c r="P1047" s="1" t="s">
        <v>937</v>
      </c>
    </row>
    <row r="1048" spans="1:16" x14ac:dyDescent="0.25">
      <c r="A1048" s="3">
        <v>45944</v>
      </c>
      <c r="B1048" s="4">
        <v>72628</v>
      </c>
      <c r="C1048" s="5">
        <v>603</v>
      </c>
      <c r="D1048" s="1" t="s">
        <v>1994</v>
      </c>
      <c r="E1048" s="1" t="s">
        <v>1995</v>
      </c>
      <c r="F1048" s="1" t="s">
        <v>753</v>
      </c>
      <c r="G1048" s="1" t="s">
        <v>940</v>
      </c>
      <c r="H1048" s="3">
        <v>45969</v>
      </c>
      <c r="I1048" s="1" t="s">
        <v>933</v>
      </c>
      <c r="J1048" s="1" t="s">
        <v>66</v>
      </c>
      <c r="K1048" s="1" t="s">
        <v>340</v>
      </c>
      <c r="L1048" s="1" t="s">
        <v>2327</v>
      </c>
      <c r="M1048" s="3">
        <v>45951</v>
      </c>
      <c r="N1048" s="1" t="s">
        <v>57</v>
      </c>
      <c r="O1048" s="1" t="s">
        <v>936</v>
      </c>
      <c r="P1048" s="1">
        <v>1</v>
      </c>
    </row>
    <row r="1049" spans="1:16" x14ac:dyDescent="0.25">
      <c r="A1049" s="3">
        <v>45944</v>
      </c>
      <c r="B1049" s="1">
        <v>40</v>
      </c>
      <c r="C1049" s="5">
        <v>510</v>
      </c>
      <c r="D1049" s="1" t="s">
        <v>1607</v>
      </c>
      <c r="E1049" s="1" t="s">
        <v>1608</v>
      </c>
      <c r="F1049" s="1" t="s">
        <v>955</v>
      </c>
      <c r="G1049" s="1" t="s">
        <v>932</v>
      </c>
      <c r="H1049" s="3">
        <v>45969</v>
      </c>
      <c r="I1049" s="1" t="s">
        <v>933</v>
      </c>
      <c r="J1049" s="1" t="s">
        <v>951</v>
      </c>
      <c r="K1049" s="1" t="s">
        <v>20</v>
      </c>
      <c r="L1049" s="1" t="s">
        <v>2328</v>
      </c>
      <c r="M1049" s="3">
        <v>45948</v>
      </c>
      <c r="N1049" s="1" t="s">
        <v>821</v>
      </c>
      <c r="O1049" s="1" t="s">
        <v>1497</v>
      </c>
      <c r="P1049" s="1" t="s">
        <v>937</v>
      </c>
    </row>
    <row r="1050" spans="1:16" x14ac:dyDescent="0.25">
      <c r="A1050" s="3">
        <v>45944</v>
      </c>
      <c r="B1050" s="1">
        <v>286</v>
      </c>
      <c r="C1050" s="5">
        <v>2250</v>
      </c>
      <c r="D1050" s="1" t="s">
        <v>1953</v>
      </c>
      <c r="E1050" s="1" t="s">
        <v>1954</v>
      </c>
      <c r="F1050" s="1" t="s">
        <v>955</v>
      </c>
      <c r="G1050" s="1" t="s">
        <v>990</v>
      </c>
      <c r="H1050" s="3">
        <v>45964</v>
      </c>
      <c r="I1050" s="1" t="s">
        <v>933</v>
      </c>
      <c r="J1050" s="1" t="s">
        <v>951</v>
      </c>
      <c r="K1050" s="1" t="s">
        <v>308</v>
      </c>
      <c r="L1050" s="1" t="s">
        <v>2329</v>
      </c>
      <c r="M1050" s="3">
        <v>45948</v>
      </c>
      <c r="N1050" s="1" t="s">
        <v>821</v>
      </c>
      <c r="O1050" s="1" t="s">
        <v>936</v>
      </c>
      <c r="P1050" s="1">
        <v>1</v>
      </c>
    </row>
    <row r="1051" spans="1:16" x14ac:dyDescent="0.25">
      <c r="A1051" s="3">
        <v>45944</v>
      </c>
      <c r="B1051" s="4">
        <v>8972</v>
      </c>
      <c r="C1051" s="5">
        <v>8078.96</v>
      </c>
      <c r="D1051" s="1" t="s">
        <v>973</v>
      </c>
      <c r="E1051" s="1" t="s">
        <v>1068</v>
      </c>
      <c r="F1051" s="1" t="s">
        <v>66</v>
      </c>
      <c r="G1051" s="1" t="s">
        <v>998</v>
      </c>
      <c r="H1051" s="3">
        <v>45959</v>
      </c>
      <c r="I1051" s="1" t="s">
        <v>933</v>
      </c>
      <c r="J1051" s="1" t="s">
        <v>66</v>
      </c>
      <c r="K1051" s="1" t="s">
        <v>1814</v>
      </c>
      <c r="L1051" s="1" t="s">
        <v>2330</v>
      </c>
      <c r="M1051" s="3">
        <v>45948</v>
      </c>
      <c r="N1051" s="1" t="s">
        <v>821</v>
      </c>
      <c r="O1051" s="1" t="s">
        <v>998</v>
      </c>
      <c r="P1051" s="1">
        <v>1</v>
      </c>
    </row>
    <row r="1052" spans="1:16" x14ac:dyDescent="0.25">
      <c r="A1052" s="3">
        <v>45944</v>
      </c>
      <c r="B1052" s="4">
        <v>1091</v>
      </c>
      <c r="C1052" s="5">
        <v>80</v>
      </c>
      <c r="D1052" s="1" t="s">
        <v>1074</v>
      </c>
      <c r="E1052" s="1" t="s">
        <v>1075</v>
      </c>
      <c r="F1052" s="1" t="s">
        <v>955</v>
      </c>
      <c r="G1052" s="1" t="s">
        <v>1058</v>
      </c>
      <c r="H1052" s="3">
        <v>45960</v>
      </c>
      <c r="I1052" s="1" t="s">
        <v>933</v>
      </c>
      <c r="J1052" s="1" t="s">
        <v>951</v>
      </c>
      <c r="K1052" s="1" t="s">
        <v>487</v>
      </c>
      <c r="L1052" s="1" t="s">
        <v>2331</v>
      </c>
      <c r="M1052" s="3">
        <v>45947</v>
      </c>
      <c r="N1052" s="1" t="s">
        <v>821</v>
      </c>
      <c r="O1052" s="1" t="s">
        <v>936</v>
      </c>
      <c r="P1052" s="1">
        <v>1</v>
      </c>
    </row>
    <row r="1053" spans="1:16" x14ac:dyDescent="0.25">
      <c r="A1053" s="3">
        <v>45945</v>
      </c>
      <c r="B1053" s="4">
        <v>8980</v>
      </c>
      <c r="C1053" s="5">
        <v>28200</v>
      </c>
      <c r="D1053" s="1" t="s">
        <v>973</v>
      </c>
      <c r="E1053" s="1" t="s">
        <v>1068</v>
      </c>
      <c r="F1053" s="1" t="s">
        <v>304</v>
      </c>
      <c r="G1053" s="1" t="s">
        <v>998</v>
      </c>
      <c r="H1053" s="3">
        <v>45961</v>
      </c>
      <c r="I1053" s="1" t="s">
        <v>933</v>
      </c>
      <c r="J1053" s="1" t="s">
        <v>66</v>
      </c>
      <c r="K1053" s="1" t="s">
        <v>340</v>
      </c>
      <c r="L1053" s="1">
        <v>5000</v>
      </c>
      <c r="M1053" s="3">
        <v>45947</v>
      </c>
      <c r="N1053" s="1" t="s">
        <v>57</v>
      </c>
      <c r="O1053" s="1" t="s">
        <v>998</v>
      </c>
      <c r="P1053" s="1">
        <v>1</v>
      </c>
    </row>
    <row r="1054" spans="1:16" x14ac:dyDescent="0.25">
      <c r="A1054" s="3">
        <v>45945</v>
      </c>
      <c r="B1054" s="4">
        <v>1060</v>
      </c>
      <c r="C1054" s="5">
        <v>1500</v>
      </c>
      <c r="D1054" s="1" t="s">
        <v>1126</v>
      </c>
      <c r="E1054" s="1" t="s">
        <v>1620</v>
      </c>
      <c r="F1054" s="1" t="s">
        <v>955</v>
      </c>
      <c r="G1054" s="1" t="s">
        <v>940</v>
      </c>
      <c r="H1054" s="3">
        <v>45969</v>
      </c>
      <c r="I1054" s="1" t="s">
        <v>933</v>
      </c>
      <c r="J1054" s="1" t="s">
        <v>951</v>
      </c>
      <c r="K1054" s="1" t="s">
        <v>308</v>
      </c>
      <c r="L1054" s="1" t="s">
        <v>2332</v>
      </c>
      <c r="M1054" s="3">
        <v>45948</v>
      </c>
      <c r="N1054" s="1" t="s">
        <v>821</v>
      </c>
      <c r="O1054" s="1" t="s">
        <v>936</v>
      </c>
      <c r="P1054" s="1">
        <v>1</v>
      </c>
    </row>
    <row r="1055" spans="1:16" x14ac:dyDescent="0.25">
      <c r="A1055" s="3">
        <v>45945</v>
      </c>
      <c r="B1055" s="4">
        <v>1059</v>
      </c>
      <c r="C1055" s="5">
        <v>150</v>
      </c>
      <c r="D1055" s="1" t="s">
        <v>1126</v>
      </c>
      <c r="E1055" s="1" t="s">
        <v>1620</v>
      </c>
      <c r="F1055" s="1" t="s">
        <v>906</v>
      </c>
      <c r="G1055" s="1" t="s">
        <v>940</v>
      </c>
      <c r="H1055" s="3">
        <v>45969</v>
      </c>
      <c r="I1055" s="1" t="s">
        <v>933</v>
      </c>
      <c r="J1055" s="1" t="s">
        <v>66</v>
      </c>
      <c r="K1055" s="1" t="s">
        <v>308</v>
      </c>
      <c r="L1055" s="1" t="s">
        <v>2333</v>
      </c>
      <c r="M1055" s="3">
        <v>45948</v>
      </c>
      <c r="N1055" s="1" t="s">
        <v>57</v>
      </c>
      <c r="O1055" s="1" t="s">
        <v>936</v>
      </c>
      <c r="P1055" s="1">
        <v>1</v>
      </c>
    </row>
    <row r="1056" spans="1:16" x14ac:dyDescent="0.25">
      <c r="A1056" s="3">
        <v>45945</v>
      </c>
      <c r="B1056" s="4">
        <v>1058</v>
      </c>
      <c r="C1056" s="5">
        <v>200</v>
      </c>
      <c r="D1056" s="1" t="s">
        <v>1126</v>
      </c>
      <c r="E1056" s="1" t="s">
        <v>1620</v>
      </c>
      <c r="F1056" s="1" t="s">
        <v>643</v>
      </c>
      <c r="G1056" s="1" t="s">
        <v>990</v>
      </c>
      <c r="H1056" s="3">
        <v>45969</v>
      </c>
      <c r="I1056" s="1" t="s">
        <v>933</v>
      </c>
      <c r="J1056" s="1" t="s">
        <v>66</v>
      </c>
      <c r="K1056" s="1" t="s">
        <v>636</v>
      </c>
      <c r="L1056" s="1" t="s">
        <v>2334</v>
      </c>
      <c r="M1056" s="3">
        <v>45948</v>
      </c>
      <c r="N1056" s="1" t="s">
        <v>646</v>
      </c>
      <c r="O1056" s="1" t="s">
        <v>936</v>
      </c>
      <c r="P1056" s="1">
        <v>1</v>
      </c>
    </row>
    <row r="1057" spans="1:16" x14ac:dyDescent="0.25">
      <c r="A1057" s="3">
        <v>45945</v>
      </c>
      <c r="B1057" s="4">
        <v>1056</v>
      </c>
      <c r="C1057" s="5">
        <v>975</v>
      </c>
      <c r="D1057" s="1" t="s">
        <v>1126</v>
      </c>
      <c r="E1057" s="1" t="s">
        <v>1620</v>
      </c>
      <c r="F1057" s="1" t="s">
        <v>857</v>
      </c>
      <c r="G1057" s="1" t="s">
        <v>940</v>
      </c>
      <c r="H1057" s="3">
        <v>45969</v>
      </c>
      <c r="I1057" s="1" t="s">
        <v>933</v>
      </c>
      <c r="J1057" s="1" t="s">
        <v>66</v>
      </c>
      <c r="K1057" s="1" t="s">
        <v>308</v>
      </c>
      <c r="L1057" s="1" t="s">
        <v>2335</v>
      </c>
      <c r="M1057" s="3">
        <v>45948</v>
      </c>
      <c r="N1057" s="1" t="s">
        <v>506</v>
      </c>
      <c r="O1057" s="1" t="s">
        <v>936</v>
      </c>
      <c r="P1057" s="1">
        <v>1</v>
      </c>
    </row>
    <row r="1058" spans="1:16" x14ac:dyDescent="0.25">
      <c r="A1058" s="3">
        <v>45945</v>
      </c>
      <c r="B1058" s="4">
        <v>1062</v>
      </c>
      <c r="C1058" s="5">
        <v>2650</v>
      </c>
      <c r="D1058" s="1" t="s">
        <v>1126</v>
      </c>
      <c r="E1058" s="1" t="s">
        <v>1620</v>
      </c>
      <c r="F1058" s="1" t="s">
        <v>437</v>
      </c>
      <c r="G1058" s="1" t="s">
        <v>940</v>
      </c>
      <c r="H1058" s="3">
        <v>45969</v>
      </c>
      <c r="I1058" s="1" t="s">
        <v>933</v>
      </c>
      <c r="J1058" s="1" t="s">
        <v>66</v>
      </c>
      <c r="K1058" s="1" t="s">
        <v>308</v>
      </c>
      <c r="L1058" s="1" t="s">
        <v>2336</v>
      </c>
      <c r="M1058" s="3">
        <v>45948</v>
      </c>
      <c r="N1058" s="1" t="s">
        <v>440</v>
      </c>
      <c r="O1058" s="1" t="s">
        <v>936</v>
      </c>
      <c r="P1058" s="1">
        <v>1</v>
      </c>
    </row>
    <row r="1059" spans="1:16" x14ac:dyDescent="0.25">
      <c r="A1059" s="3">
        <v>45945</v>
      </c>
      <c r="B1059" s="1">
        <v>187</v>
      </c>
      <c r="C1059" s="5">
        <v>30000</v>
      </c>
      <c r="D1059" s="1" t="s">
        <v>2337</v>
      </c>
      <c r="E1059" s="1" t="s">
        <v>2338</v>
      </c>
      <c r="F1059" s="1" t="s">
        <v>71</v>
      </c>
      <c r="G1059" s="1" t="s">
        <v>932</v>
      </c>
      <c r="H1059" s="3">
        <v>45971</v>
      </c>
      <c r="I1059" s="1" t="s">
        <v>933</v>
      </c>
      <c r="J1059" s="1" t="s">
        <v>66</v>
      </c>
      <c r="K1059" s="1" t="s">
        <v>340</v>
      </c>
      <c r="L1059" s="1" t="s">
        <v>2339</v>
      </c>
      <c r="M1059" s="3">
        <v>45950</v>
      </c>
      <c r="N1059" s="1" t="s">
        <v>75</v>
      </c>
      <c r="O1059" s="1" t="s">
        <v>932</v>
      </c>
      <c r="P1059" s="1">
        <v>1</v>
      </c>
    </row>
    <row r="1060" spans="1:16" x14ac:dyDescent="0.25">
      <c r="A1060" s="3">
        <v>45945</v>
      </c>
      <c r="B1060" s="1">
        <v>187</v>
      </c>
      <c r="C1060" s="5">
        <v>6373.33</v>
      </c>
      <c r="D1060" s="1" t="s">
        <v>2337</v>
      </c>
      <c r="E1060" s="1" t="s">
        <v>2338</v>
      </c>
      <c r="F1060" s="1" t="s">
        <v>683</v>
      </c>
      <c r="G1060" s="1" t="s">
        <v>932</v>
      </c>
      <c r="H1060" s="3">
        <v>45971</v>
      </c>
      <c r="I1060" s="1" t="s">
        <v>933</v>
      </c>
      <c r="J1060" s="1" t="s">
        <v>66</v>
      </c>
      <c r="K1060" s="1" t="s">
        <v>308</v>
      </c>
      <c r="L1060" s="1" t="s">
        <v>2340</v>
      </c>
      <c r="M1060" s="3">
        <v>45950</v>
      </c>
      <c r="N1060" s="1" t="s">
        <v>75</v>
      </c>
      <c r="O1060" s="1" t="s">
        <v>932</v>
      </c>
      <c r="P1060" s="1">
        <v>1</v>
      </c>
    </row>
    <row r="1061" spans="1:16" x14ac:dyDescent="0.25">
      <c r="A1061" s="3">
        <v>45945</v>
      </c>
      <c r="B1061" s="1">
        <v>187</v>
      </c>
      <c r="C1061" s="5">
        <v>4000</v>
      </c>
      <c r="D1061" s="1" t="s">
        <v>2337</v>
      </c>
      <c r="E1061" s="1" t="s">
        <v>2338</v>
      </c>
      <c r="F1061" s="1" t="s">
        <v>422</v>
      </c>
      <c r="G1061" s="1" t="s">
        <v>932</v>
      </c>
      <c r="H1061" s="3">
        <v>45971</v>
      </c>
      <c r="I1061" s="1" t="s">
        <v>933</v>
      </c>
      <c r="J1061" s="1" t="s">
        <v>66</v>
      </c>
      <c r="K1061" s="1" t="s">
        <v>308</v>
      </c>
      <c r="L1061" s="1" t="s">
        <v>2341</v>
      </c>
      <c r="M1061" s="3">
        <v>45950</v>
      </c>
      <c r="N1061" s="1" t="s">
        <v>75</v>
      </c>
      <c r="O1061" s="1" t="s">
        <v>932</v>
      </c>
      <c r="P1061" s="1">
        <v>1</v>
      </c>
    </row>
    <row r="1062" spans="1:16" x14ac:dyDescent="0.25">
      <c r="A1062" s="3">
        <v>45945</v>
      </c>
      <c r="B1062" s="4">
        <v>1057</v>
      </c>
      <c r="C1062" s="5">
        <v>1385</v>
      </c>
      <c r="D1062" s="1" t="s">
        <v>1126</v>
      </c>
      <c r="E1062" s="1" t="s">
        <v>1127</v>
      </c>
      <c r="F1062" s="1" t="s">
        <v>218</v>
      </c>
      <c r="G1062" s="1" t="s">
        <v>940</v>
      </c>
      <c r="H1062" s="3">
        <v>45967</v>
      </c>
      <c r="I1062" s="1" t="s">
        <v>933</v>
      </c>
      <c r="J1062" s="1" t="s">
        <v>66</v>
      </c>
      <c r="K1062" s="1" t="s">
        <v>1654</v>
      </c>
      <c r="L1062" s="1" t="s">
        <v>2342</v>
      </c>
      <c r="M1062" s="3">
        <v>45950</v>
      </c>
      <c r="N1062" s="1" t="s">
        <v>221</v>
      </c>
      <c r="O1062" s="1" t="s">
        <v>936</v>
      </c>
      <c r="P1062" s="1">
        <v>1</v>
      </c>
    </row>
    <row r="1063" spans="1:16" x14ac:dyDescent="0.25">
      <c r="A1063" s="3">
        <v>45945</v>
      </c>
      <c r="B1063" s="4">
        <v>1063</v>
      </c>
      <c r="C1063" s="5">
        <v>1750</v>
      </c>
      <c r="D1063" s="1" t="s">
        <v>1126</v>
      </c>
      <c r="E1063" s="1" t="s">
        <v>1127</v>
      </c>
      <c r="F1063" s="1" t="s">
        <v>110</v>
      </c>
      <c r="G1063" s="1" t="s">
        <v>940</v>
      </c>
      <c r="H1063" s="3">
        <v>45967</v>
      </c>
      <c r="I1063" s="1" t="s">
        <v>933</v>
      </c>
      <c r="J1063" s="1" t="s">
        <v>66</v>
      </c>
      <c r="K1063" s="1" t="s">
        <v>1654</v>
      </c>
      <c r="L1063" s="1" t="s">
        <v>2343</v>
      </c>
      <c r="M1063" s="3">
        <v>45950</v>
      </c>
      <c r="N1063" s="1" t="s">
        <v>115</v>
      </c>
      <c r="O1063" s="1" t="s">
        <v>936</v>
      </c>
      <c r="P1063" s="1">
        <v>1</v>
      </c>
    </row>
    <row r="1064" spans="1:16" x14ac:dyDescent="0.25">
      <c r="A1064" s="3">
        <v>45945</v>
      </c>
      <c r="B1064" s="4">
        <v>1061</v>
      </c>
      <c r="C1064" s="5">
        <v>275</v>
      </c>
      <c r="D1064" s="1" t="s">
        <v>1126</v>
      </c>
      <c r="E1064" s="1" t="s">
        <v>1127</v>
      </c>
      <c r="F1064" s="1" t="s">
        <v>723</v>
      </c>
      <c r="G1064" s="1" t="s">
        <v>940</v>
      </c>
      <c r="H1064" s="3">
        <v>45967</v>
      </c>
      <c r="I1064" s="1" t="s">
        <v>933</v>
      </c>
      <c r="J1064" s="1" t="s">
        <v>66</v>
      </c>
      <c r="K1064" s="1" t="s">
        <v>340</v>
      </c>
      <c r="L1064" s="1" t="s">
        <v>2344</v>
      </c>
      <c r="M1064" s="3">
        <v>45950</v>
      </c>
      <c r="N1064" s="1" t="s">
        <v>726</v>
      </c>
      <c r="O1064" s="1" t="s">
        <v>936</v>
      </c>
      <c r="P1064" s="1">
        <v>1</v>
      </c>
    </row>
    <row r="1065" spans="1:16" x14ac:dyDescent="0.25">
      <c r="A1065" s="3">
        <v>45945</v>
      </c>
      <c r="B1065" s="4">
        <v>21641001</v>
      </c>
      <c r="C1065" s="5">
        <v>13800</v>
      </c>
      <c r="D1065" s="1" t="s">
        <v>2345</v>
      </c>
      <c r="E1065" s="1" t="s">
        <v>2346</v>
      </c>
      <c r="F1065" s="1" t="s">
        <v>871</v>
      </c>
      <c r="G1065" s="1" t="s">
        <v>932</v>
      </c>
      <c r="H1065" s="3">
        <v>45976</v>
      </c>
      <c r="I1065" s="1" t="s">
        <v>933</v>
      </c>
      <c r="J1065" s="1" t="s">
        <v>66</v>
      </c>
      <c r="K1065" s="1" t="s">
        <v>659</v>
      </c>
      <c r="L1065" s="1" t="s">
        <v>2347</v>
      </c>
      <c r="M1065" s="3">
        <v>45964</v>
      </c>
      <c r="N1065" s="1" t="s">
        <v>767</v>
      </c>
      <c r="O1065" s="1" t="s">
        <v>936</v>
      </c>
      <c r="P1065" s="1" t="s">
        <v>937</v>
      </c>
    </row>
    <row r="1066" spans="1:16" x14ac:dyDescent="0.25">
      <c r="A1066" s="3">
        <v>45946</v>
      </c>
      <c r="B1066" s="1">
        <v>158</v>
      </c>
      <c r="C1066" s="5">
        <v>1821.44</v>
      </c>
      <c r="D1066" s="1" t="s">
        <v>1436</v>
      </c>
      <c r="E1066" s="1" t="s">
        <v>1437</v>
      </c>
      <c r="F1066" s="1" t="s">
        <v>955</v>
      </c>
      <c r="G1066" s="1" t="s">
        <v>940</v>
      </c>
      <c r="H1066" s="3">
        <v>45961</v>
      </c>
      <c r="I1066" s="1" t="s">
        <v>933</v>
      </c>
      <c r="J1066" s="1" t="s">
        <v>951</v>
      </c>
      <c r="K1066" s="1" t="s">
        <v>66</v>
      </c>
      <c r="L1066" s="1" t="s">
        <v>2348</v>
      </c>
      <c r="M1066" s="3">
        <v>45947</v>
      </c>
      <c r="N1066" s="1" t="s">
        <v>821</v>
      </c>
      <c r="O1066" s="1" t="s">
        <v>936</v>
      </c>
      <c r="P1066" s="1">
        <v>1</v>
      </c>
    </row>
    <row r="1067" spans="1:16" x14ac:dyDescent="0.25">
      <c r="A1067" s="3">
        <v>45946</v>
      </c>
      <c r="B1067" s="4">
        <v>13926</v>
      </c>
      <c r="C1067" s="5">
        <v>5185</v>
      </c>
      <c r="D1067" s="1" t="s">
        <v>2349</v>
      </c>
      <c r="E1067" s="1" t="s">
        <v>2350</v>
      </c>
      <c r="F1067" s="1" t="s">
        <v>392</v>
      </c>
      <c r="G1067" s="1" t="s">
        <v>2351</v>
      </c>
      <c r="H1067" s="3">
        <v>45972</v>
      </c>
      <c r="I1067" s="1" t="s">
        <v>933</v>
      </c>
      <c r="J1067" s="1" t="s">
        <v>66</v>
      </c>
      <c r="K1067" s="1" t="s">
        <v>52</v>
      </c>
      <c r="L1067" s="1" t="s">
        <v>2352</v>
      </c>
      <c r="M1067" s="3">
        <v>45947</v>
      </c>
      <c r="N1067" s="1" t="s">
        <v>93</v>
      </c>
      <c r="O1067" s="1" t="s">
        <v>2101</v>
      </c>
      <c r="P1067" s="1">
        <v>1</v>
      </c>
    </row>
    <row r="1068" spans="1:16" x14ac:dyDescent="0.25">
      <c r="A1068" s="3">
        <v>45946</v>
      </c>
      <c r="B1068" s="4">
        <v>22792</v>
      </c>
      <c r="C1068" s="5">
        <v>6100</v>
      </c>
      <c r="D1068" s="1" t="s">
        <v>1319</v>
      </c>
      <c r="E1068" s="1" t="s">
        <v>1320</v>
      </c>
      <c r="F1068" s="1" t="s">
        <v>955</v>
      </c>
      <c r="G1068" s="1" t="s">
        <v>990</v>
      </c>
      <c r="H1068" s="3">
        <v>45966</v>
      </c>
      <c r="I1068" s="1" t="s">
        <v>933</v>
      </c>
      <c r="J1068" s="1" t="s">
        <v>951</v>
      </c>
      <c r="K1068" s="1" t="s">
        <v>659</v>
      </c>
      <c r="L1068" s="1" t="s">
        <v>2353</v>
      </c>
      <c r="M1068" s="3">
        <v>45951</v>
      </c>
      <c r="N1068" s="1" t="s">
        <v>821</v>
      </c>
      <c r="O1068" s="1" t="s">
        <v>936</v>
      </c>
      <c r="P1068" s="1">
        <v>1</v>
      </c>
    </row>
    <row r="1069" spans="1:16" x14ac:dyDescent="0.25">
      <c r="A1069" s="3">
        <v>45946</v>
      </c>
      <c r="B1069" s="4">
        <v>1490</v>
      </c>
      <c r="C1069" s="5">
        <v>13400</v>
      </c>
      <c r="D1069" s="1" t="s">
        <v>1498</v>
      </c>
      <c r="E1069" s="1" t="s">
        <v>1499</v>
      </c>
      <c r="F1069" s="1" t="s">
        <v>955</v>
      </c>
      <c r="G1069" s="1" t="s">
        <v>932</v>
      </c>
      <c r="H1069" s="3">
        <v>45958</v>
      </c>
      <c r="I1069" s="1" t="s">
        <v>933</v>
      </c>
      <c r="J1069" s="1" t="s">
        <v>951</v>
      </c>
      <c r="K1069" s="1" t="s">
        <v>659</v>
      </c>
      <c r="L1069" s="1" t="s">
        <v>2354</v>
      </c>
      <c r="M1069" s="3">
        <v>45947</v>
      </c>
      <c r="N1069" s="1" t="s">
        <v>821</v>
      </c>
      <c r="O1069" s="1" t="s">
        <v>936</v>
      </c>
      <c r="P1069" s="1">
        <v>1</v>
      </c>
    </row>
    <row r="1070" spans="1:16" x14ac:dyDescent="0.25">
      <c r="A1070" s="3">
        <v>45946</v>
      </c>
      <c r="B1070" s="4">
        <v>8981</v>
      </c>
      <c r="C1070" s="5">
        <v>4364.12</v>
      </c>
      <c r="D1070" s="1" t="s">
        <v>973</v>
      </c>
      <c r="E1070" s="1" t="s">
        <v>1068</v>
      </c>
      <c r="F1070" s="1" t="s">
        <v>1814</v>
      </c>
      <c r="G1070" s="1" t="s">
        <v>998</v>
      </c>
      <c r="H1070" s="3">
        <v>45961</v>
      </c>
      <c r="I1070" s="1" t="s">
        <v>933</v>
      </c>
      <c r="J1070" s="1" t="s">
        <v>66</v>
      </c>
      <c r="K1070" s="1" t="s">
        <v>340</v>
      </c>
      <c r="L1070" s="1" t="s">
        <v>2355</v>
      </c>
      <c r="M1070" s="3">
        <v>45947</v>
      </c>
      <c r="N1070" s="1" t="s">
        <v>1814</v>
      </c>
      <c r="O1070" s="1" t="s">
        <v>998</v>
      </c>
      <c r="P1070" s="1">
        <v>1</v>
      </c>
    </row>
    <row r="1071" spans="1:16" x14ac:dyDescent="0.25">
      <c r="A1071" s="3">
        <v>45946</v>
      </c>
      <c r="B1071" s="4">
        <v>46902</v>
      </c>
      <c r="C1071" s="5">
        <v>2115</v>
      </c>
      <c r="D1071" s="1" t="s">
        <v>1489</v>
      </c>
      <c r="E1071" s="1" t="s">
        <v>1490</v>
      </c>
      <c r="F1071" s="1" t="s">
        <v>430</v>
      </c>
      <c r="G1071" s="1" t="s">
        <v>940</v>
      </c>
      <c r="H1071" s="3">
        <v>45976</v>
      </c>
      <c r="I1071" s="1" t="s">
        <v>933</v>
      </c>
      <c r="J1071" s="1" t="s">
        <v>66</v>
      </c>
      <c r="K1071" s="1" t="s">
        <v>1654</v>
      </c>
      <c r="L1071" s="1" t="s">
        <v>2356</v>
      </c>
      <c r="M1071" s="3">
        <v>45948</v>
      </c>
      <c r="N1071" s="1" t="s">
        <v>57</v>
      </c>
      <c r="O1071" s="1" t="s">
        <v>936</v>
      </c>
      <c r="P1071" s="1">
        <v>1</v>
      </c>
    </row>
    <row r="1072" spans="1:16" x14ac:dyDescent="0.25">
      <c r="A1072" s="3">
        <v>45946</v>
      </c>
      <c r="B1072" s="4">
        <v>46901</v>
      </c>
      <c r="C1072" s="5">
        <v>300</v>
      </c>
      <c r="D1072" s="1" t="s">
        <v>1489</v>
      </c>
      <c r="E1072" s="1" t="s">
        <v>1490</v>
      </c>
      <c r="F1072" s="1" t="s">
        <v>955</v>
      </c>
      <c r="G1072" s="1" t="s">
        <v>940</v>
      </c>
      <c r="H1072" s="3">
        <v>45976</v>
      </c>
      <c r="I1072" s="1" t="s">
        <v>933</v>
      </c>
      <c r="J1072" s="1" t="s">
        <v>951</v>
      </c>
      <c r="K1072" s="1" t="s">
        <v>1654</v>
      </c>
      <c r="L1072" s="1" t="s">
        <v>2357</v>
      </c>
      <c r="M1072" s="3">
        <v>45948</v>
      </c>
      <c r="N1072" s="1" t="s">
        <v>821</v>
      </c>
      <c r="O1072" s="1" t="s">
        <v>936</v>
      </c>
      <c r="P1072" s="1">
        <v>1</v>
      </c>
    </row>
    <row r="1073" spans="1:16" x14ac:dyDescent="0.25">
      <c r="A1073" s="3">
        <v>45946</v>
      </c>
      <c r="B1073" s="4">
        <v>1705</v>
      </c>
      <c r="C1073" s="5">
        <v>15000</v>
      </c>
      <c r="D1073" s="1" t="s">
        <v>1361</v>
      </c>
      <c r="E1073" s="1" t="s">
        <v>1362</v>
      </c>
      <c r="F1073" s="1" t="s">
        <v>99</v>
      </c>
      <c r="G1073" s="1" t="s">
        <v>932</v>
      </c>
      <c r="H1073" s="3">
        <v>45971</v>
      </c>
      <c r="I1073" s="1" t="s">
        <v>933</v>
      </c>
      <c r="J1073" s="1" t="s">
        <v>66</v>
      </c>
      <c r="K1073" s="1" t="s">
        <v>1654</v>
      </c>
      <c r="L1073" s="1" t="s">
        <v>2358</v>
      </c>
      <c r="M1073" s="3">
        <v>45950</v>
      </c>
      <c r="N1073" s="1" t="s">
        <v>103</v>
      </c>
      <c r="O1073" s="1" t="s">
        <v>932</v>
      </c>
      <c r="P1073" s="1">
        <v>1</v>
      </c>
    </row>
    <row r="1074" spans="1:16" x14ac:dyDescent="0.25">
      <c r="A1074" s="3">
        <v>45946</v>
      </c>
      <c r="B1074" s="1">
        <v>91</v>
      </c>
      <c r="C1074" s="5">
        <v>480</v>
      </c>
      <c r="D1074" s="1" t="s">
        <v>1471</v>
      </c>
      <c r="E1074" s="1" t="s">
        <v>1870</v>
      </c>
      <c r="F1074" s="1" t="s">
        <v>966</v>
      </c>
      <c r="G1074" s="1" t="s">
        <v>950</v>
      </c>
      <c r="H1074" s="3">
        <v>45964</v>
      </c>
      <c r="I1074" s="1" t="s">
        <v>933</v>
      </c>
      <c r="J1074" s="1" t="s">
        <v>951</v>
      </c>
      <c r="K1074" s="1" t="s">
        <v>817</v>
      </c>
      <c r="L1074" s="1" t="s">
        <v>2359</v>
      </c>
      <c r="M1074" s="3">
        <v>45950</v>
      </c>
      <c r="N1074" s="1" t="s">
        <v>821</v>
      </c>
      <c r="O1074" s="1" t="s">
        <v>936</v>
      </c>
      <c r="P1074" s="1">
        <v>1</v>
      </c>
    </row>
    <row r="1075" spans="1:16" x14ac:dyDescent="0.25">
      <c r="A1075" s="3">
        <v>45946</v>
      </c>
      <c r="B1075" s="1">
        <v>255</v>
      </c>
      <c r="C1075" s="5">
        <v>10760</v>
      </c>
      <c r="D1075" s="1" t="s">
        <v>2360</v>
      </c>
      <c r="E1075" s="1" t="s">
        <v>2361</v>
      </c>
      <c r="F1075" s="1" t="s">
        <v>157</v>
      </c>
      <c r="G1075" s="1" t="s">
        <v>940</v>
      </c>
      <c r="H1075" s="3">
        <v>45977</v>
      </c>
      <c r="I1075" s="1" t="s">
        <v>933</v>
      </c>
      <c r="J1075" s="1"/>
      <c r="K1075" s="1" t="s">
        <v>52</v>
      </c>
      <c r="L1075" s="1" t="s">
        <v>2362</v>
      </c>
      <c r="M1075" s="3">
        <v>45969</v>
      </c>
      <c r="N1075" s="1" t="s">
        <v>161</v>
      </c>
      <c r="O1075" s="1" t="s">
        <v>936</v>
      </c>
      <c r="P1075" s="1" t="s">
        <v>937</v>
      </c>
    </row>
    <row r="1076" spans="1:16" x14ac:dyDescent="0.25">
      <c r="A1076" s="3">
        <v>45947</v>
      </c>
      <c r="B1076" s="1">
        <v>21</v>
      </c>
      <c r="C1076" s="5">
        <v>3284.75</v>
      </c>
      <c r="D1076" s="1" t="s">
        <v>1730</v>
      </c>
      <c r="E1076" s="1" t="s">
        <v>1731</v>
      </c>
      <c r="F1076" s="1" t="s">
        <v>955</v>
      </c>
      <c r="G1076" s="1" t="s">
        <v>940</v>
      </c>
      <c r="H1076" s="3">
        <v>45969</v>
      </c>
      <c r="I1076" s="1" t="s">
        <v>933</v>
      </c>
      <c r="J1076" s="1" t="s">
        <v>951</v>
      </c>
      <c r="K1076" s="1" t="s">
        <v>20</v>
      </c>
      <c r="L1076" s="1" t="s">
        <v>2363</v>
      </c>
      <c r="M1076" s="3">
        <v>45948</v>
      </c>
      <c r="N1076" s="1" t="s">
        <v>821</v>
      </c>
      <c r="O1076" s="1" t="s">
        <v>936</v>
      </c>
      <c r="P1076" s="1" t="s">
        <v>937</v>
      </c>
    </row>
    <row r="1077" spans="1:16" x14ac:dyDescent="0.25">
      <c r="A1077" s="3">
        <v>45947</v>
      </c>
      <c r="B1077" s="1">
        <v>4</v>
      </c>
      <c r="C1077" s="5">
        <v>3500</v>
      </c>
      <c r="D1077" s="1" t="s">
        <v>2364</v>
      </c>
      <c r="E1077" s="1" t="s">
        <v>2365</v>
      </c>
      <c r="F1077" s="1" t="s">
        <v>430</v>
      </c>
      <c r="G1077" s="1" t="s">
        <v>940</v>
      </c>
      <c r="H1077" s="3">
        <v>45955</v>
      </c>
      <c r="I1077" s="1" t="s">
        <v>933</v>
      </c>
      <c r="J1077" s="1" t="s">
        <v>66</v>
      </c>
      <c r="K1077" s="1" t="s">
        <v>1654</v>
      </c>
      <c r="L1077" s="1" t="s">
        <v>2366</v>
      </c>
      <c r="M1077" s="3">
        <v>45948</v>
      </c>
      <c r="N1077" s="1" t="s">
        <v>57</v>
      </c>
      <c r="O1077" s="1" t="s">
        <v>936</v>
      </c>
      <c r="P1077" s="1">
        <v>1</v>
      </c>
    </row>
    <row r="1078" spans="1:16" x14ac:dyDescent="0.25">
      <c r="A1078" s="3">
        <v>45947</v>
      </c>
      <c r="B1078" s="4">
        <v>9010</v>
      </c>
      <c r="C1078" s="5">
        <v>3853.3</v>
      </c>
      <c r="D1078" s="1" t="s">
        <v>973</v>
      </c>
      <c r="E1078" s="1" t="s">
        <v>1068</v>
      </c>
      <c r="F1078" s="1" t="s">
        <v>1814</v>
      </c>
      <c r="G1078" s="1" t="s">
        <v>998</v>
      </c>
      <c r="H1078" s="3">
        <v>45962</v>
      </c>
      <c r="I1078" s="1" t="s">
        <v>933</v>
      </c>
      <c r="J1078" s="1" t="s">
        <v>66</v>
      </c>
      <c r="K1078" s="1" t="s">
        <v>998</v>
      </c>
      <c r="L1078" s="1" t="s">
        <v>2367</v>
      </c>
      <c r="M1078" s="3">
        <v>45948</v>
      </c>
      <c r="N1078" s="1" t="s">
        <v>1814</v>
      </c>
      <c r="O1078" s="1" t="s">
        <v>998</v>
      </c>
      <c r="P1078" s="1">
        <v>1</v>
      </c>
    </row>
    <row r="1079" spans="1:16" x14ac:dyDescent="0.25">
      <c r="A1079" s="3">
        <v>45947</v>
      </c>
      <c r="B1079" s="4">
        <v>2777</v>
      </c>
      <c r="C1079" s="5">
        <v>14000</v>
      </c>
      <c r="D1079" s="1" t="s">
        <v>1285</v>
      </c>
      <c r="E1079" s="1" t="s">
        <v>1286</v>
      </c>
      <c r="F1079" s="1" t="s">
        <v>37</v>
      </c>
      <c r="G1079" s="1" t="s">
        <v>932</v>
      </c>
      <c r="H1079" s="3">
        <v>45964</v>
      </c>
      <c r="I1079" s="1" t="s">
        <v>933</v>
      </c>
      <c r="J1079" s="1" t="s">
        <v>66</v>
      </c>
      <c r="K1079" s="1" t="s">
        <v>20</v>
      </c>
      <c r="L1079" s="1" t="s">
        <v>1924</v>
      </c>
      <c r="M1079" s="3">
        <v>45948</v>
      </c>
      <c r="N1079" s="1" t="s">
        <v>25</v>
      </c>
      <c r="O1079" s="1" t="s">
        <v>932</v>
      </c>
      <c r="P1079" s="1">
        <v>1</v>
      </c>
    </row>
    <row r="1080" spans="1:16" x14ac:dyDescent="0.25">
      <c r="A1080" s="3">
        <v>45947</v>
      </c>
      <c r="B1080" s="4">
        <v>214700</v>
      </c>
      <c r="C1080" s="5">
        <v>10734</v>
      </c>
      <c r="D1080" s="1" t="s">
        <v>2368</v>
      </c>
      <c r="E1080" s="1" t="s">
        <v>2369</v>
      </c>
      <c r="F1080" s="1" t="s">
        <v>670</v>
      </c>
      <c r="G1080" s="1" t="s">
        <v>1254</v>
      </c>
      <c r="H1080" s="3">
        <v>45977</v>
      </c>
      <c r="I1080" s="1" t="s">
        <v>933</v>
      </c>
      <c r="J1080" s="1" t="s">
        <v>66</v>
      </c>
      <c r="K1080" s="1" t="s">
        <v>659</v>
      </c>
      <c r="L1080" s="1" t="s">
        <v>2370</v>
      </c>
      <c r="M1080" s="3">
        <v>45948</v>
      </c>
      <c r="N1080" s="1" t="s">
        <v>57</v>
      </c>
      <c r="O1080" s="1" t="s">
        <v>936</v>
      </c>
      <c r="P1080" s="1" t="s">
        <v>937</v>
      </c>
    </row>
    <row r="1081" spans="1:16" x14ac:dyDescent="0.25">
      <c r="A1081" s="3">
        <v>45947</v>
      </c>
      <c r="B1081" s="4">
        <v>214699</v>
      </c>
      <c r="C1081" s="5">
        <v>2363.9299999999998</v>
      </c>
      <c r="D1081" s="1" t="s">
        <v>2368</v>
      </c>
      <c r="E1081" s="1" t="s">
        <v>2371</v>
      </c>
      <c r="F1081" s="1" t="s">
        <v>670</v>
      </c>
      <c r="G1081" s="1" t="s">
        <v>940</v>
      </c>
      <c r="H1081" s="3">
        <v>45977</v>
      </c>
      <c r="I1081" s="1" t="s">
        <v>1100</v>
      </c>
      <c r="J1081" s="1" t="s">
        <v>66</v>
      </c>
      <c r="K1081" s="1" t="s">
        <v>659</v>
      </c>
      <c r="L1081" s="1" t="s">
        <v>2372</v>
      </c>
      <c r="M1081" s="3">
        <v>45948</v>
      </c>
      <c r="N1081" s="1" t="s">
        <v>57</v>
      </c>
      <c r="O1081" s="1" t="s">
        <v>936</v>
      </c>
      <c r="P1081" s="1" t="s">
        <v>937</v>
      </c>
    </row>
    <row r="1082" spans="1:16" x14ac:dyDescent="0.25">
      <c r="A1082" s="3">
        <v>45947</v>
      </c>
      <c r="B1082" s="4">
        <v>27016</v>
      </c>
      <c r="C1082" s="5">
        <v>10300</v>
      </c>
      <c r="D1082" s="1" t="s">
        <v>2028</v>
      </c>
      <c r="E1082" s="1" t="s">
        <v>2029</v>
      </c>
      <c r="F1082" s="1" t="s">
        <v>182</v>
      </c>
      <c r="G1082" s="1" t="s">
        <v>1131</v>
      </c>
      <c r="H1082" s="3">
        <v>45977</v>
      </c>
      <c r="I1082" s="1" t="s">
        <v>933</v>
      </c>
      <c r="J1082" s="1" t="s">
        <v>66</v>
      </c>
      <c r="K1082" s="1" t="s">
        <v>52</v>
      </c>
      <c r="L1082" s="1" t="s">
        <v>2373</v>
      </c>
      <c r="M1082" s="3">
        <v>45948</v>
      </c>
      <c r="N1082" s="1" t="s">
        <v>93</v>
      </c>
      <c r="O1082" s="1" t="s">
        <v>936</v>
      </c>
      <c r="P1082" s="1" t="s">
        <v>937</v>
      </c>
    </row>
    <row r="1083" spans="1:16" x14ac:dyDescent="0.25">
      <c r="A1083" s="3">
        <v>45947</v>
      </c>
      <c r="B1083" s="4">
        <v>46967</v>
      </c>
      <c r="C1083" s="5">
        <v>662</v>
      </c>
      <c r="D1083" s="1" t="s">
        <v>1489</v>
      </c>
      <c r="E1083" s="1" t="s">
        <v>1490</v>
      </c>
      <c r="F1083" s="1" t="s">
        <v>955</v>
      </c>
      <c r="G1083" s="1" t="s">
        <v>940</v>
      </c>
      <c r="H1083" s="3">
        <v>45977</v>
      </c>
      <c r="I1083" s="1" t="s">
        <v>933</v>
      </c>
      <c r="J1083" s="1" t="s">
        <v>951</v>
      </c>
      <c r="K1083" s="1" t="s">
        <v>1654</v>
      </c>
      <c r="L1083" s="1" t="s">
        <v>2374</v>
      </c>
      <c r="M1083" s="3">
        <v>45948</v>
      </c>
      <c r="N1083" s="1" t="s">
        <v>821</v>
      </c>
      <c r="O1083" s="1" t="s">
        <v>936</v>
      </c>
      <c r="P1083" s="1">
        <v>1</v>
      </c>
    </row>
    <row r="1084" spans="1:16" x14ac:dyDescent="0.25">
      <c r="A1084" s="3">
        <v>45947</v>
      </c>
      <c r="B1084" s="4">
        <v>1504</v>
      </c>
      <c r="C1084" s="5">
        <v>8281.77</v>
      </c>
      <c r="D1084" s="1" t="s">
        <v>1901</v>
      </c>
      <c r="E1084" s="1" t="s">
        <v>1902</v>
      </c>
      <c r="F1084" s="1" t="s">
        <v>955</v>
      </c>
      <c r="G1084" s="1" t="s">
        <v>990</v>
      </c>
      <c r="H1084" s="3">
        <v>45964</v>
      </c>
      <c r="I1084" s="1" t="s">
        <v>933</v>
      </c>
      <c r="J1084" s="1" t="s">
        <v>951</v>
      </c>
      <c r="K1084" s="1" t="s">
        <v>20</v>
      </c>
      <c r="L1084" s="1" t="s">
        <v>2375</v>
      </c>
      <c r="M1084" s="3">
        <v>45951</v>
      </c>
      <c r="N1084" s="1" t="s">
        <v>821</v>
      </c>
      <c r="O1084" s="1" t="s">
        <v>936</v>
      </c>
      <c r="P1084" s="1">
        <v>1</v>
      </c>
    </row>
    <row r="1085" spans="1:16" x14ac:dyDescent="0.25">
      <c r="A1085" s="3">
        <v>45947</v>
      </c>
      <c r="B1085" s="4">
        <v>51201</v>
      </c>
      <c r="C1085" s="5">
        <v>26014.42</v>
      </c>
      <c r="D1085" s="1" t="s">
        <v>1504</v>
      </c>
      <c r="E1085" s="1" t="s">
        <v>1505</v>
      </c>
      <c r="F1085" s="1" t="s">
        <v>955</v>
      </c>
      <c r="G1085" s="1" t="s">
        <v>1131</v>
      </c>
      <c r="H1085" s="3">
        <v>45978</v>
      </c>
      <c r="I1085" s="1" t="s">
        <v>933</v>
      </c>
      <c r="J1085" s="1" t="s">
        <v>951</v>
      </c>
      <c r="K1085" s="1" t="s">
        <v>52</v>
      </c>
      <c r="L1085" s="1" t="s">
        <v>2376</v>
      </c>
      <c r="M1085" s="3">
        <v>45953</v>
      </c>
      <c r="N1085" s="1" t="s">
        <v>821</v>
      </c>
      <c r="O1085" s="1" t="s">
        <v>936</v>
      </c>
      <c r="P1085" s="1">
        <v>1</v>
      </c>
    </row>
    <row r="1086" spans="1:16" x14ac:dyDescent="0.25">
      <c r="A1086" s="3">
        <v>45947</v>
      </c>
      <c r="B1086" s="1">
        <v>440</v>
      </c>
      <c r="C1086" s="5">
        <v>4000</v>
      </c>
      <c r="D1086" s="1" t="s">
        <v>2377</v>
      </c>
      <c r="E1086" s="1" t="s">
        <v>2378</v>
      </c>
      <c r="F1086" s="1" t="s">
        <v>955</v>
      </c>
      <c r="G1086" s="1" t="s">
        <v>940</v>
      </c>
      <c r="H1086" s="3">
        <v>45982</v>
      </c>
      <c r="I1086" s="1" t="s">
        <v>2379</v>
      </c>
      <c r="J1086" s="1" t="s">
        <v>951</v>
      </c>
      <c r="K1086" s="1" t="s">
        <v>20</v>
      </c>
      <c r="L1086" s="1" t="s">
        <v>2380</v>
      </c>
      <c r="M1086" s="3">
        <v>45953</v>
      </c>
      <c r="N1086" s="1" t="s">
        <v>821</v>
      </c>
      <c r="O1086" s="1" t="s">
        <v>936</v>
      </c>
      <c r="P1086" s="1">
        <v>1</v>
      </c>
    </row>
    <row r="1087" spans="1:16" x14ac:dyDescent="0.25">
      <c r="A1087" s="3">
        <v>45947</v>
      </c>
      <c r="B1087" s="4">
        <v>3780</v>
      </c>
      <c r="C1087" s="5">
        <v>1145</v>
      </c>
      <c r="D1087" s="1" t="s">
        <v>2381</v>
      </c>
      <c r="E1087" s="1" t="s">
        <v>2382</v>
      </c>
      <c r="F1087" s="1" t="s">
        <v>83</v>
      </c>
      <c r="G1087" s="1" t="s">
        <v>1667</v>
      </c>
      <c r="H1087" s="3">
        <v>45981</v>
      </c>
      <c r="I1087" s="1" t="s">
        <v>1100</v>
      </c>
      <c r="J1087" s="1" t="s">
        <v>66</v>
      </c>
      <c r="K1087" s="1" t="s">
        <v>52</v>
      </c>
      <c r="L1087" s="1" t="s">
        <v>2383</v>
      </c>
      <c r="M1087" s="3">
        <v>45953</v>
      </c>
      <c r="N1087" s="1" t="s">
        <v>57</v>
      </c>
      <c r="O1087" s="1" t="s">
        <v>936</v>
      </c>
      <c r="P1087" s="1">
        <v>1</v>
      </c>
    </row>
    <row r="1088" spans="1:16" x14ac:dyDescent="0.25">
      <c r="A1088" s="3">
        <v>45948</v>
      </c>
      <c r="B1088" s="4">
        <v>1089</v>
      </c>
      <c r="C1088" s="5">
        <v>400</v>
      </c>
      <c r="D1088" s="1" t="s">
        <v>1074</v>
      </c>
      <c r="E1088" s="1" t="s">
        <v>1075</v>
      </c>
      <c r="F1088" s="1" t="s">
        <v>721</v>
      </c>
      <c r="G1088" s="1" t="s">
        <v>940</v>
      </c>
      <c r="H1088" s="3">
        <v>45960</v>
      </c>
      <c r="I1088" s="1" t="s">
        <v>933</v>
      </c>
      <c r="J1088" s="1" t="s">
        <v>66</v>
      </c>
      <c r="K1088" s="1" t="s">
        <v>340</v>
      </c>
      <c r="L1088" s="1" t="s">
        <v>2384</v>
      </c>
      <c r="M1088" s="3">
        <v>45947</v>
      </c>
      <c r="N1088" s="1" t="s">
        <v>712</v>
      </c>
      <c r="O1088" s="1" t="s">
        <v>936</v>
      </c>
      <c r="P1088" s="1">
        <v>1</v>
      </c>
    </row>
    <row r="1089" spans="1:16" x14ac:dyDescent="0.25">
      <c r="A1089" s="3">
        <v>45948</v>
      </c>
      <c r="B1089" s="4">
        <v>128099</v>
      </c>
      <c r="C1089" s="5">
        <v>3988</v>
      </c>
      <c r="D1089" s="1" t="s">
        <v>1964</v>
      </c>
      <c r="E1089" s="1" t="s">
        <v>1965</v>
      </c>
      <c r="F1089" s="1" t="s">
        <v>955</v>
      </c>
      <c r="G1089" s="1" t="s">
        <v>932</v>
      </c>
      <c r="H1089" s="3">
        <v>45955</v>
      </c>
      <c r="I1089" s="1" t="s">
        <v>933</v>
      </c>
      <c r="J1089" s="1" t="s">
        <v>951</v>
      </c>
      <c r="K1089" s="1" t="s">
        <v>308</v>
      </c>
      <c r="L1089" s="1" t="s">
        <v>2385</v>
      </c>
      <c r="M1089" s="3">
        <v>45930</v>
      </c>
      <c r="N1089" s="1" t="s">
        <v>821</v>
      </c>
      <c r="O1089" s="1" t="s">
        <v>932</v>
      </c>
      <c r="P1089" s="1">
        <v>1</v>
      </c>
    </row>
    <row r="1090" spans="1:16" x14ac:dyDescent="0.25">
      <c r="A1090" s="3">
        <v>45948</v>
      </c>
      <c r="B1090" s="1">
        <v>16</v>
      </c>
      <c r="C1090" s="5">
        <v>5500</v>
      </c>
      <c r="D1090" s="1" t="s">
        <v>2073</v>
      </c>
      <c r="E1090" s="1" t="s">
        <v>2074</v>
      </c>
      <c r="F1090" s="1" t="s">
        <v>955</v>
      </c>
      <c r="G1090" s="1" t="s">
        <v>940</v>
      </c>
      <c r="H1090" s="3">
        <v>45969</v>
      </c>
      <c r="I1090" s="1" t="s">
        <v>933</v>
      </c>
      <c r="J1090" s="1" t="s">
        <v>951</v>
      </c>
      <c r="K1090" s="1" t="s">
        <v>487</v>
      </c>
      <c r="L1090" s="1" t="s">
        <v>2386</v>
      </c>
      <c r="M1090" s="3">
        <v>45948</v>
      </c>
      <c r="N1090" s="1" t="s">
        <v>821</v>
      </c>
      <c r="O1090" s="1" t="s">
        <v>936</v>
      </c>
      <c r="P1090" s="1" t="s">
        <v>937</v>
      </c>
    </row>
    <row r="1091" spans="1:16" x14ac:dyDescent="0.25">
      <c r="A1091" s="3">
        <v>45949</v>
      </c>
      <c r="B1091" s="1">
        <v>42</v>
      </c>
      <c r="C1091" s="5">
        <v>7000</v>
      </c>
      <c r="D1091" s="1" t="s">
        <v>1197</v>
      </c>
      <c r="E1091" s="1" t="s">
        <v>1198</v>
      </c>
      <c r="F1091" s="1" t="s">
        <v>955</v>
      </c>
      <c r="G1091" s="1" t="s">
        <v>940</v>
      </c>
      <c r="H1091" s="3">
        <v>45964</v>
      </c>
      <c r="I1091" s="1" t="s">
        <v>933</v>
      </c>
      <c r="J1091" s="1" t="s">
        <v>951</v>
      </c>
      <c r="K1091" s="1" t="s">
        <v>20</v>
      </c>
      <c r="L1091" s="1" t="s">
        <v>2387</v>
      </c>
      <c r="M1091" s="3">
        <v>45951</v>
      </c>
      <c r="N1091" s="1" t="s">
        <v>821</v>
      </c>
      <c r="O1091" s="1" t="s">
        <v>936</v>
      </c>
      <c r="P1091" s="1">
        <v>2</v>
      </c>
    </row>
    <row r="1092" spans="1:16" x14ac:dyDescent="0.25">
      <c r="A1092" s="3">
        <v>45949</v>
      </c>
      <c r="B1092" s="1">
        <v>31</v>
      </c>
      <c r="C1092" s="5">
        <v>3240</v>
      </c>
      <c r="D1092" s="1" t="s">
        <v>2274</v>
      </c>
      <c r="E1092" s="1" t="s">
        <v>2275</v>
      </c>
      <c r="F1092" s="1" t="s">
        <v>955</v>
      </c>
      <c r="G1092" s="1" t="s">
        <v>940</v>
      </c>
      <c r="H1092" s="3">
        <v>45964</v>
      </c>
      <c r="I1092" s="1" t="s">
        <v>933</v>
      </c>
      <c r="J1092" s="1" t="s">
        <v>951</v>
      </c>
      <c r="K1092" s="1" t="s">
        <v>20</v>
      </c>
      <c r="L1092" s="1" t="s">
        <v>2388</v>
      </c>
      <c r="M1092" s="1" t="s">
        <v>2389</v>
      </c>
      <c r="N1092" s="1"/>
      <c r="O1092" s="1"/>
      <c r="P1092" s="1"/>
    </row>
    <row r="1093" spans="1:16" x14ac:dyDescent="0.25">
      <c r="A1093" s="3">
        <v>45950</v>
      </c>
      <c r="B1093" s="4">
        <v>71436</v>
      </c>
      <c r="C1093" s="5">
        <v>4338</v>
      </c>
      <c r="D1093" s="1" t="s">
        <v>1253</v>
      </c>
      <c r="E1093" s="1" t="s">
        <v>1487</v>
      </c>
      <c r="F1093" s="1" t="s">
        <v>748</v>
      </c>
      <c r="G1093" s="1" t="s">
        <v>940</v>
      </c>
      <c r="H1093" s="3">
        <v>45980</v>
      </c>
      <c r="I1093" s="1" t="s">
        <v>933</v>
      </c>
      <c r="J1093" s="1" t="s">
        <v>66</v>
      </c>
      <c r="K1093" s="1" t="s">
        <v>340</v>
      </c>
      <c r="L1093" s="1" t="s">
        <v>2390</v>
      </c>
      <c r="M1093" s="3">
        <v>45950</v>
      </c>
      <c r="N1093" s="1" t="s">
        <v>75</v>
      </c>
      <c r="O1093" s="1" t="s">
        <v>936</v>
      </c>
      <c r="P1093" s="1">
        <v>1</v>
      </c>
    </row>
    <row r="1094" spans="1:16" x14ac:dyDescent="0.25">
      <c r="A1094" s="3">
        <v>45950</v>
      </c>
      <c r="B1094" s="4">
        <v>1569</v>
      </c>
      <c r="C1094" s="5">
        <v>352</v>
      </c>
      <c r="D1094" s="1" t="s">
        <v>1080</v>
      </c>
      <c r="E1094" s="1" t="s">
        <v>1081</v>
      </c>
      <c r="F1094" s="1" t="s">
        <v>955</v>
      </c>
      <c r="G1094" s="1" t="s">
        <v>940</v>
      </c>
      <c r="H1094" s="3">
        <v>45971</v>
      </c>
      <c r="I1094" s="1" t="s">
        <v>933</v>
      </c>
      <c r="J1094" s="1" t="s">
        <v>951</v>
      </c>
      <c r="K1094" s="1" t="s">
        <v>817</v>
      </c>
      <c r="L1094" s="1" t="s">
        <v>2391</v>
      </c>
      <c r="M1094" s="3">
        <v>45951</v>
      </c>
      <c r="N1094" s="1" t="s">
        <v>821</v>
      </c>
      <c r="O1094" s="1" t="s">
        <v>936</v>
      </c>
      <c r="P1094" s="1">
        <v>1</v>
      </c>
    </row>
    <row r="1095" spans="1:16" x14ac:dyDescent="0.25">
      <c r="A1095" s="3">
        <v>45950</v>
      </c>
      <c r="B1095" s="4">
        <v>1569</v>
      </c>
      <c r="C1095" s="5">
        <v>420</v>
      </c>
      <c r="D1095" s="1" t="s">
        <v>1080</v>
      </c>
      <c r="E1095" s="1" t="s">
        <v>1081</v>
      </c>
      <c r="F1095" s="1" t="s">
        <v>955</v>
      </c>
      <c r="G1095" s="1" t="s">
        <v>950</v>
      </c>
      <c r="H1095" s="3">
        <v>45971</v>
      </c>
      <c r="I1095" s="1" t="s">
        <v>933</v>
      </c>
      <c r="J1095" s="1" t="s">
        <v>951</v>
      </c>
      <c r="K1095" s="1" t="s">
        <v>817</v>
      </c>
      <c r="L1095" s="1" t="s">
        <v>2392</v>
      </c>
      <c r="M1095" s="3">
        <v>45951</v>
      </c>
      <c r="N1095" s="1" t="s">
        <v>821</v>
      </c>
      <c r="O1095" s="1" t="s">
        <v>936</v>
      </c>
      <c r="P1095" s="1">
        <v>1</v>
      </c>
    </row>
    <row r="1096" spans="1:16" x14ac:dyDescent="0.25">
      <c r="A1096" s="3">
        <v>45950</v>
      </c>
      <c r="B1096" s="4">
        <v>1569</v>
      </c>
      <c r="C1096" s="5">
        <v>5400</v>
      </c>
      <c r="D1096" s="1" t="s">
        <v>1080</v>
      </c>
      <c r="E1096" s="1" t="s">
        <v>1081</v>
      </c>
      <c r="F1096" s="1" t="s">
        <v>759</v>
      </c>
      <c r="G1096" s="1" t="s">
        <v>1082</v>
      </c>
      <c r="H1096" s="3">
        <v>45971</v>
      </c>
      <c r="I1096" s="1" t="s">
        <v>933</v>
      </c>
      <c r="J1096" s="1" t="s">
        <v>66</v>
      </c>
      <c r="K1096" s="1" t="s">
        <v>340</v>
      </c>
      <c r="L1096" s="1" t="s">
        <v>2393</v>
      </c>
      <c r="M1096" s="3">
        <v>45951</v>
      </c>
      <c r="N1096" s="1" t="s">
        <v>75</v>
      </c>
      <c r="O1096" s="1" t="s">
        <v>936</v>
      </c>
      <c r="P1096" s="1">
        <v>1</v>
      </c>
    </row>
    <row r="1097" spans="1:16" x14ac:dyDescent="0.25">
      <c r="A1097" s="3">
        <v>45950</v>
      </c>
      <c r="B1097" s="4">
        <v>1569</v>
      </c>
      <c r="C1097" s="5">
        <v>10600</v>
      </c>
      <c r="D1097" s="1" t="s">
        <v>1080</v>
      </c>
      <c r="E1097" s="1" t="s">
        <v>1081</v>
      </c>
      <c r="F1097" s="1" t="s">
        <v>400</v>
      </c>
      <c r="G1097" s="1" t="s">
        <v>1082</v>
      </c>
      <c r="H1097" s="3">
        <v>45971</v>
      </c>
      <c r="I1097" s="1" t="s">
        <v>933</v>
      </c>
      <c r="J1097" s="1" t="s">
        <v>66</v>
      </c>
      <c r="K1097" s="1" t="s">
        <v>340</v>
      </c>
      <c r="L1097" s="1" t="s">
        <v>2394</v>
      </c>
      <c r="M1097" s="3">
        <v>45951</v>
      </c>
      <c r="N1097" s="1" t="s">
        <v>57</v>
      </c>
      <c r="O1097" s="1" t="s">
        <v>936</v>
      </c>
      <c r="P1097" s="1">
        <v>1</v>
      </c>
    </row>
    <row r="1098" spans="1:16" x14ac:dyDescent="0.25">
      <c r="A1098" s="3">
        <v>45950</v>
      </c>
      <c r="B1098" s="4">
        <v>1569</v>
      </c>
      <c r="C1098" s="5">
        <v>2950</v>
      </c>
      <c r="D1098" s="1" t="s">
        <v>1080</v>
      </c>
      <c r="E1098" s="1" t="s">
        <v>1081</v>
      </c>
      <c r="F1098" s="1" t="s">
        <v>955</v>
      </c>
      <c r="G1098" s="1" t="s">
        <v>1082</v>
      </c>
      <c r="H1098" s="3">
        <v>45971</v>
      </c>
      <c r="I1098" s="1" t="s">
        <v>933</v>
      </c>
      <c r="J1098" s="1" t="s">
        <v>951</v>
      </c>
      <c r="K1098" s="1" t="s">
        <v>487</v>
      </c>
      <c r="L1098" s="1" t="s">
        <v>2395</v>
      </c>
      <c r="M1098" s="3">
        <v>45951</v>
      </c>
      <c r="N1098" s="1" t="s">
        <v>821</v>
      </c>
      <c r="O1098" s="1" t="s">
        <v>936</v>
      </c>
      <c r="P1098" s="1">
        <v>1</v>
      </c>
    </row>
    <row r="1099" spans="1:16" x14ac:dyDescent="0.25">
      <c r="A1099" s="3">
        <v>45950</v>
      </c>
      <c r="B1099" s="4">
        <v>1569</v>
      </c>
      <c r="C1099" s="5">
        <v>2950</v>
      </c>
      <c r="D1099" s="1" t="s">
        <v>1080</v>
      </c>
      <c r="E1099" s="1" t="s">
        <v>1081</v>
      </c>
      <c r="F1099" s="1" t="s">
        <v>955</v>
      </c>
      <c r="G1099" s="1" t="s">
        <v>1082</v>
      </c>
      <c r="H1099" s="3">
        <v>45971</v>
      </c>
      <c r="I1099" s="1" t="s">
        <v>933</v>
      </c>
      <c r="J1099" s="1" t="s">
        <v>951</v>
      </c>
      <c r="K1099" s="1" t="s">
        <v>934</v>
      </c>
      <c r="L1099" s="1" t="s">
        <v>2396</v>
      </c>
      <c r="M1099" s="3">
        <v>45951</v>
      </c>
      <c r="N1099" s="1" t="s">
        <v>821</v>
      </c>
      <c r="O1099" s="1" t="s">
        <v>936</v>
      </c>
      <c r="P1099" s="1">
        <v>1</v>
      </c>
    </row>
    <row r="1100" spans="1:16" x14ac:dyDescent="0.25">
      <c r="A1100" s="3">
        <v>45950</v>
      </c>
      <c r="B1100" s="4">
        <v>1569</v>
      </c>
      <c r="C1100" s="5">
        <v>2950</v>
      </c>
      <c r="D1100" s="1" t="s">
        <v>1080</v>
      </c>
      <c r="E1100" s="1" t="s">
        <v>1081</v>
      </c>
      <c r="F1100" s="1" t="s">
        <v>955</v>
      </c>
      <c r="G1100" s="1" t="s">
        <v>1082</v>
      </c>
      <c r="H1100" s="3">
        <v>45971</v>
      </c>
      <c r="I1100" s="1" t="s">
        <v>933</v>
      </c>
      <c r="J1100" s="1" t="s">
        <v>951</v>
      </c>
      <c r="K1100" s="1" t="s">
        <v>934</v>
      </c>
      <c r="L1100" s="1" t="s">
        <v>2397</v>
      </c>
      <c r="M1100" s="3">
        <v>45951</v>
      </c>
      <c r="N1100" s="1" t="s">
        <v>821</v>
      </c>
      <c r="O1100" s="1" t="s">
        <v>936</v>
      </c>
      <c r="P1100" s="1">
        <v>1</v>
      </c>
    </row>
    <row r="1101" spans="1:16" x14ac:dyDescent="0.25">
      <c r="A1101" s="3">
        <v>45950</v>
      </c>
      <c r="B1101" s="4">
        <v>1569</v>
      </c>
      <c r="C1101" s="5">
        <v>9870</v>
      </c>
      <c r="D1101" s="1" t="s">
        <v>1080</v>
      </c>
      <c r="E1101" s="1" t="s">
        <v>1081</v>
      </c>
      <c r="F1101" s="1" t="s">
        <v>717</v>
      </c>
      <c r="G1101" s="1" t="s">
        <v>1082</v>
      </c>
      <c r="H1101" s="3">
        <v>45971</v>
      </c>
      <c r="I1101" s="1" t="s">
        <v>933</v>
      </c>
      <c r="J1101" s="1" t="s">
        <v>66</v>
      </c>
      <c r="K1101" s="1" t="s">
        <v>340</v>
      </c>
      <c r="L1101" s="1" t="s">
        <v>2398</v>
      </c>
      <c r="M1101" s="3">
        <v>45951</v>
      </c>
      <c r="N1101" s="1" t="s">
        <v>712</v>
      </c>
      <c r="O1101" s="1" t="s">
        <v>936</v>
      </c>
      <c r="P1101" s="1">
        <v>1</v>
      </c>
    </row>
    <row r="1102" spans="1:16" x14ac:dyDescent="0.25">
      <c r="A1102" s="3">
        <v>45950</v>
      </c>
      <c r="B1102" s="4">
        <v>1569</v>
      </c>
      <c r="C1102" s="5">
        <v>9870</v>
      </c>
      <c r="D1102" s="1" t="s">
        <v>1080</v>
      </c>
      <c r="E1102" s="1" t="s">
        <v>1081</v>
      </c>
      <c r="F1102" s="1" t="s">
        <v>259</v>
      </c>
      <c r="G1102" s="1" t="s">
        <v>1082</v>
      </c>
      <c r="H1102" s="3">
        <v>45971</v>
      </c>
      <c r="I1102" s="1" t="s">
        <v>933</v>
      </c>
      <c r="J1102" s="1" t="s">
        <v>66</v>
      </c>
      <c r="K1102" s="1" t="s">
        <v>340</v>
      </c>
      <c r="L1102" s="1" t="s">
        <v>2398</v>
      </c>
      <c r="M1102" s="3">
        <v>45951</v>
      </c>
      <c r="N1102" s="1" t="s">
        <v>264</v>
      </c>
      <c r="O1102" s="1" t="s">
        <v>936</v>
      </c>
      <c r="P1102" s="1">
        <v>1</v>
      </c>
    </row>
    <row r="1103" spans="1:16" x14ac:dyDescent="0.25">
      <c r="A1103" s="3">
        <v>45950</v>
      </c>
      <c r="B1103" s="1" t="s">
        <v>2399</v>
      </c>
      <c r="C1103" s="5">
        <v>29166</v>
      </c>
      <c r="D1103" s="1" t="s">
        <v>2400</v>
      </c>
      <c r="E1103" s="1" t="s">
        <v>2401</v>
      </c>
      <c r="F1103" s="1" t="s">
        <v>955</v>
      </c>
      <c r="G1103" s="1" t="s">
        <v>20</v>
      </c>
      <c r="H1103" s="3">
        <v>45968</v>
      </c>
      <c r="I1103" s="1" t="s">
        <v>933</v>
      </c>
      <c r="J1103" s="1" t="s">
        <v>951</v>
      </c>
      <c r="K1103" s="1" t="s">
        <v>20</v>
      </c>
      <c r="L1103" s="1" t="s">
        <v>2402</v>
      </c>
      <c r="M1103" s="3">
        <v>45951</v>
      </c>
      <c r="N1103" s="1" t="s">
        <v>821</v>
      </c>
      <c r="O1103" s="1" t="s">
        <v>936</v>
      </c>
      <c r="P1103" s="1">
        <v>1</v>
      </c>
    </row>
    <row r="1104" spans="1:16" x14ac:dyDescent="0.25">
      <c r="A1104" s="3">
        <v>45950</v>
      </c>
      <c r="B1104" s="4">
        <v>1493</v>
      </c>
      <c r="C1104" s="5">
        <v>9500</v>
      </c>
      <c r="D1104" s="1" t="s">
        <v>1498</v>
      </c>
      <c r="E1104" s="1" t="s">
        <v>1499</v>
      </c>
      <c r="F1104" s="1" t="s">
        <v>955</v>
      </c>
      <c r="G1104" s="1" t="s">
        <v>932</v>
      </c>
      <c r="H1104" s="3">
        <v>45965</v>
      </c>
      <c r="I1104" s="1" t="s">
        <v>933</v>
      </c>
      <c r="J1104" s="1" t="s">
        <v>951</v>
      </c>
      <c r="K1104" s="1" t="s">
        <v>340</v>
      </c>
      <c r="L1104" s="1" t="s">
        <v>2403</v>
      </c>
      <c r="M1104" s="3">
        <v>45951</v>
      </c>
      <c r="N1104" s="1" t="s">
        <v>821</v>
      </c>
      <c r="O1104" s="1" t="s">
        <v>936</v>
      </c>
      <c r="P1104" s="1">
        <v>1</v>
      </c>
    </row>
    <row r="1105" spans="1:16" x14ac:dyDescent="0.25">
      <c r="A1105" s="3">
        <v>45950</v>
      </c>
      <c r="B1105" s="4">
        <v>1005</v>
      </c>
      <c r="C1105" s="5">
        <v>1080</v>
      </c>
      <c r="D1105" s="1" t="s">
        <v>1459</v>
      </c>
      <c r="E1105" s="1" t="s">
        <v>1460</v>
      </c>
      <c r="F1105" s="1" t="s">
        <v>955</v>
      </c>
      <c r="G1105" s="1" t="s">
        <v>990</v>
      </c>
      <c r="H1105" s="3">
        <v>45976</v>
      </c>
      <c r="I1105" s="1" t="s">
        <v>933</v>
      </c>
      <c r="J1105" s="1" t="s">
        <v>951</v>
      </c>
      <c r="K1105" s="1" t="s">
        <v>487</v>
      </c>
      <c r="L1105" s="1" t="s">
        <v>2404</v>
      </c>
      <c r="M1105" s="3">
        <v>45951</v>
      </c>
      <c r="N1105" s="1" t="s">
        <v>821</v>
      </c>
      <c r="O1105" s="1" t="s">
        <v>990</v>
      </c>
      <c r="P1105" s="1">
        <v>1</v>
      </c>
    </row>
    <row r="1106" spans="1:16" x14ac:dyDescent="0.25">
      <c r="A1106" s="3">
        <v>45950</v>
      </c>
      <c r="B1106" s="4">
        <v>9032</v>
      </c>
      <c r="C1106" s="5">
        <v>25380</v>
      </c>
      <c r="D1106" s="1" t="s">
        <v>973</v>
      </c>
      <c r="E1106" s="1" t="s">
        <v>1068</v>
      </c>
      <c r="F1106" s="1" t="s">
        <v>304</v>
      </c>
      <c r="G1106" s="1" t="s">
        <v>998</v>
      </c>
      <c r="H1106" s="3">
        <v>45965</v>
      </c>
      <c r="I1106" s="1" t="s">
        <v>933</v>
      </c>
      <c r="J1106" s="1" t="s">
        <v>66</v>
      </c>
      <c r="K1106" s="1" t="s">
        <v>996</v>
      </c>
      <c r="L1106" s="1">
        <v>4500</v>
      </c>
      <c r="M1106" s="3">
        <v>45951</v>
      </c>
      <c r="N1106" s="1" t="s">
        <v>57</v>
      </c>
      <c r="O1106" s="1" t="s">
        <v>998</v>
      </c>
      <c r="P1106" s="1">
        <v>1</v>
      </c>
    </row>
    <row r="1107" spans="1:16" x14ac:dyDescent="0.25">
      <c r="A1107" s="3">
        <v>45950</v>
      </c>
      <c r="B1107" s="4">
        <v>9046</v>
      </c>
      <c r="C1107" s="5">
        <v>22560</v>
      </c>
      <c r="D1107" s="1" t="s">
        <v>973</v>
      </c>
      <c r="E1107" s="1" t="s">
        <v>1068</v>
      </c>
      <c r="F1107" s="1" t="s">
        <v>304</v>
      </c>
      <c r="G1107" s="1" t="s">
        <v>998</v>
      </c>
      <c r="H1107" s="3">
        <v>45965</v>
      </c>
      <c r="I1107" s="1" t="s">
        <v>933</v>
      </c>
      <c r="J1107" s="1" t="s">
        <v>66</v>
      </c>
      <c r="K1107" s="1" t="s">
        <v>996</v>
      </c>
      <c r="L1107" s="1">
        <v>4000</v>
      </c>
      <c r="M1107" s="3">
        <v>45951</v>
      </c>
      <c r="N1107" s="1" t="s">
        <v>57</v>
      </c>
      <c r="O1107" s="1" t="s">
        <v>998</v>
      </c>
      <c r="P1107" s="1">
        <v>1</v>
      </c>
    </row>
    <row r="1108" spans="1:16" x14ac:dyDescent="0.25">
      <c r="A1108" s="3">
        <v>45950</v>
      </c>
      <c r="B1108" s="4">
        <v>9040</v>
      </c>
      <c r="C1108" s="5">
        <v>2503.64</v>
      </c>
      <c r="D1108" s="1" t="s">
        <v>973</v>
      </c>
      <c r="E1108" s="1" t="s">
        <v>1068</v>
      </c>
      <c r="F1108" s="1" t="s">
        <v>1814</v>
      </c>
      <c r="G1108" s="1" t="s">
        <v>998</v>
      </c>
      <c r="H1108" s="3">
        <v>45965</v>
      </c>
      <c r="I1108" s="1" t="s">
        <v>933</v>
      </c>
      <c r="J1108" s="1" t="s">
        <v>66</v>
      </c>
      <c r="K1108" s="1" t="s">
        <v>340</v>
      </c>
      <c r="L1108" s="1" t="s">
        <v>2405</v>
      </c>
      <c r="M1108" s="3">
        <v>45951</v>
      </c>
      <c r="N1108" s="1" t="s">
        <v>1814</v>
      </c>
      <c r="O1108" s="1" t="s">
        <v>998</v>
      </c>
      <c r="P1108" s="1">
        <v>1</v>
      </c>
    </row>
    <row r="1109" spans="1:16" x14ac:dyDescent="0.25">
      <c r="A1109" s="3">
        <v>45950</v>
      </c>
      <c r="B1109" s="1">
        <v>99</v>
      </c>
      <c r="C1109" s="5">
        <v>450</v>
      </c>
      <c r="D1109" s="1" t="s">
        <v>1229</v>
      </c>
      <c r="E1109" s="1" t="s">
        <v>1230</v>
      </c>
      <c r="F1109" s="1" t="s">
        <v>451</v>
      </c>
      <c r="G1109" s="1" t="s">
        <v>940</v>
      </c>
      <c r="H1109" s="3">
        <v>45965</v>
      </c>
      <c r="I1109" s="1" t="s">
        <v>933</v>
      </c>
      <c r="J1109" s="1" t="s">
        <v>66</v>
      </c>
      <c r="K1109" s="1" t="s">
        <v>340</v>
      </c>
      <c r="L1109" s="1" t="s">
        <v>2406</v>
      </c>
      <c r="M1109" s="3">
        <v>45951</v>
      </c>
      <c r="N1109" s="1" t="s">
        <v>212</v>
      </c>
      <c r="O1109" s="1" t="s">
        <v>990</v>
      </c>
      <c r="P1109" s="1">
        <v>1</v>
      </c>
    </row>
    <row r="1110" spans="1:16" x14ac:dyDescent="0.25">
      <c r="A1110" s="3">
        <v>45950</v>
      </c>
      <c r="B1110" s="1">
        <v>100</v>
      </c>
      <c r="C1110" s="5">
        <v>188</v>
      </c>
      <c r="D1110" s="1" t="s">
        <v>1229</v>
      </c>
      <c r="E1110" s="1" t="s">
        <v>1230</v>
      </c>
      <c r="F1110" s="1" t="s">
        <v>721</v>
      </c>
      <c r="G1110" s="1" t="s">
        <v>940</v>
      </c>
      <c r="H1110" s="3">
        <v>45965</v>
      </c>
      <c r="I1110" s="1" t="s">
        <v>933</v>
      </c>
      <c r="J1110" s="1" t="s">
        <v>66</v>
      </c>
      <c r="K1110" s="1" t="s">
        <v>340</v>
      </c>
      <c r="L1110" s="1" t="s">
        <v>2407</v>
      </c>
      <c r="M1110" s="3">
        <v>45951</v>
      </c>
      <c r="N1110" s="1" t="s">
        <v>712</v>
      </c>
      <c r="O1110" s="1" t="s">
        <v>990</v>
      </c>
      <c r="P1110" s="1">
        <v>1</v>
      </c>
    </row>
    <row r="1111" spans="1:16" x14ac:dyDescent="0.25">
      <c r="A1111" s="3">
        <v>45950</v>
      </c>
      <c r="B1111" s="1">
        <v>102</v>
      </c>
      <c r="C1111" s="5">
        <v>255</v>
      </c>
      <c r="D1111" s="1" t="s">
        <v>1229</v>
      </c>
      <c r="E1111" s="1" t="s">
        <v>1230</v>
      </c>
      <c r="F1111" s="1" t="s">
        <v>721</v>
      </c>
      <c r="G1111" s="1" t="s">
        <v>940</v>
      </c>
      <c r="H1111" s="3">
        <v>45965</v>
      </c>
      <c r="I1111" s="1" t="s">
        <v>933</v>
      </c>
      <c r="J1111" s="1" t="s">
        <v>66</v>
      </c>
      <c r="K1111" s="1" t="s">
        <v>340</v>
      </c>
      <c r="L1111" s="1" t="s">
        <v>2408</v>
      </c>
      <c r="M1111" s="3">
        <v>45951</v>
      </c>
      <c r="N1111" s="1" t="s">
        <v>712</v>
      </c>
      <c r="O1111" s="1" t="s">
        <v>990</v>
      </c>
      <c r="P1111" s="1">
        <v>1</v>
      </c>
    </row>
    <row r="1112" spans="1:16" x14ac:dyDescent="0.25">
      <c r="A1112" s="3">
        <v>45950</v>
      </c>
      <c r="B1112" s="1">
        <v>103</v>
      </c>
      <c r="C1112" s="5">
        <v>156</v>
      </c>
      <c r="D1112" s="1" t="s">
        <v>1229</v>
      </c>
      <c r="E1112" s="1" t="s">
        <v>1230</v>
      </c>
      <c r="F1112" s="1" t="s">
        <v>191</v>
      </c>
      <c r="G1112" s="1" t="s">
        <v>940</v>
      </c>
      <c r="H1112" s="3">
        <v>45965</v>
      </c>
      <c r="I1112" s="1" t="s">
        <v>933</v>
      </c>
      <c r="J1112" s="1" t="s">
        <v>66</v>
      </c>
      <c r="K1112" s="1" t="s">
        <v>340</v>
      </c>
      <c r="L1112" s="1" t="s">
        <v>2409</v>
      </c>
      <c r="M1112" s="3">
        <v>45951</v>
      </c>
      <c r="N1112" s="1" t="s">
        <v>190</v>
      </c>
      <c r="O1112" s="1" t="s">
        <v>990</v>
      </c>
      <c r="P1112" s="1">
        <v>1</v>
      </c>
    </row>
    <row r="1113" spans="1:16" x14ac:dyDescent="0.25">
      <c r="A1113" s="3">
        <v>45950</v>
      </c>
      <c r="B1113" s="1">
        <v>101</v>
      </c>
      <c r="C1113" s="5">
        <v>440</v>
      </c>
      <c r="D1113" s="1" t="s">
        <v>1229</v>
      </c>
      <c r="E1113" s="1" t="s">
        <v>1230</v>
      </c>
      <c r="F1113" s="1" t="s">
        <v>775</v>
      </c>
      <c r="G1113" s="1" t="s">
        <v>940</v>
      </c>
      <c r="H1113" s="3">
        <v>45965</v>
      </c>
      <c r="I1113" s="1" t="s">
        <v>933</v>
      </c>
      <c r="J1113" s="1" t="s">
        <v>66</v>
      </c>
      <c r="K1113" s="1" t="s">
        <v>340</v>
      </c>
      <c r="L1113" s="1" t="s">
        <v>2410</v>
      </c>
      <c r="M1113" s="3">
        <v>45951</v>
      </c>
      <c r="N1113" s="1" t="s">
        <v>580</v>
      </c>
      <c r="O1113" s="1" t="s">
        <v>990</v>
      </c>
      <c r="P1113" s="1">
        <v>1</v>
      </c>
    </row>
    <row r="1114" spans="1:16" x14ac:dyDescent="0.25">
      <c r="A1114" s="3">
        <v>45950</v>
      </c>
      <c r="B1114" s="1">
        <v>104</v>
      </c>
      <c r="C1114" s="5">
        <v>115</v>
      </c>
      <c r="D1114" s="1" t="s">
        <v>1229</v>
      </c>
      <c r="E1114" s="1" t="s">
        <v>1230</v>
      </c>
      <c r="F1114" s="1" t="s">
        <v>775</v>
      </c>
      <c r="G1114" s="1" t="s">
        <v>940</v>
      </c>
      <c r="H1114" s="3">
        <v>45965</v>
      </c>
      <c r="I1114" s="1" t="s">
        <v>933</v>
      </c>
      <c r="J1114" s="1" t="s">
        <v>66</v>
      </c>
      <c r="K1114" s="1" t="s">
        <v>340</v>
      </c>
      <c r="L1114" s="1" t="s">
        <v>2411</v>
      </c>
      <c r="M1114" s="3">
        <v>45951</v>
      </c>
      <c r="N1114" s="1" t="s">
        <v>580</v>
      </c>
      <c r="O1114" s="1" t="s">
        <v>990</v>
      </c>
      <c r="P1114" s="1">
        <v>1</v>
      </c>
    </row>
    <row r="1115" spans="1:16" x14ac:dyDescent="0.25">
      <c r="A1115" s="3">
        <v>45950</v>
      </c>
      <c r="B1115" s="1">
        <v>105</v>
      </c>
      <c r="C1115" s="5">
        <v>1390</v>
      </c>
      <c r="D1115" s="1" t="s">
        <v>1229</v>
      </c>
      <c r="E1115" s="1" t="s">
        <v>1230</v>
      </c>
      <c r="F1115" s="1" t="s">
        <v>1814</v>
      </c>
      <c r="G1115" s="1" t="s">
        <v>940</v>
      </c>
      <c r="H1115" s="3">
        <v>45965</v>
      </c>
      <c r="I1115" s="1" t="s">
        <v>1814</v>
      </c>
      <c r="J1115" s="1" t="s">
        <v>66</v>
      </c>
      <c r="K1115" s="1" t="s">
        <v>340</v>
      </c>
      <c r="L1115" s="1" t="s">
        <v>2412</v>
      </c>
      <c r="M1115" s="3">
        <v>45951</v>
      </c>
      <c r="N1115" s="1" t="s">
        <v>1814</v>
      </c>
      <c r="O1115" s="1" t="s">
        <v>990</v>
      </c>
      <c r="P1115" s="1">
        <v>1</v>
      </c>
    </row>
    <row r="1116" spans="1:16" x14ac:dyDescent="0.25">
      <c r="A1116" s="3">
        <v>45950</v>
      </c>
      <c r="B1116" s="1">
        <v>106</v>
      </c>
      <c r="C1116" s="5">
        <v>1390</v>
      </c>
      <c r="D1116" s="1" t="s">
        <v>1229</v>
      </c>
      <c r="E1116" s="1" t="s">
        <v>1230</v>
      </c>
      <c r="F1116" s="1" t="s">
        <v>1814</v>
      </c>
      <c r="G1116" s="1" t="s">
        <v>940</v>
      </c>
      <c r="H1116" s="3">
        <v>45965</v>
      </c>
      <c r="I1116" s="1" t="s">
        <v>1814</v>
      </c>
      <c r="J1116" s="1" t="s">
        <v>66</v>
      </c>
      <c r="K1116" s="1" t="s">
        <v>340</v>
      </c>
      <c r="L1116" s="1" t="s">
        <v>2413</v>
      </c>
      <c r="M1116" s="3">
        <v>45951</v>
      </c>
      <c r="N1116" s="1" t="s">
        <v>1814</v>
      </c>
      <c r="O1116" s="1" t="s">
        <v>990</v>
      </c>
      <c r="P1116" s="1">
        <v>1</v>
      </c>
    </row>
    <row r="1117" spans="1:16" x14ac:dyDescent="0.25">
      <c r="A1117" s="3">
        <v>45950</v>
      </c>
      <c r="B1117" s="1">
        <v>107</v>
      </c>
      <c r="C1117" s="5">
        <v>732</v>
      </c>
      <c r="D1117" s="1" t="s">
        <v>1229</v>
      </c>
      <c r="E1117" s="1" t="s">
        <v>1230</v>
      </c>
      <c r="F1117" s="1" t="s">
        <v>182</v>
      </c>
      <c r="G1117" s="1" t="s">
        <v>940</v>
      </c>
      <c r="H1117" s="3">
        <v>45965</v>
      </c>
      <c r="I1117" s="1" t="s">
        <v>933</v>
      </c>
      <c r="J1117" s="1" t="s">
        <v>66</v>
      </c>
      <c r="K1117" s="1" t="s">
        <v>1654</v>
      </c>
      <c r="L1117" s="1" t="s">
        <v>2414</v>
      </c>
      <c r="M1117" s="3">
        <v>45951</v>
      </c>
      <c r="N1117" s="1" t="s">
        <v>93</v>
      </c>
      <c r="O1117" s="1" t="s">
        <v>990</v>
      </c>
      <c r="P1117" s="1">
        <v>1</v>
      </c>
    </row>
    <row r="1118" spans="1:16" x14ac:dyDescent="0.25">
      <c r="A1118" s="3">
        <v>45950</v>
      </c>
      <c r="B1118" s="1">
        <v>108</v>
      </c>
      <c r="C1118" s="5">
        <v>185</v>
      </c>
      <c r="D1118" s="1" t="s">
        <v>1229</v>
      </c>
      <c r="E1118" s="1" t="s">
        <v>1230</v>
      </c>
      <c r="F1118" s="1" t="s">
        <v>955</v>
      </c>
      <c r="G1118" s="1" t="s">
        <v>940</v>
      </c>
      <c r="H1118" s="3">
        <v>45965</v>
      </c>
      <c r="I1118" s="1" t="s">
        <v>933</v>
      </c>
      <c r="J1118" s="1" t="s">
        <v>951</v>
      </c>
      <c r="K1118" s="1" t="s">
        <v>817</v>
      </c>
      <c r="L1118" s="1" t="s">
        <v>2415</v>
      </c>
      <c r="M1118" s="3">
        <v>45951</v>
      </c>
      <c r="N1118" s="1" t="s">
        <v>821</v>
      </c>
      <c r="O1118" s="1" t="s">
        <v>990</v>
      </c>
      <c r="P1118" s="1">
        <v>1</v>
      </c>
    </row>
    <row r="1119" spans="1:16" x14ac:dyDescent="0.25">
      <c r="A1119" s="3">
        <v>45950</v>
      </c>
      <c r="B1119" s="1">
        <v>109</v>
      </c>
      <c r="C1119" s="5">
        <v>1845</v>
      </c>
      <c r="D1119" s="1" t="s">
        <v>1229</v>
      </c>
      <c r="E1119" s="1" t="s">
        <v>1230</v>
      </c>
      <c r="F1119" s="1" t="s">
        <v>437</v>
      </c>
      <c r="G1119" s="1" t="s">
        <v>940</v>
      </c>
      <c r="H1119" s="3">
        <v>45965</v>
      </c>
      <c r="I1119" s="1" t="s">
        <v>933</v>
      </c>
      <c r="J1119" s="1" t="s">
        <v>66</v>
      </c>
      <c r="K1119" s="1" t="s">
        <v>308</v>
      </c>
      <c r="L1119" s="1" t="s">
        <v>2416</v>
      </c>
      <c r="M1119" s="3">
        <v>45951</v>
      </c>
      <c r="N1119" s="1" t="s">
        <v>440</v>
      </c>
      <c r="O1119" s="1" t="s">
        <v>990</v>
      </c>
      <c r="P1119" s="1">
        <v>1</v>
      </c>
    </row>
    <row r="1120" spans="1:16" x14ac:dyDescent="0.25">
      <c r="A1120" s="3">
        <v>45950</v>
      </c>
      <c r="B1120" s="1">
        <v>111</v>
      </c>
      <c r="C1120" s="5">
        <v>1613</v>
      </c>
      <c r="D1120" s="1" t="s">
        <v>1229</v>
      </c>
      <c r="E1120" s="1" t="s">
        <v>1230</v>
      </c>
      <c r="F1120" s="1" t="s">
        <v>1814</v>
      </c>
      <c r="G1120" s="1" t="s">
        <v>940</v>
      </c>
      <c r="H1120" s="3">
        <v>45967</v>
      </c>
      <c r="I1120" s="1" t="s">
        <v>1814</v>
      </c>
      <c r="J1120" s="1" t="s">
        <v>66</v>
      </c>
      <c r="K1120" s="1" t="s">
        <v>340</v>
      </c>
      <c r="L1120" s="1" t="s">
        <v>2417</v>
      </c>
      <c r="M1120" s="3">
        <v>45952</v>
      </c>
      <c r="N1120" s="1" t="s">
        <v>1814</v>
      </c>
      <c r="O1120" s="1" t="s">
        <v>990</v>
      </c>
      <c r="P1120" s="1">
        <v>1</v>
      </c>
    </row>
    <row r="1121" spans="1:16" x14ac:dyDescent="0.25">
      <c r="A1121" s="3">
        <v>45950</v>
      </c>
      <c r="B1121" s="1">
        <v>112</v>
      </c>
      <c r="C1121" s="5">
        <v>1613</v>
      </c>
      <c r="D1121" s="1" t="s">
        <v>1229</v>
      </c>
      <c r="E1121" s="1" t="s">
        <v>1230</v>
      </c>
      <c r="F1121" s="1" t="s">
        <v>1814</v>
      </c>
      <c r="G1121" s="1" t="s">
        <v>940</v>
      </c>
      <c r="H1121" s="3">
        <v>45967</v>
      </c>
      <c r="I1121" s="1" t="s">
        <v>1814</v>
      </c>
      <c r="J1121" s="1" t="s">
        <v>66</v>
      </c>
      <c r="K1121" s="1" t="s">
        <v>340</v>
      </c>
      <c r="L1121" s="1" t="s">
        <v>2417</v>
      </c>
      <c r="M1121" s="3">
        <v>45952</v>
      </c>
      <c r="N1121" s="1" t="s">
        <v>1814</v>
      </c>
      <c r="O1121" s="1" t="s">
        <v>990</v>
      </c>
      <c r="P1121" s="1">
        <v>1</v>
      </c>
    </row>
    <row r="1122" spans="1:16" x14ac:dyDescent="0.25">
      <c r="A1122" s="3">
        <v>45950</v>
      </c>
      <c r="B1122" s="1">
        <v>113</v>
      </c>
      <c r="C1122" s="5">
        <v>65</v>
      </c>
      <c r="D1122" s="1" t="s">
        <v>1229</v>
      </c>
      <c r="E1122" s="1" t="s">
        <v>1230</v>
      </c>
      <c r="F1122" s="1" t="s">
        <v>955</v>
      </c>
      <c r="G1122" s="1" t="s">
        <v>940</v>
      </c>
      <c r="H1122" s="3">
        <v>45967</v>
      </c>
      <c r="I1122" s="1" t="s">
        <v>933</v>
      </c>
      <c r="J1122" s="1" t="s">
        <v>951</v>
      </c>
      <c r="K1122" s="1" t="s">
        <v>934</v>
      </c>
      <c r="L1122" s="1" t="s">
        <v>2418</v>
      </c>
      <c r="M1122" s="3">
        <v>45952</v>
      </c>
      <c r="N1122" s="1" t="s">
        <v>821</v>
      </c>
      <c r="O1122" s="1" t="s">
        <v>990</v>
      </c>
      <c r="P1122" s="1">
        <v>1</v>
      </c>
    </row>
    <row r="1123" spans="1:16" x14ac:dyDescent="0.25">
      <c r="A1123" s="3">
        <v>45950</v>
      </c>
      <c r="B1123" s="1">
        <v>114</v>
      </c>
      <c r="C1123" s="5">
        <v>1557</v>
      </c>
      <c r="D1123" s="1" t="s">
        <v>1229</v>
      </c>
      <c r="E1123" s="1" t="s">
        <v>1230</v>
      </c>
      <c r="F1123" s="1" t="s">
        <v>533</v>
      </c>
      <c r="G1123" s="1" t="s">
        <v>940</v>
      </c>
      <c r="H1123" s="3">
        <v>45967</v>
      </c>
      <c r="I1123" s="1" t="s">
        <v>933</v>
      </c>
      <c r="J1123" s="1" t="s">
        <v>66</v>
      </c>
      <c r="K1123" s="1" t="s">
        <v>308</v>
      </c>
      <c r="L1123" s="1" t="s">
        <v>2419</v>
      </c>
      <c r="M1123" s="3">
        <v>45952</v>
      </c>
      <c r="N1123" s="1" t="s">
        <v>57</v>
      </c>
      <c r="O1123" s="1" t="s">
        <v>990</v>
      </c>
      <c r="P1123" s="1">
        <v>1</v>
      </c>
    </row>
    <row r="1124" spans="1:16" x14ac:dyDescent="0.25">
      <c r="A1124" s="3">
        <v>45950</v>
      </c>
      <c r="B1124" s="1">
        <v>116</v>
      </c>
      <c r="C1124" s="5">
        <v>100</v>
      </c>
      <c r="D1124" s="1" t="s">
        <v>1229</v>
      </c>
      <c r="E1124" s="1" t="s">
        <v>1230</v>
      </c>
      <c r="F1124" s="1" t="s">
        <v>717</v>
      </c>
      <c r="G1124" s="1" t="s">
        <v>940</v>
      </c>
      <c r="H1124" s="3">
        <v>45967</v>
      </c>
      <c r="I1124" s="1" t="s">
        <v>933</v>
      </c>
      <c r="J1124" s="1" t="s">
        <v>66</v>
      </c>
      <c r="K1124" s="1" t="s">
        <v>340</v>
      </c>
      <c r="L1124" s="1" t="s">
        <v>2420</v>
      </c>
      <c r="M1124" s="3">
        <v>45952</v>
      </c>
      <c r="N1124" s="1" t="s">
        <v>712</v>
      </c>
      <c r="O1124" s="1" t="s">
        <v>990</v>
      </c>
      <c r="P1124" s="1">
        <v>1</v>
      </c>
    </row>
    <row r="1125" spans="1:16" x14ac:dyDescent="0.25">
      <c r="A1125" s="3">
        <v>45950</v>
      </c>
      <c r="B1125" s="1">
        <v>117</v>
      </c>
      <c r="C1125" s="5">
        <v>100</v>
      </c>
      <c r="D1125" s="1" t="s">
        <v>1229</v>
      </c>
      <c r="E1125" s="1" t="s">
        <v>1230</v>
      </c>
      <c r="F1125" s="1" t="s">
        <v>955</v>
      </c>
      <c r="G1125" s="1" t="s">
        <v>940</v>
      </c>
      <c r="H1125" s="3">
        <v>45967</v>
      </c>
      <c r="I1125" s="1" t="s">
        <v>933</v>
      </c>
      <c r="J1125" s="1" t="s">
        <v>2421</v>
      </c>
      <c r="K1125" s="1" t="s">
        <v>977</v>
      </c>
      <c r="L1125" s="1" t="s">
        <v>2422</v>
      </c>
      <c r="M1125" s="3">
        <v>45952</v>
      </c>
      <c r="N1125" s="1" t="s">
        <v>821</v>
      </c>
      <c r="O1125" s="1" t="s">
        <v>990</v>
      </c>
      <c r="P1125" s="1">
        <v>1</v>
      </c>
    </row>
    <row r="1126" spans="1:16" x14ac:dyDescent="0.25">
      <c r="A1126" s="3">
        <v>45950</v>
      </c>
      <c r="B1126" s="1">
        <v>118</v>
      </c>
      <c r="C1126" s="5">
        <v>100</v>
      </c>
      <c r="D1126" s="1" t="s">
        <v>1229</v>
      </c>
      <c r="E1126" s="1" t="s">
        <v>1230</v>
      </c>
      <c r="F1126" s="1" t="s">
        <v>955</v>
      </c>
      <c r="G1126" s="1" t="s">
        <v>940</v>
      </c>
      <c r="H1126" s="3">
        <v>45967</v>
      </c>
      <c r="I1126" s="1" t="s">
        <v>933</v>
      </c>
      <c r="J1126" s="1" t="s">
        <v>951</v>
      </c>
      <c r="K1126" s="1" t="s">
        <v>487</v>
      </c>
      <c r="L1126" s="1" t="s">
        <v>2423</v>
      </c>
      <c r="M1126" s="3">
        <v>45952</v>
      </c>
      <c r="N1126" s="1" t="s">
        <v>821</v>
      </c>
      <c r="O1126" s="1" t="s">
        <v>990</v>
      </c>
      <c r="P1126" s="1">
        <v>1</v>
      </c>
    </row>
    <row r="1127" spans="1:16" x14ac:dyDescent="0.25">
      <c r="A1127" s="3">
        <v>45950</v>
      </c>
      <c r="B1127" s="1">
        <v>119</v>
      </c>
      <c r="C1127" s="5">
        <v>65</v>
      </c>
      <c r="D1127" s="1" t="s">
        <v>1229</v>
      </c>
      <c r="E1127" s="1" t="s">
        <v>1230</v>
      </c>
      <c r="F1127" s="1" t="s">
        <v>719</v>
      </c>
      <c r="G1127" s="1" t="s">
        <v>940</v>
      </c>
      <c r="H1127" s="3">
        <v>45967</v>
      </c>
      <c r="I1127" s="1" t="s">
        <v>933</v>
      </c>
      <c r="J1127" s="1" t="s">
        <v>66</v>
      </c>
      <c r="K1127" s="1" t="s">
        <v>340</v>
      </c>
      <c r="L1127" s="1" t="s">
        <v>2424</v>
      </c>
      <c r="M1127" s="3">
        <v>45952</v>
      </c>
      <c r="N1127" s="1" t="s">
        <v>712</v>
      </c>
      <c r="O1127" s="1" t="s">
        <v>990</v>
      </c>
      <c r="P1127" s="1">
        <v>1</v>
      </c>
    </row>
    <row r="1128" spans="1:16" x14ac:dyDescent="0.25">
      <c r="A1128" s="3">
        <v>45950</v>
      </c>
      <c r="B1128" s="4">
        <v>13096</v>
      </c>
      <c r="C1128" s="5">
        <v>314.57</v>
      </c>
      <c r="D1128" s="1" t="s">
        <v>1064</v>
      </c>
      <c r="E1128" s="1">
        <v>15389901000356</v>
      </c>
      <c r="F1128" s="1" t="s">
        <v>191</v>
      </c>
      <c r="G1128" s="1" t="s">
        <v>940</v>
      </c>
      <c r="H1128" s="3">
        <v>45967</v>
      </c>
      <c r="I1128" s="1" t="s">
        <v>933</v>
      </c>
      <c r="J1128" s="1" t="s">
        <v>66</v>
      </c>
      <c r="K1128" s="1" t="s">
        <v>340</v>
      </c>
      <c r="L1128" s="1" t="s">
        <v>2425</v>
      </c>
      <c r="M1128" s="3">
        <v>45952</v>
      </c>
      <c r="N1128" s="1" t="s">
        <v>190</v>
      </c>
      <c r="O1128" s="1" t="s">
        <v>936</v>
      </c>
      <c r="P1128" s="1">
        <v>1</v>
      </c>
    </row>
    <row r="1129" spans="1:16" x14ac:dyDescent="0.25">
      <c r="A1129" s="3">
        <v>45950</v>
      </c>
      <c r="B1129" s="1">
        <v>33</v>
      </c>
      <c r="C1129" s="5">
        <v>1280</v>
      </c>
      <c r="D1129" s="1" t="s">
        <v>1950</v>
      </c>
      <c r="E1129" s="1" t="s">
        <v>1951</v>
      </c>
      <c r="F1129" s="1" t="s">
        <v>955</v>
      </c>
      <c r="G1129" s="1" t="s">
        <v>1058</v>
      </c>
      <c r="H1129" s="3">
        <v>45967</v>
      </c>
      <c r="I1129" s="1" t="s">
        <v>933</v>
      </c>
      <c r="J1129" s="1" t="s">
        <v>951</v>
      </c>
      <c r="K1129" s="1" t="s">
        <v>340</v>
      </c>
      <c r="L1129" s="1" t="s">
        <v>2426</v>
      </c>
      <c r="M1129" s="3">
        <v>45952</v>
      </c>
      <c r="N1129" s="1" t="s">
        <v>821</v>
      </c>
      <c r="O1129" s="1" t="s">
        <v>936</v>
      </c>
      <c r="P1129" s="1" t="s">
        <v>937</v>
      </c>
    </row>
    <row r="1130" spans="1:16" x14ac:dyDescent="0.25">
      <c r="A1130" s="3">
        <v>45950</v>
      </c>
      <c r="B1130" s="4">
        <v>1093</v>
      </c>
      <c r="C1130" s="5">
        <v>60</v>
      </c>
      <c r="D1130" s="1" t="s">
        <v>1074</v>
      </c>
      <c r="E1130" s="1" t="s">
        <v>1075</v>
      </c>
      <c r="F1130" s="1" t="s">
        <v>955</v>
      </c>
      <c r="G1130" s="1" t="s">
        <v>2101</v>
      </c>
      <c r="H1130" s="3">
        <v>45967</v>
      </c>
      <c r="I1130" s="1" t="s">
        <v>933</v>
      </c>
      <c r="J1130" s="1" t="s">
        <v>951</v>
      </c>
      <c r="K1130" s="1" t="s">
        <v>340</v>
      </c>
      <c r="L1130" s="1" t="s">
        <v>2427</v>
      </c>
      <c r="M1130" s="3">
        <v>45952</v>
      </c>
      <c r="N1130" s="1" t="s">
        <v>821</v>
      </c>
      <c r="O1130" s="1" t="s">
        <v>936</v>
      </c>
      <c r="P1130" s="1">
        <v>1</v>
      </c>
    </row>
    <row r="1131" spans="1:16" x14ac:dyDescent="0.25">
      <c r="A1131" s="3">
        <v>45950</v>
      </c>
      <c r="B1131" s="4">
        <v>1093</v>
      </c>
      <c r="C1131" s="5">
        <v>90</v>
      </c>
      <c r="D1131" s="1" t="s">
        <v>1074</v>
      </c>
      <c r="E1131" s="1" t="s">
        <v>1075</v>
      </c>
      <c r="F1131" s="1" t="s">
        <v>426</v>
      </c>
      <c r="G1131" s="1" t="s">
        <v>2101</v>
      </c>
      <c r="H1131" s="3">
        <v>45967</v>
      </c>
      <c r="I1131" s="1" t="s">
        <v>933</v>
      </c>
      <c r="J1131" s="1" t="s">
        <v>66</v>
      </c>
      <c r="K1131" s="1" t="s">
        <v>308</v>
      </c>
      <c r="L1131" s="1" t="s">
        <v>2428</v>
      </c>
      <c r="M1131" s="3">
        <v>45952</v>
      </c>
      <c r="N1131" s="1" t="s">
        <v>429</v>
      </c>
      <c r="O1131" s="1" t="s">
        <v>936</v>
      </c>
      <c r="P1131" s="1">
        <v>1</v>
      </c>
    </row>
    <row r="1132" spans="1:16" x14ac:dyDescent="0.25">
      <c r="A1132" s="3">
        <v>45950</v>
      </c>
      <c r="B1132" s="4">
        <v>1093</v>
      </c>
      <c r="C1132" s="5">
        <v>40</v>
      </c>
      <c r="D1132" s="1" t="s">
        <v>1074</v>
      </c>
      <c r="E1132" s="1" t="s">
        <v>1075</v>
      </c>
      <c r="F1132" s="1" t="s">
        <v>639</v>
      </c>
      <c r="G1132" s="1" t="s">
        <v>2101</v>
      </c>
      <c r="H1132" s="3">
        <v>45967</v>
      </c>
      <c r="I1132" s="1" t="s">
        <v>933</v>
      </c>
      <c r="J1132" s="1" t="s">
        <v>66</v>
      </c>
      <c r="K1132" s="1" t="s">
        <v>977</v>
      </c>
      <c r="L1132" s="1" t="s">
        <v>2429</v>
      </c>
      <c r="M1132" s="3">
        <v>45952</v>
      </c>
      <c r="N1132" s="1" t="s">
        <v>98</v>
      </c>
      <c r="O1132" s="1" t="s">
        <v>936</v>
      </c>
      <c r="P1132" s="1">
        <v>1</v>
      </c>
    </row>
    <row r="1133" spans="1:16" x14ac:dyDescent="0.25">
      <c r="A1133" s="3">
        <v>45950</v>
      </c>
      <c r="B1133" s="4">
        <v>1094</v>
      </c>
      <c r="C1133" s="5">
        <v>380</v>
      </c>
      <c r="D1133" s="1" t="s">
        <v>1074</v>
      </c>
      <c r="E1133" s="1" t="s">
        <v>1075</v>
      </c>
      <c r="F1133" s="1" t="s">
        <v>955</v>
      </c>
      <c r="G1133" s="1" t="s">
        <v>1058</v>
      </c>
      <c r="H1133" s="3">
        <v>45967</v>
      </c>
      <c r="I1133" s="1" t="s">
        <v>933</v>
      </c>
      <c r="J1133" s="1" t="s">
        <v>951</v>
      </c>
      <c r="K1133" s="1" t="s">
        <v>52</v>
      </c>
      <c r="L1133" s="1" t="s">
        <v>2430</v>
      </c>
      <c r="M1133" s="3">
        <v>45952</v>
      </c>
      <c r="N1133" s="1" t="s">
        <v>821</v>
      </c>
      <c r="O1133" s="1" t="s">
        <v>936</v>
      </c>
      <c r="P1133" s="1">
        <v>1</v>
      </c>
    </row>
    <row r="1134" spans="1:16" x14ac:dyDescent="0.25">
      <c r="A1134" s="3">
        <v>45950</v>
      </c>
      <c r="B1134" s="4">
        <v>1094</v>
      </c>
      <c r="C1134" s="5">
        <v>280</v>
      </c>
      <c r="D1134" s="1" t="s">
        <v>1074</v>
      </c>
      <c r="E1134" s="1" t="s">
        <v>1075</v>
      </c>
      <c r="F1134" s="1" t="s">
        <v>245</v>
      </c>
      <c r="G1134" s="1" t="s">
        <v>1058</v>
      </c>
      <c r="H1134" s="3">
        <v>45967</v>
      </c>
      <c r="I1134" s="1" t="s">
        <v>933</v>
      </c>
      <c r="J1134" s="1" t="s">
        <v>66</v>
      </c>
      <c r="K1134" s="1" t="s">
        <v>308</v>
      </c>
      <c r="L1134" s="1" t="s">
        <v>2431</v>
      </c>
      <c r="M1134" s="3">
        <v>45952</v>
      </c>
      <c r="N1134" s="1" t="s">
        <v>57</v>
      </c>
      <c r="O1134" s="1" t="s">
        <v>936</v>
      </c>
      <c r="P1134" s="1">
        <v>1</v>
      </c>
    </row>
    <row r="1135" spans="1:16" x14ac:dyDescent="0.25">
      <c r="A1135" s="3">
        <v>45950</v>
      </c>
      <c r="B1135" s="4">
        <v>1094</v>
      </c>
      <c r="C1135" s="5">
        <v>80</v>
      </c>
      <c r="D1135" s="1" t="s">
        <v>1074</v>
      </c>
      <c r="E1135" s="1" t="s">
        <v>1075</v>
      </c>
      <c r="F1135" s="1" t="s">
        <v>955</v>
      </c>
      <c r="G1135" s="1" t="s">
        <v>1058</v>
      </c>
      <c r="H1135" s="3">
        <v>45967</v>
      </c>
      <c r="I1135" s="1" t="s">
        <v>933</v>
      </c>
      <c r="J1135" s="1" t="s">
        <v>951</v>
      </c>
      <c r="K1135" s="1" t="s">
        <v>934</v>
      </c>
      <c r="L1135" s="1" t="s">
        <v>2432</v>
      </c>
      <c r="M1135" s="3">
        <v>45952</v>
      </c>
      <c r="N1135" s="1" t="s">
        <v>821</v>
      </c>
      <c r="O1135" s="1" t="s">
        <v>936</v>
      </c>
      <c r="P1135" s="1">
        <v>1</v>
      </c>
    </row>
    <row r="1136" spans="1:16" x14ac:dyDescent="0.25">
      <c r="A1136" s="3">
        <v>45950</v>
      </c>
      <c r="B1136" s="4">
        <v>1094</v>
      </c>
      <c r="C1136" s="5">
        <v>280</v>
      </c>
      <c r="D1136" s="1" t="s">
        <v>1074</v>
      </c>
      <c r="E1136" s="1" t="s">
        <v>1075</v>
      </c>
      <c r="F1136" s="1" t="s">
        <v>307</v>
      </c>
      <c r="G1136" s="1" t="s">
        <v>1058</v>
      </c>
      <c r="H1136" s="3">
        <v>45967</v>
      </c>
      <c r="I1136" s="1" t="s">
        <v>933</v>
      </c>
      <c r="J1136" s="1" t="s">
        <v>66</v>
      </c>
      <c r="K1136" s="1" t="s">
        <v>308</v>
      </c>
      <c r="L1136" s="1" t="s">
        <v>2433</v>
      </c>
      <c r="M1136" s="3">
        <v>45952</v>
      </c>
      <c r="N1136" s="1" t="s">
        <v>57</v>
      </c>
      <c r="O1136" s="1" t="s">
        <v>936</v>
      </c>
      <c r="P1136" s="1">
        <v>1</v>
      </c>
    </row>
    <row r="1137" spans="1:16" x14ac:dyDescent="0.25">
      <c r="A1137" s="3">
        <v>45950</v>
      </c>
      <c r="B1137" s="4">
        <v>1094</v>
      </c>
      <c r="C1137" s="5">
        <v>220</v>
      </c>
      <c r="D1137" s="1" t="s">
        <v>1074</v>
      </c>
      <c r="E1137" s="1" t="s">
        <v>1075</v>
      </c>
      <c r="F1137" s="1" t="s">
        <v>457</v>
      </c>
      <c r="G1137" s="1" t="s">
        <v>1058</v>
      </c>
      <c r="H1137" s="3">
        <v>45967</v>
      </c>
      <c r="I1137" s="1" t="s">
        <v>933</v>
      </c>
      <c r="J1137" s="1" t="s">
        <v>66</v>
      </c>
      <c r="K1137" s="1" t="s">
        <v>308</v>
      </c>
      <c r="L1137" s="1" t="s">
        <v>2434</v>
      </c>
      <c r="M1137" s="3">
        <v>45952</v>
      </c>
      <c r="N1137" s="1" t="s">
        <v>358</v>
      </c>
      <c r="O1137" s="1" t="s">
        <v>936</v>
      </c>
      <c r="P1137" s="1">
        <v>1</v>
      </c>
    </row>
    <row r="1138" spans="1:16" x14ac:dyDescent="0.25">
      <c r="A1138" s="3">
        <v>45950</v>
      </c>
      <c r="B1138" s="4">
        <v>1094</v>
      </c>
      <c r="C1138" s="5">
        <v>280</v>
      </c>
      <c r="D1138" s="1" t="s">
        <v>1074</v>
      </c>
      <c r="E1138" s="1" t="s">
        <v>1075</v>
      </c>
      <c r="F1138" s="1" t="s">
        <v>1814</v>
      </c>
      <c r="G1138" s="1" t="s">
        <v>1058</v>
      </c>
      <c r="H1138" s="3">
        <v>45967</v>
      </c>
      <c r="I1138" s="1" t="s">
        <v>1814</v>
      </c>
      <c r="J1138" s="1" t="s">
        <v>66</v>
      </c>
      <c r="K1138" s="1" t="s">
        <v>340</v>
      </c>
      <c r="L1138" s="1" t="s">
        <v>2435</v>
      </c>
      <c r="M1138" s="3">
        <v>45952</v>
      </c>
      <c r="N1138" s="1" t="s">
        <v>1814</v>
      </c>
      <c r="O1138" s="1" t="s">
        <v>936</v>
      </c>
      <c r="P1138" s="1">
        <v>1</v>
      </c>
    </row>
    <row r="1139" spans="1:16" x14ac:dyDescent="0.25">
      <c r="A1139" s="3">
        <v>45950</v>
      </c>
      <c r="B1139" s="4">
        <v>1094</v>
      </c>
      <c r="C1139" s="5">
        <v>430</v>
      </c>
      <c r="D1139" s="1" t="s">
        <v>1074</v>
      </c>
      <c r="E1139" s="1" t="s">
        <v>1075</v>
      </c>
      <c r="F1139" s="1" t="s">
        <v>400</v>
      </c>
      <c r="G1139" s="1" t="s">
        <v>1058</v>
      </c>
      <c r="H1139" s="3">
        <v>45967</v>
      </c>
      <c r="I1139" s="1" t="s">
        <v>933</v>
      </c>
      <c r="J1139" s="1" t="s">
        <v>66</v>
      </c>
      <c r="K1139" s="1" t="s">
        <v>340</v>
      </c>
      <c r="L1139" s="1" t="s">
        <v>2436</v>
      </c>
      <c r="M1139" s="3">
        <v>45952</v>
      </c>
      <c r="N1139" s="1" t="s">
        <v>57</v>
      </c>
      <c r="O1139" s="1" t="s">
        <v>936</v>
      </c>
      <c r="P1139" s="1">
        <v>1</v>
      </c>
    </row>
    <row r="1140" spans="1:16" x14ac:dyDescent="0.25">
      <c r="A1140" s="3">
        <v>45950</v>
      </c>
      <c r="B1140" s="4">
        <v>1094</v>
      </c>
      <c r="C1140" s="5">
        <v>230</v>
      </c>
      <c r="D1140" s="1" t="s">
        <v>1074</v>
      </c>
      <c r="E1140" s="1" t="s">
        <v>1075</v>
      </c>
      <c r="F1140" s="1" t="s">
        <v>775</v>
      </c>
      <c r="G1140" s="1" t="s">
        <v>1058</v>
      </c>
      <c r="H1140" s="3">
        <v>45967</v>
      </c>
      <c r="I1140" s="1" t="s">
        <v>933</v>
      </c>
      <c r="J1140" s="1" t="s">
        <v>66</v>
      </c>
      <c r="K1140" s="1" t="s">
        <v>340</v>
      </c>
      <c r="L1140" s="1" t="s">
        <v>2437</v>
      </c>
      <c r="M1140" s="3">
        <v>45952</v>
      </c>
      <c r="N1140" s="1" t="s">
        <v>580</v>
      </c>
      <c r="O1140" s="1" t="s">
        <v>936</v>
      </c>
      <c r="P1140" s="1">
        <v>1</v>
      </c>
    </row>
    <row r="1141" spans="1:16" x14ac:dyDescent="0.25">
      <c r="A1141" s="3">
        <v>45950</v>
      </c>
      <c r="B1141" s="4">
        <v>1094</v>
      </c>
      <c r="C1141" s="5">
        <v>230</v>
      </c>
      <c r="D1141" s="1" t="s">
        <v>1074</v>
      </c>
      <c r="E1141" s="1" t="s">
        <v>1075</v>
      </c>
      <c r="F1141" s="1" t="s">
        <v>451</v>
      </c>
      <c r="G1141" s="1" t="s">
        <v>1058</v>
      </c>
      <c r="H1141" s="3">
        <v>45967</v>
      </c>
      <c r="I1141" s="1" t="s">
        <v>933</v>
      </c>
      <c r="J1141" s="1" t="s">
        <v>66</v>
      </c>
      <c r="K1141" s="1" t="s">
        <v>1654</v>
      </c>
      <c r="L1141" s="1" t="s">
        <v>2437</v>
      </c>
      <c r="M1141" s="3">
        <v>45952</v>
      </c>
      <c r="N1141" s="1" t="s">
        <v>212</v>
      </c>
      <c r="O1141" s="1" t="s">
        <v>936</v>
      </c>
      <c r="P1141" s="1">
        <v>1</v>
      </c>
    </row>
    <row r="1142" spans="1:16" x14ac:dyDescent="0.25">
      <c r="A1142" s="3">
        <v>45950</v>
      </c>
      <c r="B1142" s="4">
        <v>1094</v>
      </c>
      <c r="C1142" s="5">
        <v>80</v>
      </c>
      <c r="D1142" s="1" t="s">
        <v>1074</v>
      </c>
      <c r="E1142" s="1" t="s">
        <v>1075</v>
      </c>
      <c r="F1142" s="1" t="s">
        <v>955</v>
      </c>
      <c r="G1142" s="1" t="s">
        <v>1058</v>
      </c>
      <c r="H1142" s="3">
        <v>45967</v>
      </c>
      <c r="I1142" s="1" t="s">
        <v>933</v>
      </c>
      <c r="J1142" s="1" t="s">
        <v>951</v>
      </c>
      <c r="K1142" s="1" t="s">
        <v>487</v>
      </c>
      <c r="L1142" s="1" t="s">
        <v>2438</v>
      </c>
      <c r="M1142" s="3">
        <v>45952</v>
      </c>
      <c r="N1142" s="1" t="s">
        <v>821</v>
      </c>
      <c r="O1142" s="1" t="s">
        <v>936</v>
      </c>
      <c r="P1142" s="1">
        <v>1</v>
      </c>
    </row>
    <row r="1143" spans="1:16" x14ac:dyDescent="0.25">
      <c r="A1143" s="3">
        <v>45950</v>
      </c>
      <c r="B1143" s="4">
        <v>1094</v>
      </c>
      <c r="C1143" s="5">
        <v>80</v>
      </c>
      <c r="D1143" s="1" t="s">
        <v>1074</v>
      </c>
      <c r="E1143" s="1" t="s">
        <v>1075</v>
      </c>
      <c r="F1143" s="1" t="s">
        <v>955</v>
      </c>
      <c r="G1143" s="1" t="s">
        <v>1058</v>
      </c>
      <c r="H1143" s="3">
        <v>45967</v>
      </c>
      <c r="I1143" s="1" t="s">
        <v>933</v>
      </c>
      <c r="J1143" s="1" t="s">
        <v>951</v>
      </c>
      <c r="K1143" s="1" t="s">
        <v>934</v>
      </c>
      <c r="L1143" s="1" t="s">
        <v>2439</v>
      </c>
      <c r="M1143" s="3">
        <v>45952</v>
      </c>
      <c r="N1143" s="1" t="s">
        <v>821</v>
      </c>
      <c r="O1143" s="1" t="s">
        <v>936</v>
      </c>
      <c r="P1143" s="1">
        <v>1</v>
      </c>
    </row>
    <row r="1144" spans="1:16" x14ac:dyDescent="0.25">
      <c r="A1144" s="3">
        <v>45950</v>
      </c>
      <c r="B1144" s="4">
        <v>1094</v>
      </c>
      <c r="C1144" s="5">
        <v>35</v>
      </c>
      <c r="D1144" s="1" t="s">
        <v>1074</v>
      </c>
      <c r="E1144" s="1" t="s">
        <v>1075</v>
      </c>
      <c r="F1144" s="1" t="s">
        <v>955</v>
      </c>
      <c r="G1144" s="1" t="s">
        <v>1058</v>
      </c>
      <c r="H1144" s="3">
        <v>45967</v>
      </c>
      <c r="I1144" s="1" t="s">
        <v>933</v>
      </c>
      <c r="J1144" s="1" t="s">
        <v>951</v>
      </c>
      <c r="K1144" s="1" t="s">
        <v>817</v>
      </c>
      <c r="L1144" s="1" t="s">
        <v>2440</v>
      </c>
      <c r="M1144" s="3">
        <v>45952</v>
      </c>
      <c r="N1144" s="1" t="s">
        <v>821</v>
      </c>
      <c r="O1144" s="1" t="s">
        <v>936</v>
      </c>
      <c r="P1144" s="1">
        <v>1</v>
      </c>
    </row>
    <row r="1145" spans="1:16" x14ac:dyDescent="0.25">
      <c r="A1145" s="3">
        <v>45950</v>
      </c>
      <c r="B1145" s="4">
        <v>3499</v>
      </c>
      <c r="C1145" s="5">
        <v>10900</v>
      </c>
      <c r="D1145" s="1" t="s">
        <v>1596</v>
      </c>
      <c r="E1145" s="1" t="s">
        <v>1597</v>
      </c>
      <c r="F1145" s="1" t="s">
        <v>955</v>
      </c>
      <c r="G1145" s="1" t="s">
        <v>1029</v>
      </c>
      <c r="H1145" s="3">
        <v>45967</v>
      </c>
      <c r="I1145" s="1" t="s">
        <v>933</v>
      </c>
      <c r="J1145" s="1" t="s">
        <v>951</v>
      </c>
      <c r="K1145" s="1" t="s">
        <v>659</v>
      </c>
      <c r="L1145" s="1" t="s">
        <v>2441</v>
      </c>
      <c r="M1145" s="1" t="s">
        <v>2442</v>
      </c>
      <c r="N1145" s="1" t="s">
        <v>821</v>
      </c>
      <c r="O1145" s="1" t="s">
        <v>1031</v>
      </c>
      <c r="P1145" s="1">
        <v>1</v>
      </c>
    </row>
    <row r="1146" spans="1:16" x14ac:dyDescent="0.25">
      <c r="A1146" s="3">
        <v>45950</v>
      </c>
      <c r="B1146" s="1">
        <v>27</v>
      </c>
      <c r="C1146" s="5">
        <v>80149.23</v>
      </c>
      <c r="D1146" s="1" t="s">
        <v>1354</v>
      </c>
      <c r="E1146" s="1" t="s">
        <v>1355</v>
      </c>
      <c r="F1146" s="1" t="s">
        <v>1567</v>
      </c>
      <c r="G1146" s="1" t="s">
        <v>20</v>
      </c>
      <c r="H1146" s="3">
        <v>45967</v>
      </c>
      <c r="I1146" s="1" t="s">
        <v>933</v>
      </c>
      <c r="J1146" s="1" t="s">
        <v>951</v>
      </c>
      <c r="K1146" s="1" t="s">
        <v>20</v>
      </c>
      <c r="L1146" s="1" t="s">
        <v>2443</v>
      </c>
      <c r="M1146" s="3">
        <v>45953</v>
      </c>
      <c r="N1146" s="1" t="s">
        <v>821</v>
      </c>
      <c r="O1146" s="1" t="s">
        <v>936</v>
      </c>
      <c r="P1146" s="1" t="s">
        <v>937</v>
      </c>
    </row>
    <row r="1147" spans="1:16" x14ac:dyDescent="0.25">
      <c r="A1147" s="3">
        <v>45950</v>
      </c>
      <c r="B1147" s="4">
        <v>71436</v>
      </c>
      <c r="C1147" s="5">
        <v>4338</v>
      </c>
      <c r="D1147" s="1" t="s">
        <v>1098</v>
      </c>
      <c r="E1147" s="1" t="s">
        <v>1099</v>
      </c>
      <c r="F1147" s="1" t="s">
        <v>748</v>
      </c>
      <c r="G1147" s="1" t="s">
        <v>1254</v>
      </c>
      <c r="H1147" s="3">
        <v>45981</v>
      </c>
      <c r="I1147" s="1" t="s">
        <v>933</v>
      </c>
      <c r="J1147" s="1" t="s">
        <v>66</v>
      </c>
      <c r="K1147" s="1" t="s">
        <v>340</v>
      </c>
      <c r="L1147" s="1" t="s">
        <v>2444</v>
      </c>
      <c r="M1147" s="3">
        <v>45953</v>
      </c>
      <c r="N1147" s="1" t="s">
        <v>75</v>
      </c>
      <c r="O1147" s="1" t="s">
        <v>936</v>
      </c>
      <c r="P1147" s="1">
        <v>1</v>
      </c>
    </row>
    <row r="1148" spans="1:16" x14ac:dyDescent="0.25">
      <c r="A1148" s="3">
        <v>45950</v>
      </c>
      <c r="B1148" s="4">
        <v>149999</v>
      </c>
      <c r="C1148" s="5">
        <v>184.3</v>
      </c>
      <c r="D1148" s="1" t="s">
        <v>1492</v>
      </c>
      <c r="E1148" s="1" t="s">
        <v>1493</v>
      </c>
      <c r="F1148" s="1" t="s">
        <v>759</v>
      </c>
      <c r="G1148" s="1" t="s">
        <v>940</v>
      </c>
      <c r="H1148" s="3">
        <v>45980</v>
      </c>
      <c r="I1148" s="1" t="s">
        <v>933</v>
      </c>
      <c r="J1148" s="1" t="s">
        <v>66</v>
      </c>
      <c r="K1148" s="1" t="s">
        <v>340</v>
      </c>
      <c r="L1148" s="1" t="s">
        <v>2445</v>
      </c>
      <c r="M1148" s="3">
        <v>45953</v>
      </c>
      <c r="N1148" s="1" t="s">
        <v>75</v>
      </c>
      <c r="O1148" s="1" t="s">
        <v>936</v>
      </c>
      <c r="P1148" s="1">
        <v>1</v>
      </c>
    </row>
    <row r="1149" spans="1:16" x14ac:dyDescent="0.25">
      <c r="A1149" s="3">
        <v>45950</v>
      </c>
      <c r="B1149" s="1">
        <v>289</v>
      </c>
      <c r="C1149" s="5">
        <v>60</v>
      </c>
      <c r="D1149" s="1" t="s">
        <v>1953</v>
      </c>
      <c r="E1149" s="1" t="s">
        <v>1954</v>
      </c>
      <c r="F1149" s="1" t="s">
        <v>564</v>
      </c>
      <c r="G1149" s="1" t="s">
        <v>940</v>
      </c>
      <c r="H1149" s="3">
        <v>45967</v>
      </c>
      <c r="I1149" s="1" t="s">
        <v>933</v>
      </c>
      <c r="J1149" s="1" t="s">
        <v>66</v>
      </c>
      <c r="K1149" s="1" t="s">
        <v>308</v>
      </c>
      <c r="L1149" s="1" t="s">
        <v>2446</v>
      </c>
      <c r="M1149" s="3">
        <v>45954</v>
      </c>
      <c r="N1149" s="1" t="s">
        <v>440</v>
      </c>
      <c r="O1149" s="1" t="s">
        <v>936</v>
      </c>
      <c r="P1149" s="1">
        <v>1</v>
      </c>
    </row>
    <row r="1150" spans="1:16" x14ac:dyDescent="0.25">
      <c r="A1150" s="3">
        <v>45950</v>
      </c>
      <c r="B1150" s="1">
        <v>290</v>
      </c>
      <c r="C1150" s="5">
        <v>290</v>
      </c>
      <c r="D1150" s="1" t="s">
        <v>1953</v>
      </c>
      <c r="E1150" s="1" t="s">
        <v>1954</v>
      </c>
      <c r="F1150" s="1" t="s">
        <v>736</v>
      </c>
      <c r="G1150" s="1" t="s">
        <v>940</v>
      </c>
      <c r="H1150" s="3">
        <v>45967</v>
      </c>
      <c r="I1150" s="1" t="s">
        <v>933</v>
      </c>
      <c r="J1150" s="1" t="s">
        <v>66</v>
      </c>
      <c r="K1150" s="1" t="s">
        <v>308</v>
      </c>
      <c r="L1150" s="1" t="s">
        <v>2447</v>
      </c>
      <c r="M1150" s="3">
        <v>45954</v>
      </c>
      <c r="N1150" s="1" t="s">
        <v>57</v>
      </c>
      <c r="O1150" s="1" t="s">
        <v>936</v>
      </c>
      <c r="P1150" s="1">
        <v>1</v>
      </c>
    </row>
    <row r="1151" spans="1:16" x14ac:dyDescent="0.25">
      <c r="A1151" s="3">
        <v>45950</v>
      </c>
      <c r="B1151" s="1">
        <v>291</v>
      </c>
      <c r="C1151" s="5">
        <v>190</v>
      </c>
      <c r="D1151" s="1" t="s">
        <v>1953</v>
      </c>
      <c r="E1151" s="1" t="s">
        <v>1954</v>
      </c>
      <c r="F1151" s="1" t="s">
        <v>727</v>
      </c>
      <c r="G1151" s="1" t="s">
        <v>940</v>
      </c>
      <c r="H1151" s="3">
        <v>45967</v>
      </c>
      <c r="I1151" s="1" t="s">
        <v>933</v>
      </c>
      <c r="J1151" s="1" t="s">
        <v>66</v>
      </c>
      <c r="K1151" s="1" t="s">
        <v>308</v>
      </c>
      <c r="L1151" s="1" t="s">
        <v>2448</v>
      </c>
      <c r="M1151" s="3">
        <v>45954</v>
      </c>
      <c r="N1151" s="1" t="s">
        <v>57</v>
      </c>
      <c r="O1151" s="1" t="s">
        <v>936</v>
      </c>
      <c r="P1151" s="1">
        <v>1</v>
      </c>
    </row>
    <row r="1152" spans="1:16" x14ac:dyDescent="0.25">
      <c r="A1152" s="3">
        <v>45950</v>
      </c>
      <c r="B1152" s="1">
        <v>292</v>
      </c>
      <c r="C1152" s="5">
        <v>270</v>
      </c>
      <c r="D1152" s="1" t="s">
        <v>1953</v>
      </c>
      <c r="E1152" s="1" t="s">
        <v>1954</v>
      </c>
      <c r="F1152" s="1" t="s">
        <v>457</v>
      </c>
      <c r="G1152" s="1" t="s">
        <v>940</v>
      </c>
      <c r="H1152" s="3">
        <v>45967</v>
      </c>
      <c r="I1152" s="1" t="s">
        <v>933</v>
      </c>
      <c r="J1152" s="1" t="s">
        <v>66</v>
      </c>
      <c r="K1152" s="1" t="s">
        <v>308</v>
      </c>
      <c r="L1152" s="1" t="s">
        <v>2449</v>
      </c>
      <c r="M1152" s="3">
        <v>45954</v>
      </c>
      <c r="N1152" s="1" t="s">
        <v>358</v>
      </c>
      <c r="O1152" s="1" t="s">
        <v>936</v>
      </c>
      <c r="P1152" s="1">
        <v>1</v>
      </c>
    </row>
    <row r="1153" spans="1:16" x14ac:dyDescent="0.25">
      <c r="A1153" s="3">
        <v>45950</v>
      </c>
      <c r="B1153" s="1">
        <v>293</v>
      </c>
      <c r="C1153" s="5">
        <v>440</v>
      </c>
      <c r="D1153" s="1" t="s">
        <v>1953</v>
      </c>
      <c r="E1153" s="1" t="s">
        <v>1954</v>
      </c>
      <c r="F1153" s="1" t="s">
        <v>533</v>
      </c>
      <c r="G1153" s="1" t="s">
        <v>940</v>
      </c>
      <c r="H1153" s="3">
        <v>45967</v>
      </c>
      <c r="I1153" s="1" t="s">
        <v>933</v>
      </c>
      <c r="J1153" s="1" t="s">
        <v>66</v>
      </c>
      <c r="K1153" s="1" t="s">
        <v>308</v>
      </c>
      <c r="L1153" s="1" t="s">
        <v>2450</v>
      </c>
      <c r="M1153" s="3">
        <v>45954</v>
      </c>
      <c r="N1153" s="1" t="s">
        <v>57</v>
      </c>
      <c r="O1153" s="1" t="s">
        <v>936</v>
      </c>
      <c r="P1153" s="1">
        <v>1</v>
      </c>
    </row>
    <row r="1154" spans="1:16" x14ac:dyDescent="0.25">
      <c r="A1154" s="3">
        <v>45950</v>
      </c>
      <c r="B1154" s="1">
        <v>294</v>
      </c>
      <c r="C1154" s="5">
        <v>140</v>
      </c>
      <c r="D1154" s="1" t="s">
        <v>1953</v>
      </c>
      <c r="E1154" s="1" t="s">
        <v>1954</v>
      </c>
      <c r="F1154" s="1" t="s">
        <v>259</v>
      </c>
      <c r="G1154" s="1" t="s">
        <v>940</v>
      </c>
      <c r="H1154" s="3">
        <v>45967</v>
      </c>
      <c r="I1154" s="1" t="s">
        <v>933</v>
      </c>
      <c r="J1154" s="1" t="s">
        <v>66</v>
      </c>
      <c r="K1154" s="1" t="s">
        <v>340</v>
      </c>
      <c r="L1154" s="1" t="s">
        <v>2451</v>
      </c>
      <c r="M1154" s="3">
        <v>45954</v>
      </c>
      <c r="N1154" s="1" t="s">
        <v>264</v>
      </c>
      <c r="O1154" s="1" t="s">
        <v>936</v>
      </c>
      <c r="P1154" s="1">
        <v>1</v>
      </c>
    </row>
    <row r="1155" spans="1:16" x14ac:dyDescent="0.25">
      <c r="A1155" s="3">
        <v>45950</v>
      </c>
      <c r="B1155" s="1">
        <v>295</v>
      </c>
      <c r="C1155" s="5">
        <v>285</v>
      </c>
      <c r="D1155" s="1" t="s">
        <v>1953</v>
      </c>
      <c r="E1155" s="1" t="s">
        <v>1954</v>
      </c>
      <c r="F1155" s="1" t="s">
        <v>773</v>
      </c>
      <c r="G1155" s="1" t="s">
        <v>940</v>
      </c>
      <c r="H1155" s="3">
        <v>45967</v>
      </c>
      <c r="I1155" s="1" t="s">
        <v>933</v>
      </c>
      <c r="J1155" s="1" t="s">
        <v>66</v>
      </c>
      <c r="K1155" s="1" t="s">
        <v>308</v>
      </c>
      <c r="L1155" s="1" t="s">
        <v>2452</v>
      </c>
      <c r="M1155" s="3">
        <v>45954</v>
      </c>
      <c r="N1155" s="1" t="s">
        <v>57</v>
      </c>
      <c r="O1155" s="1" t="s">
        <v>936</v>
      </c>
      <c r="P1155" s="1">
        <v>1</v>
      </c>
    </row>
    <row r="1156" spans="1:16" x14ac:dyDescent="0.25">
      <c r="A1156" s="3">
        <v>45950</v>
      </c>
      <c r="B1156" s="1">
        <v>296</v>
      </c>
      <c r="C1156" s="5">
        <v>360</v>
      </c>
      <c r="D1156" s="1" t="s">
        <v>1953</v>
      </c>
      <c r="E1156" s="1" t="s">
        <v>1954</v>
      </c>
      <c r="F1156" s="1" t="s">
        <v>430</v>
      </c>
      <c r="G1156" s="1" t="s">
        <v>940</v>
      </c>
      <c r="H1156" s="3">
        <v>45967</v>
      </c>
      <c r="I1156" s="1" t="s">
        <v>933</v>
      </c>
      <c r="J1156" s="1" t="s">
        <v>66</v>
      </c>
      <c r="K1156" s="1" t="s">
        <v>340</v>
      </c>
      <c r="L1156" s="1" t="s">
        <v>2453</v>
      </c>
      <c r="M1156" s="3">
        <v>45954</v>
      </c>
      <c r="N1156" s="1" t="s">
        <v>57</v>
      </c>
      <c r="O1156" s="1" t="s">
        <v>936</v>
      </c>
      <c r="P1156" s="1">
        <v>1</v>
      </c>
    </row>
    <row r="1157" spans="1:16" x14ac:dyDescent="0.25">
      <c r="A1157" s="3">
        <v>45950</v>
      </c>
      <c r="B1157" s="1">
        <v>297</v>
      </c>
      <c r="C1157" s="5">
        <v>130</v>
      </c>
      <c r="D1157" s="1" t="s">
        <v>1953</v>
      </c>
      <c r="E1157" s="1" t="s">
        <v>1954</v>
      </c>
      <c r="F1157" s="1" t="s">
        <v>693</v>
      </c>
      <c r="G1157" s="1" t="s">
        <v>940</v>
      </c>
      <c r="H1157" s="3">
        <v>45967</v>
      </c>
      <c r="I1157" s="1" t="s">
        <v>933</v>
      </c>
      <c r="J1157" s="1" t="s">
        <v>66</v>
      </c>
      <c r="K1157" s="1" t="s">
        <v>340</v>
      </c>
      <c r="L1157" s="1" t="s">
        <v>2454</v>
      </c>
      <c r="M1157" s="3">
        <v>45954</v>
      </c>
      <c r="N1157" s="1" t="s">
        <v>383</v>
      </c>
      <c r="O1157" s="1" t="s">
        <v>936</v>
      </c>
      <c r="P1157" s="1">
        <v>1</v>
      </c>
    </row>
    <row r="1158" spans="1:16" x14ac:dyDescent="0.25">
      <c r="A1158" s="3">
        <v>45950</v>
      </c>
      <c r="B1158" s="1">
        <v>298</v>
      </c>
      <c r="C1158" s="5">
        <v>2600</v>
      </c>
      <c r="D1158" s="1" t="s">
        <v>1953</v>
      </c>
      <c r="E1158" s="1" t="s">
        <v>1954</v>
      </c>
      <c r="F1158" s="1" t="s">
        <v>245</v>
      </c>
      <c r="G1158" s="1" t="s">
        <v>940</v>
      </c>
      <c r="H1158" s="3">
        <v>45967</v>
      </c>
      <c r="I1158" s="1" t="s">
        <v>933</v>
      </c>
      <c r="J1158" s="1" t="s">
        <v>66</v>
      </c>
      <c r="K1158" s="1" t="s">
        <v>308</v>
      </c>
      <c r="L1158" s="1" t="s">
        <v>2455</v>
      </c>
      <c r="M1158" s="3">
        <v>45954</v>
      </c>
      <c r="N1158" s="1" t="s">
        <v>57</v>
      </c>
      <c r="O1158" s="1" t="s">
        <v>936</v>
      </c>
      <c r="P1158" s="1">
        <v>1</v>
      </c>
    </row>
    <row r="1159" spans="1:16" x14ac:dyDescent="0.25">
      <c r="A1159" s="3">
        <v>45950</v>
      </c>
      <c r="B1159" s="1">
        <v>299</v>
      </c>
      <c r="C1159" s="5">
        <v>630</v>
      </c>
      <c r="D1159" s="1" t="s">
        <v>1953</v>
      </c>
      <c r="E1159" s="1" t="s">
        <v>1954</v>
      </c>
      <c r="F1159" s="1" t="s">
        <v>222</v>
      </c>
      <c r="G1159" s="1" t="s">
        <v>940</v>
      </c>
      <c r="H1159" s="3">
        <v>45967</v>
      </c>
      <c r="I1159" s="1" t="s">
        <v>933</v>
      </c>
      <c r="J1159" s="1" t="s">
        <v>66</v>
      </c>
      <c r="K1159" s="1" t="s">
        <v>52</v>
      </c>
      <c r="L1159" s="1" t="s">
        <v>2456</v>
      </c>
      <c r="M1159" s="3">
        <v>45954</v>
      </c>
      <c r="N1159" s="1" t="s">
        <v>93</v>
      </c>
      <c r="O1159" s="1" t="s">
        <v>936</v>
      </c>
      <c r="P1159" s="1">
        <v>1</v>
      </c>
    </row>
    <row r="1160" spans="1:16" x14ac:dyDescent="0.25">
      <c r="A1160" s="3">
        <v>45950</v>
      </c>
      <c r="B1160" s="1">
        <v>299</v>
      </c>
      <c r="C1160" s="5">
        <v>2150</v>
      </c>
      <c r="D1160" s="1" t="s">
        <v>1953</v>
      </c>
      <c r="E1160" s="1" t="s">
        <v>1954</v>
      </c>
      <c r="F1160" s="1" t="s">
        <v>635</v>
      </c>
      <c r="G1160" s="1" t="s">
        <v>940</v>
      </c>
      <c r="H1160" s="3">
        <v>45967</v>
      </c>
      <c r="I1160" s="1" t="s">
        <v>933</v>
      </c>
      <c r="J1160" s="1" t="s">
        <v>2457</v>
      </c>
      <c r="K1160" s="1" t="s">
        <v>636</v>
      </c>
      <c r="L1160" s="1" t="s">
        <v>2458</v>
      </c>
      <c r="M1160" s="3">
        <v>45954</v>
      </c>
      <c r="N1160" s="1"/>
      <c r="O1160" s="1"/>
      <c r="P1160" s="1"/>
    </row>
    <row r="1161" spans="1:16" x14ac:dyDescent="0.25">
      <c r="A1161" s="3">
        <v>45950</v>
      </c>
      <c r="B1161" s="1">
        <v>300</v>
      </c>
      <c r="C1161" s="5">
        <v>480</v>
      </c>
      <c r="D1161" s="1" t="s">
        <v>1953</v>
      </c>
      <c r="E1161" s="1" t="s">
        <v>1954</v>
      </c>
      <c r="F1161" s="1" t="s">
        <v>392</v>
      </c>
      <c r="G1161" s="1" t="s">
        <v>940</v>
      </c>
      <c r="H1161" s="3">
        <v>45967</v>
      </c>
      <c r="I1161" s="1" t="s">
        <v>933</v>
      </c>
      <c r="J1161" s="1" t="s">
        <v>66</v>
      </c>
      <c r="K1161" s="1" t="s">
        <v>1654</v>
      </c>
      <c r="L1161" s="1" t="s">
        <v>2459</v>
      </c>
      <c r="M1161" s="3">
        <v>45954</v>
      </c>
      <c r="N1161" s="1" t="s">
        <v>93</v>
      </c>
      <c r="O1161" s="1" t="s">
        <v>936</v>
      </c>
      <c r="P1161" s="1">
        <v>1</v>
      </c>
    </row>
    <row r="1162" spans="1:16" x14ac:dyDescent="0.25">
      <c r="A1162" s="3">
        <v>45950</v>
      </c>
      <c r="B1162" s="1">
        <v>301</v>
      </c>
      <c r="C1162" s="5">
        <v>370</v>
      </c>
      <c r="D1162" s="1" t="s">
        <v>1953</v>
      </c>
      <c r="E1162" s="1" t="s">
        <v>1954</v>
      </c>
      <c r="F1162" s="1" t="s">
        <v>128</v>
      </c>
      <c r="G1162" s="1" t="s">
        <v>940</v>
      </c>
      <c r="H1162" s="3">
        <v>45967</v>
      </c>
      <c r="I1162" s="1" t="s">
        <v>933</v>
      </c>
      <c r="J1162" s="1" t="s">
        <v>66</v>
      </c>
      <c r="K1162" s="1" t="s">
        <v>52</v>
      </c>
      <c r="L1162" s="1" t="s">
        <v>2460</v>
      </c>
      <c r="M1162" s="3">
        <v>45954</v>
      </c>
      <c r="N1162" s="1" t="s">
        <v>93</v>
      </c>
      <c r="O1162" s="1" t="s">
        <v>936</v>
      </c>
      <c r="P1162" s="1">
        <v>1</v>
      </c>
    </row>
    <row r="1163" spans="1:16" x14ac:dyDescent="0.25">
      <c r="A1163" s="3">
        <v>45950</v>
      </c>
      <c r="B1163" s="1">
        <v>302</v>
      </c>
      <c r="C1163" s="5">
        <v>160</v>
      </c>
      <c r="D1163" s="1" t="s">
        <v>1953</v>
      </c>
      <c r="E1163" s="1" t="s">
        <v>1954</v>
      </c>
      <c r="F1163" s="1" t="s">
        <v>182</v>
      </c>
      <c r="G1163" s="1" t="s">
        <v>940</v>
      </c>
      <c r="H1163" s="3">
        <v>45967</v>
      </c>
      <c r="I1163" s="1" t="s">
        <v>933</v>
      </c>
      <c r="J1163" s="1" t="s">
        <v>66</v>
      </c>
      <c r="K1163" s="1" t="s">
        <v>52</v>
      </c>
      <c r="L1163" s="1" t="s">
        <v>2461</v>
      </c>
      <c r="M1163" s="3">
        <v>45954</v>
      </c>
      <c r="N1163" s="1" t="s">
        <v>93</v>
      </c>
      <c r="O1163" s="1" t="s">
        <v>936</v>
      </c>
      <c r="P1163" s="1">
        <v>1</v>
      </c>
    </row>
    <row r="1164" spans="1:16" x14ac:dyDescent="0.25">
      <c r="A1164" s="3">
        <v>45950</v>
      </c>
      <c r="B1164" s="1">
        <v>303</v>
      </c>
      <c r="C1164" s="5">
        <v>480</v>
      </c>
      <c r="D1164" s="1" t="s">
        <v>1953</v>
      </c>
      <c r="E1164" s="1" t="s">
        <v>1954</v>
      </c>
      <c r="F1164" s="1" t="s">
        <v>153</v>
      </c>
      <c r="G1164" s="1" t="s">
        <v>940</v>
      </c>
      <c r="H1164" s="3">
        <v>45967</v>
      </c>
      <c r="I1164" s="1" t="s">
        <v>933</v>
      </c>
      <c r="J1164" s="1" t="s">
        <v>66</v>
      </c>
      <c r="K1164" s="1" t="s">
        <v>52</v>
      </c>
      <c r="L1164" s="1" t="s">
        <v>2462</v>
      </c>
      <c r="M1164" s="3">
        <v>45954</v>
      </c>
      <c r="N1164" s="1" t="s">
        <v>82</v>
      </c>
      <c r="O1164" s="1" t="s">
        <v>936</v>
      </c>
      <c r="P1164" s="1">
        <v>1</v>
      </c>
    </row>
    <row r="1165" spans="1:16" x14ac:dyDescent="0.25">
      <c r="A1165" s="3">
        <v>45950</v>
      </c>
      <c r="B1165" s="1">
        <v>304</v>
      </c>
      <c r="C1165" s="5">
        <v>85</v>
      </c>
      <c r="D1165" s="1" t="s">
        <v>1953</v>
      </c>
      <c r="E1165" s="1" t="s">
        <v>1954</v>
      </c>
      <c r="F1165" s="1" t="s">
        <v>51</v>
      </c>
      <c r="G1165" s="1" t="s">
        <v>940</v>
      </c>
      <c r="H1165" s="3">
        <v>45967</v>
      </c>
      <c r="I1165" s="1" t="s">
        <v>933</v>
      </c>
      <c r="J1165" s="1" t="s">
        <v>66</v>
      </c>
      <c r="K1165" s="1" t="s">
        <v>52</v>
      </c>
      <c r="L1165" s="1" t="s">
        <v>2463</v>
      </c>
      <c r="M1165" s="3">
        <v>45954</v>
      </c>
      <c r="N1165" s="1" t="s">
        <v>57</v>
      </c>
      <c r="O1165" s="1" t="s">
        <v>936</v>
      </c>
      <c r="P1165" s="1">
        <v>1</v>
      </c>
    </row>
    <row r="1166" spans="1:16" x14ac:dyDescent="0.25">
      <c r="A1166" s="3">
        <v>45950</v>
      </c>
      <c r="B1166" s="4">
        <v>11365</v>
      </c>
      <c r="C1166" s="5">
        <v>268.70999999999998</v>
      </c>
      <c r="D1166" s="1" t="s">
        <v>2464</v>
      </c>
      <c r="E1166" s="1" t="s">
        <v>2465</v>
      </c>
      <c r="F1166" s="1" t="s">
        <v>955</v>
      </c>
      <c r="G1166" s="1" t="s">
        <v>940</v>
      </c>
      <c r="H1166" s="1" t="s">
        <v>959</v>
      </c>
      <c r="I1166" s="1" t="s">
        <v>933</v>
      </c>
      <c r="J1166" s="1" t="s">
        <v>951</v>
      </c>
      <c r="K1166" s="1" t="s">
        <v>52</v>
      </c>
      <c r="L1166" s="1" t="s">
        <v>2466</v>
      </c>
      <c r="M1166" s="3">
        <v>45961</v>
      </c>
      <c r="N1166" s="1" t="s">
        <v>821</v>
      </c>
      <c r="O1166" s="1" t="s">
        <v>937</v>
      </c>
      <c r="P1166" s="1">
        <v>1</v>
      </c>
    </row>
    <row r="1167" spans="1:16" x14ac:dyDescent="0.25">
      <c r="A1167" s="3">
        <v>45950</v>
      </c>
      <c r="B1167" s="1">
        <v>305</v>
      </c>
      <c r="C1167" s="5">
        <v>55</v>
      </c>
      <c r="D1167" s="1" t="s">
        <v>1953</v>
      </c>
      <c r="E1167" s="1" t="s">
        <v>1954</v>
      </c>
      <c r="F1167" s="1" t="s">
        <v>697</v>
      </c>
      <c r="G1167" s="1" t="s">
        <v>940</v>
      </c>
      <c r="H1167" s="3">
        <v>45967</v>
      </c>
      <c r="I1167" s="1" t="s">
        <v>933</v>
      </c>
      <c r="J1167" s="1" t="s">
        <v>66</v>
      </c>
      <c r="K1167" s="1" t="s">
        <v>340</v>
      </c>
      <c r="L1167" s="1" t="s">
        <v>2467</v>
      </c>
      <c r="M1167" s="3">
        <v>45954</v>
      </c>
      <c r="N1167" s="1" t="s">
        <v>383</v>
      </c>
      <c r="O1167" s="1" t="s">
        <v>936</v>
      </c>
      <c r="P1167" s="1">
        <v>1</v>
      </c>
    </row>
    <row r="1168" spans="1:16" x14ac:dyDescent="0.25">
      <c r="A1168" s="3">
        <v>45951</v>
      </c>
      <c r="B1168" s="1">
        <v>30</v>
      </c>
      <c r="C1168" s="5">
        <v>400</v>
      </c>
      <c r="D1168" s="1" t="s">
        <v>1156</v>
      </c>
      <c r="E1168" s="1" t="s">
        <v>1157</v>
      </c>
      <c r="F1168" s="1" t="s">
        <v>176</v>
      </c>
      <c r="G1168" s="1" t="s">
        <v>932</v>
      </c>
      <c r="H1168" s="1" t="s">
        <v>941</v>
      </c>
      <c r="I1168" s="1" t="s">
        <v>933</v>
      </c>
      <c r="J1168" s="1" t="s">
        <v>66</v>
      </c>
      <c r="K1168" s="1" t="s">
        <v>52</v>
      </c>
      <c r="L1168" s="1" t="s">
        <v>2468</v>
      </c>
      <c r="M1168" s="1" t="s">
        <v>941</v>
      </c>
      <c r="N1168" s="1" t="s">
        <v>181</v>
      </c>
      <c r="O1168" s="1" t="s">
        <v>932</v>
      </c>
      <c r="P1168" s="1">
        <v>1</v>
      </c>
    </row>
    <row r="1169" spans="1:16" x14ac:dyDescent="0.25">
      <c r="A1169" s="3">
        <v>45951</v>
      </c>
      <c r="B1169" s="4">
        <v>47078</v>
      </c>
      <c r="C1169" s="5">
        <v>763</v>
      </c>
      <c r="D1169" s="1" t="s">
        <v>1489</v>
      </c>
      <c r="E1169" s="1" t="s">
        <v>1490</v>
      </c>
      <c r="F1169" s="1" t="s">
        <v>955</v>
      </c>
      <c r="G1169" s="1" t="s">
        <v>940</v>
      </c>
      <c r="H1169" s="3">
        <v>45981</v>
      </c>
      <c r="I1169" s="1" t="s">
        <v>933</v>
      </c>
      <c r="J1169" s="1" t="s">
        <v>951</v>
      </c>
      <c r="K1169" s="1" t="s">
        <v>659</v>
      </c>
      <c r="L1169" s="1" t="s">
        <v>2469</v>
      </c>
      <c r="M1169" s="3">
        <v>45953</v>
      </c>
      <c r="N1169" s="1" t="s">
        <v>821</v>
      </c>
      <c r="O1169" s="1" t="s">
        <v>936</v>
      </c>
      <c r="P1169" s="1">
        <v>1</v>
      </c>
    </row>
    <row r="1170" spans="1:16" x14ac:dyDescent="0.25">
      <c r="A1170" s="3">
        <v>45951</v>
      </c>
      <c r="B1170" s="4">
        <v>71476</v>
      </c>
      <c r="C1170" s="5">
        <v>960.05</v>
      </c>
      <c r="D1170" s="1" t="s">
        <v>1098</v>
      </c>
      <c r="E1170" s="1" t="s">
        <v>1099</v>
      </c>
      <c r="F1170" s="1" t="s">
        <v>736</v>
      </c>
      <c r="G1170" s="1" t="s">
        <v>2470</v>
      </c>
      <c r="H1170" s="3">
        <v>45981</v>
      </c>
      <c r="I1170" s="1" t="s">
        <v>1100</v>
      </c>
      <c r="J1170" s="1" t="s">
        <v>66</v>
      </c>
      <c r="K1170" s="1" t="s">
        <v>308</v>
      </c>
      <c r="L1170" s="1" t="s">
        <v>2471</v>
      </c>
      <c r="M1170" s="3">
        <v>45953</v>
      </c>
      <c r="N1170" s="1" t="s">
        <v>57</v>
      </c>
      <c r="O1170" s="1" t="s">
        <v>936</v>
      </c>
      <c r="P1170" s="1">
        <v>1</v>
      </c>
    </row>
    <row r="1171" spans="1:16" x14ac:dyDescent="0.25">
      <c r="A1171" s="3">
        <v>45951</v>
      </c>
      <c r="B1171" s="4">
        <v>41164</v>
      </c>
      <c r="C1171" s="5">
        <v>1354</v>
      </c>
      <c r="D1171" s="1" t="s">
        <v>2001</v>
      </c>
      <c r="E1171" s="1" t="s">
        <v>2002</v>
      </c>
      <c r="F1171" s="1" t="s">
        <v>1131</v>
      </c>
      <c r="G1171" s="1" t="s">
        <v>940</v>
      </c>
      <c r="H1171" s="3">
        <v>45981</v>
      </c>
      <c r="I1171" s="1" t="s">
        <v>933</v>
      </c>
      <c r="J1171" s="1" t="s">
        <v>2175</v>
      </c>
      <c r="K1171" s="1" t="s">
        <v>308</v>
      </c>
      <c r="L1171" s="1" t="s">
        <v>2472</v>
      </c>
      <c r="M1171" s="3">
        <v>45955</v>
      </c>
      <c r="N1171" s="1"/>
      <c r="O1171" s="1"/>
      <c r="P1171" s="1"/>
    </row>
    <row r="1172" spans="1:16" x14ac:dyDescent="0.25">
      <c r="A1172" s="3">
        <v>45951</v>
      </c>
      <c r="B1172" s="4">
        <v>4164</v>
      </c>
      <c r="C1172" s="5">
        <v>1354</v>
      </c>
      <c r="D1172" s="1" t="s">
        <v>2001</v>
      </c>
      <c r="E1172" s="1" t="s">
        <v>2002</v>
      </c>
      <c r="F1172" s="1" t="s">
        <v>1131</v>
      </c>
      <c r="G1172" s="1" t="s">
        <v>940</v>
      </c>
      <c r="H1172" s="3">
        <v>45981</v>
      </c>
      <c r="I1172" s="1" t="s">
        <v>933</v>
      </c>
      <c r="J1172" s="1" t="s">
        <v>66</v>
      </c>
      <c r="K1172" s="1" t="s">
        <v>308</v>
      </c>
      <c r="L1172" s="1" t="s">
        <v>2473</v>
      </c>
      <c r="M1172" s="3">
        <v>45955</v>
      </c>
      <c r="N1172" s="1"/>
      <c r="O1172" s="1"/>
      <c r="P1172" s="1"/>
    </row>
    <row r="1173" spans="1:16" x14ac:dyDescent="0.25">
      <c r="A1173" s="3">
        <v>45951</v>
      </c>
      <c r="B1173" s="4">
        <v>8370546</v>
      </c>
      <c r="C1173" s="5">
        <v>240</v>
      </c>
      <c r="D1173" s="1" t="s">
        <v>2474</v>
      </c>
      <c r="E1173" s="1" t="s">
        <v>2475</v>
      </c>
      <c r="F1173" s="1" t="s">
        <v>955</v>
      </c>
      <c r="G1173" s="1" t="s">
        <v>20</v>
      </c>
      <c r="H1173" s="3">
        <v>45967</v>
      </c>
      <c r="I1173" s="1" t="s">
        <v>933</v>
      </c>
      <c r="J1173" s="1" t="s">
        <v>951</v>
      </c>
      <c r="K1173" s="1" t="s">
        <v>20</v>
      </c>
      <c r="L1173" s="1" t="s">
        <v>2476</v>
      </c>
      <c r="M1173" s="3">
        <v>45957</v>
      </c>
      <c r="N1173" s="1" t="s">
        <v>821</v>
      </c>
      <c r="O1173" s="1" t="s">
        <v>937</v>
      </c>
      <c r="P1173" s="1">
        <v>1</v>
      </c>
    </row>
    <row r="1174" spans="1:16" x14ac:dyDescent="0.25">
      <c r="A1174" s="3">
        <v>45951</v>
      </c>
      <c r="B1174" s="1">
        <v>8</v>
      </c>
      <c r="C1174" s="5">
        <v>1020</v>
      </c>
      <c r="D1174" s="1" t="s">
        <v>1872</v>
      </c>
      <c r="E1174" s="1" t="s">
        <v>1873</v>
      </c>
      <c r="F1174" s="1" t="s">
        <v>955</v>
      </c>
      <c r="G1174" s="1" t="s">
        <v>20</v>
      </c>
      <c r="H1174" s="3">
        <v>45967</v>
      </c>
      <c r="I1174" s="1" t="s">
        <v>933</v>
      </c>
      <c r="J1174" s="1" t="s">
        <v>951</v>
      </c>
      <c r="K1174" s="1" t="s">
        <v>20</v>
      </c>
      <c r="L1174" s="1" t="s">
        <v>2477</v>
      </c>
      <c r="M1174" s="3">
        <v>45957</v>
      </c>
      <c r="N1174" s="1" t="s">
        <v>821</v>
      </c>
      <c r="O1174" s="1" t="s">
        <v>936</v>
      </c>
      <c r="P1174" s="1" t="s">
        <v>937</v>
      </c>
    </row>
    <row r="1175" spans="1:16" x14ac:dyDescent="0.25">
      <c r="A1175" s="3">
        <v>45951</v>
      </c>
      <c r="B1175" s="4">
        <v>16438</v>
      </c>
      <c r="C1175" s="5">
        <v>282</v>
      </c>
      <c r="D1175" s="1" t="s">
        <v>2478</v>
      </c>
      <c r="E1175" s="1" t="s">
        <v>2479</v>
      </c>
      <c r="F1175" s="1" t="s">
        <v>955</v>
      </c>
      <c r="G1175" s="1" t="s">
        <v>940</v>
      </c>
      <c r="H1175" s="1" t="s">
        <v>1927</v>
      </c>
      <c r="I1175" s="1" t="s">
        <v>933</v>
      </c>
      <c r="J1175" s="1" t="s">
        <v>951</v>
      </c>
      <c r="K1175" s="1" t="s">
        <v>52</v>
      </c>
      <c r="L1175" s="1" t="s">
        <v>2480</v>
      </c>
      <c r="M1175" s="3">
        <v>45957</v>
      </c>
      <c r="N1175" s="1" t="s">
        <v>821</v>
      </c>
      <c r="O1175" s="1" t="s">
        <v>936</v>
      </c>
      <c r="P1175" s="1">
        <v>1</v>
      </c>
    </row>
    <row r="1176" spans="1:16" x14ac:dyDescent="0.25">
      <c r="A1176" s="3">
        <v>45951</v>
      </c>
      <c r="B1176" s="4">
        <v>46222</v>
      </c>
      <c r="C1176" s="5">
        <v>9563.5400000000009</v>
      </c>
      <c r="D1176" s="4">
        <v>3509150000113</v>
      </c>
      <c r="E1176" s="1" t="s">
        <v>2481</v>
      </c>
      <c r="F1176" s="1" t="s">
        <v>955</v>
      </c>
      <c r="G1176" s="1" t="s">
        <v>1131</v>
      </c>
      <c r="H1176" s="3">
        <v>45980</v>
      </c>
      <c r="I1176" s="1" t="s">
        <v>933</v>
      </c>
      <c r="J1176" s="1" t="s">
        <v>951</v>
      </c>
      <c r="K1176" s="1" t="s">
        <v>308</v>
      </c>
      <c r="L1176" s="1" t="s">
        <v>2482</v>
      </c>
      <c r="M1176" s="3">
        <v>45959</v>
      </c>
      <c r="N1176" s="1" t="s">
        <v>821</v>
      </c>
      <c r="O1176" s="1" t="s">
        <v>936</v>
      </c>
      <c r="P1176" s="1">
        <v>1</v>
      </c>
    </row>
    <row r="1177" spans="1:16" x14ac:dyDescent="0.25">
      <c r="A1177" s="3">
        <v>45952</v>
      </c>
      <c r="B1177" s="4">
        <v>9061</v>
      </c>
      <c r="C1177" s="5">
        <v>16920</v>
      </c>
      <c r="D1177" s="1" t="s">
        <v>973</v>
      </c>
      <c r="E1177" s="1" t="s">
        <v>1068</v>
      </c>
      <c r="F1177" s="1" t="s">
        <v>304</v>
      </c>
      <c r="G1177" s="1" t="s">
        <v>998</v>
      </c>
      <c r="H1177" s="3">
        <v>45967</v>
      </c>
      <c r="I1177" s="1" t="s">
        <v>933</v>
      </c>
      <c r="J1177" s="1" t="s">
        <v>66</v>
      </c>
      <c r="K1177" s="1" t="s">
        <v>996</v>
      </c>
      <c r="L1177" s="1">
        <v>3000</v>
      </c>
      <c r="M1177" s="3">
        <v>45953</v>
      </c>
      <c r="N1177" s="1" t="s">
        <v>57</v>
      </c>
      <c r="O1177" s="1" t="s">
        <v>998</v>
      </c>
      <c r="P1177" s="1">
        <v>1</v>
      </c>
    </row>
    <row r="1178" spans="1:16" x14ac:dyDescent="0.25">
      <c r="A1178" s="3">
        <v>45952</v>
      </c>
      <c r="B1178" s="4">
        <v>9062</v>
      </c>
      <c r="C1178" s="5">
        <v>23321.16</v>
      </c>
      <c r="D1178" s="1" t="s">
        <v>973</v>
      </c>
      <c r="E1178" s="1" t="s">
        <v>1068</v>
      </c>
      <c r="F1178" s="1" t="s">
        <v>1814</v>
      </c>
      <c r="G1178" s="1" t="s">
        <v>998</v>
      </c>
      <c r="H1178" s="3">
        <v>45967</v>
      </c>
      <c r="I1178" s="1" t="s">
        <v>1814</v>
      </c>
      <c r="J1178" s="1" t="s">
        <v>66</v>
      </c>
      <c r="K1178" s="1" t="s">
        <v>340</v>
      </c>
      <c r="L1178" s="1" t="s">
        <v>2483</v>
      </c>
      <c r="M1178" s="3">
        <v>45953</v>
      </c>
      <c r="N1178" s="1" t="s">
        <v>1814</v>
      </c>
      <c r="O1178" s="1" t="s">
        <v>998</v>
      </c>
      <c r="P1178" s="1">
        <v>1</v>
      </c>
    </row>
    <row r="1179" spans="1:16" x14ac:dyDescent="0.25">
      <c r="A1179" s="3">
        <v>45952</v>
      </c>
      <c r="B1179" s="4">
        <v>9064</v>
      </c>
      <c r="C1179" s="5">
        <v>22560</v>
      </c>
      <c r="D1179" s="1" t="s">
        <v>973</v>
      </c>
      <c r="E1179" s="1" t="s">
        <v>1068</v>
      </c>
      <c r="F1179" s="1" t="s">
        <v>304</v>
      </c>
      <c r="G1179" s="1" t="s">
        <v>998</v>
      </c>
      <c r="H1179" s="3">
        <v>45967</v>
      </c>
      <c r="I1179" s="1" t="s">
        <v>933</v>
      </c>
      <c r="J1179" s="1" t="s">
        <v>66</v>
      </c>
      <c r="K1179" s="1" t="s">
        <v>996</v>
      </c>
      <c r="L1179" s="1">
        <v>4000</v>
      </c>
      <c r="M1179" s="3">
        <v>45953</v>
      </c>
      <c r="N1179" s="1" t="s">
        <v>57</v>
      </c>
      <c r="O1179" s="1" t="s">
        <v>998</v>
      </c>
      <c r="P1179" s="1">
        <v>1</v>
      </c>
    </row>
    <row r="1180" spans="1:16" x14ac:dyDescent="0.25">
      <c r="A1180" s="3">
        <v>45952</v>
      </c>
      <c r="B1180" s="1">
        <v>267</v>
      </c>
      <c r="C1180" s="5">
        <v>35000</v>
      </c>
      <c r="D1180" s="1" t="s">
        <v>2484</v>
      </c>
      <c r="E1180" s="1" t="s">
        <v>2485</v>
      </c>
      <c r="F1180" s="1" t="s">
        <v>955</v>
      </c>
      <c r="G1180" s="1" t="s">
        <v>20</v>
      </c>
      <c r="H1180" s="3">
        <v>45957</v>
      </c>
      <c r="I1180" s="1" t="s">
        <v>933</v>
      </c>
      <c r="J1180" s="1" t="s">
        <v>2175</v>
      </c>
      <c r="K1180" s="1" t="s">
        <v>20</v>
      </c>
      <c r="L1180" s="1" t="s">
        <v>2486</v>
      </c>
      <c r="M1180" s="3">
        <v>45954</v>
      </c>
      <c r="N1180" s="1"/>
      <c r="O1180" s="1"/>
      <c r="P1180" s="1"/>
    </row>
    <row r="1181" spans="1:16" x14ac:dyDescent="0.25">
      <c r="A1181" s="3">
        <v>45952</v>
      </c>
      <c r="B1181" s="4">
        <v>46247</v>
      </c>
      <c r="C1181" s="5">
        <v>10250.27</v>
      </c>
      <c r="D1181" s="4">
        <v>3509150000113</v>
      </c>
      <c r="E1181" s="1" t="s">
        <v>2481</v>
      </c>
      <c r="F1181" s="1" t="s">
        <v>1131</v>
      </c>
      <c r="G1181" s="1" t="s">
        <v>940</v>
      </c>
      <c r="H1181" s="3">
        <v>45978</v>
      </c>
      <c r="I1181" s="1" t="s">
        <v>933</v>
      </c>
      <c r="J1181" s="1" t="s">
        <v>2175</v>
      </c>
      <c r="K1181" s="1" t="s">
        <v>52</v>
      </c>
      <c r="L1181" s="1" t="s">
        <v>2487</v>
      </c>
      <c r="M1181" s="3">
        <v>45955</v>
      </c>
      <c r="N1181" s="1"/>
      <c r="O1181" s="1"/>
      <c r="P1181" s="1"/>
    </row>
    <row r="1182" spans="1:16" x14ac:dyDescent="0.25">
      <c r="A1182" s="3">
        <v>45952</v>
      </c>
      <c r="B1182" s="4">
        <v>3770</v>
      </c>
      <c r="C1182" s="5">
        <v>220</v>
      </c>
      <c r="D1182" s="1" t="s">
        <v>1179</v>
      </c>
      <c r="E1182" s="1" t="s">
        <v>1180</v>
      </c>
      <c r="F1182" s="1" t="s">
        <v>426</v>
      </c>
      <c r="G1182" s="1" t="s">
        <v>940</v>
      </c>
      <c r="H1182" s="3">
        <v>45971</v>
      </c>
      <c r="I1182" s="1" t="s">
        <v>933</v>
      </c>
      <c r="J1182" s="1" t="s">
        <v>66</v>
      </c>
      <c r="K1182" s="1" t="s">
        <v>66</v>
      </c>
      <c r="L1182" s="1" t="s">
        <v>2488</v>
      </c>
      <c r="M1182" s="3">
        <v>45955</v>
      </c>
      <c r="N1182" s="1" t="s">
        <v>429</v>
      </c>
      <c r="O1182" s="1" t="s">
        <v>936</v>
      </c>
      <c r="P1182" s="1">
        <v>1</v>
      </c>
    </row>
    <row r="1183" spans="1:16" x14ac:dyDescent="0.25">
      <c r="A1183" s="3">
        <v>45952</v>
      </c>
      <c r="B1183" s="4">
        <v>3771</v>
      </c>
      <c r="C1183" s="5">
        <v>130</v>
      </c>
      <c r="D1183" s="1" t="s">
        <v>1179</v>
      </c>
      <c r="E1183" s="1" t="s">
        <v>1180</v>
      </c>
      <c r="F1183" s="1" t="s">
        <v>307</v>
      </c>
      <c r="G1183" s="1" t="s">
        <v>940</v>
      </c>
      <c r="H1183" s="3">
        <v>45971</v>
      </c>
      <c r="I1183" s="1" t="s">
        <v>933</v>
      </c>
      <c r="J1183" s="1" t="s">
        <v>66</v>
      </c>
      <c r="K1183" s="1" t="s">
        <v>66</v>
      </c>
      <c r="L1183" s="1" t="s">
        <v>2489</v>
      </c>
      <c r="M1183" s="3">
        <v>45955</v>
      </c>
      <c r="N1183" s="1" t="s">
        <v>57</v>
      </c>
      <c r="O1183" s="1" t="s">
        <v>936</v>
      </c>
      <c r="P1183" s="1">
        <v>1</v>
      </c>
    </row>
    <row r="1184" spans="1:16" x14ac:dyDescent="0.25">
      <c r="A1184" s="3">
        <v>45952</v>
      </c>
      <c r="B1184" s="4">
        <v>3772</v>
      </c>
      <c r="C1184" s="5">
        <v>4410</v>
      </c>
      <c r="D1184" s="1" t="s">
        <v>1179</v>
      </c>
      <c r="E1184" s="1" t="s">
        <v>1180</v>
      </c>
      <c r="F1184" s="1" t="s">
        <v>635</v>
      </c>
      <c r="G1184" s="1" t="s">
        <v>940</v>
      </c>
      <c r="H1184" s="3">
        <v>45971</v>
      </c>
      <c r="I1184" s="1" t="s">
        <v>2004</v>
      </c>
      <c r="J1184" s="1" t="s">
        <v>66</v>
      </c>
      <c r="K1184" s="1" t="s">
        <v>66</v>
      </c>
      <c r="L1184" s="1" t="s">
        <v>2490</v>
      </c>
      <c r="M1184" s="3">
        <v>45955</v>
      </c>
      <c r="N1184" s="1" t="s">
        <v>429</v>
      </c>
      <c r="O1184" s="1" t="s">
        <v>936</v>
      </c>
      <c r="P1184" s="1">
        <v>1</v>
      </c>
    </row>
    <row r="1185" spans="1:16" x14ac:dyDescent="0.25">
      <c r="A1185" s="3">
        <v>45952</v>
      </c>
      <c r="B1185" s="4">
        <v>3773</v>
      </c>
      <c r="C1185" s="5">
        <v>646</v>
      </c>
      <c r="D1185" s="1" t="s">
        <v>1179</v>
      </c>
      <c r="E1185" s="1" t="s">
        <v>1180</v>
      </c>
      <c r="F1185" s="1" t="s">
        <v>955</v>
      </c>
      <c r="G1185" s="1" t="s">
        <v>940</v>
      </c>
      <c r="H1185" s="3">
        <v>45971</v>
      </c>
      <c r="I1185" s="1" t="s">
        <v>933</v>
      </c>
      <c r="J1185" s="1" t="s">
        <v>951</v>
      </c>
      <c r="K1185" s="1" t="s">
        <v>340</v>
      </c>
      <c r="L1185" s="1" t="s">
        <v>2491</v>
      </c>
      <c r="M1185" s="3">
        <v>45955</v>
      </c>
      <c r="N1185" s="1" t="s">
        <v>821</v>
      </c>
      <c r="O1185" s="1" t="s">
        <v>936</v>
      </c>
      <c r="P1185" s="1">
        <v>1</v>
      </c>
    </row>
    <row r="1186" spans="1:16" x14ac:dyDescent="0.25">
      <c r="A1186" s="3">
        <v>45952</v>
      </c>
      <c r="B1186" s="4">
        <v>3347</v>
      </c>
      <c r="C1186" s="5">
        <v>1100</v>
      </c>
      <c r="D1186" s="1" t="s">
        <v>1179</v>
      </c>
      <c r="E1186" s="1" t="s">
        <v>1180</v>
      </c>
      <c r="F1186" s="1" t="s">
        <v>307</v>
      </c>
      <c r="G1186" s="1" t="s">
        <v>940</v>
      </c>
      <c r="H1186" s="3">
        <v>45971</v>
      </c>
      <c r="I1186" s="1" t="s">
        <v>933</v>
      </c>
      <c r="J1186" s="1" t="s">
        <v>66</v>
      </c>
      <c r="K1186" s="1" t="s">
        <v>340</v>
      </c>
      <c r="L1186" s="1" t="s">
        <v>2492</v>
      </c>
      <c r="M1186" s="3">
        <v>45955</v>
      </c>
      <c r="N1186" s="1" t="s">
        <v>57</v>
      </c>
      <c r="O1186" s="1" t="s">
        <v>936</v>
      </c>
      <c r="P1186" s="1">
        <v>1</v>
      </c>
    </row>
    <row r="1187" spans="1:16" x14ac:dyDescent="0.25">
      <c r="A1187" s="3">
        <v>45952</v>
      </c>
      <c r="B1187" s="4">
        <v>3348</v>
      </c>
      <c r="C1187" s="5">
        <v>2350</v>
      </c>
      <c r="D1187" s="1" t="s">
        <v>1179</v>
      </c>
      <c r="E1187" s="1" t="s">
        <v>1180</v>
      </c>
      <c r="F1187" s="1" t="s">
        <v>635</v>
      </c>
      <c r="G1187" s="1" t="s">
        <v>940</v>
      </c>
      <c r="H1187" s="3">
        <v>45971</v>
      </c>
      <c r="I1187" s="1" t="s">
        <v>2004</v>
      </c>
      <c r="J1187" s="1" t="s">
        <v>66</v>
      </c>
      <c r="K1187" s="1" t="s">
        <v>340</v>
      </c>
      <c r="L1187" s="1" t="s">
        <v>2493</v>
      </c>
      <c r="M1187" s="3">
        <v>45955</v>
      </c>
      <c r="N1187" s="1" t="s">
        <v>429</v>
      </c>
      <c r="O1187" s="1" t="s">
        <v>936</v>
      </c>
      <c r="P1187" s="1">
        <v>1</v>
      </c>
    </row>
    <row r="1188" spans="1:16" x14ac:dyDescent="0.25">
      <c r="A1188" s="3">
        <v>45952</v>
      </c>
      <c r="B1188" s="4">
        <v>3349</v>
      </c>
      <c r="C1188" s="5">
        <v>450</v>
      </c>
      <c r="D1188" s="1" t="s">
        <v>1179</v>
      </c>
      <c r="E1188" s="1" t="s">
        <v>1180</v>
      </c>
      <c r="F1188" s="1" t="s">
        <v>955</v>
      </c>
      <c r="G1188" s="1" t="s">
        <v>940</v>
      </c>
      <c r="H1188" s="3">
        <v>45971</v>
      </c>
      <c r="I1188" s="1" t="s">
        <v>933</v>
      </c>
      <c r="J1188" s="1" t="s">
        <v>951</v>
      </c>
      <c r="K1188" s="1" t="s">
        <v>340</v>
      </c>
      <c r="L1188" s="1" t="s">
        <v>2494</v>
      </c>
      <c r="M1188" s="3">
        <v>45955</v>
      </c>
      <c r="N1188" s="1" t="s">
        <v>821</v>
      </c>
      <c r="O1188" s="1" t="s">
        <v>936</v>
      </c>
      <c r="P1188" s="1">
        <v>1</v>
      </c>
    </row>
    <row r="1189" spans="1:16" x14ac:dyDescent="0.25">
      <c r="A1189" s="3">
        <v>45952</v>
      </c>
      <c r="B1189" s="4">
        <v>713493</v>
      </c>
      <c r="C1189" s="5">
        <v>418</v>
      </c>
      <c r="D1189" s="1" t="s">
        <v>973</v>
      </c>
      <c r="E1189" s="1" t="s">
        <v>1068</v>
      </c>
      <c r="F1189" s="1" t="s">
        <v>955</v>
      </c>
      <c r="G1189" s="1" t="s">
        <v>950</v>
      </c>
      <c r="H1189" s="1" t="s">
        <v>1927</v>
      </c>
      <c r="I1189" s="1" t="s">
        <v>933</v>
      </c>
      <c r="J1189" s="1" t="s">
        <v>951</v>
      </c>
      <c r="K1189" s="1" t="s">
        <v>340</v>
      </c>
      <c r="L1189" s="1" t="s">
        <v>2495</v>
      </c>
      <c r="M1189" s="3">
        <v>45957</v>
      </c>
      <c r="N1189" s="1" t="s">
        <v>821</v>
      </c>
      <c r="O1189" s="1" t="s">
        <v>998</v>
      </c>
      <c r="P1189" s="1">
        <v>1</v>
      </c>
    </row>
    <row r="1190" spans="1:16" x14ac:dyDescent="0.25">
      <c r="A1190" s="3">
        <v>45952</v>
      </c>
      <c r="B1190" s="4">
        <v>4508</v>
      </c>
      <c r="C1190" s="5">
        <v>501.04</v>
      </c>
      <c r="D1190" s="1" t="s">
        <v>938</v>
      </c>
      <c r="E1190" s="1" t="s">
        <v>939</v>
      </c>
      <c r="F1190" s="1" t="s">
        <v>955</v>
      </c>
      <c r="G1190" s="1" t="s">
        <v>940</v>
      </c>
      <c r="H1190" s="1" t="s">
        <v>1927</v>
      </c>
      <c r="I1190" s="1" t="s">
        <v>933</v>
      </c>
      <c r="J1190" s="1" t="s">
        <v>951</v>
      </c>
      <c r="K1190" s="1" t="s">
        <v>659</v>
      </c>
      <c r="L1190" s="1" t="s">
        <v>2496</v>
      </c>
      <c r="M1190" s="3">
        <v>45957</v>
      </c>
      <c r="N1190" s="1" t="s">
        <v>821</v>
      </c>
      <c r="O1190" s="1" t="s">
        <v>936</v>
      </c>
      <c r="P1190" s="1">
        <v>1</v>
      </c>
    </row>
    <row r="1191" spans="1:16" x14ac:dyDescent="0.25">
      <c r="A1191" s="3">
        <v>45952</v>
      </c>
      <c r="B1191" s="4">
        <v>9858</v>
      </c>
      <c r="C1191" s="5">
        <v>1014.75</v>
      </c>
      <c r="D1191" s="1" t="s">
        <v>1801</v>
      </c>
      <c r="E1191" s="1" t="s">
        <v>1802</v>
      </c>
      <c r="F1191" s="1" t="s">
        <v>955</v>
      </c>
      <c r="G1191" s="1" t="s">
        <v>998</v>
      </c>
      <c r="H1191" s="3">
        <v>45981</v>
      </c>
      <c r="I1191" s="1" t="s">
        <v>933</v>
      </c>
      <c r="J1191" s="1" t="s">
        <v>951</v>
      </c>
      <c r="K1191" s="1" t="s">
        <v>52</v>
      </c>
      <c r="L1191" s="1" t="s">
        <v>2497</v>
      </c>
      <c r="M1191" s="3">
        <v>45960</v>
      </c>
      <c r="N1191" s="1" t="s">
        <v>821</v>
      </c>
      <c r="O1191" s="1" t="s">
        <v>998</v>
      </c>
      <c r="P1191" s="1">
        <v>1</v>
      </c>
    </row>
    <row r="1192" spans="1:16" x14ac:dyDescent="0.25">
      <c r="A1192" s="3">
        <v>45952</v>
      </c>
      <c r="B1192" s="4">
        <v>10148</v>
      </c>
      <c r="C1192" s="5">
        <v>1001.61</v>
      </c>
      <c r="D1192" s="1" t="s">
        <v>1801</v>
      </c>
      <c r="E1192" s="1" t="s">
        <v>1802</v>
      </c>
      <c r="F1192" s="1" t="s">
        <v>955</v>
      </c>
      <c r="G1192" s="1" t="s">
        <v>998</v>
      </c>
      <c r="H1192" s="3">
        <v>45981</v>
      </c>
      <c r="I1192" s="1" t="s">
        <v>933</v>
      </c>
      <c r="J1192" s="1" t="s">
        <v>951</v>
      </c>
      <c r="K1192" s="1" t="s">
        <v>52</v>
      </c>
      <c r="L1192" s="1" t="s">
        <v>2498</v>
      </c>
      <c r="M1192" s="3">
        <v>45960</v>
      </c>
      <c r="N1192" s="1" t="s">
        <v>821</v>
      </c>
      <c r="O1192" s="1" t="s">
        <v>998</v>
      </c>
      <c r="P1192" s="1">
        <v>1</v>
      </c>
    </row>
    <row r="1193" spans="1:16" x14ac:dyDescent="0.25">
      <c r="A1193" s="3">
        <v>45952</v>
      </c>
      <c r="B1193" s="4">
        <v>10147</v>
      </c>
      <c r="C1193" s="5">
        <v>1021.1</v>
      </c>
      <c r="D1193" s="1" t="s">
        <v>1801</v>
      </c>
      <c r="E1193" s="1" t="s">
        <v>1802</v>
      </c>
      <c r="F1193" s="1" t="s">
        <v>955</v>
      </c>
      <c r="G1193" s="1" t="s">
        <v>998</v>
      </c>
      <c r="H1193" s="3">
        <v>45981</v>
      </c>
      <c r="I1193" s="1" t="s">
        <v>933</v>
      </c>
      <c r="J1193" s="1" t="s">
        <v>951</v>
      </c>
      <c r="K1193" s="1" t="s">
        <v>52</v>
      </c>
      <c r="L1193" s="1" t="s">
        <v>2499</v>
      </c>
      <c r="M1193" s="3">
        <v>45960</v>
      </c>
      <c r="N1193" s="1" t="s">
        <v>821</v>
      </c>
      <c r="O1193" s="1" t="s">
        <v>998</v>
      </c>
      <c r="P1193" s="1">
        <v>1</v>
      </c>
    </row>
    <row r="1194" spans="1:16" x14ac:dyDescent="0.25">
      <c r="A1194" s="3">
        <v>45952</v>
      </c>
      <c r="B1194" s="1">
        <v>152</v>
      </c>
      <c r="C1194" s="5">
        <v>9880.2000000000007</v>
      </c>
      <c r="D1194" s="1" t="s">
        <v>2500</v>
      </c>
      <c r="E1194" s="1" t="s">
        <v>2501</v>
      </c>
      <c r="F1194" s="1" t="s">
        <v>955</v>
      </c>
      <c r="G1194" s="1" t="s">
        <v>940</v>
      </c>
      <c r="H1194" s="3">
        <v>45980</v>
      </c>
      <c r="I1194" s="1" t="s">
        <v>933</v>
      </c>
      <c r="J1194" s="1" t="s">
        <v>951</v>
      </c>
      <c r="K1194" s="1" t="s">
        <v>1654</v>
      </c>
      <c r="L1194" s="1" t="s">
        <v>2502</v>
      </c>
      <c r="M1194" s="3">
        <v>45960</v>
      </c>
      <c r="N1194" s="1" t="s">
        <v>821</v>
      </c>
      <c r="O1194" s="1" t="s">
        <v>936</v>
      </c>
      <c r="P1194" s="1">
        <v>1</v>
      </c>
    </row>
    <row r="1195" spans="1:16" x14ac:dyDescent="0.25">
      <c r="A1195" s="3">
        <v>45953</v>
      </c>
      <c r="B1195" s="4">
        <v>1792</v>
      </c>
      <c r="C1195" s="5">
        <v>2080</v>
      </c>
      <c r="D1195" s="1" t="s">
        <v>953</v>
      </c>
      <c r="E1195" s="1" t="s">
        <v>1192</v>
      </c>
      <c r="F1195" s="1" t="s">
        <v>955</v>
      </c>
      <c r="G1195" s="1" t="s">
        <v>940</v>
      </c>
      <c r="H1195" s="3">
        <v>45984</v>
      </c>
      <c r="I1195" s="1" t="s">
        <v>933</v>
      </c>
      <c r="J1195" s="1" t="s">
        <v>951</v>
      </c>
      <c r="K1195" s="1" t="s">
        <v>487</v>
      </c>
      <c r="L1195" s="1" t="s">
        <v>2503</v>
      </c>
      <c r="M1195" s="3">
        <v>45953</v>
      </c>
      <c r="N1195" s="1" t="s">
        <v>821</v>
      </c>
      <c r="O1195" s="1" t="s">
        <v>936</v>
      </c>
      <c r="P1195" s="1">
        <v>1</v>
      </c>
    </row>
    <row r="1196" spans="1:16" x14ac:dyDescent="0.25">
      <c r="A1196" s="3">
        <v>45953</v>
      </c>
      <c r="B1196" s="4">
        <v>1466</v>
      </c>
      <c r="C1196" s="5">
        <v>1050</v>
      </c>
      <c r="D1196" s="1" t="s">
        <v>2504</v>
      </c>
      <c r="E1196" s="1" t="s">
        <v>2505</v>
      </c>
      <c r="F1196" s="1" t="s">
        <v>392</v>
      </c>
      <c r="G1196" s="1" t="s">
        <v>981</v>
      </c>
      <c r="H1196" s="1"/>
      <c r="I1196" s="1" t="s">
        <v>933</v>
      </c>
      <c r="J1196" s="1" t="s">
        <v>66</v>
      </c>
      <c r="K1196" s="1" t="s">
        <v>52</v>
      </c>
      <c r="L1196" s="1" t="s">
        <v>2506</v>
      </c>
      <c r="M1196" s="3">
        <v>45954</v>
      </c>
      <c r="N1196" s="1" t="s">
        <v>93</v>
      </c>
      <c r="O1196" s="1" t="s">
        <v>936</v>
      </c>
      <c r="P1196" s="1">
        <v>1</v>
      </c>
    </row>
    <row r="1197" spans="1:16" x14ac:dyDescent="0.25">
      <c r="A1197" s="3">
        <v>45953</v>
      </c>
      <c r="B1197" s="1">
        <v>5</v>
      </c>
      <c r="C1197" s="5">
        <v>2860</v>
      </c>
      <c r="D1197" s="1" t="s">
        <v>930</v>
      </c>
      <c r="E1197" s="1" t="s">
        <v>2507</v>
      </c>
      <c r="F1197" s="1" t="s">
        <v>949</v>
      </c>
      <c r="G1197" s="1" t="s">
        <v>2508</v>
      </c>
      <c r="H1197" s="3">
        <v>45974</v>
      </c>
      <c r="I1197" s="1" t="s">
        <v>933</v>
      </c>
      <c r="J1197" s="1" t="s">
        <v>951</v>
      </c>
      <c r="K1197" s="1" t="s">
        <v>66</v>
      </c>
      <c r="L1197" s="1" t="s">
        <v>2509</v>
      </c>
      <c r="M1197" s="3">
        <v>45955</v>
      </c>
      <c r="N1197" s="1" t="s">
        <v>821</v>
      </c>
      <c r="O1197" s="1" t="s">
        <v>936</v>
      </c>
      <c r="P1197" s="1" t="s">
        <v>937</v>
      </c>
    </row>
    <row r="1198" spans="1:16" x14ac:dyDescent="0.25">
      <c r="A1198" s="3">
        <v>45953</v>
      </c>
      <c r="B1198" s="4">
        <v>1072</v>
      </c>
      <c r="C1198" s="5">
        <v>130.41999999999999</v>
      </c>
      <c r="D1198" s="1" t="s">
        <v>2510</v>
      </c>
      <c r="E1198" s="1" t="s">
        <v>712</v>
      </c>
      <c r="F1198" s="1" t="s">
        <v>710</v>
      </c>
      <c r="G1198" s="1" t="s">
        <v>940</v>
      </c>
      <c r="H1198" s="3">
        <v>45961</v>
      </c>
      <c r="I1198" s="1" t="s">
        <v>933</v>
      </c>
      <c r="J1198" s="1" t="s">
        <v>66</v>
      </c>
      <c r="K1198" s="1" t="s">
        <v>66</v>
      </c>
      <c r="L1198" s="1" t="s">
        <v>2511</v>
      </c>
      <c r="M1198" s="3">
        <v>45955</v>
      </c>
      <c r="N1198" s="1" t="s">
        <v>712</v>
      </c>
      <c r="O1198" s="1" t="s">
        <v>932</v>
      </c>
      <c r="P1198" s="1">
        <v>1</v>
      </c>
    </row>
    <row r="1199" spans="1:16" x14ac:dyDescent="0.25">
      <c r="A1199" s="3">
        <v>45953</v>
      </c>
      <c r="B1199" s="1">
        <v>65</v>
      </c>
      <c r="C1199" s="5">
        <v>1453.37</v>
      </c>
      <c r="D1199" s="1" t="s">
        <v>2512</v>
      </c>
      <c r="E1199" s="1" t="s">
        <v>2513</v>
      </c>
      <c r="F1199" s="1" t="s">
        <v>128</v>
      </c>
      <c r="G1199" s="1" t="s">
        <v>940</v>
      </c>
      <c r="H1199" s="3">
        <v>45966</v>
      </c>
      <c r="I1199" s="1" t="s">
        <v>933</v>
      </c>
      <c r="J1199" s="1" t="s">
        <v>66</v>
      </c>
      <c r="K1199" s="1" t="s">
        <v>66</v>
      </c>
      <c r="L1199" s="1" t="s">
        <v>2514</v>
      </c>
      <c r="M1199" s="3">
        <v>45955</v>
      </c>
      <c r="N1199" s="1" t="s">
        <v>93</v>
      </c>
      <c r="O1199" s="1" t="s">
        <v>936</v>
      </c>
      <c r="P1199" s="1" t="s">
        <v>937</v>
      </c>
    </row>
    <row r="1200" spans="1:16" x14ac:dyDescent="0.25">
      <c r="A1200" s="3">
        <v>45953</v>
      </c>
      <c r="B1200" s="4">
        <v>13809</v>
      </c>
      <c r="C1200" s="1"/>
      <c r="D1200" s="1" t="s">
        <v>964</v>
      </c>
      <c r="E1200" s="1" t="s">
        <v>2515</v>
      </c>
      <c r="F1200" s="1" t="s">
        <v>955</v>
      </c>
      <c r="G1200" s="1" t="s">
        <v>950</v>
      </c>
      <c r="H1200" s="1" t="s">
        <v>1927</v>
      </c>
      <c r="I1200" s="1" t="s">
        <v>933</v>
      </c>
      <c r="J1200" s="1" t="s">
        <v>951</v>
      </c>
      <c r="K1200" s="1" t="s">
        <v>817</v>
      </c>
      <c r="L1200" s="1" t="s">
        <v>2516</v>
      </c>
      <c r="M1200" s="3">
        <v>45957</v>
      </c>
      <c r="N1200" s="1" t="s">
        <v>821</v>
      </c>
      <c r="O1200" s="1" t="s">
        <v>936</v>
      </c>
      <c r="P1200" s="1">
        <v>1</v>
      </c>
    </row>
    <row r="1201" spans="1:16" x14ac:dyDescent="0.25">
      <c r="A1201" s="3">
        <v>45953</v>
      </c>
      <c r="B1201" s="4">
        <v>3378</v>
      </c>
      <c r="C1201" s="5">
        <v>100</v>
      </c>
      <c r="D1201" s="1" t="s">
        <v>2517</v>
      </c>
      <c r="E1201" s="1" t="s">
        <v>2518</v>
      </c>
      <c r="F1201" s="1" t="s">
        <v>465</v>
      </c>
      <c r="G1201" s="1" t="s">
        <v>940</v>
      </c>
      <c r="H1201" s="1" t="s">
        <v>1927</v>
      </c>
      <c r="I1201" s="1" t="s">
        <v>933</v>
      </c>
      <c r="J1201" s="1" t="s">
        <v>66</v>
      </c>
      <c r="K1201" s="1" t="s">
        <v>308</v>
      </c>
      <c r="L1201" s="1" t="s">
        <v>2519</v>
      </c>
      <c r="M1201" s="3">
        <v>45957</v>
      </c>
      <c r="N1201" s="1" t="s">
        <v>57</v>
      </c>
      <c r="O1201" s="1" t="s">
        <v>936</v>
      </c>
      <c r="P1201" s="1">
        <v>1</v>
      </c>
    </row>
    <row r="1202" spans="1:16" x14ac:dyDescent="0.25">
      <c r="A1202" s="3">
        <v>45953</v>
      </c>
      <c r="B1202" s="1">
        <v>7</v>
      </c>
      <c r="C1202" s="5">
        <v>27.5</v>
      </c>
      <c r="D1202" s="1" t="s">
        <v>2517</v>
      </c>
      <c r="E1202" s="1" t="s">
        <v>2518</v>
      </c>
      <c r="F1202" s="1" t="s">
        <v>465</v>
      </c>
      <c r="G1202" s="1" t="s">
        <v>940</v>
      </c>
      <c r="H1202" s="1" t="s">
        <v>1927</v>
      </c>
      <c r="I1202" s="1" t="s">
        <v>933</v>
      </c>
      <c r="J1202" s="1" t="s">
        <v>66</v>
      </c>
      <c r="K1202" s="1" t="s">
        <v>308</v>
      </c>
      <c r="L1202" s="1" t="s">
        <v>2520</v>
      </c>
      <c r="M1202" s="3">
        <v>45957</v>
      </c>
      <c r="N1202" s="1" t="s">
        <v>57</v>
      </c>
      <c r="O1202" s="1" t="s">
        <v>936</v>
      </c>
      <c r="P1202" s="1">
        <v>1</v>
      </c>
    </row>
    <row r="1203" spans="1:16" x14ac:dyDescent="0.25">
      <c r="A1203" s="3">
        <v>45953</v>
      </c>
      <c r="B1203" s="4">
        <v>1466</v>
      </c>
      <c r="C1203" s="5">
        <v>150</v>
      </c>
      <c r="D1203" s="1" t="s">
        <v>2521</v>
      </c>
      <c r="E1203" s="1" t="s">
        <v>2505</v>
      </c>
      <c r="F1203" s="1" t="s">
        <v>128</v>
      </c>
      <c r="G1203" s="1" t="s">
        <v>981</v>
      </c>
      <c r="H1203" s="3">
        <v>45976</v>
      </c>
      <c r="I1203" s="1" t="s">
        <v>933</v>
      </c>
      <c r="J1203" s="1" t="s">
        <v>66</v>
      </c>
      <c r="K1203" s="1" t="s">
        <v>52</v>
      </c>
      <c r="L1203" s="1" t="s">
        <v>2522</v>
      </c>
      <c r="M1203" s="3">
        <v>45960</v>
      </c>
      <c r="N1203" s="1" t="s">
        <v>93</v>
      </c>
      <c r="O1203" s="1" t="s">
        <v>937</v>
      </c>
      <c r="P1203" s="1">
        <v>1</v>
      </c>
    </row>
    <row r="1204" spans="1:16" x14ac:dyDescent="0.25">
      <c r="A1204" s="3">
        <v>45953</v>
      </c>
      <c r="B1204" s="4">
        <v>1466</v>
      </c>
      <c r="C1204" s="5">
        <v>250</v>
      </c>
      <c r="D1204" s="1" t="s">
        <v>2521</v>
      </c>
      <c r="E1204" s="1" t="s">
        <v>2505</v>
      </c>
      <c r="F1204" s="1" t="s">
        <v>157</v>
      </c>
      <c r="G1204" s="1" t="s">
        <v>981</v>
      </c>
      <c r="H1204" s="3">
        <v>45976</v>
      </c>
      <c r="I1204" s="1" t="s">
        <v>933</v>
      </c>
      <c r="J1204" s="1" t="s">
        <v>66</v>
      </c>
      <c r="K1204" s="1" t="s">
        <v>52</v>
      </c>
      <c r="L1204" s="1" t="s">
        <v>2523</v>
      </c>
      <c r="M1204" s="3">
        <v>45960</v>
      </c>
      <c r="N1204" s="1" t="s">
        <v>161</v>
      </c>
      <c r="O1204" s="1" t="s">
        <v>937</v>
      </c>
      <c r="P1204" s="1">
        <v>1</v>
      </c>
    </row>
    <row r="1205" spans="1:16" x14ac:dyDescent="0.25">
      <c r="A1205" s="3">
        <v>45953</v>
      </c>
      <c r="B1205" s="4">
        <v>1466</v>
      </c>
      <c r="C1205" s="5">
        <v>650</v>
      </c>
      <c r="D1205" s="1" t="s">
        <v>2521</v>
      </c>
      <c r="E1205" s="1" t="s">
        <v>2505</v>
      </c>
      <c r="F1205" s="1" t="s">
        <v>392</v>
      </c>
      <c r="G1205" s="1" t="s">
        <v>981</v>
      </c>
      <c r="H1205" s="3">
        <v>45976</v>
      </c>
      <c r="I1205" s="1" t="s">
        <v>933</v>
      </c>
      <c r="J1205" s="1" t="s">
        <v>66</v>
      </c>
      <c r="K1205" s="1" t="s">
        <v>52</v>
      </c>
      <c r="L1205" s="1" t="s">
        <v>2524</v>
      </c>
      <c r="M1205" s="3">
        <v>45960</v>
      </c>
      <c r="N1205" s="1" t="s">
        <v>93</v>
      </c>
      <c r="O1205" s="1" t="s">
        <v>937</v>
      </c>
      <c r="P1205" s="1">
        <v>1</v>
      </c>
    </row>
    <row r="1206" spans="1:16" x14ac:dyDescent="0.25">
      <c r="A1206" s="3">
        <v>45953</v>
      </c>
      <c r="B1206" s="4">
        <v>71520</v>
      </c>
      <c r="C1206" s="5">
        <v>2353.13</v>
      </c>
      <c r="D1206" s="1" t="s">
        <v>1098</v>
      </c>
      <c r="E1206" s="1" t="s">
        <v>1099</v>
      </c>
      <c r="F1206" s="1" t="s">
        <v>955</v>
      </c>
      <c r="G1206" s="1" t="s">
        <v>940</v>
      </c>
      <c r="H1206" s="3">
        <v>45985</v>
      </c>
      <c r="I1206" s="1" t="s">
        <v>933</v>
      </c>
      <c r="J1206" s="1" t="s">
        <v>951</v>
      </c>
      <c r="K1206" s="1" t="s">
        <v>52</v>
      </c>
      <c r="L1206" s="1" t="s">
        <v>2525</v>
      </c>
      <c r="M1206" s="3">
        <v>45961</v>
      </c>
      <c r="N1206" s="1" t="s">
        <v>821</v>
      </c>
      <c r="O1206" s="1" t="s">
        <v>936</v>
      </c>
      <c r="P1206" s="1">
        <v>1</v>
      </c>
    </row>
    <row r="1207" spans="1:16" x14ac:dyDescent="0.25">
      <c r="A1207" s="3">
        <v>45954</v>
      </c>
      <c r="B1207" s="4">
        <v>94558</v>
      </c>
      <c r="C1207" s="5">
        <v>10333.700000000001</v>
      </c>
      <c r="D1207" s="1" t="s">
        <v>1094</v>
      </c>
      <c r="E1207" s="1" t="s">
        <v>1095</v>
      </c>
      <c r="F1207" s="1" t="s">
        <v>1131</v>
      </c>
      <c r="G1207" s="1" t="s">
        <v>940</v>
      </c>
      <c r="H1207" s="3">
        <v>45985</v>
      </c>
      <c r="I1207" s="1" t="s">
        <v>933</v>
      </c>
      <c r="J1207" s="1" t="s">
        <v>1131</v>
      </c>
      <c r="K1207" s="1" t="s">
        <v>66</v>
      </c>
      <c r="L1207" s="1" t="s">
        <v>2526</v>
      </c>
      <c r="M1207" s="3">
        <v>45955</v>
      </c>
      <c r="N1207" s="1" t="s">
        <v>821</v>
      </c>
      <c r="O1207" s="1" t="s">
        <v>998</v>
      </c>
      <c r="P1207" s="1">
        <v>1</v>
      </c>
    </row>
    <row r="1208" spans="1:16" x14ac:dyDescent="0.25">
      <c r="A1208" s="3">
        <v>45954</v>
      </c>
      <c r="B1208" s="4">
        <v>8185</v>
      </c>
      <c r="C1208" s="5">
        <v>4600</v>
      </c>
      <c r="D1208" s="1" t="s">
        <v>2527</v>
      </c>
      <c r="E1208" s="1" t="s">
        <v>2528</v>
      </c>
      <c r="F1208" s="1" t="s">
        <v>659</v>
      </c>
      <c r="G1208" s="1" t="s">
        <v>940</v>
      </c>
      <c r="H1208" s="3">
        <v>45982</v>
      </c>
      <c r="I1208" s="1" t="s">
        <v>933</v>
      </c>
      <c r="J1208" s="1" t="s">
        <v>951</v>
      </c>
      <c r="K1208" s="1" t="s">
        <v>659</v>
      </c>
      <c r="L1208" s="1" t="s">
        <v>2529</v>
      </c>
      <c r="M1208" s="3">
        <v>45956</v>
      </c>
      <c r="N1208" s="1"/>
      <c r="O1208" s="1" t="s">
        <v>936</v>
      </c>
      <c r="P1208" s="1">
        <v>2</v>
      </c>
    </row>
    <row r="1209" spans="1:16" x14ac:dyDescent="0.25">
      <c r="A1209" s="3">
        <v>45954</v>
      </c>
      <c r="B1209" s="4">
        <v>80269</v>
      </c>
      <c r="C1209" s="5">
        <v>5033.7299999999996</v>
      </c>
      <c r="D1209" s="1" t="s">
        <v>2530</v>
      </c>
      <c r="E1209" s="1" t="s">
        <v>772</v>
      </c>
      <c r="F1209" s="1" t="s">
        <v>727</v>
      </c>
      <c r="G1209" s="1" t="s">
        <v>1667</v>
      </c>
      <c r="H1209" s="3">
        <v>45982</v>
      </c>
      <c r="I1209" s="1" t="s">
        <v>1100</v>
      </c>
      <c r="J1209" s="1" t="s">
        <v>66</v>
      </c>
      <c r="K1209" s="1" t="s">
        <v>308</v>
      </c>
      <c r="L1209" s="1" t="s">
        <v>2531</v>
      </c>
      <c r="M1209" s="3">
        <v>45956</v>
      </c>
      <c r="N1209" s="1" t="s">
        <v>57</v>
      </c>
      <c r="O1209" s="1" t="s">
        <v>936</v>
      </c>
      <c r="P1209" s="1" t="s">
        <v>937</v>
      </c>
    </row>
    <row r="1210" spans="1:16" x14ac:dyDescent="0.25">
      <c r="A1210" s="3">
        <v>45954</v>
      </c>
      <c r="B1210" s="1">
        <v>253</v>
      </c>
      <c r="C1210" s="5">
        <v>1170</v>
      </c>
      <c r="D1210" s="1" t="s">
        <v>1658</v>
      </c>
      <c r="E1210" s="1" t="s">
        <v>1659</v>
      </c>
      <c r="F1210" s="1" t="s">
        <v>659</v>
      </c>
      <c r="G1210" s="1" t="s">
        <v>940</v>
      </c>
      <c r="H1210" s="1" t="s">
        <v>1083</v>
      </c>
      <c r="I1210" s="1" t="s">
        <v>933</v>
      </c>
      <c r="J1210" s="1" t="s">
        <v>951</v>
      </c>
      <c r="K1210" s="1" t="s">
        <v>659</v>
      </c>
      <c r="L1210" s="1" t="s">
        <v>2532</v>
      </c>
      <c r="M1210" s="3">
        <v>45956</v>
      </c>
      <c r="N1210" s="1"/>
      <c r="O1210" s="1" t="s">
        <v>936</v>
      </c>
      <c r="P1210" s="1">
        <v>1</v>
      </c>
    </row>
    <row r="1211" spans="1:16" x14ac:dyDescent="0.25">
      <c r="A1211" s="3">
        <v>45954</v>
      </c>
      <c r="B1211" s="4">
        <v>47207</v>
      </c>
      <c r="C1211" s="5">
        <v>532</v>
      </c>
      <c r="D1211" s="1" t="s">
        <v>1489</v>
      </c>
      <c r="E1211" s="1" t="s">
        <v>1490</v>
      </c>
      <c r="F1211" s="1" t="s">
        <v>723</v>
      </c>
      <c r="G1211" s="1" t="s">
        <v>940</v>
      </c>
      <c r="H1211" s="3">
        <v>45984</v>
      </c>
      <c r="I1211" s="1" t="s">
        <v>933</v>
      </c>
      <c r="J1211" s="1" t="s">
        <v>66</v>
      </c>
      <c r="K1211" s="1" t="s">
        <v>340</v>
      </c>
      <c r="L1211" s="1" t="s">
        <v>2533</v>
      </c>
      <c r="M1211" s="3">
        <v>45956</v>
      </c>
      <c r="N1211" s="1" t="s">
        <v>726</v>
      </c>
      <c r="O1211" s="1" t="s">
        <v>936</v>
      </c>
      <c r="P1211" s="1">
        <v>1</v>
      </c>
    </row>
    <row r="1212" spans="1:16" x14ac:dyDescent="0.25">
      <c r="A1212" s="3">
        <v>45954</v>
      </c>
      <c r="B1212" s="4">
        <v>9094</v>
      </c>
      <c r="C1212" s="5">
        <v>25380</v>
      </c>
      <c r="D1212" s="1" t="s">
        <v>973</v>
      </c>
      <c r="E1212" s="1" t="s">
        <v>1068</v>
      </c>
      <c r="F1212" s="1" t="s">
        <v>2076</v>
      </c>
      <c r="G1212" s="1" t="s">
        <v>998</v>
      </c>
      <c r="H1212" s="3">
        <v>45969</v>
      </c>
      <c r="I1212" s="1" t="s">
        <v>933</v>
      </c>
      <c r="J1212" s="1" t="s">
        <v>951</v>
      </c>
      <c r="K1212" s="1" t="s">
        <v>340</v>
      </c>
      <c r="L1212" s="4">
        <v>4000</v>
      </c>
      <c r="M1212" s="3">
        <v>45957</v>
      </c>
      <c r="N1212" s="1"/>
      <c r="O1212" s="1" t="s">
        <v>998</v>
      </c>
      <c r="P1212" s="1">
        <v>1</v>
      </c>
    </row>
    <row r="1213" spans="1:16" x14ac:dyDescent="0.25">
      <c r="A1213" s="3">
        <v>45954</v>
      </c>
      <c r="B1213" s="4">
        <v>9080</v>
      </c>
      <c r="C1213" s="5">
        <v>22560</v>
      </c>
      <c r="D1213" s="1" t="s">
        <v>973</v>
      </c>
      <c r="E1213" s="1" t="s">
        <v>1068</v>
      </c>
      <c r="F1213" s="1" t="s">
        <v>2076</v>
      </c>
      <c r="G1213" s="1" t="s">
        <v>998</v>
      </c>
      <c r="H1213" s="3">
        <v>45969</v>
      </c>
      <c r="I1213" s="1" t="s">
        <v>933</v>
      </c>
      <c r="J1213" s="1" t="s">
        <v>951</v>
      </c>
      <c r="K1213" s="1" t="s">
        <v>340</v>
      </c>
      <c r="L1213" s="4">
        <v>4000</v>
      </c>
      <c r="M1213" s="3">
        <v>45957</v>
      </c>
      <c r="N1213" s="1"/>
      <c r="O1213" s="1" t="s">
        <v>998</v>
      </c>
      <c r="P1213" s="1">
        <v>1</v>
      </c>
    </row>
    <row r="1214" spans="1:16" x14ac:dyDescent="0.25">
      <c r="A1214" s="3">
        <v>45954</v>
      </c>
      <c r="B1214" s="4">
        <v>9089</v>
      </c>
      <c r="C1214" s="5">
        <v>7254</v>
      </c>
      <c r="D1214" s="1" t="s">
        <v>973</v>
      </c>
      <c r="E1214" s="1" t="s">
        <v>1068</v>
      </c>
      <c r="F1214" s="1" t="s">
        <v>1814</v>
      </c>
      <c r="G1214" s="1" t="s">
        <v>998</v>
      </c>
      <c r="H1214" s="3">
        <v>45969</v>
      </c>
      <c r="I1214" s="1" t="s">
        <v>933</v>
      </c>
      <c r="J1214" s="1" t="s">
        <v>66</v>
      </c>
      <c r="K1214" s="1" t="s">
        <v>659</v>
      </c>
      <c r="L1214" s="1" t="s">
        <v>2534</v>
      </c>
      <c r="M1214" s="3">
        <v>45957</v>
      </c>
      <c r="N1214" s="1" t="s">
        <v>1814</v>
      </c>
      <c r="O1214" s="1" t="s">
        <v>998</v>
      </c>
      <c r="P1214" s="1">
        <v>1</v>
      </c>
    </row>
    <row r="1215" spans="1:16" x14ac:dyDescent="0.25">
      <c r="A1215" s="3">
        <v>45954</v>
      </c>
      <c r="B1215" s="1">
        <v>85</v>
      </c>
      <c r="C1215" s="5">
        <v>110</v>
      </c>
      <c r="D1215" s="1" t="s">
        <v>1323</v>
      </c>
      <c r="E1215" s="1" t="s">
        <v>1324</v>
      </c>
      <c r="F1215" s="1" t="s">
        <v>426</v>
      </c>
      <c r="G1215" s="1" t="s">
        <v>940</v>
      </c>
      <c r="H1215" s="1" t="s">
        <v>1832</v>
      </c>
      <c r="I1215" s="1" t="s">
        <v>933</v>
      </c>
      <c r="J1215" s="1" t="s">
        <v>66</v>
      </c>
      <c r="K1215" s="1" t="s">
        <v>659</v>
      </c>
      <c r="L1215" s="1" t="s">
        <v>2535</v>
      </c>
      <c r="M1215" s="3">
        <v>45957</v>
      </c>
      <c r="N1215" s="1" t="s">
        <v>429</v>
      </c>
      <c r="O1215" s="1" t="s">
        <v>936</v>
      </c>
      <c r="P1215" s="1">
        <v>1</v>
      </c>
    </row>
    <row r="1216" spans="1:16" x14ac:dyDescent="0.25">
      <c r="A1216" s="3">
        <v>45954</v>
      </c>
      <c r="B1216" s="4">
        <v>1303</v>
      </c>
      <c r="C1216" s="5">
        <v>497.5</v>
      </c>
      <c r="D1216" s="1" t="s">
        <v>1120</v>
      </c>
      <c r="E1216" s="1" t="s">
        <v>2536</v>
      </c>
      <c r="F1216" s="1" t="s">
        <v>955</v>
      </c>
      <c r="G1216" s="1" t="s">
        <v>940</v>
      </c>
      <c r="H1216" s="1" t="s">
        <v>1927</v>
      </c>
      <c r="I1216" s="1" t="s">
        <v>933</v>
      </c>
      <c r="J1216" s="1" t="s">
        <v>951</v>
      </c>
      <c r="K1216" s="1" t="s">
        <v>66</v>
      </c>
      <c r="L1216" s="1" t="s">
        <v>2537</v>
      </c>
      <c r="M1216" s="3">
        <v>45957</v>
      </c>
      <c r="N1216" s="1" t="s">
        <v>821</v>
      </c>
      <c r="O1216" s="1" t="s">
        <v>936</v>
      </c>
      <c r="P1216" s="1">
        <v>1</v>
      </c>
    </row>
    <row r="1217" spans="1:16" x14ac:dyDescent="0.25">
      <c r="A1217" s="3">
        <v>45954</v>
      </c>
      <c r="B1217" s="4">
        <v>9088</v>
      </c>
      <c r="C1217" s="5">
        <v>418</v>
      </c>
      <c r="D1217" s="1" t="s">
        <v>973</v>
      </c>
      <c r="E1217" s="1" t="s">
        <v>1068</v>
      </c>
      <c r="F1217" s="1" t="s">
        <v>955</v>
      </c>
      <c r="G1217" s="1" t="s">
        <v>950</v>
      </c>
      <c r="H1217" s="1" t="s">
        <v>1832</v>
      </c>
      <c r="I1217" s="1" t="s">
        <v>933</v>
      </c>
      <c r="J1217" s="1" t="s">
        <v>951</v>
      </c>
      <c r="K1217" s="1" t="s">
        <v>340</v>
      </c>
      <c r="L1217" s="1" t="s">
        <v>2495</v>
      </c>
      <c r="M1217" s="3">
        <v>45957</v>
      </c>
      <c r="N1217" s="1" t="s">
        <v>821</v>
      </c>
      <c r="O1217" s="1" t="s">
        <v>998</v>
      </c>
      <c r="P1217" s="1">
        <v>1</v>
      </c>
    </row>
    <row r="1218" spans="1:16" x14ac:dyDescent="0.25">
      <c r="A1218" s="3">
        <v>45954</v>
      </c>
      <c r="B1218" s="1">
        <v>43</v>
      </c>
      <c r="C1218" s="5">
        <v>1130</v>
      </c>
      <c r="D1218" s="1" t="s">
        <v>1607</v>
      </c>
      <c r="E1218" s="1" t="s">
        <v>1608</v>
      </c>
      <c r="F1218" s="1" t="s">
        <v>955</v>
      </c>
      <c r="G1218" s="1" t="s">
        <v>932</v>
      </c>
      <c r="H1218" s="3">
        <v>45978</v>
      </c>
      <c r="I1218" s="1" t="s">
        <v>933</v>
      </c>
      <c r="J1218" s="1" t="s">
        <v>951</v>
      </c>
      <c r="K1218" s="1" t="s">
        <v>20</v>
      </c>
      <c r="L1218" s="1" t="s">
        <v>1851</v>
      </c>
      <c r="M1218" s="3">
        <v>45958</v>
      </c>
      <c r="N1218" s="1" t="s">
        <v>821</v>
      </c>
      <c r="O1218" s="1" t="s">
        <v>1497</v>
      </c>
      <c r="P1218" s="1" t="s">
        <v>937</v>
      </c>
    </row>
    <row r="1219" spans="1:16" x14ac:dyDescent="0.25">
      <c r="A1219" s="3">
        <v>45954</v>
      </c>
      <c r="B1219" s="4">
        <v>8185</v>
      </c>
      <c r="C1219" s="5">
        <v>4600</v>
      </c>
      <c r="D1219" s="1" t="s">
        <v>2527</v>
      </c>
      <c r="E1219" s="1" t="s">
        <v>2528</v>
      </c>
      <c r="F1219" s="1" t="s">
        <v>955</v>
      </c>
      <c r="G1219" s="1" t="s">
        <v>981</v>
      </c>
      <c r="H1219" s="3">
        <v>45982</v>
      </c>
      <c r="I1219" s="1" t="s">
        <v>933</v>
      </c>
      <c r="J1219" s="1" t="s">
        <v>951</v>
      </c>
      <c r="K1219" s="1" t="s">
        <v>659</v>
      </c>
      <c r="L1219" s="1" t="s">
        <v>2538</v>
      </c>
      <c r="M1219" s="3">
        <v>45959</v>
      </c>
      <c r="N1219" s="1" t="s">
        <v>821</v>
      </c>
      <c r="O1219" s="1" t="s">
        <v>936</v>
      </c>
      <c r="P1219" s="1">
        <v>2</v>
      </c>
    </row>
    <row r="1220" spans="1:16" x14ac:dyDescent="0.25">
      <c r="A1220" s="3">
        <v>45955</v>
      </c>
      <c r="B1220" s="4">
        <v>9946</v>
      </c>
      <c r="C1220" s="5">
        <v>609</v>
      </c>
      <c r="D1220" s="1" t="s">
        <v>1573</v>
      </c>
      <c r="E1220" s="1" t="s">
        <v>2539</v>
      </c>
      <c r="F1220" s="1" t="s">
        <v>723</v>
      </c>
      <c r="G1220" s="1" t="s">
        <v>940</v>
      </c>
      <c r="H1220" s="3">
        <v>45985</v>
      </c>
      <c r="I1220" s="1" t="s">
        <v>933</v>
      </c>
      <c r="J1220" s="1" t="s">
        <v>66</v>
      </c>
      <c r="K1220" s="1" t="s">
        <v>340</v>
      </c>
      <c r="L1220" s="1" t="s">
        <v>2540</v>
      </c>
      <c r="M1220" s="3">
        <v>45956</v>
      </c>
      <c r="N1220" s="1" t="s">
        <v>726</v>
      </c>
      <c r="O1220" s="1" t="s">
        <v>936</v>
      </c>
      <c r="P1220" s="1">
        <v>1</v>
      </c>
    </row>
    <row r="1221" spans="1:16" x14ac:dyDescent="0.25">
      <c r="A1221" s="3">
        <v>45955</v>
      </c>
      <c r="B1221" s="4">
        <v>9191</v>
      </c>
      <c r="C1221" s="5">
        <v>3262</v>
      </c>
      <c r="D1221" s="1" t="s">
        <v>2530</v>
      </c>
      <c r="E1221" s="1" t="s">
        <v>772</v>
      </c>
      <c r="F1221" s="1" t="s">
        <v>727</v>
      </c>
      <c r="G1221" s="1" t="s">
        <v>1667</v>
      </c>
      <c r="H1221" s="3">
        <v>45982</v>
      </c>
      <c r="I1221" s="1" t="s">
        <v>1100</v>
      </c>
      <c r="J1221" s="1" t="s">
        <v>66</v>
      </c>
      <c r="K1221" s="1" t="s">
        <v>308</v>
      </c>
      <c r="L1221" s="1" t="s">
        <v>2541</v>
      </c>
      <c r="M1221" s="3">
        <v>45956</v>
      </c>
      <c r="N1221" s="1" t="s">
        <v>57</v>
      </c>
      <c r="O1221" s="1" t="s">
        <v>936</v>
      </c>
      <c r="P1221" s="1" t="s">
        <v>937</v>
      </c>
    </row>
    <row r="1222" spans="1:16" x14ac:dyDescent="0.25">
      <c r="A1222" s="3">
        <v>45955</v>
      </c>
      <c r="B1222" s="4">
        <v>9104</v>
      </c>
      <c r="C1222" s="5">
        <v>3450.7</v>
      </c>
      <c r="D1222" s="1" t="s">
        <v>973</v>
      </c>
      <c r="E1222" s="1" t="s">
        <v>1068</v>
      </c>
      <c r="F1222" s="1" t="s">
        <v>1814</v>
      </c>
      <c r="G1222" s="1" t="s">
        <v>1814</v>
      </c>
      <c r="H1222" s="3">
        <v>45970</v>
      </c>
      <c r="I1222" s="1" t="s">
        <v>933</v>
      </c>
      <c r="J1222" s="1" t="s">
        <v>66</v>
      </c>
      <c r="K1222" s="1" t="s">
        <v>659</v>
      </c>
      <c r="L1222" s="1" t="s">
        <v>2542</v>
      </c>
      <c r="M1222" s="3">
        <v>45957</v>
      </c>
      <c r="N1222" s="1" t="s">
        <v>1814</v>
      </c>
      <c r="O1222" s="1" t="s">
        <v>998</v>
      </c>
      <c r="P1222" s="1">
        <v>1</v>
      </c>
    </row>
    <row r="1223" spans="1:16" x14ac:dyDescent="0.25">
      <c r="A1223" s="3">
        <v>45955</v>
      </c>
      <c r="B1223" s="4">
        <v>7210280</v>
      </c>
      <c r="C1223" s="5">
        <v>1733</v>
      </c>
      <c r="D1223" s="1" t="s">
        <v>2543</v>
      </c>
      <c r="E1223" s="1" t="s">
        <v>2544</v>
      </c>
      <c r="F1223" s="1" t="s">
        <v>955</v>
      </c>
      <c r="G1223" s="1" t="s">
        <v>940</v>
      </c>
      <c r="H1223" s="3">
        <v>45977</v>
      </c>
      <c r="I1223" s="1" t="s">
        <v>933</v>
      </c>
      <c r="J1223" s="1" t="s">
        <v>951</v>
      </c>
      <c r="K1223" s="1" t="s">
        <v>659</v>
      </c>
      <c r="L1223" s="1" t="s">
        <v>2545</v>
      </c>
      <c r="M1223" s="3">
        <v>45958</v>
      </c>
      <c r="N1223" s="1" t="s">
        <v>821</v>
      </c>
      <c r="O1223" s="1" t="s">
        <v>936</v>
      </c>
      <c r="P1223" s="1">
        <v>1</v>
      </c>
    </row>
    <row r="1224" spans="1:16" x14ac:dyDescent="0.25">
      <c r="A1224" s="3">
        <v>45955</v>
      </c>
      <c r="B1224" s="4">
        <v>130192</v>
      </c>
      <c r="C1224" s="1"/>
      <c r="D1224" s="1" t="s">
        <v>985</v>
      </c>
      <c r="E1224" s="1" t="s">
        <v>986</v>
      </c>
      <c r="F1224" s="1" t="s">
        <v>966</v>
      </c>
      <c r="G1224" s="1" t="s">
        <v>950</v>
      </c>
      <c r="H1224" s="1" t="s">
        <v>959</v>
      </c>
      <c r="I1224" s="1" t="s">
        <v>933</v>
      </c>
      <c r="J1224" s="1" t="s">
        <v>951</v>
      </c>
      <c r="K1224" s="1" t="s">
        <v>817</v>
      </c>
      <c r="L1224" s="1" t="s">
        <v>2546</v>
      </c>
      <c r="M1224" s="3">
        <v>45961</v>
      </c>
      <c r="N1224" s="1" t="s">
        <v>821</v>
      </c>
      <c r="O1224" s="1" t="s">
        <v>936</v>
      </c>
      <c r="P1224" s="1">
        <v>1</v>
      </c>
    </row>
    <row r="1225" spans="1:16" x14ac:dyDescent="0.25">
      <c r="A1225" s="3">
        <v>45955</v>
      </c>
      <c r="B1225" s="4">
        <v>130191</v>
      </c>
      <c r="C1225" s="1"/>
      <c r="D1225" s="1" t="s">
        <v>985</v>
      </c>
      <c r="E1225" s="1" t="s">
        <v>986</v>
      </c>
      <c r="F1225" s="1" t="s">
        <v>955</v>
      </c>
      <c r="G1225" s="1" t="s">
        <v>950</v>
      </c>
      <c r="H1225" s="1" t="s">
        <v>959</v>
      </c>
      <c r="I1225" s="1" t="s">
        <v>933</v>
      </c>
      <c r="J1225" s="1" t="s">
        <v>951</v>
      </c>
      <c r="K1225" s="1" t="s">
        <v>817</v>
      </c>
      <c r="L1225" s="1" t="s">
        <v>2546</v>
      </c>
      <c r="M1225" s="3">
        <v>45961</v>
      </c>
      <c r="N1225" s="1" t="s">
        <v>821</v>
      </c>
      <c r="O1225" s="1" t="s">
        <v>936</v>
      </c>
      <c r="P1225" s="1">
        <v>1</v>
      </c>
    </row>
    <row r="1226" spans="1:16" x14ac:dyDescent="0.25">
      <c r="A1226" s="3">
        <v>45957</v>
      </c>
      <c r="B1226" s="1">
        <v>27</v>
      </c>
      <c r="C1226" s="5">
        <v>8650</v>
      </c>
      <c r="D1226" s="1" t="s">
        <v>2547</v>
      </c>
      <c r="E1226" s="1" t="s">
        <v>1954</v>
      </c>
      <c r="F1226" s="1" t="s">
        <v>966</v>
      </c>
      <c r="G1226" s="1" t="s">
        <v>20</v>
      </c>
      <c r="H1226" s="3">
        <v>45974</v>
      </c>
      <c r="I1226" s="1" t="s">
        <v>933</v>
      </c>
      <c r="J1226" s="1" t="s">
        <v>951</v>
      </c>
      <c r="K1226" s="1" t="s">
        <v>817</v>
      </c>
      <c r="L1226" s="1" t="s">
        <v>2548</v>
      </c>
      <c r="M1226" s="3">
        <v>45958</v>
      </c>
      <c r="N1226" s="1" t="s">
        <v>821</v>
      </c>
      <c r="O1226" s="1" t="s">
        <v>936</v>
      </c>
      <c r="P1226" s="1" t="s">
        <v>937</v>
      </c>
    </row>
    <row r="1227" spans="1:16" x14ac:dyDescent="0.25">
      <c r="A1227" s="3">
        <v>45957</v>
      </c>
      <c r="B1227" s="4">
        <v>1797</v>
      </c>
      <c r="C1227" s="5">
        <v>3200</v>
      </c>
      <c r="D1227" s="1" t="s">
        <v>953</v>
      </c>
      <c r="E1227" s="1" t="s">
        <v>954</v>
      </c>
      <c r="F1227" s="1" t="s">
        <v>955</v>
      </c>
      <c r="G1227" s="1" t="s">
        <v>940</v>
      </c>
      <c r="H1227" s="3">
        <v>45988</v>
      </c>
      <c r="I1227" s="1" t="s">
        <v>933</v>
      </c>
      <c r="J1227" s="1" t="s">
        <v>951</v>
      </c>
      <c r="K1227" s="1" t="s">
        <v>659</v>
      </c>
      <c r="L1227" s="1" t="s">
        <v>2549</v>
      </c>
      <c r="M1227" s="3">
        <v>45958</v>
      </c>
      <c r="N1227" s="1" t="s">
        <v>821</v>
      </c>
      <c r="O1227" s="1" t="s">
        <v>936</v>
      </c>
      <c r="P1227" s="1">
        <v>1</v>
      </c>
    </row>
    <row r="1228" spans="1:16" x14ac:dyDescent="0.25">
      <c r="A1228" s="3">
        <v>45957</v>
      </c>
      <c r="B1228" s="4">
        <v>71556</v>
      </c>
      <c r="C1228" s="5">
        <v>2220</v>
      </c>
      <c r="D1228" s="1" t="s">
        <v>1253</v>
      </c>
      <c r="E1228" s="1" t="s">
        <v>1099</v>
      </c>
      <c r="F1228" s="1" t="s">
        <v>1131</v>
      </c>
      <c r="G1228" s="1" t="s">
        <v>1254</v>
      </c>
      <c r="H1228" s="3">
        <v>45987</v>
      </c>
      <c r="I1228" s="1" t="s">
        <v>933</v>
      </c>
      <c r="J1228" s="1" t="s">
        <v>1131</v>
      </c>
      <c r="K1228" s="1" t="s">
        <v>308</v>
      </c>
      <c r="L1228" s="1" t="s">
        <v>2550</v>
      </c>
      <c r="M1228" s="3">
        <v>45958</v>
      </c>
      <c r="N1228" s="1" t="s">
        <v>821</v>
      </c>
      <c r="O1228" s="1" t="s">
        <v>936</v>
      </c>
      <c r="P1228" s="1">
        <v>1</v>
      </c>
    </row>
    <row r="1229" spans="1:16" x14ac:dyDescent="0.25">
      <c r="A1229" s="3">
        <v>45957</v>
      </c>
      <c r="B1229" s="4">
        <v>4535</v>
      </c>
      <c r="C1229" s="5">
        <v>96</v>
      </c>
      <c r="D1229" s="1" t="s">
        <v>938</v>
      </c>
      <c r="E1229" s="1" t="s">
        <v>939</v>
      </c>
      <c r="F1229" s="1" t="s">
        <v>955</v>
      </c>
      <c r="G1229" s="1" t="s">
        <v>940</v>
      </c>
      <c r="H1229" s="1" t="s">
        <v>2551</v>
      </c>
      <c r="I1229" s="1" t="s">
        <v>933</v>
      </c>
      <c r="J1229" s="1" t="s">
        <v>951</v>
      </c>
      <c r="K1229" s="1" t="s">
        <v>659</v>
      </c>
      <c r="L1229" s="1" t="s">
        <v>2552</v>
      </c>
      <c r="M1229" s="3">
        <v>45957</v>
      </c>
      <c r="N1229" s="1" t="s">
        <v>821</v>
      </c>
      <c r="O1229" s="1" t="s">
        <v>936</v>
      </c>
      <c r="P1229" s="1">
        <v>1</v>
      </c>
    </row>
    <row r="1230" spans="1:16" x14ac:dyDescent="0.25">
      <c r="A1230" s="3">
        <v>45957</v>
      </c>
      <c r="B1230" s="1">
        <v>33</v>
      </c>
      <c r="C1230" s="5">
        <v>17550</v>
      </c>
      <c r="D1230" s="1" t="s">
        <v>2274</v>
      </c>
      <c r="E1230" s="1" t="s">
        <v>2275</v>
      </c>
      <c r="F1230" s="1" t="s">
        <v>966</v>
      </c>
      <c r="G1230" s="1" t="s">
        <v>20</v>
      </c>
      <c r="H1230" s="3">
        <v>45974</v>
      </c>
      <c r="I1230" s="1" t="s">
        <v>933</v>
      </c>
      <c r="J1230" s="1" t="s">
        <v>951</v>
      </c>
      <c r="K1230" s="1" t="s">
        <v>817</v>
      </c>
      <c r="L1230" s="1" t="s">
        <v>2553</v>
      </c>
      <c r="M1230" s="3">
        <v>45958</v>
      </c>
      <c r="N1230" s="1" t="s">
        <v>821</v>
      </c>
      <c r="O1230" s="1" t="s">
        <v>936</v>
      </c>
      <c r="P1230" s="1" t="s">
        <v>937</v>
      </c>
    </row>
    <row r="1231" spans="1:16" x14ac:dyDescent="0.25">
      <c r="A1231" s="3">
        <v>45957</v>
      </c>
      <c r="B1231" s="1">
        <v>43</v>
      </c>
      <c r="C1231" s="5">
        <v>1850</v>
      </c>
      <c r="D1231" s="1" t="s">
        <v>1197</v>
      </c>
      <c r="E1231" s="1" t="s">
        <v>1198</v>
      </c>
      <c r="F1231" s="1" t="s">
        <v>955</v>
      </c>
      <c r="G1231" s="1" t="s">
        <v>940</v>
      </c>
      <c r="H1231" s="3">
        <v>45974</v>
      </c>
      <c r="I1231" s="1" t="s">
        <v>933</v>
      </c>
      <c r="J1231" s="1" t="s">
        <v>951</v>
      </c>
      <c r="K1231" s="1" t="s">
        <v>308</v>
      </c>
      <c r="L1231" s="1" t="s">
        <v>2554</v>
      </c>
      <c r="M1231" s="3">
        <v>45958</v>
      </c>
      <c r="N1231" s="1" t="s">
        <v>821</v>
      </c>
      <c r="O1231" s="1" t="s">
        <v>936</v>
      </c>
      <c r="P1231" s="1">
        <v>1</v>
      </c>
    </row>
    <row r="1232" spans="1:16" x14ac:dyDescent="0.25">
      <c r="A1232" s="3">
        <v>45957</v>
      </c>
      <c r="B1232" s="4">
        <v>1098</v>
      </c>
      <c r="C1232" s="5">
        <v>220</v>
      </c>
      <c r="D1232" s="1" t="s">
        <v>1074</v>
      </c>
      <c r="E1232" s="1" t="s">
        <v>1075</v>
      </c>
      <c r="F1232" s="1" t="s">
        <v>723</v>
      </c>
      <c r="G1232" s="1" t="s">
        <v>1058</v>
      </c>
      <c r="H1232" s="3">
        <v>45978</v>
      </c>
      <c r="I1232" s="1" t="s">
        <v>933</v>
      </c>
      <c r="J1232" s="1" t="s">
        <v>66</v>
      </c>
      <c r="K1232" s="1" t="s">
        <v>340</v>
      </c>
      <c r="L1232" s="1" t="s">
        <v>2555</v>
      </c>
      <c r="M1232" s="3">
        <v>45957</v>
      </c>
      <c r="N1232" s="1" t="s">
        <v>726</v>
      </c>
      <c r="O1232" s="1" t="s">
        <v>936</v>
      </c>
      <c r="P1232" s="1">
        <v>1</v>
      </c>
    </row>
    <row r="1233" spans="1:16" x14ac:dyDescent="0.25">
      <c r="A1233" s="3">
        <v>45957</v>
      </c>
      <c r="B1233" s="4">
        <v>1098</v>
      </c>
      <c r="C1233" s="5">
        <v>250</v>
      </c>
      <c r="D1233" s="1" t="s">
        <v>1074</v>
      </c>
      <c r="E1233" s="1" t="s">
        <v>1075</v>
      </c>
      <c r="F1233" s="1" t="s">
        <v>245</v>
      </c>
      <c r="G1233" s="1" t="s">
        <v>1058</v>
      </c>
      <c r="H1233" s="3">
        <v>45978</v>
      </c>
      <c r="I1233" s="1" t="s">
        <v>933</v>
      </c>
      <c r="J1233" s="1" t="s">
        <v>66</v>
      </c>
      <c r="K1233" s="1" t="s">
        <v>308</v>
      </c>
      <c r="L1233" s="1" t="s">
        <v>2556</v>
      </c>
      <c r="M1233" s="3">
        <v>45957</v>
      </c>
      <c r="N1233" s="1" t="s">
        <v>57</v>
      </c>
      <c r="O1233" s="1" t="s">
        <v>936</v>
      </c>
      <c r="P1233" s="1">
        <v>1</v>
      </c>
    </row>
    <row r="1234" spans="1:16" x14ac:dyDescent="0.25">
      <c r="A1234" s="3">
        <v>45957</v>
      </c>
      <c r="B1234" s="4">
        <v>1098</v>
      </c>
      <c r="C1234" s="5">
        <v>230</v>
      </c>
      <c r="D1234" s="1" t="s">
        <v>1074</v>
      </c>
      <c r="E1234" s="1" t="s">
        <v>1075</v>
      </c>
      <c r="F1234" s="1" t="s">
        <v>451</v>
      </c>
      <c r="G1234" s="1" t="s">
        <v>1058</v>
      </c>
      <c r="H1234" s="3">
        <v>45978</v>
      </c>
      <c r="I1234" s="1" t="s">
        <v>933</v>
      </c>
      <c r="J1234" s="1" t="s">
        <v>66</v>
      </c>
      <c r="K1234" s="1" t="s">
        <v>1654</v>
      </c>
      <c r="L1234" s="1" t="s">
        <v>2222</v>
      </c>
      <c r="M1234" s="3">
        <v>45957</v>
      </c>
      <c r="N1234" s="1" t="s">
        <v>212</v>
      </c>
      <c r="O1234" s="1" t="s">
        <v>936</v>
      </c>
      <c r="P1234" s="1">
        <v>1</v>
      </c>
    </row>
    <row r="1235" spans="1:16" x14ac:dyDescent="0.25">
      <c r="A1235" s="3">
        <v>45957</v>
      </c>
      <c r="B1235" s="4">
        <v>1098</v>
      </c>
      <c r="C1235" s="5">
        <v>80</v>
      </c>
      <c r="D1235" s="1" t="s">
        <v>1074</v>
      </c>
      <c r="E1235" s="1" t="s">
        <v>1075</v>
      </c>
      <c r="F1235" s="1" t="s">
        <v>955</v>
      </c>
      <c r="G1235" s="1" t="s">
        <v>1058</v>
      </c>
      <c r="H1235" s="3">
        <v>45978</v>
      </c>
      <c r="I1235" s="1" t="s">
        <v>933</v>
      </c>
      <c r="J1235" s="1" t="s">
        <v>951</v>
      </c>
      <c r="K1235" s="1" t="s">
        <v>1654</v>
      </c>
      <c r="L1235" s="1" t="s">
        <v>2557</v>
      </c>
      <c r="M1235" s="3">
        <v>45957</v>
      </c>
      <c r="N1235" s="1" t="s">
        <v>821</v>
      </c>
      <c r="O1235" s="1" t="s">
        <v>936</v>
      </c>
      <c r="P1235" s="1">
        <v>1</v>
      </c>
    </row>
    <row r="1236" spans="1:16" x14ac:dyDescent="0.25">
      <c r="A1236" s="3">
        <v>45957</v>
      </c>
      <c r="B1236" s="4">
        <v>1098</v>
      </c>
      <c r="C1236" s="5">
        <v>285</v>
      </c>
      <c r="D1236" s="1" t="s">
        <v>1074</v>
      </c>
      <c r="E1236" s="1" t="s">
        <v>1075</v>
      </c>
      <c r="F1236" s="1" t="s">
        <v>88</v>
      </c>
      <c r="G1236" s="1" t="s">
        <v>1058</v>
      </c>
      <c r="H1236" s="3">
        <v>45978</v>
      </c>
      <c r="I1236" s="1" t="s">
        <v>933</v>
      </c>
      <c r="J1236" s="1" t="s">
        <v>66</v>
      </c>
      <c r="K1236" s="1" t="s">
        <v>1654</v>
      </c>
      <c r="L1236" s="1" t="s">
        <v>2558</v>
      </c>
      <c r="M1236" s="3">
        <v>45957</v>
      </c>
      <c r="N1236" s="1" t="s">
        <v>93</v>
      </c>
      <c r="O1236" s="1" t="s">
        <v>936</v>
      </c>
      <c r="P1236" s="1">
        <v>1</v>
      </c>
    </row>
    <row r="1237" spans="1:16" x14ac:dyDescent="0.25">
      <c r="A1237" s="3">
        <v>45957</v>
      </c>
      <c r="B1237" s="4">
        <v>1098</v>
      </c>
      <c r="C1237" s="5">
        <v>30</v>
      </c>
      <c r="D1237" s="1" t="s">
        <v>1074</v>
      </c>
      <c r="E1237" s="1" t="s">
        <v>1075</v>
      </c>
      <c r="F1237" s="1" t="s">
        <v>426</v>
      </c>
      <c r="G1237" s="1" t="s">
        <v>1058</v>
      </c>
      <c r="H1237" s="3">
        <v>45978</v>
      </c>
      <c r="I1237" s="1" t="s">
        <v>933</v>
      </c>
      <c r="J1237" s="1" t="s">
        <v>66</v>
      </c>
      <c r="K1237" s="1" t="s">
        <v>308</v>
      </c>
      <c r="L1237" s="1" t="s">
        <v>2559</v>
      </c>
      <c r="M1237" s="3">
        <v>45957</v>
      </c>
      <c r="N1237" s="1" t="s">
        <v>429</v>
      </c>
      <c r="O1237" s="1" t="s">
        <v>936</v>
      </c>
      <c r="P1237" s="1">
        <v>1</v>
      </c>
    </row>
    <row r="1238" spans="1:16" x14ac:dyDescent="0.25">
      <c r="A1238" s="3">
        <v>45957</v>
      </c>
      <c r="B1238" s="4">
        <v>1098</v>
      </c>
      <c r="C1238" s="5">
        <v>30</v>
      </c>
      <c r="D1238" s="1" t="s">
        <v>1074</v>
      </c>
      <c r="E1238" s="1" t="s">
        <v>1075</v>
      </c>
      <c r="F1238" s="1" t="s">
        <v>723</v>
      </c>
      <c r="G1238" s="1" t="s">
        <v>1058</v>
      </c>
      <c r="H1238" s="3">
        <v>45978</v>
      </c>
      <c r="I1238" s="1" t="s">
        <v>933</v>
      </c>
      <c r="J1238" s="1" t="s">
        <v>66</v>
      </c>
      <c r="K1238" s="1" t="s">
        <v>340</v>
      </c>
      <c r="L1238" s="1" t="s">
        <v>2560</v>
      </c>
      <c r="M1238" s="3">
        <v>45957</v>
      </c>
      <c r="N1238" s="1" t="s">
        <v>726</v>
      </c>
      <c r="O1238" s="1" t="s">
        <v>936</v>
      </c>
      <c r="P1238" s="1">
        <v>1</v>
      </c>
    </row>
    <row r="1239" spans="1:16" x14ac:dyDescent="0.25">
      <c r="A1239" s="3">
        <v>45957</v>
      </c>
      <c r="B1239" s="4">
        <v>1098</v>
      </c>
      <c r="C1239" s="5">
        <v>414</v>
      </c>
      <c r="D1239" s="1" t="s">
        <v>1074</v>
      </c>
      <c r="E1239" s="1" t="s">
        <v>1075</v>
      </c>
      <c r="F1239" s="1" t="s">
        <v>460</v>
      </c>
      <c r="G1239" s="1" t="s">
        <v>1058</v>
      </c>
      <c r="H1239" s="3">
        <v>45978</v>
      </c>
      <c r="I1239" s="1" t="s">
        <v>933</v>
      </c>
      <c r="J1239" s="1" t="s">
        <v>66</v>
      </c>
      <c r="K1239" s="1" t="s">
        <v>659</v>
      </c>
      <c r="L1239" s="1" t="s">
        <v>2561</v>
      </c>
      <c r="M1239" s="3">
        <v>45957</v>
      </c>
      <c r="N1239" s="1" t="s">
        <v>440</v>
      </c>
      <c r="O1239" s="1" t="s">
        <v>936</v>
      </c>
      <c r="P1239" s="1">
        <v>1</v>
      </c>
    </row>
    <row r="1240" spans="1:16" x14ac:dyDescent="0.25">
      <c r="A1240" s="3">
        <v>45957</v>
      </c>
      <c r="B1240" s="4">
        <v>1098</v>
      </c>
      <c r="C1240" s="5">
        <v>80</v>
      </c>
      <c r="D1240" s="1" t="s">
        <v>1074</v>
      </c>
      <c r="E1240" s="1" t="s">
        <v>1075</v>
      </c>
      <c r="F1240" s="1" t="s">
        <v>955</v>
      </c>
      <c r="G1240" s="1" t="s">
        <v>1058</v>
      </c>
      <c r="H1240" s="3">
        <v>45978</v>
      </c>
      <c r="I1240" s="1" t="s">
        <v>933</v>
      </c>
      <c r="J1240" s="1" t="s">
        <v>951</v>
      </c>
      <c r="K1240" s="1" t="s">
        <v>817</v>
      </c>
      <c r="L1240" s="1" t="s">
        <v>2562</v>
      </c>
      <c r="M1240" s="3">
        <v>45957</v>
      </c>
      <c r="N1240" s="1" t="s">
        <v>821</v>
      </c>
      <c r="O1240" s="1" t="s">
        <v>936</v>
      </c>
      <c r="P1240" s="1">
        <v>1</v>
      </c>
    </row>
    <row r="1241" spans="1:16" x14ac:dyDescent="0.25">
      <c r="A1241" s="3">
        <v>45957</v>
      </c>
      <c r="B1241" s="4">
        <v>1098</v>
      </c>
      <c r="C1241" s="5">
        <v>80</v>
      </c>
      <c r="D1241" s="1" t="s">
        <v>1074</v>
      </c>
      <c r="E1241" s="1" t="s">
        <v>1075</v>
      </c>
      <c r="F1241" s="1" t="s">
        <v>955</v>
      </c>
      <c r="G1241" s="1" t="s">
        <v>1058</v>
      </c>
      <c r="H1241" s="3">
        <v>45978</v>
      </c>
      <c r="I1241" s="1" t="s">
        <v>933</v>
      </c>
      <c r="J1241" s="1" t="s">
        <v>951</v>
      </c>
      <c r="K1241" s="1" t="s">
        <v>487</v>
      </c>
      <c r="L1241" s="1" t="s">
        <v>2563</v>
      </c>
      <c r="M1241" s="3">
        <v>45957</v>
      </c>
      <c r="N1241" s="1" t="s">
        <v>821</v>
      </c>
      <c r="O1241" s="1" t="s">
        <v>936</v>
      </c>
      <c r="P1241" s="1">
        <v>1</v>
      </c>
    </row>
    <row r="1242" spans="1:16" x14ac:dyDescent="0.25">
      <c r="A1242" s="3">
        <v>45957</v>
      </c>
      <c r="B1242" s="4">
        <v>1098</v>
      </c>
      <c r="C1242" s="5">
        <v>280</v>
      </c>
      <c r="D1242" s="1" t="s">
        <v>1074</v>
      </c>
      <c r="E1242" s="1" t="s">
        <v>1075</v>
      </c>
      <c r="F1242" s="1" t="s">
        <v>430</v>
      </c>
      <c r="G1242" s="1" t="s">
        <v>1058</v>
      </c>
      <c r="H1242" s="3">
        <v>45978</v>
      </c>
      <c r="I1242" s="1" t="s">
        <v>933</v>
      </c>
      <c r="J1242" s="1" t="s">
        <v>66</v>
      </c>
      <c r="K1242" s="1" t="s">
        <v>1654</v>
      </c>
      <c r="L1242" s="1" t="s">
        <v>2564</v>
      </c>
      <c r="M1242" s="3">
        <v>45957</v>
      </c>
      <c r="N1242" s="1" t="s">
        <v>57</v>
      </c>
      <c r="O1242" s="1" t="s">
        <v>936</v>
      </c>
      <c r="P1242" s="1">
        <v>1</v>
      </c>
    </row>
    <row r="1243" spans="1:16" x14ac:dyDescent="0.25">
      <c r="A1243" s="3">
        <v>45957</v>
      </c>
      <c r="B1243" s="4">
        <v>1098</v>
      </c>
      <c r="C1243" s="5">
        <v>81</v>
      </c>
      <c r="D1243" s="1" t="s">
        <v>1074</v>
      </c>
      <c r="E1243" s="1" t="s">
        <v>1075</v>
      </c>
      <c r="F1243" s="1" t="s">
        <v>670</v>
      </c>
      <c r="G1243" s="1" t="s">
        <v>1058</v>
      </c>
      <c r="H1243" s="3">
        <v>45978</v>
      </c>
      <c r="I1243" s="1" t="s">
        <v>933</v>
      </c>
      <c r="J1243" s="1" t="s">
        <v>66</v>
      </c>
      <c r="K1243" s="1" t="s">
        <v>659</v>
      </c>
      <c r="L1243" s="1" t="s">
        <v>2565</v>
      </c>
      <c r="M1243" s="3">
        <v>45957</v>
      </c>
      <c r="N1243" s="1" t="s">
        <v>57</v>
      </c>
      <c r="O1243" s="1" t="s">
        <v>936</v>
      </c>
      <c r="P1243" s="1">
        <v>1</v>
      </c>
    </row>
    <row r="1244" spans="1:16" x14ac:dyDescent="0.25">
      <c r="A1244" s="3">
        <v>45957</v>
      </c>
      <c r="B1244" s="4">
        <v>1098</v>
      </c>
      <c r="C1244" s="5">
        <v>80</v>
      </c>
      <c r="D1244" s="1" t="s">
        <v>1074</v>
      </c>
      <c r="E1244" s="1" t="s">
        <v>1075</v>
      </c>
      <c r="F1244" s="1" t="s">
        <v>955</v>
      </c>
      <c r="G1244" s="1" t="s">
        <v>1058</v>
      </c>
      <c r="H1244" s="3">
        <v>45978</v>
      </c>
      <c r="I1244" s="1" t="s">
        <v>933</v>
      </c>
      <c r="J1244" s="1" t="s">
        <v>951</v>
      </c>
      <c r="K1244" s="1" t="s">
        <v>1654</v>
      </c>
      <c r="L1244" s="1" t="s">
        <v>2566</v>
      </c>
      <c r="M1244" s="3">
        <v>45957</v>
      </c>
      <c r="N1244" s="1" t="s">
        <v>821</v>
      </c>
      <c r="O1244" s="1" t="s">
        <v>936</v>
      </c>
      <c r="P1244" s="1">
        <v>1</v>
      </c>
    </row>
    <row r="1245" spans="1:16" x14ac:dyDescent="0.25">
      <c r="A1245" s="3">
        <v>45957</v>
      </c>
      <c r="B1245" s="4">
        <v>1098</v>
      </c>
      <c r="C1245" s="5">
        <v>80</v>
      </c>
      <c r="D1245" s="1" t="s">
        <v>1074</v>
      </c>
      <c r="E1245" s="1" t="s">
        <v>1075</v>
      </c>
      <c r="F1245" s="1" t="s">
        <v>635</v>
      </c>
      <c r="G1245" s="1" t="s">
        <v>1058</v>
      </c>
      <c r="H1245" s="3">
        <v>45978</v>
      </c>
      <c r="I1245" s="1" t="s">
        <v>933</v>
      </c>
      <c r="J1245" s="1" t="s">
        <v>66</v>
      </c>
      <c r="K1245" s="1" t="s">
        <v>636</v>
      </c>
      <c r="L1245" s="1" t="s">
        <v>2567</v>
      </c>
      <c r="M1245" s="3">
        <v>45957</v>
      </c>
      <c r="N1245" s="1" t="s">
        <v>429</v>
      </c>
      <c r="O1245" s="1" t="s">
        <v>936</v>
      </c>
      <c r="P1245" s="1">
        <v>1</v>
      </c>
    </row>
    <row r="1246" spans="1:16" x14ac:dyDescent="0.25">
      <c r="A1246" s="3">
        <v>45957</v>
      </c>
      <c r="B1246" s="4">
        <v>1098</v>
      </c>
      <c r="C1246" s="5">
        <v>230</v>
      </c>
      <c r="D1246" s="1" t="s">
        <v>1074</v>
      </c>
      <c r="E1246" s="1" t="s">
        <v>1075</v>
      </c>
      <c r="F1246" s="1" t="s">
        <v>775</v>
      </c>
      <c r="G1246" s="1" t="s">
        <v>1058</v>
      </c>
      <c r="H1246" s="3">
        <v>45978</v>
      </c>
      <c r="I1246" s="1" t="s">
        <v>933</v>
      </c>
      <c r="J1246" s="1" t="s">
        <v>66</v>
      </c>
      <c r="K1246" s="1" t="s">
        <v>340</v>
      </c>
      <c r="L1246" s="1" t="s">
        <v>2568</v>
      </c>
      <c r="M1246" s="3">
        <v>45957</v>
      </c>
      <c r="N1246" s="1" t="s">
        <v>580</v>
      </c>
      <c r="O1246" s="1" t="s">
        <v>936</v>
      </c>
      <c r="P1246" s="1">
        <v>1</v>
      </c>
    </row>
    <row r="1247" spans="1:16" x14ac:dyDescent="0.25">
      <c r="A1247" s="3">
        <v>45957</v>
      </c>
      <c r="B1247" s="4">
        <v>1098</v>
      </c>
      <c r="C1247" s="5">
        <v>100</v>
      </c>
      <c r="D1247" s="1" t="s">
        <v>1074</v>
      </c>
      <c r="E1247" s="1" t="s">
        <v>1075</v>
      </c>
      <c r="F1247" s="1" t="s">
        <v>745</v>
      </c>
      <c r="G1247" s="1" t="s">
        <v>1058</v>
      </c>
      <c r="H1247" s="3">
        <v>45978</v>
      </c>
      <c r="I1247" s="1" t="s">
        <v>933</v>
      </c>
      <c r="J1247" s="1" t="s">
        <v>66</v>
      </c>
      <c r="K1247" s="1" t="s">
        <v>340</v>
      </c>
      <c r="L1247" s="1" t="s">
        <v>2569</v>
      </c>
      <c r="M1247" s="3">
        <v>45957</v>
      </c>
      <c r="N1247" s="1" t="s">
        <v>50</v>
      </c>
      <c r="O1247" s="1" t="s">
        <v>936</v>
      </c>
      <c r="P1247" s="1">
        <v>1</v>
      </c>
    </row>
    <row r="1248" spans="1:16" x14ac:dyDescent="0.25">
      <c r="A1248" s="3">
        <v>45957</v>
      </c>
      <c r="B1248" s="4">
        <v>1098</v>
      </c>
      <c r="C1248" s="5">
        <v>80</v>
      </c>
      <c r="D1248" s="1" t="s">
        <v>1074</v>
      </c>
      <c r="E1248" s="1" t="s">
        <v>1075</v>
      </c>
      <c r="F1248" s="1" t="s">
        <v>955</v>
      </c>
      <c r="G1248" s="1" t="s">
        <v>1058</v>
      </c>
      <c r="H1248" s="3">
        <v>45978</v>
      </c>
      <c r="I1248" s="1" t="s">
        <v>933</v>
      </c>
      <c r="J1248" s="1" t="s">
        <v>951</v>
      </c>
      <c r="K1248" s="1" t="s">
        <v>817</v>
      </c>
      <c r="L1248" s="1" t="s">
        <v>2570</v>
      </c>
      <c r="M1248" s="3">
        <v>45957</v>
      </c>
      <c r="N1248" s="1" t="s">
        <v>821</v>
      </c>
      <c r="O1248" s="1" t="s">
        <v>936</v>
      </c>
      <c r="P1248" s="1">
        <v>1</v>
      </c>
    </row>
    <row r="1249" spans="1:16" x14ac:dyDescent="0.25">
      <c r="A1249" s="3">
        <v>45957</v>
      </c>
      <c r="B1249" s="4">
        <v>1098</v>
      </c>
      <c r="C1249" s="5">
        <v>250</v>
      </c>
      <c r="D1249" s="1" t="s">
        <v>1074</v>
      </c>
      <c r="E1249" s="1" t="s">
        <v>1075</v>
      </c>
      <c r="F1249" s="1" t="s">
        <v>639</v>
      </c>
      <c r="G1249" s="1" t="s">
        <v>1058</v>
      </c>
      <c r="H1249" s="3">
        <v>45978</v>
      </c>
      <c r="I1249" s="1" t="s">
        <v>933</v>
      </c>
      <c r="J1249" s="1" t="s">
        <v>66</v>
      </c>
      <c r="K1249" s="1" t="s">
        <v>977</v>
      </c>
      <c r="L1249" s="1" t="s">
        <v>2571</v>
      </c>
      <c r="M1249" s="3">
        <v>45957</v>
      </c>
      <c r="N1249" s="1" t="s">
        <v>98</v>
      </c>
      <c r="O1249" s="1" t="s">
        <v>936</v>
      </c>
      <c r="P1249" s="1">
        <v>1</v>
      </c>
    </row>
    <row r="1250" spans="1:16" x14ac:dyDescent="0.25">
      <c r="A1250" s="3">
        <v>45957</v>
      </c>
      <c r="B1250" s="4">
        <v>1099</v>
      </c>
      <c r="C1250" s="5">
        <v>1100</v>
      </c>
      <c r="D1250" s="1" t="s">
        <v>1074</v>
      </c>
      <c r="E1250" s="1" t="s">
        <v>1075</v>
      </c>
      <c r="F1250" s="1" t="s">
        <v>955</v>
      </c>
      <c r="G1250" s="1" t="s">
        <v>2101</v>
      </c>
      <c r="H1250" s="3">
        <v>45978</v>
      </c>
      <c r="I1250" s="1" t="s">
        <v>933</v>
      </c>
      <c r="J1250" s="1" t="s">
        <v>951</v>
      </c>
      <c r="K1250" s="1" t="s">
        <v>308</v>
      </c>
      <c r="L1250" s="1" t="s">
        <v>2572</v>
      </c>
      <c r="M1250" s="3">
        <v>45957</v>
      </c>
      <c r="N1250" s="1" t="s">
        <v>821</v>
      </c>
      <c r="O1250" s="1" t="s">
        <v>936</v>
      </c>
      <c r="P1250" s="1">
        <v>1</v>
      </c>
    </row>
    <row r="1251" spans="1:16" x14ac:dyDescent="0.25">
      <c r="A1251" s="3">
        <v>45957</v>
      </c>
      <c r="B1251" s="4">
        <v>1099</v>
      </c>
      <c r="C1251" s="5">
        <v>20</v>
      </c>
      <c r="D1251" s="1" t="s">
        <v>1074</v>
      </c>
      <c r="E1251" s="1" t="s">
        <v>1075</v>
      </c>
      <c r="F1251" s="1" t="s">
        <v>955</v>
      </c>
      <c r="G1251" s="1" t="s">
        <v>2101</v>
      </c>
      <c r="H1251" s="3">
        <v>45978</v>
      </c>
      <c r="I1251" s="1" t="s">
        <v>933</v>
      </c>
      <c r="J1251" s="1" t="s">
        <v>951</v>
      </c>
      <c r="K1251" s="1" t="s">
        <v>2085</v>
      </c>
      <c r="L1251" s="1" t="s">
        <v>2573</v>
      </c>
      <c r="M1251" s="3">
        <v>45957</v>
      </c>
      <c r="N1251" s="1" t="s">
        <v>821</v>
      </c>
      <c r="O1251" s="1" t="s">
        <v>936</v>
      </c>
      <c r="P1251" s="1">
        <v>1</v>
      </c>
    </row>
    <row r="1252" spans="1:16" x14ac:dyDescent="0.25">
      <c r="A1252" s="3">
        <v>45957</v>
      </c>
      <c r="B1252" s="4">
        <v>1099</v>
      </c>
      <c r="C1252" s="5">
        <v>20</v>
      </c>
      <c r="D1252" s="1" t="s">
        <v>1074</v>
      </c>
      <c r="E1252" s="1" t="s">
        <v>1075</v>
      </c>
      <c r="F1252" s="1" t="s">
        <v>955</v>
      </c>
      <c r="G1252" s="1" t="s">
        <v>2101</v>
      </c>
      <c r="H1252" s="3">
        <v>45978</v>
      </c>
      <c r="I1252" s="1" t="s">
        <v>933</v>
      </c>
      <c r="J1252" s="1" t="s">
        <v>951</v>
      </c>
      <c r="K1252" s="1" t="s">
        <v>817</v>
      </c>
      <c r="L1252" s="1" t="s">
        <v>2574</v>
      </c>
      <c r="M1252" s="3">
        <v>45957</v>
      </c>
      <c r="N1252" s="1" t="s">
        <v>821</v>
      </c>
      <c r="O1252" s="1" t="s">
        <v>936</v>
      </c>
      <c r="P1252" s="1">
        <v>1</v>
      </c>
    </row>
    <row r="1253" spans="1:16" x14ac:dyDescent="0.25">
      <c r="A1253" s="3">
        <v>45957</v>
      </c>
      <c r="B1253" s="4">
        <v>1099</v>
      </c>
      <c r="C1253" s="5">
        <v>20</v>
      </c>
      <c r="D1253" s="1" t="s">
        <v>1074</v>
      </c>
      <c r="E1253" s="1" t="s">
        <v>1075</v>
      </c>
      <c r="F1253" s="1" t="s">
        <v>955</v>
      </c>
      <c r="G1253" s="1" t="s">
        <v>2101</v>
      </c>
      <c r="H1253" s="3">
        <v>45978</v>
      </c>
      <c r="I1253" s="1" t="s">
        <v>933</v>
      </c>
      <c r="J1253" s="1" t="s">
        <v>951</v>
      </c>
      <c r="K1253" s="1" t="s">
        <v>308</v>
      </c>
      <c r="L1253" s="1" t="s">
        <v>2575</v>
      </c>
      <c r="M1253" s="3">
        <v>45957</v>
      </c>
      <c r="N1253" s="1" t="s">
        <v>821</v>
      </c>
      <c r="O1253" s="1" t="s">
        <v>936</v>
      </c>
      <c r="P1253" s="1">
        <v>1</v>
      </c>
    </row>
    <row r="1254" spans="1:16" x14ac:dyDescent="0.25">
      <c r="A1254" s="3">
        <v>45957</v>
      </c>
      <c r="B1254" s="4">
        <v>1099</v>
      </c>
      <c r="C1254" s="5">
        <v>60</v>
      </c>
      <c r="D1254" s="1" t="s">
        <v>1074</v>
      </c>
      <c r="E1254" s="1" t="s">
        <v>1075</v>
      </c>
      <c r="F1254" s="1" t="s">
        <v>736</v>
      </c>
      <c r="G1254" s="1" t="s">
        <v>2101</v>
      </c>
      <c r="H1254" s="3">
        <v>45978</v>
      </c>
      <c r="I1254" s="1" t="s">
        <v>933</v>
      </c>
      <c r="J1254" s="1" t="s">
        <v>66</v>
      </c>
      <c r="K1254" s="1" t="s">
        <v>308</v>
      </c>
      <c r="L1254" s="1" t="s">
        <v>2576</v>
      </c>
      <c r="M1254" s="3">
        <v>45957</v>
      </c>
      <c r="N1254" s="1" t="s">
        <v>57</v>
      </c>
      <c r="O1254" s="1" t="s">
        <v>936</v>
      </c>
      <c r="P1254" s="1">
        <v>1</v>
      </c>
    </row>
    <row r="1255" spans="1:16" x14ac:dyDescent="0.25">
      <c r="A1255" s="3">
        <v>45957</v>
      </c>
      <c r="B1255" s="1">
        <v>440</v>
      </c>
      <c r="C1255" s="5">
        <v>1582.8</v>
      </c>
      <c r="D1255" s="1" t="s">
        <v>1588</v>
      </c>
      <c r="E1255" s="1" t="s">
        <v>1589</v>
      </c>
      <c r="F1255" s="1" t="s">
        <v>955</v>
      </c>
      <c r="G1255" s="1" t="s">
        <v>20</v>
      </c>
      <c r="H1255" s="3">
        <v>45989</v>
      </c>
      <c r="I1255" s="1" t="s">
        <v>933</v>
      </c>
      <c r="J1255" s="1" t="s">
        <v>951</v>
      </c>
      <c r="K1255" s="1" t="s">
        <v>20</v>
      </c>
      <c r="L1255" s="1" t="s">
        <v>2577</v>
      </c>
      <c r="M1255" s="3">
        <v>45957</v>
      </c>
      <c r="N1255" s="1" t="s">
        <v>821</v>
      </c>
      <c r="O1255" s="1" t="s">
        <v>990</v>
      </c>
      <c r="P1255" s="1">
        <v>1</v>
      </c>
    </row>
    <row r="1256" spans="1:16" x14ac:dyDescent="0.25">
      <c r="A1256" s="3">
        <v>45957</v>
      </c>
      <c r="B1256" s="4">
        <v>4414</v>
      </c>
      <c r="C1256" s="5">
        <v>403.72</v>
      </c>
      <c r="D1256" s="1" t="s">
        <v>938</v>
      </c>
      <c r="E1256" s="1" t="s">
        <v>939</v>
      </c>
      <c r="F1256" s="1" t="s">
        <v>955</v>
      </c>
      <c r="G1256" s="1" t="s">
        <v>20</v>
      </c>
      <c r="H1256" s="3">
        <v>45980</v>
      </c>
      <c r="I1256" s="1" t="s">
        <v>933</v>
      </c>
      <c r="J1256" s="1" t="s">
        <v>951</v>
      </c>
      <c r="K1256" s="1" t="s">
        <v>487</v>
      </c>
      <c r="L1256" s="1" t="s">
        <v>2578</v>
      </c>
      <c r="M1256" s="3">
        <v>45959</v>
      </c>
      <c r="N1256" s="1" t="e">
        <v>#REF!</v>
      </c>
      <c r="O1256" s="1" t="s">
        <v>936</v>
      </c>
      <c r="P1256" s="1">
        <v>1</v>
      </c>
    </row>
    <row r="1257" spans="1:16" x14ac:dyDescent="0.25">
      <c r="A1257" s="3">
        <v>45957</v>
      </c>
      <c r="B1257" s="4">
        <v>4541</v>
      </c>
      <c r="C1257" s="5">
        <v>125.18</v>
      </c>
      <c r="D1257" s="1" t="s">
        <v>938</v>
      </c>
      <c r="E1257" s="1" t="s">
        <v>939</v>
      </c>
      <c r="F1257" s="1" t="s">
        <v>955</v>
      </c>
      <c r="G1257" s="1" t="s">
        <v>950</v>
      </c>
      <c r="H1257" s="3">
        <v>45980</v>
      </c>
      <c r="I1257" s="1" t="s">
        <v>933</v>
      </c>
      <c r="J1257" s="1" t="s">
        <v>951</v>
      </c>
      <c r="K1257" s="1" t="s">
        <v>487</v>
      </c>
      <c r="L1257" s="1" t="s">
        <v>2579</v>
      </c>
      <c r="M1257" s="3">
        <v>45959</v>
      </c>
      <c r="N1257" s="1" t="s">
        <v>821</v>
      </c>
      <c r="O1257" s="1" t="s">
        <v>936</v>
      </c>
      <c r="P1257" s="1">
        <v>1</v>
      </c>
    </row>
    <row r="1258" spans="1:16" x14ac:dyDescent="0.25">
      <c r="A1258" s="3">
        <v>45957</v>
      </c>
      <c r="B1258" s="4">
        <v>4540</v>
      </c>
      <c r="C1258" s="5">
        <v>193.38</v>
      </c>
      <c r="D1258" s="1" t="s">
        <v>938</v>
      </c>
      <c r="E1258" s="1" t="s">
        <v>939</v>
      </c>
      <c r="F1258" s="1" t="s">
        <v>955</v>
      </c>
      <c r="G1258" s="1" t="s">
        <v>950</v>
      </c>
      <c r="H1258" s="3">
        <v>45980</v>
      </c>
      <c r="I1258" s="1" t="s">
        <v>933</v>
      </c>
      <c r="J1258" s="1" t="s">
        <v>951</v>
      </c>
      <c r="K1258" s="1" t="s">
        <v>487</v>
      </c>
      <c r="L1258" s="1" t="s">
        <v>2580</v>
      </c>
      <c r="M1258" s="3">
        <v>45959</v>
      </c>
      <c r="N1258" s="1" t="s">
        <v>821</v>
      </c>
      <c r="O1258" s="1" t="s">
        <v>936</v>
      </c>
      <c r="P1258" s="1">
        <v>1</v>
      </c>
    </row>
    <row r="1259" spans="1:16" x14ac:dyDescent="0.25">
      <c r="A1259" s="3">
        <v>45957</v>
      </c>
      <c r="B1259" s="4">
        <v>9126</v>
      </c>
      <c r="C1259" s="5">
        <v>16920</v>
      </c>
      <c r="D1259" s="1" t="s">
        <v>973</v>
      </c>
      <c r="E1259" s="1" t="s">
        <v>1068</v>
      </c>
      <c r="F1259" s="1" t="s">
        <v>2076</v>
      </c>
      <c r="G1259" s="1" t="s">
        <v>998</v>
      </c>
      <c r="H1259" s="3">
        <v>45972</v>
      </c>
      <c r="I1259" s="1" t="s">
        <v>933</v>
      </c>
      <c r="J1259" s="1" t="s">
        <v>951</v>
      </c>
      <c r="K1259" s="1" t="s">
        <v>996</v>
      </c>
      <c r="L1259" s="1">
        <v>3000</v>
      </c>
      <c r="M1259" s="3">
        <v>45959</v>
      </c>
      <c r="N1259" s="1"/>
      <c r="O1259" s="1" t="s">
        <v>998</v>
      </c>
      <c r="P1259" s="1">
        <v>1</v>
      </c>
    </row>
    <row r="1260" spans="1:16" x14ac:dyDescent="0.25">
      <c r="A1260" s="3">
        <v>45957</v>
      </c>
      <c r="B1260" s="4">
        <v>9112</v>
      </c>
      <c r="C1260" s="5">
        <v>9513.4</v>
      </c>
      <c r="D1260" s="1" t="s">
        <v>973</v>
      </c>
      <c r="E1260" s="1" t="s">
        <v>1068</v>
      </c>
      <c r="F1260" s="1" t="s">
        <v>1814</v>
      </c>
      <c r="G1260" s="1" t="s">
        <v>998</v>
      </c>
      <c r="H1260" s="3">
        <v>45972</v>
      </c>
      <c r="I1260" s="1" t="s">
        <v>1814</v>
      </c>
      <c r="J1260" s="1" t="s">
        <v>66</v>
      </c>
      <c r="K1260" s="1" t="s">
        <v>340</v>
      </c>
      <c r="L1260" s="1" t="s">
        <v>2581</v>
      </c>
      <c r="M1260" s="3">
        <v>45959</v>
      </c>
      <c r="N1260" s="1" t="s">
        <v>1814</v>
      </c>
      <c r="O1260" s="1" t="s">
        <v>998</v>
      </c>
      <c r="P1260" s="1">
        <v>1</v>
      </c>
    </row>
    <row r="1261" spans="1:16" x14ac:dyDescent="0.25">
      <c r="A1261" s="3">
        <v>45957</v>
      </c>
      <c r="B1261" s="4">
        <v>38108</v>
      </c>
      <c r="C1261" s="5">
        <v>1004.88</v>
      </c>
      <c r="D1261" s="1" t="s">
        <v>2582</v>
      </c>
      <c r="E1261" s="1" t="s">
        <v>2583</v>
      </c>
      <c r="F1261" s="1" t="s">
        <v>955</v>
      </c>
      <c r="G1261" s="1" t="s">
        <v>940</v>
      </c>
      <c r="H1261" s="1" t="s">
        <v>1927</v>
      </c>
      <c r="I1261" s="1" t="s">
        <v>933</v>
      </c>
      <c r="J1261" s="1" t="s">
        <v>951</v>
      </c>
      <c r="K1261" s="1" t="s">
        <v>659</v>
      </c>
      <c r="L1261" s="1" t="s">
        <v>2584</v>
      </c>
      <c r="M1261" s="3">
        <v>45957</v>
      </c>
      <c r="N1261" s="1" t="s">
        <v>821</v>
      </c>
      <c r="O1261" s="1" t="s">
        <v>937</v>
      </c>
      <c r="P1261" s="1">
        <v>1</v>
      </c>
    </row>
    <row r="1262" spans="1:16" x14ac:dyDescent="0.25">
      <c r="A1262" s="3">
        <v>45957</v>
      </c>
      <c r="B1262" s="4">
        <v>9111</v>
      </c>
      <c r="C1262" s="5">
        <v>24060</v>
      </c>
      <c r="D1262" s="1" t="s">
        <v>973</v>
      </c>
      <c r="E1262" s="1" t="s">
        <v>1068</v>
      </c>
      <c r="F1262" s="1" t="s">
        <v>304</v>
      </c>
      <c r="G1262" s="1" t="s">
        <v>998</v>
      </c>
      <c r="H1262" s="3">
        <v>45972</v>
      </c>
      <c r="I1262" s="1" t="s">
        <v>933</v>
      </c>
      <c r="J1262" s="1" t="s">
        <v>66</v>
      </c>
      <c r="K1262" s="1" t="s">
        <v>996</v>
      </c>
      <c r="L1262" s="1">
        <v>4265.9579999999996</v>
      </c>
      <c r="M1262" s="3">
        <v>45960</v>
      </c>
      <c r="N1262" s="1" t="s">
        <v>57</v>
      </c>
      <c r="O1262" s="1" t="s">
        <v>998</v>
      </c>
      <c r="P1262" s="1">
        <v>1</v>
      </c>
    </row>
    <row r="1263" spans="1:16" x14ac:dyDescent="0.25">
      <c r="A1263" s="3">
        <v>45957</v>
      </c>
      <c r="B1263" s="1">
        <v>310</v>
      </c>
      <c r="C1263" s="5">
        <v>120</v>
      </c>
      <c r="D1263" s="1" t="s">
        <v>1953</v>
      </c>
      <c r="E1263" s="1" t="s">
        <v>1954</v>
      </c>
      <c r="F1263" s="1" t="s">
        <v>533</v>
      </c>
      <c r="G1263" s="1" t="s">
        <v>940</v>
      </c>
      <c r="H1263" s="3">
        <v>45982</v>
      </c>
      <c r="I1263" s="1" t="s">
        <v>933</v>
      </c>
      <c r="J1263" s="1" t="s">
        <v>66</v>
      </c>
      <c r="K1263" s="1" t="s">
        <v>308</v>
      </c>
      <c r="L1263" s="1" t="s">
        <v>2585</v>
      </c>
      <c r="M1263" s="3">
        <v>45960</v>
      </c>
      <c r="N1263" s="1" t="s">
        <v>57</v>
      </c>
      <c r="O1263" s="1" t="s">
        <v>936</v>
      </c>
      <c r="P1263" s="1">
        <v>1</v>
      </c>
    </row>
    <row r="1264" spans="1:16" x14ac:dyDescent="0.25">
      <c r="A1264" s="3">
        <v>45957</v>
      </c>
      <c r="B1264" s="1">
        <v>311</v>
      </c>
      <c r="C1264" s="5">
        <v>260</v>
      </c>
      <c r="D1264" s="1" t="s">
        <v>1953</v>
      </c>
      <c r="E1264" s="1" t="s">
        <v>1954</v>
      </c>
      <c r="F1264" s="1" t="s">
        <v>955</v>
      </c>
      <c r="G1264" s="1" t="s">
        <v>990</v>
      </c>
      <c r="H1264" s="3">
        <v>45982</v>
      </c>
      <c r="I1264" s="1" t="s">
        <v>933</v>
      </c>
      <c r="J1264" s="1" t="s">
        <v>951</v>
      </c>
      <c r="K1264" s="1" t="s">
        <v>977</v>
      </c>
      <c r="L1264" s="1" t="s">
        <v>2586</v>
      </c>
      <c r="M1264" s="3">
        <v>45960</v>
      </c>
      <c r="N1264" s="1" t="s">
        <v>821</v>
      </c>
      <c r="O1264" s="1" t="s">
        <v>936</v>
      </c>
      <c r="P1264" s="1">
        <v>1</v>
      </c>
    </row>
    <row r="1265" spans="1:16" x14ac:dyDescent="0.25">
      <c r="A1265" s="3">
        <v>45957</v>
      </c>
      <c r="B1265" s="1">
        <v>312</v>
      </c>
      <c r="C1265" s="5">
        <v>640</v>
      </c>
      <c r="D1265" s="1" t="s">
        <v>1953</v>
      </c>
      <c r="E1265" s="1" t="s">
        <v>1954</v>
      </c>
      <c r="F1265" s="1" t="s">
        <v>419</v>
      </c>
      <c r="G1265" s="1" t="s">
        <v>940</v>
      </c>
      <c r="H1265" s="3">
        <v>45982</v>
      </c>
      <c r="I1265" s="1" t="s">
        <v>933</v>
      </c>
      <c r="J1265" s="1" t="s">
        <v>66</v>
      </c>
      <c r="K1265" s="1" t="s">
        <v>308</v>
      </c>
      <c r="L1265" s="1" t="s">
        <v>2587</v>
      </c>
      <c r="M1265" s="3">
        <v>45960</v>
      </c>
      <c r="N1265" s="1" t="s">
        <v>98</v>
      </c>
      <c r="O1265" s="1" t="s">
        <v>936</v>
      </c>
      <c r="P1265" s="1">
        <v>1</v>
      </c>
    </row>
    <row r="1266" spans="1:16" x14ac:dyDescent="0.25">
      <c r="A1266" s="3">
        <v>45957</v>
      </c>
      <c r="B1266" s="1">
        <v>313</v>
      </c>
      <c r="C1266" s="5">
        <v>190</v>
      </c>
      <c r="D1266" s="1" t="s">
        <v>1953</v>
      </c>
      <c r="E1266" s="1" t="s">
        <v>1954</v>
      </c>
      <c r="F1266" s="1" t="s">
        <v>833</v>
      </c>
      <c r="G1266" s="1" t="s">
        <v>940</v>
      </c>
      <c r="H1266" s="3">
        <v>45982</v>
      </c>
      <c r="I1266" s="1" t="s">
        <v>933</v>
      </c>
      <c r="J1266" s="1" t="s">
        <v>66</v>
      </c>
      <c r="K1266" s="1" t="s">
        <v>340</v>
      </c>
      <c r="L1266" s="1" t="s">
        <v>2588</v>
      </c>
      <c r="M1266" s="3">
        <v>45960</v>
      </c>
      <c r="N1266" s="1" t="s">
        <v>836</v>
      </c>
      <c r="O1266" s="1" t="s">
        <v>936</v>
      </c>
      <c r="P1266" s="1">
        <v>1</v>
      </c>
    </row>
    <row r="1267" spans="1:16" x14ac:dyDescent="0.25">
      <c r="A1267" s="3">
        <v>45957</v>
      </c>
      <c r="B1267" s="1">
        <v>314</v>
      </c>
      <c r="C1267" s="5">
        <v>575</v>
      </c>
      <c r="D1267" s="1" t="s">
        <v>1953</v>
      </c>
      <c r="E1267" s="1" t="s">
        <v>1954</v>
      </c>
      <c r="F1267" s="1" t="s">
        <v>753</v>
      </c>
      <c r="G1267" s="1" t="s">
        <v>940</v>
      </c>
      <c r="H1267" s="3">
        <v>45982</v>
      </c>
      <c r="I1267" s="1" t="s">
        <v>933</v>
      </c>
      <c r="J1267" s="1" t="s">
        <v>66</v>
      </c>
      <c r="K1267" s="1" t="s">
        <v>340</v>
      </c>
      <c r="L1267" s="1" t="s">
        <v>2589</v>
      </c>
      <c r="M1267" s="3">
        <v>45960</v>
      </c>
      <c r="N1267" s="1" t="s">
        <v>57</v>
      </c>
      <c r="O1267" s="1" t="s">
        <v>936</v>
      </c>
      <c r="P1267" s="1">
        <v>1</v>
      </c>
    </row>
    <row r="1268" spans="1:16" x14ac:dyDescent="0.25">
      <c r="A1268" s="3">
        <v>45957</v>
      </c>
      <c r="B1268" s="1">
        <v>315</v>
      </c>
      <c r="C1268" s="5">
        <v>75</v>
      </c>
      <c r="D1268" s="1" t="s">
        <v>1953</v>
      </c>
      <c r="E1268" s="1" t="s">
        <v>1954</v>
      </c>
      <c r="F1268" s="1" t="s">
        <v>2076</v>
      </c>
      <c r="G1268" s="1" t="s">
        <v>940</v>
      </c>
      <c r="H1268" s="3">
        <v>45982</v>
      </c>
      <c r="I1268" s="1" t="s">
        <v>933</v>
      </c>
      <c r="J1268" s="1" t="s">
        <v>951</v>
      </c>
      <c r="K1268" s="1" t="s">
        <v>996</v>
      </c>
      <c r="L1268" s="1" t="s">
        <v>2590</v>
      </c>
      <c r="M1268" s="3">
        <v>45960</v>
      </c>
      <c r="N1268" s="1"/>
      <c r="O1268" s="1" t="s">
        <v>936</v>
      </c>
      <c r="P1268" s="1">
        <v>1</v>
      </c>
    </row>
    <row r="1269" spans="1:16" x14ac:dyDescent="0.25">
      <c r="A1269" s="3">
        <v>45957</v>
      </c>
      <c r="B1269" s="1">
        <v>316</v>
      </c>
      <c r="C1269" s="5">
        <v>120</v>
      </c>
      <c r="D1269" s="1" t="s">
        <v>1953</v>
      </c>
      <c r="E1269" s="1" t="s">
        <v>1954</v>
      </c>
      <c r="F1269" s="1" t="s">
        <v>422</v>
      </c>
      <c r="G1269" s="1" t="s">
        <v>940</v>
      </c>
      <c r="H1269" s="3">
        <v>45982</v>
      </c>
      <c r="I1269" s="1" t="s">
        <v>933</v>
      </c>
      <c r="J1269" s="1" t="s">
        <v>66</v>
      </c>
      <c r="K1269" s="1" t="s">
        <v>308</v>
      </c>
      <c r="L1269" s="1" t="s">
        <v>2591</v>
      </c>
      <c r="M1269" s="3">
        <v>45960</v>
      </c>
      <c r="N1269" s="1" t="s">
        <v>75</v>
      </c>
      <c r="O1269" s="1" t="s">
        <v>936</v>
      </c>
      <c r="P1269" s="1">
        <v>1</v>
      </c>
    </row>
    <row r="1270" spans="1:16" x14ac:dyDescent="0.25">
      <c r="A1270" s="3">
        <v>45957</v>
      </c>
      <c r="B1270" s="1">
        <v>317</v>
      </c>
      <c r="C1270" s="5">
        <v>420</v>
      </c>
      <c r="D1270" s="1" t="s">
        <v>1953</v>
      </c>
      <c r="E1270" s="1" t="s">
        <v>1954</v>
      </c>
      <c r="F1270" s="1" t="s">
        <v>844</v>
      </c>
      <c r="G1270" s="1" t="s">
        <v>940</v>
      </c>
      <c r="H1270" s="3">
        <v>45982</v>
      </c>
      <c r="I1270" s="1" t="s">
        <v>933</v>
      </c>
      <c r="J1270" s="1" t="s">
        <v>66</v>
      </c>
      <c r="K1270" s="1" t="s">
        <v>340</v>
      </c>
      <c r="L1270" s="1" t="s">
        <v>2592</v>
      </c>
      <c r="M1270" s="3">
        <v>45960</v>
      </c>
      <c r="N1270" s="1" t="s">
        <v>836</v>
      </c>
      <c r="O1270" s="1" t="s">
        <v>936</v>
      </c>
      <c r="P1270" s="1">
        <v>1</v>
      </c>
    </row>
    <row r="1271" spans="1:16" x14ac:dyDescent="0.25">
      <c r="A1271" s="3">
        <v>45957</v>
      </c>
      <c r="B1271" s="1">
        <v>318</v>
      </c>
      <c r="C1271" s="5">
        <v>95</v>
      </c>
      <c r="D1271" s="1" t="s">
        <v>1953</v>
      </c>
      <c r="E1271" s="1" t="s">
        <v>1954</v>
      </c>
      <c r="F1271" s="1" t="s">
        <v>516</v>
      </c>
      <c r="G1271" s="1" t="s">
        <v>940</v>
      </c>
      <c r="H1271" s="3">
        <v>45982</v>
      </c>
      <c r="I1271" s="1" t="s">
        <v>933</v>
      </c>
      <c r="J1271" s="1" t="s">
        <v>66</v>
      </c>
      <c r="K1271" s="1" t="s">
        <v>487</v>
      </c>
      <c r="L1271" s="1" t="s">
        <v>2593</v>
      </c>
      <c r="M1271" s="3">
        <v>45960</v>
      </c>
      <c r="N1271" s="1" t="s">
        <v>520</v>
      </c>
      <c r="O1271" s="1" t="s">
        <v>936</v>
      </c>
      <c r="P1271" s="1">
        <v>1</v>
      </c>
    </row>
    <row r="1272" spans="1:16" x14ac:dyDescent="0.25">
      <c r="A1272" s="3">
        <v>45957</v>
      </c>
      <c r="B1272" s="1">
        <v>319</v>
      </c>
      <c r="C1272" s="5">
        <v>320</v>
      </c>
      <c r="D1272" s="1" t="s">
        <v>1953</v>
      </c>
      <c r="E1272" s="1" t="s">
        <v>1954</v>
      </c>
      <c r="F1272" s="1" t="s">
        <v>809</v>
      </c>
      <c r="G1272" s="1" t="s">
        <v>940</v>
      </c>
      <c r="H1272" s="3">
        <v>45982</v>
      </c>
      <c r="I1272" s="1" t="s">
        <v>933</v>
      </c>
      <c r="J1272" s="1" t="s">
        <v>66</v>
      </c>
      <c r="K1272" s="1" t="s">
        <v>340</v>
      </c>
      <c r="L1272" s="1" t="s">
        <v>2594</v>
      </c>
      <c r="M1272" s="3">
        <v>45960</v>
      </c>
      <c r="N1272" s="1" t="s">
        <v>212</v>
      </c>
      <c r="O1272" s="1" t="s">
        <v>936</v>
      </c>
      <c r="P1272" s="1">
        <v>1</v>
      </c>
    </row>
    <row r="1273" spans="1:16" x14ac:dyDescent="0.25">
      <c r="A1273" s="3">
        <v>45957</v>
      </c>
      <c r="B1273" s="1">
        <v>320</v>
      </c>
      <c r="C1273" s="5">
        <v>880</v>
      </c>
      <c r="D1273" s="1" t="s">
        <v>1953</v>
      </c>
      <c r="E1273" s="1" t="s">
        <v>1954</v>
      </c>
      <c r="F1273" s="1" t="s">
        <v>460</v>
      </c>
      <c r="G1273" s="1" t="s">
        <v>940</v>
      </c>
      <c r="H1273" s="3">
        <v>45982</v>
      </c>
      <c r="I1273" s="1" t="s">
        <v>933</v>
      </c>
      <c r="J1273" s="1" t="s">
        <v>66</v>
      </c>
      <c r="K1273" s="1" t="s">
        <v>659</v>
      </c>
      <c r="L1273" s="1" t="s">
        <v>2595</v>
      </c>
      <c r="M1273" s="3">
        <v>45960</v>
      </c>
      <c r="N1273" s="1" t="s">
        <v>440</v>
      </c>
      <c r="O1273" s="1" t="s">
        <v>936</v>
      </c>
      <c r="P1273" s="1">
        <v>1</v>
      </c>
    </row>
    <row r="1274" spans="1:16" x14ac:dyDescent="0.25">
      <c r="A1274" s="3">
        <v>45957</v>
      </c>
      <c r="B1274" s="1">
        <v>321</v>
      </c>
      <c r="C1274" s="5">
        <v>60</v>
      </c>
      <c r="D1274" s="1" t="s">
        <v>1953</v>
      </c>
      <c r="E1274" s="1" t="s">
        <v>1954</v>
      </c>
      <c r="F1274" s="1" t="s">
        <v>713</v>
      </c>
      <c r="G1274" s="1" t="s">
        <v>940</v>
      </c>
      <c r="H1274" s="3">
        <v>45982</v>
      </c>
      <c r="I1274" s="1" t="s">
        <v>933</v>
      </c>
      <c r="J1274" s="1" t="s">
        <v>66</v>
      </c>
      <c r="K1274" s="1" t="s">
        <v>340</v>
      </c>
      <c r="L1274" s="1" t="s">
        <v>2596</v>
      </c>
      <c r="M1274" s="3">
        <v>45960</v>
      </c>
      <c r="N1274" s="1" t="s">
        <v>712</v>
      </c>
      <c r="O1274" s="1" t="s">
        <v>936</v>
      </c>
      <c r="P1274" s="1">
        <v>1</v>
      </c>
    </row>
    <row r="1275" spans="1:16" x14ac:dyDescent="0.25">
      <c r="A1275" s="3">
        <v>45957</v>
      </c>
      <c r="B1275" s="1">
        <v>322</v>
      </c>
      <c r="C1275" s="5">
        <v>180</v>
      </c>
      <c r="D1275" s="1" t="s">
        <v>1953</v>
      </c>
      <c r="E1275" s="1" t="s">
        <v>1954</v>
      </c>
      <c r="F1275" s="1" t="s">
        <v>259</v>
      </c>
      <c r="G1275" s="1" t="s">
        <v>940</v>
      </c>
      <c r="H1275" s="3">
        <v>45982</v>
      </c>
      <c r="I1275" s="1" t="s">
        <v>933</v>
      </c>
      <c r="J1275" s="1" t="s">
        <v>66</v>
      </c>
      <c r="K1275" s="1" t="s">
        <v>340</v>
      </c>
      <c r="L1275" s="1" t="s">
        <v>2597</v>
      </c>
      <c r="M1275" s="3">
        <v>45960</v>
      </c>
      <c r="N1275" s="1" t="s">
        <v>264</v>
      </c>
      <c r="O1275" s="1" t="s">
        <v>936</v>
      </c>
      <c r="P1275" s="1">
        <v>1</v>
      </c>
    </row>
    <row r="1276" spans="1:16" x14ac:dyDescent="0.25">
      <c r="A1276" s="3">
        <v>45957</v>
      </c>
      <c r="B1276" s="1">
        <v>323</v>
      </c>
      <c r="C1276" s="5">
        <v>260</v>
      </c>
      <c r="D1276" s="1" t="s">
        <v>1953</v>
      </c>
      <c r="E1276" s="1" t="s">
        <v>1954</v>
      </c>
      <c r="F1276" s="1" t="s">
        <v>723</v>
      </c>
      <c r="G1276" s="1" t="s">
        <v>940</v>
      </c>
      <c r="H1276" s="3">
        <v>45982</v>
      </c>
      <c r="I1276" s="1" t="s">
        <v>933</v>
      </c>
      <c r="J1276" s="1" t="s">
        <v>66</v>
      </c>
      <c r="K1276" s="1" t="s">
        <v>340</v>
      </c>
      <c r="L1276" s="1" t="s">
        <v>2598</v>
      </c>
      <c r="M1276" s="3">
        <v>45960</v>
      </c>
      <c r="N1276" s="1" t="s">
        <v>726</v>
      </c>
      <c r="O1276" s="1" t="s">
        <v>936</v>
      </c>
      <c r="P1276" s="1">
        <v>1</v>
      </c>
    </row>
    <row r="1277" spans="1:16" x14ac:dyDescent="0.25">
      <c r="A1277" s="3">
        <v>45957</v>
      </c>
      <c r="B1277" s="1">
        <v>324</v>
      </c>
      <c r="C1277" s="5">
        <v>130</v>
      </c>
      <c r="D1277" s="1" t="s">
        <v>1953</v>
      </c>
      <c r="E1277" s="1" t="s">
        <v>1954</v>
      </c>
      <c r="F1277" s="1" t="s">
        <v>430</v>
      </c>
      <c r="G1277" s="1" t="s">
        <v>940</v>
      </c>
      <c r="H1277" s="3">
        <v>45982</v>
      </c>
      <c r="I1277" s="1" t="s">
        <v>933</v>
      </c>
      <c r="J1277" s="1" t="s">
        <v>66</v>
      </c>
      <c r="K1277" s="1" t="s">
        <v>340</v>
      </c>
      <c r="L1277" s="1" t="s">
        <v>2599</v>
      </c>
      <c r="M1277" s="3">
        <v>45960</v>
      </c>
      <c r="N1277" s="1" t="s">
        <v>57</v>
      </c>
      <c r="O1277" s="1" t="s">
        <v>936</v>
      </c>
      <c r="P1277" s="1">
        <v>1</v>
      </c>
    </row>
    <row r="1278" spans="1:16" x14ac:dyDescent="0.25">
      <c r="A1278" s="3">
        <v>45957</v>
      </c>
      <c r="B1278" s="1">
        <v>325</v>
      </c>
      <c r="C1278" s="5">
        <v>330</v>
      </c>
      <c r="D1278" s="1" t="s">
        <v>1953</v>
      </c>
      <c r="E1278" s="1" t="s">
        <v>1954</v>
      </c>
      <c r="F1278" s="1" t="s">
        <v>594</v>
      </c>
      <c r="G1278" s="1" t="s">
        <v>940</v>
      </c>
      <c r="H1278" s="3">
        <v>45982</v>
      </c>
      <c r="I1278" s="1" t="s">
        <v>933</v>
      </c>
      <c r="J1278" s="1" t="s">
        <v>66</v>
      </c>
      <c r="K1278" s="1" t="s">
        <v>340</v>
      </c>
      <c r="L1278" s="1" t="s">
        <v>2600</v>
      </c>
      <c r="M1278" s="3">
        <v>45960</v>
      </c>
      <c r="N1278" s="1" t="s">
        <v>57</v>
      </c>
      <c r="O1278" s="1" t="s">
        <v>936</v>
      </c>
      <c r="P1278" s="1">
        <v>1</v>
      </c>
    </row>
    <row r="1279" spans="1:16" x14ac:dyDescent="0.25">
      <c r="A1279" s="3">
        <v>45957</v>
      </c>
      <c r="B1279" s="1">
        <v>326</v>
      </c>
      <c r="C1279" s="5">
        <v>180</v>
      </c>
      <c r="D1279" s="1" t="s">
        <v>1953</v>
      </c>
      <c r="E1279" s="1" t="s">
        <v>1954</v>
      </c>
      <c r="F1279" s="1" t="s">
        <v>827</v>
      </c>
      <c r="G1279" s="1" t="s">
        <v>940</v>
      </c>
      <c r="H1279" s="3">
        <v>45982</v>
      </c>
      <c r="I1279" s="1" t="s">
        <v>933</v>
      </c>
      <c r="J1279" s="1" t="s">
        <v>66</v>
      </c>
      <c r="K1279" s="1" t="s">
        <v>340</v>
      </c>
      <c r="L1279" s="1" t="s">
        <v>2601</v>
      </c>
      <c r="M1279" s="3">
        <v>45960</v>
      </c>
      <c r="N1279" s="1"/>
      <c r="O1279" s="1"/>
      <c r="P1279" s="1"/>
    </row>
    <row r="1280" spans="1:16" x14ac:dyDescent="0.25">
      <c r="A1280" s="3">
        <v>45957</v>
      </c>
      <c r="B1280" s="1">
        <v>327</v>
      </c>
      <c r="C1280" s="5">
        <v>120</v>
      </c>
      <c r="D1280" s="1" t="s">
        <v>1953</v>
      </c>
      <c r="E1280" s="1" t="s">
        <v>1954</v>
      </c>
      <c r="F1280" s="1" t="s">
        <v>827</v>
      </c>
      <c r="G1280" s="1" t="s">
        <v>940</v>
      </c>
      <c r="H1280" s="3">
        <v>45982</v>
      </c>
      <c r="I1280" s="1" t="s">
        <v>933</v>
      </c>
      <c r="J1280" s="1" t="s">
        <v>66</v>
      </c>
      <c r="K1280" s="1" t="s">
        <v>340</v>
      </c>
      <c r="L1280" s="1" t="s">
        <v>2602</v>
      </c>
      <c r="M1280" s="3">
        <v>45960</v>
      </c>
      <c r="N1280" s="1" t="s">
        <v>772</v>
      </c>
      <c r="O1280" s="1" t="s">
        <v>936</v>
      </c>
      <c r="P1280" s="1">
        <v>1</v>
      </c>
    </row>
    <row r="1281" spans="1:16" x14ac:dyDescent="0.25">
      <c r="A1281" s="3">
        <v>45957</v>
      </c>
      <c r="B1281" s="1">
        <v>328</v>
      </c>
      <c r="C1281" s="5">
        <v>130</v>
      </c>
      <c r="D1281" s="1" t="s">
        <v>1953</v>
      </c>
      <c r="E1281" s="1" t="s">
        <v>1954</v>
      </c>
      <c r="F1281" s="1" t="s">
        <v>775</v>
      </c>
      <c r="G1281" s="1" t="s">
        <v>940</v>
      </c>
      <c r="H1281" s="3">
        <v>45982</v>
      </c>
      <c r="I1281" s="1" t="s">
        <v>933</v>
      </c>
      <c r="J1281" s="1" t="s">
        <v>66</v>
      </c>
      <c r="K1281" s="1" t="s">
        <v>340</v>
      </c>
      <c r="L1281" s="1" t="s">
        <v>2603</v>
      </c>
      <c r="M1281" s="3">
        <v>45960</v>
      </c>
      <c r="N1281" s="1" t="s">
        <v>580</v>
      </c>
      <c r="O1281" s="1" t="s">
        <v>936</v>
      </c>
      <c r="P1281" s="1">
        <v>1</v>
      </c>
    </row>
    <row r="1282" spans="1:16" x14ac:dyDescent="0.25">
      <c r="A1282" s="3">
        <v>45957</v>
      </c>
      <c r="B1282" s="4">
        <v>421833</v>
      </c>
      <c r="C1282" s="1"/>
      <c r="D1282" s="1" t="s">
        <v>1250</v>
      </c>
      <c r="E1282" s="1" t="s">
        <v>1251</v>
      </c>
      <c r="F1282" s="1" t="s">
        <v>955</v>
      </c>
      <c r="G1282" s="1" t="s">
        <v>950</v>
      </c>
      <c r="H1282" s="1" t="s">
        <v>959</v>
      </c>
      <c r="I1282" s="1" t="s">
        <v>933</v>
      </c>
      <c r="J1282" s="1" t="s">
        <v>951</v>
      </c>
      <c r="K1282" s="1" t="s">
        <v>817</v>
      </c>
      <c r="L1282" s="1" t="s">
        <v>2546</v>
      </c>
      <c r="M1282" s="3">
        <v>45961</v>
      </c>
      <c r="N1282" s="1" t="s">
        <v>821</v>
      </c>
      <c r="O1282" s="1" t="s">
        <v>937</v>
      </c>
      <c r="P1282" s="1" t="s">
        <v>937</v>
      </c>
    </row>
    <row r="1283" spans="1:16" x14ac:dyDescent="0.25">
      <c r="A1283" s="3">
        <v>45957</v>
      </c>
      <c r="B1283" s="4">
        <v>25030</v>
      </c>
      <c r="C1283" s="5">
        <v>529</v>
      </c>
      <c r="D1283" s="1" t="s">
        <v>2604</v>
      </c>
      <c r="E1283" s="1" t="s">
        <v>2605</v>
      </c>
      <c r="F1283" s="1" t="s">
        <v>955</v>
      </c>
      <c r="G1283" s="1" t="s">
        <v>940</v>
      </c>
      <c r="H1283" s="1" t="s">
        <v>959</v>
      </c>
      <c r="I1283" s="1" t="s">
        <v>933</v>
      </c>
      <c r="J1283" s="1" t="s">
        <v>951</v>
      </c>
      <c r="K1283" s="1" t="s">
        <v>52</v>
      </c>
      <c r="L1283" s="1" t="s">
        <v>2606</v>
      </c>
      <c r="M1283" s="3">
        <v>45961</v>
      </c>
      <c r="N1283" s="1" t="s">
        <v>821</v>
      </c>
      <c r="O1283" s="1" t="s">
        <v>936</v>
      </c>
      <c r="P1283" s="1">
        <v>1</v>
      </c>
    </row>
    <row r="1284" spans="1:16" x14ac:dyDescent="0.25">
      <c r="A1284" s="3">
        <v>45957</v>
      </c>
      <c r="B1284" s="4">
        <v>4539</v>
      </c>
      <c r="C1284" s="5">
        <v>2095</v>
      </c>
      <c r="D1284" s="1" t="s">
        <v>938</v>
      </c>
      <c r="E1284" s="1" t="s">
        <v>1137</v>
      </c>
      <c r="F1284" s="1" t="s">
        <v>955</v>
      </c>
      <c r="G1284" s="1" t="s">
        <v>990</v>
      </c>
      <c r="H1284" s="3">
        <v>45970</v>
      </c>
      <c r="I1284" s="1" t="s">
        <v>933</v>
      </c>
      <c r="J1284" s="1" t="s">
        <v>951</v>
      </c>
      <c r="K1284" s="1" t="s">
        <v>20</v>
      </c>
      <c r="L1284" s="1" t="s">
        <v>2607</v>
      </c>
      <c r="M1284" s="3">
        <v>45961</v>
      </c>
      <c r="N1284" s="1" t="s">
        <v>821</v>
      </c>
      <c r="O1284" s="1" t="s">
        <v>936</v>
      </c>
      <c r="P1284" s="1">
        <v>1</v>
      </c>
    </row>
    <row r="1285" spans="1:16" x14ac:dyDescent="0.25">
      <c r="A1285" s="3">
        <v>45958</v>
      </c>
      <c r="B1285" s="1">
        <v>441</v>
      </c>
      <c r="C1285" s="5">
        <v>425</v>
      </c>
      <c r="D1285" s="1" t="s">
        <v>2377</v>
      </c>
      <c r="E1285" s="1" t="s">
        <v>2378</v>
      </c>
      <c r="F1285" s="1" t="s">
        <v>955</v>
      </c>
      <c r="G1285" s="1" t="s">
        <v>940</v>
      </c>
      <c r="H1285" s="3">
        <v>45972</v>
      </c>
      <c r="I1285" s="1" t="s">
        <v>933</v>
      </c>
      <c r="J1285" s="1" t="s">
        <v>951</v>
      </c>
      <c r="K1285" s="1" t="s">
        <v>20</v>
      </c>
      <c r="L1285" s="1" t="s">
        <v>2608</v>
      </c>
      <c r="M1285" s="3">
        <v>45959</v>
      </c>
      <c r="N1285" s="1" t="s">
        <v>821</v>
      </c>
      <c r="O1285" s="1" t="s">
        <v>936</v>
      </c>
      <c r="P1285" s="1">
        <v>1</v>
      </c>
    </row>
    <row r="1286" spans="1:16" x14ac:dyDescent="0.25">
      <c r="A1286" s="3">
        <v>45958</v>
      </c>
      <c r="B1286" s="4">
        <v>10149</v>
      </c>
      <c r="C1286" s="5">
        <v>1164.2</v>
      </c>
      <c r="D1286" s="1" t="s">
        <v>1801</v>
      </c>
      <c r="E1286" s="1" t="s">
        <v>1802</v>
      </c>
      <c r="F1286" s="1" t="s">
        <v>955</v>
      </c>
      <c r="G1286" s="1" t="s">
        <v>998</v>
      </c>
      <c r="H1286" s="3">
        <v>45981</v>
      </c>
      <c r="I1286" s="1" t="s">
        <v>933</v>
      </c>
      <c r="J1286" s="1" t="s">
        <v>951</v>
      </c>
      <c r="K1286" s="1" t="s">
        <v>52</v>
      </c>
      <c r="L1286" s="1" t="s">
        <v>2609</v>
      </c>
      <c r="M1286" s="3">
        <v>45960</v>
      </c>
      <c r="N1286" s="1" t="s">
        <v>821</v>
      </c>
      <c r="O1286" s="1" t="s">
        <v>998</v>
      </c>
      <c r="P1286" s="1">
        <v>1</v>
      </c>
    </row>
    <row r="1287" spans="1:16" x14ac:dyDescent="0.25">
      <c r="A1287" s="3">
        <v>45958</v>
      </c>
      <c r="B1287" s="4">
        <v>10150</v>
      </c>
      <c r="C1287" s="5">
        <v>1170.19</v>
      </c>
      <c r="D1287" s="1" t="s">
        <v>1801</v>
      </c>
      <c r="E1287" s="1" t="s">
        <v>1802</v>
      </c>
      <c r="F1287" s="1" t="s">
        <v>955</v>
      </c>
      <c r="G1287" s="1" t="s">
        <v>998</v>
      </c>
      <c r="H1287" s="3">
        <v>45981</v>
      </c>
      <c r="I1287" s="1" t="s">
        <v>933</v>
      </c>
      <c r="J1287" s="1" t="s">
        <v>951</v>
      </c>
      <c r="K1287" s="1" t="s">
        <v>52</v>
      </c>
      <c r="L1287" s="1" t="s">
        <v>2610</v>
      </c>
      <c r="M1287" s="3">
        <v>45960</v>
      </c>
      <c r="N1287" s="1" t="s">
        <v>821</v>
      </c>
      <c r="O1287" s="1" t="s">
        <v>998</v>
      </c>
      <c r="P1287" s="1">
        <v>1</v>
      </c>
    </row>
    <row r="1288" spans="1:16" x14ac:dyDescent="0.25">
      <c r="A1288" s="3">
        <v>45958</v>
      </c>
      <c r="B1288" s="4">
        <v>10151</v>
      </c>
      <c r="C1288" s="5">
        <v>1210.02</v>
      </c>
      <c r="D1288" s="1" t="s">
        <v>1801</v>
      </c>
      <c r="E1288" s="1" t="s">
        <v>1802</v>
      </c>
      <c r="F1288" s="1" t="s">
        <v>955</v>
      </c>
      <c r="G1288" s="1" t="s">
        <v>998</v>
      </c>
      <c r="H1288" s="3">
        <v>45981</v>
      </c>
      <c r="I1288" s="1" t="s">
        <v>933</v>
      </c>
      <c r="J1288" s="1" t="s">
        <v>951</v>
      </c>
      <c r="K1288" s="1" t="s">
        <v>52</v>
      </c>
      <c r="L1288" s="1" t="s">
        <v>2610</v>
      </c>
      <c r="M1288" s="3">
        <v>45960</v>
      </c>
      <c r="N1288" s="1"/>
      <c r="O1288" s="1"/>
      <c r="P1288" s="1"/>
    </row>
    <row r="1289" spans="1:16" x14ac:dyDescent="0.25">
      <c r="A1289" s="3">
        <v>45958</v>
      </c>
      <c r="B1289" s="4">
        <v>10152</v>
      </c>
      <c r="C1289" s="5">
        <v>1023.49</v>
      </c>
      <c r="D1289" s="1" t="s">
        <v>1801</v>
      </c>
      <c r="E1289" s="1" t="s">
        <v>1802</v>
      </c>
      <c r="F1289" s="1" t="s">
        <v>955</v>
      </c>
      <c r="G1289" s="1" t="s">
        <v>998</v>
      </c>
      <c r="H1289" s="3">
        <v>45981</v>
      </c>
      <c r="I1289" s="1" t="s">
        <v>933</v>
      </c>
      <c r="J1289" s="1" t="s">
        <v>951</v>
      </c>
      <c r="K1289" s="1" t="s">
        <v>52</v>
      </c>
      <c r="L1289" s="1" t="s">
        <v>2611</v>
      </c>
      <c r="M1289" s="3">
        <v>45960</v>
      </c>
      <c r="N1289" s="1" t="s">
        <v>821</v>
      </c>
      <c r="O1289" s="1" t="s">
        <v>998</v>
      </c>
      <c r="P1289" s="1">
        <v>1</v>
      </c>
    </row>
    <row r="1290" spans="1:16" x14ac:dyDescent="0.25">
      <c r="A1290" s="3">
        <v>45958</v>
      </c>
      <c r="B1290" s="4">
        <v>9955</v>
      </c>
      <c r="C1290" s="5">
        <v>1225.3599999999999</v>
      </c>
      <c r="D1290" s="1" t="s">
        <v>1801</v>
      </c>
      <c r="E1290" s="1" t="s">
        <v>1802</v>
      </c>
      <c r="F1290" s="1" t="s">
        <v>955</v>
      </c>
      <c r="G1290" s="1" t="s">
        <v>998</v>
      </c>
      <c r="H1290" s="3">
        <v>45981</v>
      </c>
      <c r="I1290" s="1" t="s">
        <v>933</v>
      </c>
      <c r="J1290" s="1" t="s">
        <v>951</v>
      </c>
      <c r="K1290" s="1" t="s">
        <v>52</v>
      </c>
      <c r="L1290" s="1" t="s">
        <v>2612</v>
      </c>
      <c r="M1290" s="3">
        <v>45960</v>
      </c>
      <c r="N1290" s="1" t="s">
        <v>821</v>
      </c>
      <c r="O1290" s="1" t="s">
        <v>998</v>
      </c>
      <c r="P1290" s="1">
        <v>1</v>
      </c>
    </row>
    <row r="1291" spans="1:16" x14ac:dyDescent="0.25">
      <c r="A1291" s="3">
        <v>45958</v>
      </c>
      <c r="B1291" s="4">
        <v>10153</v>
      </c>
      <c r="C1291" s="5">
        <v>765.04</v>
      </c>
      <c r="D1291" s="1" t="s">
        <v>1801</v>
      </c>
      <c r="E1291" s="1" t="s">
        <v>1802</v>
      </c>
      <c r="F1291" s="1" t="s">
        <v>955</v>
      </c>
      <c r="G1291" s="1" t="s">
        <v>998</v>
      </c>
      <c r="H1291" s="3">
        <v>45981</v>
      </c>
      <c r="I1291" s="1" t="s">
        <v>933</v>
      </c>
      <c r="J1291" s="1" t="s">
        <v>951</v>
      </c>
      <c r="K1291" s="1" t="s">
        <v>52</v>
      </c>
      <c r="L1291" s="1" t="s">
        <v>2613</v>
      </c>
      <c r="M1291" s="3">
        <v>45960</v>
      </c>
      <c r="N1291" s="1" t="s">
        <v>821</v>
      </c>
      <c r="O1291" s="1" t="s">
        <v>998</v>
      </c>
      <c r="P1291" s="1">
        <v>1</v>
      </c>
    </row>
    <row r="1292" spans="1:16" x14ac:dyDescent="0.25">
      <c r="A1292" s="3">
        <v>45958</v>
      </c>
      <c r="B1292" s="4">
        <v>10154</v>
      </c>
      <c r="C1292" s="5">
        <v>626.70000000000005</v>
      </c>
      <c r="D1292" s="1" t="s">
        <v>1801</v>
      </c>
      <c r="E1292" s="1" t="s">
        <v>1802</v>
      </c>
      <c r="F1292" s="1" t="s">
        <v>955</v>
      </c>
      <c r="G1292" s="1" t="s">
        <v>998</v>
      </c>
      <c r="H1292" s="3">
        <v>45981</v>
      </c>
      <c r="I1292" s="1" t="s">
        <v>933</v>
      </c>
      <c r="J1292" s="1" t="s">
        <v>951</v>
      </c>
      <c r="K1292" s="1" t="s">
        <v>52</v>
      </c>
      <c r="L1292" s="1" t="s">
        <v>2614</v>
      </c>
      <c r="M1292" s="3">
        <v>45960</v>
      </c>
      <c r="N1292" s="1" t="s">
        <v>821</v>
      </c>
      <c r="O1292" s="1" t="s">
        <v>998</v>
      </c>
      <c r="P1292" s="1">
        <v>1</v>
      </c>
    </row>
    <row r="1293" spans="1:16" x14ac:dyDescent="0.25">
      <c r="A1293" s="3">
        <v>45958</v>
      </c>
      <c r="B1293" s="1">
        <v>174</v>
      </c>
      <c r="C1293" s="5">
        <v>1480.8</v>
      </c>
      <c r="D1293" s="1" t="s">
        <v>2615</v>
      </c>
      <c r="E1293" s="1" t="s">
        <v>2616</v>
      </c>
      <c r="F1293" s="1" t="s">
        <v>1778</v>
      </c>
      <c r="G1293" s="1" t="s">
        <v>932</v>
      </c>
      <c r="H1293" s="3">
        <v>45978</v>
      </c>
      <c r="I1293" s="1" t="s">
        <v>933</v>
      </c>
      <c r="J1293" s="1" t="s">
        <v>951</v>
      </c>
      <c r="K1293" s="1" t="s">
        <v>340</v>
      </c>
      <c r="L1293" s="1" t="s">
        <v>2617</v>
      </c>
      <c r="M1293" s="3">
        <v>45960</v>
      </c>
      <c r="N1293" s="1" t="s">
        <v>821</v>
      </c>
      <c r="O1293" s="1" t="s">
        <v>1031</v>
      </c>
      <c r="P1293" s="1" t="s">
        <v>937</v>
      </c>
    </row>
    <row r="1294" spans="1:16" x14ac:dyDescent="0.25">
      <c r="A1294" s="3">
        <v>45958</v>
      </c>
      <c r="B1294" s="4">
        <v>51461</v>
      </c>
      <c r="C1294" s="5">
        <v>3784.77</v>
      </c>
      <c r="D1294" s="1" t="s">
        <v>1504</v>
      </c>
      <c r="E1294" s="1" t="s">
        <v>1505</v>
      </c>
      <c r="F1294" s="1" t="s">
        <v>773</v>
      </c>
      <c r="G1294" s="1" t="s">
        <v>1667</v>
      </c>
      <c r="H1294" s="3">
        <v>45987</v>
      </c>
      <c r="I1294" s="1" t="s">
        <v>1100</v>
      </c>
      <c r="J1294" s="1" t="s">
        <v>66</v>
      </c>
      <c r="K1294" s="1" t="s">
        <v>308</v>
      </c>
      <c r="L1294" s="1" t="s">
        <v>2618</v>
      </c>
      <c r="M1294" s="3">
        <v>45960</v>
      </c>
      <c r="N1294" s="1" t="s">
        <v>57</v>
      </c>
      <c r="O1294" s="1" t="s">
        <v>936</v>
      </c>
      <c r="P1294" s="1">
        <v>1</v>
      </c>
    </row>
    <row r="1295" spans="1:16" x14ac:dyDescent="0.25">
      <c r="A1295" s="3">
        <v>45958</v>
      </c>
      <c r="B1295" s="4">
        <v>9147</v>
      </c>
      <c r="C1295" s="5">
        <v>13861.2</v>
      </c>
      <c r="D1295" s="1" t="s">
        <v>973</v>
      </c>
      <c r="E1295" s="1" t="s">
        <v>1068</v>
      </c>
      <c r="F1295" s="1" t="s">
        <v>1814</v>
      </c>
      <c r="G1295" s="1" t="s">
        <v>998</v>
      </c>
      <c r="H1295" s="3">
        <v>45973</v>
      </c>
      <c r="I1295" s="1" t="s">
        <v>933</v>
      </c>
      <c r="J1295" s="1" t="s">
        <v>66</v>
      </c>
      <c r="K1295" s="1" t="s">
        <v>308</v>
      </c>
      <c r="L1295" s="1" t="s">
        <v>2619</v>
      </c>
      <c r="M1295" s="3">
        <v>45960</v>
      </c>
      <c r="N1295" s="1" t="s">
        <v>1814</v>
      </c>
      <c r="O1295" s="1" t="s">
        <v>998</v>
      </c>
      <c r="P1295" s="1">
        <v>1</v>
      </c>
    </row>
    <row r="1296" spans="1:16" x14ac:dyDescent="0.25">
      <c r="A1296" s="3">
        <v>45958</v>
      </c>
      <c r="B1296" s="4">
        <v>9146</v>
      </c>
      <c r="C1296" s="5">
        <v>28200</v>
      </c>
      <c r="D1296" s="1" t="s">
        <v>973</v>
      </c>
      <c r="E1296" s="1" t="s">
        <v>1068</v>
      </c>
      <c r="F1296" s="1" t="s">
        <v>2076</v>
      </c>
      <c r="G1296" s="1" t="s">
        <v>998</v>
      </c>
      <c r="H1296" s="3">
        <v>45973</v>
      </c>
      <c r="I1296" s="1" t="s">
        <v>933</v>
      </c>
      <c r="J1296" s="1" t="s">
        <v>951</v>
      </c>
      <c r="K1296" s="1" t="s">
        <v>996</v>
      </c>
      <c r="L1296" s="1">
        <v>5000</v>
      </c>
      <c r="M1296" s="3">
        <v>45960</v>
      </c>
      <c r="N1296" s="1"/>
      <c r="O1296" s="1" t="s">
        <v>998</v>
      </c>
      <c r="P1296" s="1">
        <v>1</v>
      </c>
    </row>
    <row r="1297" spans="1:16" x14ac:dyDescent="0.25">
      <c r="A1297" s="3">
        <v>45958</v>
      </c>
      <c r="B1297" s="4">
        <v>128584</v>
      </c>
      <c r="C1297" s="5">
        <v>9970</v>
      </c>
      <c r="D1297" s="1" t="s">
        <v>1964</v>
      </c>
      <c r="E1297" s="1" t="s">
        <v>1965</v>
      </c>
      <c r="F1297" s="1" t="s">
        <v>955</v>
      </c>
      <c r="G1297" s="1" t="s">
        <v>932</v>
      </c>
      <c r="H1297" s="3">
        <v>45983</v>
      </c>
      <c r="I1297" s="1" t="s">
        <v>933</v>
      </c>
      <c r="J1297" s="1" t="s">
        <v>951</v>
      </c>
      <c r="K1297" s="1" t="s">
        <v>308</v>
      </c>
      <c r="L1297" s="1" t="s">
        <v>2620</v>
      </c>
      <c r="M1297" s="3">
        <v>45960</v>
      </c>
      <c r="N1297" s="1" t="s">
        <v>821</v>
      </c>
      <c r="O1297" s="1" t="s">
        <v>932</v>
      </c>
      <c r="P1297" s="1">
        <v>1</v>
      </c>
    </row>
    <row r="1298" spans="1:16" x14ac:dyDescent="0.25">
      <c r="A1298" s="3">
        <v>45958</v>
      </c>
      <c r="B1298" s="4">
        <v>214990</v>
      </c>
      <c r="C1298" s="5">
        <v>5246.09</v>
      </c>
      <c r="D1298" s="1" t="s">
        <v>2368</v>
      </c>
      <c r="E1298" s="1" t="s">
        <v>2371</v>
      </c>
      <c r="F1298" s="1" t="s">
        <v>670</v>
      </c>
      <c r="G1298" s="1" t="s">
        <v>1131</v>
      </c>
      <c r="H1298" s="3">
        <v>45989</v>
      </c>
      <c r="I1298" s="1" t="s">
        <v>933</v>
      </c>
      <c r="J1298" s="1" t="s">
        <v>66</v>
      </c>
      <c r="K1298" s="1" t="s">
        <v>659</v>
      </c>
      <c r="L1298" s="1" t="s">
        <v>2621</v>
      </c>
      <c r="M1298" s="3">
        <v>45960</v>
      </c>
      <c r="N1298" s="1" t="s">
        <v>57</v>
      </c>
      <c r="O1298" s="1" t="s">
        <v>936</v>
      </c>
      <c r="P1298" s="1" t="s">
        <v>937</v>
      </c>
    </row>
    <row r="1299" spans="1:16" x14ac:dyDescent="0.25">
      <c r="A1299" s="3">
        <v>45958</v>
      </c>
      <c r="B1299" s="4">
        <v>71575</v>
      </c>
      <c r="C1299" s="5">
        <v>2584.84</v>
      </c>
      <c r="D1299" s="1" t="s">
        <v>1098</v>
      </c>
      <c r="E1299" s="1" t="s">
        <v>1099</v>
      </c>
      <c r="F1299" s="1" t="s">
        <v>647</v>
      </c>
      <c r="G1299" s="1" t="s">
        <v>1254</v>
      </c>
      <c r="H1299" s="3">
        <v>45987</v>
      </c>
      <c r="I1299" s="1" t="s">
        <v>933</v>
      </c>
      <c r="J1299" s="1" t="s">
        <v>66</v>
      </c>
      <c r="K1299" s="1" t="s">
        <v>340</v>
      </c>
      <c r="L1299" s="1" t="s">
        <v>2622</v>
      </c>
      <c r="M1299" s="3">
        <v>45960</v>
      </c>
      <c r="N1299" s="1" t="s">
        <v>57</v>
      </c>
      <c r="O1299" s="1" t="s">
        <v>936</v>
      </c>
      <c r="P1299" s="1">
        <v>1</v>
      </c>
    </row>
    <row r="1300" spans="1:16" x14ac:dyDescent="0.25">
      <c r="A1300" s="3">
        <v>45958</v>
      </c>
      <c r="B1300" s="4">
        <v>71575</v>
      </c>
      <c r="C1300" s="5">
        <v>2584.86</v>
      </c>
      <c r="D1300" s="1" t="s">
        <v>1098</v>
      </c>
      <c r="E1300" s="1" t="s">
        <v>1099</v>
      </c>
      <c r="F1300" s="1" t="s">
        <v>599</v>
      </c>
      <c r="G1300" s="1" t="s">
        <v>1254</v>
      </c>
      <c r="H1300" s="3">
        <v>45987</v>
      </c>
      <c r="I1300" s="1" t="s">
        <v>933</v>
      </c>
      <c r="J1300" s="1" t="s">
        <v>66</v>
      </c>
      <c r="K1300" s="1" t="s">
        <v>340</v>
      </c>
      <c r="L1300" s="1" t="s">
        <v>2623</v>
      </c>
      <c r="M1300" s="3">
        <v>45960</v>
      </c>
      <c r="N1300" s="1" t="s">
        <v>57</v>
      </c>
      <c r="O1300" s="1" t="s">
        <v>936</v>
      </c>
      <c r="P1300" s="1">
        <v>1</v>
      </c>
    </row>
    <row r="1301" spans="1:16" x14ac:dyDescent="0.25">
      <c r="A1301" s="3">
        <v>45958</v>
      </c>
      <c r="B1301" s="4">
        <v>71575</v>
      </c>
      <c r="C1301" s="5">
        <v>2584.86</v>
      </c>
      <c r="D1301" s="1" t="s">
        <v>1098</v>
      </c>
      <c r="E1301" s="1" t="s">
        <v>1099</v>
      </c>
      <c r="F1301" s="1" t="s">
        <v>650</v>
      </c>
      <c r="G1301" s="1" t="s">
        <v>1254</v>
      </c>
      <c r="H1301" s="3">
        <v>45987</v>
      </c>
      <c r="I1301" s="1" t="s">
        <v>933</v>
      </c>
      <c r="J1301" s="1" t="s">
        <v>66</v>
      </c>
      <c r="K1301" s="1" t="s">
        <v>340</v>
      </c>
      <c r="L1301" s="1" t="s">
        <v>2622</v>
      </c>
      <c r="M1301" s="3">
        <v>45960</v>
      </c>
      <c r="N1301" s="1" t="s">
        <v>57</v>
      </c>
      <c r="O1301" s="1" t="s">
        <v>936</v>
      </c>
      <c r="P1301" s="1">
        <v>1</v>
      </c>
    </row>
    <row r="1302" spans="1:16" x14ac:dyDescent="0.25">
      <c r="A1302" s="3">
        <v>45958</v>
      </c>
      <c r="B1302" s="1">
        <v>36</v>
      </c>
      <c r="C1302" s="5">
        <v>60</v>
      </c>
      <c r="D1302" s="1" t="s">
        <v>2624</v>
      </c>
      <c r="E1302" s="1" t="s">
        <v>2625</v>
      </c>
      <c r="F1302" s="1" t="s">
        <v>949</v>
      </c>
      <c r="G1302" s="1" t="s">
        <v>940</v>
      </c>
      <c r="H1302" s="3">
        <v>45976</v>
      </c>
      <c r="I1302" s="1" t="s">
        <v>933</v>
      </c>
      <c r="J1302" s="1" t="s">
        <v>951</v>
      </c>
      <c r="K1302" s="1" t="s">
        <v>52</v>
      </c>
      <c r="L1302" s="1" t="s">
        <v>2626</v>
      </c>
      <c r="M1302" s="3">
        <v>45960</v>
      </c>
      <c r="N1302" s="1" t="s">
        <v>821</v>
      </c>
      <c r="O1302" s="1" t="s">
        <v>981</v>
      </c>
      <c r="P1302" s="1" t="s">
        <v>937</v>
      </c>
    </row>
    <row r="1303" spans="1:16" x14ac:dyDescent="0.25">
      <c r="A1303" s="3">
        <v>45958</v>
      </c>
      <c r="B1303" s="1">
        <v>36</v>
      </c>
      <c r="C1303" s="5">
        <v>60</v>
      </c>
      <c r="D1303" s="1" t="s">
        <v>2624</v>
      </c>
      <c r="E1303" s="1" t="s">
        <v>2625</v>
      </c>
      <c r="F1303" s="1" t="s">
        <v>392</v>
      </c>
      <c r="G1303" s="1" t="s">
        <v>940</v>
      </c>
      <c r="H1303" s="3">
        <v>45976</v>
      </c>
      <c r="I1303" s="1" t="s">
        <v>933</v>
      </c>
      <c r="J1303" s="1" t="s">
        <v>66</v>
      </c>
      <c r="K1303" s="1" t="s">
        <v>52</v>
      </c>
      <c r="L1303" s="1" t="s">
        <v>2627</v>
      </c>
      <c r="M1303" s="3">
        <v>45960</v>
      </c>
      <c r="N1303" s="1" t="s">
        <v>93</v>
      </c>
      <c r="O1303" s="1" t="s">
        <v>981</v>
      </c>
      <c r="P1303" s="1" t="s">
        <v>937</v>
      </c>
    </row>
    <row r="1304" spans="1:16" x14ac:dyDescent="0.25">
      <c r="A1304" s="3">
        <v>45958</v>
      </c>
      <c r="B1304" s="1">
        <v>36</v>
      </c>
      <c r="C1304" s="5">
        <v>60</v>
      </c>
      <c r="D1304" s="1" t="s">
        <v>2624</v>
      </c>
      <c r="E1304" s="1" t="s">
        <v>2625</v>
      </c>
      <c r="F1304" s="1">
        <v>18170</v>
      </c>
      <c r="G1304" s="1" t="s">
        <v>940</v>
      </c>
      <c r="H1304" s="3">
        <v>45976</v>
      </c>
      <c r="I1304" s="1" t="s">
        <v>933</v>
      </c>
      <c r="J1304" s="1" t="s">
        <v>66</v>
      </c>
      <c r="K1304" s="1" t="s">
        <v>52</v>
      </c>
      <c r="L1304" s="1" t="s">
        <v>2628</v>
      </c>
      <c r="M1304" s="3">
        <v>45960</v>
      </c>
      <c r="N1304" s="1" t="s">
        <v>937</v>
      </c>
      <c r="O1304" s="1" t="s">
        <v>981</v>
      </c>
      <c r="P1304" s="1" t="s">
        <v>937</v>
      </c>
    </row>
    <row r="1305" spans="1:16" x14ac:dyDescent="0.25">
      <c r="A1305" s="3">
        <v>45958</v>
      </c>
      <c r="B1305" s="1">
        <v>36</v>
      </c>
      <c r="C1305" s="5">
        <v>40</v>
      </c>
      <c r="D1305" s="1" t="s">
        <v>2624</v>
      </c>
      <c r="E1305" s="1" t="s">
        <v>2625</v>
      </c>
      <c r="F1305" s="1" t="s">
        <v>955</v>
      </c>
      <c r="G1305" s="1" t="s">
        <v>940</v>
      </c>
      <c r="H1305" s="3">
        <v>45976</v>
      </c>
      <c r="I1305" s="1" t="s">
        <v>933</v>
      </c>
      <c r="J1305" s="1" t="s">
        <v>951</v>
      </c>
      <c r="K1305" s="1" t="s">
        <v>52</v>
      </c>
      <c r="L1305" s="1" t="s">
        <v>2629</v>
      </c>
      <c r="M1305" s="3">
        <v>45960</v>
      </c>
      <c r="N1305" s="1" t="s">
        <v>821</v>
      </c>
      <c r="O1305" s="1" t="s">
        <v>981</v>
      </c>
      <c r="P1305" s="1" t="s">
        <v>937</v>
      </c>
    </row>
    <row r="1306" spans="1:16" x14ac:dyDescent="0.25">
      <c r="A1306" s="3">
        <v>45958</v>
      </c>
      <c r="B1306" s="1">
        <v>36</v>
      </c>
      <c r="C1306" s="5">
        <v>60</v>
      </c>
      <c r="D1306" s="1" t="s">
        <v>2624</v>
      </c>
      <c r="E1306" s="1" t="s">
        <v>2625</v>
      </c>
      <c r="F1306" s="1" t="s">
        <v>128</v>
      </c>
      <c r="G1306" s="1" t="s">
        <v>940</v>
      </c>
      <c r="H1306" s="3">
        <v>45976</v>
      </c>
      <c r="I1306" s="1" t="s">
        <v>933</v>
      </c>
      <c r="J1306" s="1" t="s">
        <v>66</v>
      </c>
      <c r="K1306" s="1" t="s">
        <v>52</v>
      </c>
      <c r="L1306" s="1" t="s">
        <v>2630</v>
      </c>
      <c r="M1306" s="3">
        <v>45960</v>
      </c>
      <c r="N1306" s="1" t="s">
        <v>93</v>
      </c>
      <c r="O1306" s="1" t="s">
        <v>981</v>
      </c>
      <c r="P1306" s="1" t="s">
        <v>937</v>
      </c>
    </row>
    <row r="1307" spans="1:16" x14ac:dyDescent="0.25">
      <c r="A1307" s="3">
        <v>45958</v>
      </c>
      <c r="B1307" s="1">
        <v>36</v>
      </c>
      <c r="C1307" s="5">
        <v>150</v>
      </c>
      <c r="D1307" s="1" t="s">
        <v>2624</v>
      </c>
      <c r="E1307" s="1" t="s">
        <v>2625</v>
      </c>
      <c r="F1307" s="1" t="s">
        <v>392</v>
      </c>
      <c r="G1307" s="1" t="s">
        <v>940</v>
      </c>
      <c r="H1307" s="3">
        <v>45976</v>
      </c>
      <c r="I1307" s="1" t="s">
        <v>933</v>
      </c>
      <c r="J1307" s="1" t="s">
        <v>66</v>
      </c>
      <c r="K1307" s="1" t="s">
        <v>52</v>
      </c>
      <c r="L1307" s="1" t="s">
        <v>2631</v>
      </c>
      <c r="M1307" s="3">
        <v>45960</v>
      </c>
      <c r="N1307" s="1" t="s">
        <v>93</v>
      </c>
      <c r="O1307" s="1" t="s">
        <v>981</v>
      </c>
      <c r="P1307" s="1" t="s">
        <v>937</v>
      </c>
    </row>
    <row r="1308" spans="1:16" x14ac:dyDescent="0.25">
      <c r="A1308" s="3">
        <v>45958</v>
      </c>
      <c r="B1308" s="1">
        <v>36</v>
      </c>
      <c r="C1308" s="5">
        <v>120</v>
      </c>
      <c r="D1308" s="1" t="s">
        <v>2624</v>
      </c>
      <c r="E1308" s="1" t="s">
        <v>2625</v>
      </c>
      <c r="F1308" s="1" t="s">
        <v>128</v>
      </c>
      <c r="G1308" s="1" t="s">
        <v>940</v>
      </c>
      <c r="H1308" s="3">
        <v>45976</v>
      </c>
      <c r="I1308" s="1" t="s">
        <v>933</v>
      </c>
      <c r="J1308" s="1" t="s">
        <v>66</v>
      </c>
      <c r="K1308" s="1" t="s">
        <v>52</v>
      </c>
      <c r="L1308" s="1" t="s">
        <v>2632</v>
      </c>
      <c r="M1308" s="3">
        <v>45960</v>
      </c>
      <c r="N1308" s="1" t="s">
        <v>93</v>
      </c>
      <c r="O1308" s="1" t="s">
        <v>981</v>
      </c>
      <c r="P1308" s="1" t="s">
        <v>937</v>
      </c>
    </row>
    <row r="1309" spans="1:16" x14ac:dyDescent="0.25">
      <c r="A1309" s="3">
        <v>45958</v>
      </c>
      <c r="B1309" s="1">
        <v>36</v>
      </c>
      <c r="C1309" s="5">
        <v>70</v>
      </c>
      <c r="D1309" s="1" t="s">
        <v>2624</v>
      </c>
      <c r="E1309" s="1" t="s">
        <v>2625</v>
      </c>
      <c r="F1309" s="1" t="s">
        <v>392</v>
      </c>
      <c r="G1309" s="1" t="s">
        <v>940</v>
      </c>
      <c r="H1309" s="3">
        <v>45976</v>
      </c>
      <c r="I1309" s="1" t="s">
        <v>933</v>
      </c>
      <c r="J1309" s="1" t="s">
        <v>66</v>
      </c>
      <c r="K1309" s="1" t="s">
        <v>52</v>
      </c>
      <c r="L1309" s="1" t="s">
        <v>2633</v>
      </c>
      <c r="M1309" s="3">
        <v>45960</v>
      </c>
      <c r="N1309" s="1" t="s">
        <v>93</v>
      </c>
      <c r="O1309" s="1" t="s">
        <v>981</v>
      </c>
      <c r="P1309" s="1" t="s">
        <v>937</v>
      </c>
    </row>
    <row r="1310" spans="1:16" x14ac:dyDescent="0.25">
      <c r="A1310" s="3">
        <v>45958</v>
      </c>
      <c r="B1310" s="1">
        <v>36</v>
      </c>
      <c r="C1310" s="5">
        <v>60</v>
      </c>
      <c r="D1310" s="1" t="s">
        <v>2624</v>
      </c>
      <c r="E1310" s="1" t="s">
        <v>2625</v>
      </c>
      <c r="F1310" s="1" t="s">
        <v>955</v>
      </c>
      <c r="G1310" s="1" t="s">
        <v>940</v>
      </c>
      <c r="H1310" s="3">
        <v>45976</v>
      </c>
      <c r="I1310" s="1" t="s">
        <v>933</v>
      </c>
      <c r="J1310" s="1" t="s">
        <v>66</v>
      </c>
      <c r="K1310" s="1" t="s">
        <v>52</v>
      </c>
      <c r="L1310" s="1" t="s">
        <v>2634</v>
      </c>
      <c r="M1310" s="3">
        <v>45960</v>
      </c>
      <c r="N1310" s="1" t="s">
        <v>821</v>
      </c>
      <c r="O1310" s="1" t="s">
        <v>981</v>
      </c>
      <c r="P1310" s="1" t="s">
        <v>937</v>
      </c>
    </row>
    <row r="1311" spans="1:16" x14ac:dyDescent="0.25">
      <c r="A1311" s="3">
        <v>45959</v>
      </c>
      <c r="B1311" s="4">
        <v>1520</v>
      </c>
      <c r="C1311" s="5">
        <v>41994</v>
      </c>
      <c r="D1311" s="1" t="s">
        <v>1901</v>
      </c>
      <c r="E1311" s="1" t="s">
        <v>1902</v>
      </c>
      <c r="F1311" s="1" t="s">
        <v>1567</v>
      </c>
      <c r="G1311" s="1" t="s">
        <v>20</v>
      </c>
      <c r="H1311" s="3">
        <v>45979</v>
      </c>
      <c r="I1311" s="1" t="s">
        <v>933</v>
      </c>
      <c r="J1311" s="1" t="s">
        <v>951</v>
      </c>
      <c r="K1311" s="1" t="s">
        <v>20</v>
      </c>
      <c r="L1311" s="1" t="s">
        <v>2635</v>
      </c>
      <c r="M1311" s="3">
        <v>45960</v>
      </c>
      <c r="N1311" s="1" t="s">
        <v>821</v>
      </c>
      <c r="O1311" s="1" t="s">
        <v>936</v>
      </c>
      <c r="P1311" s="1">
        <v>1</v>
      </c>
    </row>
    <row r="1312" spans="1:16" x14ac:dyDescent="0.25">
      <c r="A1312" s="3">
        <v>45959</v>
      </c>
      <c r="B1312" s="1">
        <v>73</v>
      </c>
      <c r="C1312" s="5">
        <v>250</v>
      </c>
      <c r="D1312" s="1" t="s">
        <v>1060</v>
      </c>
      <c r="E1312" s="1" t="s">
        <v>1061</v>
      </c>
      <c r="F1312" s="1" t="s">
        <v>955</v>
      </c>
      <c r="G1312" s="1" t="s">
        <v>940</v>
      </c>
      <c r="H1312" s="3">
        <v>45982</v>
      </c>
      <c r="I1312" s="1" t="s">
        <v>933</v>
      </c>
      <c r="J1312" s="1" t="s">
        <v>951</v>
      </c>
      <c r="K1312" s="1" t="s">
        <v>1654</v>
      </c>
      <c r="L1312" s="1" t="s">
        <v>2636</v>
      </c>
      <c r="M1312" s="3">
        <v>45960</v>
      </c>
      <c r="N1312" s="1" t="s">
        <v>821</v>
      </c>
      <c r="O1312" s="1" t="s">
        <v>936</v>
      </c>
      <c r="P1312" s="1">
        <v>1</v>
      </c>
    </row>
    <row r="1313" spans="1:16" x14ac:dyDescent="0.25">
      <c r="A1313" s="3">
        <v>45959</v>
      </c>
      <c r="B1313" s="1">
        <v>74</v>
      </c>
      <c r="C1313" s="5">
        <v>550</v>
      </c>
      <c r="D1313" s="1" t="s">
        <v>1060</v>
      </c>
      <c r="E1313" s="1" t="s">
        <v>1061</v>
      </c>
      <c r="F1313" s="1" t="s">
        <v>809</v>
      </c>
      <c r="G1313" s="1" t="s">
        <v>940</v>
      </c>
      <c r="H1313" s="3">
        <v>45982</v>
      </c>
      <c r="I1313" s="1" t="s">
        <v>933</v>
      </c>
      <c r="J1313" s="1" t="s">
        <v>66</v>
      </c>
      <c r="K1313" s="1" t="s">
        <v>1654</v>
      </c>
      <c r="L1313" s="1" t="s">
        <v>2637</v>
      </c>
      <c r="M1313" s="3">
        <v>45960</v>
      </c>
      <c r="N1313" s="1" t="s">
        <v>212</v>
      </c>
      <c r="O1313" s="1" t="s">
        <v>936</v>
      </c>
      <c r="P1313" s="1">
        <v>1</v>
      </c>
    </row>
    <row r="1314" spans="1:16" x14ac:dyDescent="0.25">
      <c r="A1314" s="3">
        <v>45959</v>
      </c>
      <c r="B1314" s="1">
        <v>75</v>
      </c>
      <c r="C1314" s="5">
        <v>450</v>
      </c>
      <c r="D1314" s="1" t="s">
        <v>1060</v>
      </c>
      <c r="E1314" s="1" t="s">
        <v>1061</v>
      </c>
      <c r="F1314" s="1" t="s">
        <v>809</v>
      </c>
      <c r="G1314" s="1" t="s">
        <v>940</v>
      </c>
      <c r="H1314" s="3">
        <v>45982</v>
      </c>
      <c r="I1314" s="1" t="s">
        <v>933</v>
      </c>
      <c r="J1314" s="1" t="s">
        <v>66</v>
      </c>
      <c r="K1314" s="1" t="s">
        <v>308</v>
      </c>
      <c r="L1314" s="1" t="s">
        <v>2638</v>
      </c>
      <c r="M1314" s="3">
        <v>45960</v>
      </c>
      <c r="N1314" s="1" t="s">
        <v>212</v>
      </c>
      <c r="O1314" s="1" t="s">
        <v>936</v>
      </c>
      <c r="P1314" s="1">
        <v>2</v>
      </c>
    </row>
    <row r="1315" spans="1:16" x14ac:dyDescent="0.25">
      <c r="A1315" s="3">
        <v>45959</v>
      </c>
      <c r="B1315" s="4">
        <v>5472</v>
      </c>
      <c r="C1315" s="5">
        <v>3900</v>
      </c>
      <c r="D1315" s="1" t="s">
        <v>2048</v>
      </c>
      <c r="E1315" s="1" t="s">
        <v>2049</v>
      </c>
      <c r="F1315" s="1" t="s">
        <v>880</v>
      </c>
      <c r="G1315" s="1" t="s">
        <v>932</v>
      </c>
      <c r="H1315" s="3">
        <v>45981</v>
      </c>
      <c r="I1315" s="1" t="s">
        <v>933</v>
      </c>
      <c r="J1315" s="1" t="s">
        <v>66</v>
      </c>
      <c r="K1315" s="1" t="s">
        <v>659</v>
      </c>
      <c r="L1315" s="1" t="s">
        <v>2639</v>
      </c>
      <c r="M1315" s="3">
        <v>45960</v>
      </c>
      <c r="N1315" s="1" t="s">
        <v>57</v>
      </c>
      <c r="O1315" s="1" t="s">
        <v>936</v>
      </c>
      <c r="P1315" s="1">
        <v>1</v>
      </c>
    </row>
    <row r="1316" spans="1:16" x14ac:dyDescent="0.25">
      <c r="A1316" s="3">
        <v>45959</v>
      </c>
      <c r="B1316" s="4">
        <v>5475</v>
      </c>
      <c r="C1316" s="5">
        <v>1746</v>
      </c>
      <c r="D1316" s="1" t="s">
        <v>2048</v>
      </c>
      <c r="E1316" s="1" t="s">
        <v>2049</v>
      </c>
      <c r="F1316" s="1" t="s">
        <v>880</v>
      </c>
      <c r="G1316" s="1" t="s">
        <v>932</v>
      </c>
      <c r="H1316" s="3">
        <v>45981</v>
      </c>
      <c r="I1316" s="1" t="s">
        <v>933</v>
      </c>
      <c r="J1316" s="1" t="s">
        <v>66</v>
      </c>
      <c r="K1316" s="1" t="s">
        <v>659</v>
      </c>
      <c r="L1316" s="1" t="s">
        <v>2640</v>
      </c>
      <c r="M1316" s="3">
        <v>45960</v>
      </c>
      <c r="N1316" s="1" t="s">
        <v>57</v>
      </c>
      <c r="O1316" s="1" t="s">
        <v>936</v>
      </c>
      <c r="P1316" s="1">
        <v>1</v>
      </c>
    </row>
    <row r="1317" spans="1:16" x14ac:dyDescent="0.25">
      <c r="A1317" s="3">
        <v>45959</v>
      </c>
      <c r="B1317" s="4">
        <v>1808</v>
      </c>
      <c r="C1317" s="5">
        <v>1215</v>
      </c>
      <c r="D1317" s="1" t="s">
        <v>953</v>
      </c>
      <c r="E1317" s="1" t="s">
        <v>954</v>
      </c>
      <c r="F1317" s="1" t="s">
        <v>955</v>
      </c>
      <c r="G1317" s="1" t="s">
        <v>940</v>
      </c>
      <c r="H1317" s="3">
        <v>45988</v>
      </c>
      <c r="I1317" s="1" t="s">
        <v>933</v>
      </c>
      <c r="J1317" s="1" t="s">
        <v>951</v>
      </c>
      <c r="K1317" s="1" t="s">
        <v>20</v>
      </c>
      <c r="L1317" s="1" t="s">
        <v>2641</v>
      </c>
      <c r="M1317" s="3">
        <v>45960</v>
      </c>
      <c r="N1317" s="1" t="s">
        <v>821</v>
      </c>
      <c r="O1317" s="1" t="s">
        <v>936</v>
      </c>
      <c r="P1317" s="1">
        <v>1</v>
      </c>
    </row>
    <row r="1318" spans="1:16" x14ac:dyDescent="0.25">
      <c r="A1318" s="3">
        <v>45959</v>
      </c>
      <c r="B1318" s="4">
        <v>133217</v>
      </c>
      <c r="C1318" s="1"/>
      <c r="D1318" s="1" t="s">
        <v>2642</v>
      </c>
      <c r="E1318" s="1" t="s">
        <v>2643</v>
      </c>
      <c r="F1318" s="1" t="s">
        <v>955</v>
      </c>
      <c r="G1318" s="1" t="s">
        <v>950</v>
      </c>
      <c r="H1318" s="1" t="s">
        <v>959</v>
      </c>
      <c r="I1318" s="1" t="s">
        <v>933</v>
      </c>
      <c r="J1318" s="1" t="s">
        <v>951</v>
      </c>
      <c r="K1318" s="1" t="s">
        <v>817</v>
      </c>
      <c r="L1318" s="1" t="s">
        <v>2644</v>
      </c>
      <c r="M1318" s="3">
        <v>45961</v>
      </c>
      <c r="N1318" s="1" t="s">
        <v>821</v>
      </c>
      <c r="O1318" s="1" t="s">
        <v>937</v>
      </c>
      <c r="P1318" s="1">
        <v>1</v>
      </c>
    </row>
    <row r="1319" spans="1:16" x14ac:dyDescent="0.25">
      <c r="A1319" s="3">
        <v>45959</v>
      </c>
      <c r="B1319" s="4">
        <v>393907</v>
      </c>
      <c r="C1319" s="5">
        <v>33122</v>
      </c>
      <c r="D1319" s="1" t="s">
        <v>2645</v>
      </c>
      <c r="E1319" s="1" t="s">
        <v>2646</v>
      </c>
      <c r="F1319" s="1" t="s">
        <v>955</v>
      </c>
      <c r="G1319" s="1" t="s">
        <v>940</v>
      </c>
      <c r="H1319" s="3">
        <v>45975</v>
      </c>
      <c r="I1319" s="1" t="s">
        <v>933</v>
      </c>
      <c r="J1319" s="1" t="s">
        <v>951</v>
      </c>
      <c r="K1319" s="1" t="s">
        <v>20</v>
      </c>
      <c r="L1319" s="1" t="s">
        <v>2647</v>
      </c>
      <c r="M1319" s="3">
        <v>45961</v>
      </c>
      <c r="N1319" s="1" t="s">
        <v>821</v>
      </c>
      <c r="O1319" s="1" t="s">
        <v>937</v>
      </c>
      <c r="P1319" s="1" t="s">
        <v>937</v>
      </c>
    </row>
    <row r="1320" spans="1:16" x14ac:dyDescent="0.25">
      <c r="A1320" s="3">
        <v>45959</v>
      </c>
      <c r="B1320" s="4">
        <v>393936</v>
      </c>
      <c r="C1320" s="5">
        <v>4349</v>
      </c>
      <c r="D1320" s="1" t="s">
        <v>2645</v>
      </c>
      <c r="E1320" s="1" t="s">
        <v>2646</v>
      </c>
      <c r="F1320" s="1" t="s">
        <v>955</v>
      </c>
      <c r="G1320" s="1" t="s">
        <v>940</v>
      </c>
      <c r="H1320" s="3">
        <v>45975</v>
      </c>
      <c r="I1320" s="1" t="s">
        <v>933</v>
      </c>
      <c r="J1320" s="1" t="s">
        <v>951</v>
      </c>
      <c r="K1320" s="1" t="s">
        <v>20</v>
      </c>
      <c r="L1320" s="1" t="s">
        <v>2648</v>
      </c>
      <c r="M1320" s="3">
        <v>45961</v>
      </c>
      <c r="N1320" s="1" t="s">
        <v>821</v>
      </c>
      <c r="O1320" s="1" t="s">
        <v>937</v>
      </c>
      <c r="P1320" s="1" t="s">
        <v>937</v>
      </c>
    </row>
    <row r="1321" spans="1:16" x14ac:dyDescent="0.25">
      <c r="A1321" s="3">
        <v>45959</v>
      </c>
      <c r="B1321" s="4">
        <v>3384</v>
      </c>
      <c r="C1321" s="5">
        <v>630</v>
      </c>
      <c r="D1321" s="1" t="s">
        <v>2517</v>
      </c>
      <c r="E1321" s="1" t="s">
        <v>2518</v>
      </c>
      <c r="F1321" s="1" t="s">
        <v>955</v>
      </c>
      <c r="G1321" s="1" t="s">
        <v>950</v>
      </c>
      <c r="H1321" s="1" t="s">
        <v>941</v>
      </c>
      <c r="I1321" s="1" t="s">
        <v>933</v>
      </c>
      <c r="J1321" s="1" t="s">
        <v>951</v>
      </c>
      <c r="K1321" s="1" t="s">
        <v>52</v>
      </c>
      <c r="L1321" s="1" t="s">
        <v>2649</v>
      </c>
      <c r="M1321" s="3">
        <v>45964</v>
      </c>
      <c r="N1321" s="1" t="s">
        <v>821</v>
      </c>
      <c r="O1321" s="1" t="s">
        <v>936</v>
      </c>
      <c r="P1321" s="1">
        <v>1</v>
      </c>
    </row>
    <row r="1322" spans="1:16" x14ac:dyDescent="0.25">
      <c r="A1322" s="3">
        <v>45960</v>
      </c>
      <c r="B1322" s="4">
        <v>26928</v>
      </c>
      <c r="C1322" s="5">
        <v>5500</v>
      </c>
      <c r="D1322" s="1" t="s">
        <v>2028</v>
      </c>
      <c r="E1322" s="1" t="s">
        <v>2029</v>
      </c>
      <c r="F1322" s="1" t="s">
        <v>350</v>
      </c>
      <c r="G1322" s="1" t="s">
        <v>1254</v>
      </c>
      <c r="H1322" s="3">
        <v>45941</v>
      </c>
      <c r="I1322" s="1" t="s">
        <v>933</v>
      </c>
      <c r="J1322" s="1" t="s">
        <v>66</v>
      </c>
      <c r="K1322" s="1" t="s">
        <v>20</v>
      </c>
      <c r="L1322" s="1" t="s">
        <v>2650</v>
      </c>
      <c r="M1322" s="3">
        <v>45930</v>
      </c>
      <c r="N1322" s="1" t="s">
        <v>233</v>
      </c>
      <c r="O1322" s="1" t="s">
        <v>936</v>
      </c>
      <c r="P1322" s="1" t="s">
        <v>937</v>
      </c>
    </row>
    <row r="1323" spans="1:16" x14ac:dyDescent="0.25">
      <c r="A1323" s="3">
        <v>45960</v>
      </c>
      <c r="B1323" s="4">
        <v>8705</v>
      </c>
      <c r="C1323" s="5">
        <v>22560</v>
      </c>
      <c r="D1323" s="1" t="s">
        <v>973</v>
      </c>
      <c r="E1323" s="1" t="s">
        <v>1068</v>
      </c>
      <c r="F1323" s="1" t="s">
        <v>955</v>
      </c>
      <c r="G1323" s="1" t="s">
        <v>998</v>
      </c>
      <c r="H1323" s="3">
        <v>45940</v>
      </c>
      <c r="I1323" s="1" t="s">
        <v>933</v>
      </c>
      <c r="J1323" s="1" t="s">
        <v>951</v>
      </c>
      <c r="K1323" s="1" t="s">
        <v>996</v>
      </c>
      <c r="L1323" s="1">
        <v>4000</v>
      </c>
      <c r="M1323" s="3">
        <v>45930</v>
      </c>
      <c r="N1323" s="1">
        <v>0</v>
      </c>
      <c r="O1323" s="1" t="s">
        <v>998</v>
      </c>
      <c r="P1323" s="1">
        <v>1</v>
      </c>
    </row>
    <row r="1324" spans="1:16" x14ac:dyDescent="0.25">
      <c r="A1324" s="3">
        <v>45960</v>
      </c>
      <c r="B1324" s="4">
        <v>3310</v>
      </c>
      <c r="C1324" s="5">
        <v>9604.7000000000007</v>
      </c>
      <c r="D1324" s="1" t="s">
        <v>1134</v>
      </c>
      <c r="E1324" s="1" t="s">
        <v>1135</v>
      </c>
      <c r="F1324" s="1" t="s">
        <v>955</v>
      </c>
      <c r="G1324" s="1" t="s">
        <v>940</v>
      </c>
      <c r="H1324" s="3">
        <v>45979</v>
      </c>
      <c r="I1324" s="1" t="s">
        <v>933</v>
      </c>
      <c r="J1324" s="1" t="s">
        <v>951</v>
      </c>
      <c r="K1324" s="1" t="s">
        <v>20</v>
      </c>
      <c r="L1324" s="1" t="s">
        <v>2651</v>
      </c>
      <c r="M1324" s="3">
        <v>45960</v>
      </c>
      <c r="N1324" s="1" t="s">
        <v>821</v>
      </c>
      <c r="O1324" s="1" t="s">
        <v>936</v>
      </c>
      <c r="P1324" s="1">
        <v>1</v>
      </c>
    </row>
    <row r="1325" spans="1:16" x14ac:dyDescent="0.25">
      <c r="A1325" s="3">
        <v>45960</v>
      </c>
      <c r="B1325" s="4">
        <v>675572</v>
      </c>
      <c r="C1325" s="5">
        <v>1190</v>
      </c>
      <c r="D1325" s="1" t="s">
        <v>2652</v>
      </c>
      <c r="E1325" s="1" t="s">
        <v>2653</v>
      </c>
      <c r="F1325" s="1" t="s">
        <v>717</v>
      </c>
      <c r="G1325" s="1" t="s">
        <v>940</v>
      </c>
      <c r="H1325" s="1" t="s">
        <v>2654</v>
      </c>
      <c r="I1325" s="1" t="s">
        <v>933</v>
      </c>
      <c r="J1325" s="1" t="s">
        <v>66</v>
      </c>
      <c r="K1325" s="1" t="s">
        <v>340</v>
      </c>
      <c r="L1325" s="1" t="s">
        <v>2655</v>
      </c>
      <c r="M1325" s="3">
        <v>45960</v>
      </c>
      <c r="N1325" s="1" t="s">
        <v>712</v>
      </c>
      <c r="O1325" s="1" t="s">
        <v>936</v>
      </c>
      <c r="P1325" s="1">
        <v>1</v>
      </c>
    </row>
    <row r="1326" spans="1:16" x14ac:dyDescent="0.25">
      <c r="A1326" s="3">
        <v>45960</v>
      </c>
      <c r="B1326" s="4">
        <v>2356</v>
      </c>
      <c r="C1326" s="5">
        <v>250</v>
      </c>
      <c r="D1326" s="1" t="s">
        <v>1182</v>
      </c>
      <c r="E1326" s="1" t="s">
        <v>1183</v>
      </c>
      <c r="F1326" s="1" t="s">
        <v>955</v>
      </c>
      <c r="G1326" s="1" t="s">
        <v>940</v>
      </c>
      <c r="H1326" s="3">
        <v>45991</v>
      </c>
      <c r="I1326" s="1" t="s">
        <v>933</v>
      </c>
      <c r="J1326" s="1" t="s">
        <v>951</v>
      </c>
      <c r="K1326" s="1" t="s">
        <v>934</v>
      </c>
      <c r="L1326" s="1" t="s">
        <v>2656</v>
      </c>
      <c r="M1326" s="3">
        <v>45960</v>
      </c>
      <c r="N1326" s="1" t="s">
        <v>821</v>
      </c>
      <c r="O1326" s="1" t="s">
        <v>936</v>
      </c>
      <c r="P1326" s="1">
        <v>1</v>
      </c>
    </row>
    <row r="1327" spans="1:16" x14ac:dyDescent="0.25">
      <c r="A1327" s="3">
        <v>45960</v>
      </c>
      <c r="B1327" s="1">
        <v>125</v>
      </c>
      <c r="C1327" s="5">
        <v>9200</v>
      </c>
      <c r="D1327" s="1" t="s">
        <v>1773</v>
      </c>
      <c r="E1327" s="1" t="s">
        <v>1774</v>
      </c>
      <c r="F1327" s="1" t="s">
        <v>955</v>
      </c>
      <c r="G1327" s="1" t="s">
        <v>1029</v>
      </c>
      <c r="H1327" s="3">
        <v>45981</v>
      </c>
      <c r="I1327" s="1" t="s">
        <v>933</v>
      </c>
      <c r="J1327" s="1" t="s">
        <v>951</v>
      </c>
      <c r="K1327" s="1" t="s">
        <v>52</v>
      </c>
      <c r="L1327" s="1" t="s">
        <v>2657</v>
      </c>
      <c r="M1327" s="3">
        <v>45960</v>
      </c>
      <c r="N1327" s="1" t="s">
        <v>821</v>
      </c>
      <c r="O1327" s="1" t="s">
        <v>990</v>
      </c>
      <c r="P1327" s="1">
        <v>1</v>
      </c>
    </row>
    <row r="1328" spans="1:16" x14ac:dyDescent="0.25">
      <c r="A1328" s="3">
        <v>45960</v>
      </c>
      <c r="B1328" s="4">
        <v>14107</v>
      </c>
      <c r="C1328" s="5">
        <v>3000</v>
      </c>
      <c r="D1328" s="1" t="s">
        <v>2349</v>
      </c>
      <c r="E1328" s="1" t="s">
        <v>2350</v>
      </c>
      <c r="F1328" s="1" t="s">
        <v>966</v>
      </c>
      <c r="G1328" s="1" t="s">
        <v>2351</v>
      </c>
      <c r="H1328" s="3">
        <v>45981</v>
      </c>
      <c r="I1328" s="1" t="s">
        <v>933</v>
      </c>
      <c r="J1328" s="1" t="s">
        <v>951</v>
      </c>
      <c r="K1328" s="1" t="s">
        <v>52</v>
      </c>
      <c r="L1328" s="1" t="s">
        <v>2658</v>
      </c>
      <c r="M1328" s="3">
        <v>45960</v>
      </c>
      <c r="N1328" s="1" t="s">
        <v>821</v>
      </c>
      <c r="O1328" s="1" t="s">
        <v>2101</v>
      </c>
      <c r="P1328" s="1">
        <v>1</v>
      </c>
    </row>
    <row r="1329" spans="1:16" x14ac:dyDescent="0.25">
      <c r="A1329" s="3">
        <v>45960</v>
      </c>
      <c r="B1329" s="4">
        <v>71626</v>
      </c>
      <c r="C1329" s="5">
        <v>832.08</v>
      </c>
      <c r="D1329" s="1" t="s">
        <v>1098</v>
      </c>
      <c r="E1329" s="1" t="s">
        <v>1099</v>
      </c>
      <c r="F1329" s="1" t="s">
        <v>748</v>
      </c>
      <c r="G1329" s="1" t="s">
        <v>2351</v>
      </c>
      <c r="H1329" s="3">
        <v>45981</v>
      </c>
      <c r="I1329" s="1" t="s">
        <v>933</v>
      </c>
      <c r="J1329" s="1" t="s">
        <v>66</v>
      </c>
      <c r="K1329" s="1" t="s">
        <v>340</v>
      </c>
      <c r="L1329" s="1" t="s">
        <v>2659</v>
      </c>
      <c r="M1329" s="3">
        <v>45960</v>
      </c>
      <c r="N1329" s="1" t="s">
        <v>75</v>
      </c>
      <c r="O1329" s="1" t="s">
        <v>936</v>
      </c>
      <c r="P1329" s="1">
        <v>1</v>
      </c>
    </row>
    <row r="1330" spans="1:16" x14ac:dyDescent="0.25">
      <c r="A1330" s="3">
        <v>45960</v>
      </c>
      <c r="B1330" s="4">
        <v>47385</v>
      </c>
      <c r="C1330" s="5">
        <v>940</v>
      </c>
      <c r="D1330" s="1" t="s">
        <v>1489</v>
      </c>
      <c r="E1330" s="1" t="s">
        <v>1490</v>
      </c>
      <c r="F1330" s="1" t="s">
        <v>955</v>
      </c>
      <c r="G1330" s="1" t="s">
        <v>940</v>
      </c>
      <c r="H1330" s="3">
        <v>45990</v>
      </c>
      <c r="I1330" s="1" t="s">
        <v>933</v>
      </c>
      <c r="J1330" s="1" t="s">
        <v>951</v>
      </c>
      <c r="K1330" s="1" t="s">
        <v>308</v>
      </c>
      <c r="L1330" s="1" t="s">
        <v>2660</v>
      </c>
      <c r="M1330" s="3">
        <v>45960</v>
      </c>
      <c r="N1330" s="1" t="s">
        <v>821</v>
      </c>
      <c r="O1330" s="1" t="s">
        <v>936</v>
      </c>
      <c r="P1330" s="1">
        <v>1</v>
      </c>
    </row>
    <row r="1331" spans="1:16" x14ac:dyDescent="0.25">
      <c r="A1331" s="3">
        <v>45960</v>
      </c>
      <c r="B1331" s="4">
        <v>9155</v>
      </c>
      <c r="C1331" s="5">
        <v>5329</v>
      </c>
      <c r="D1331" s="1" t="s">
        <v>973</v>
      </c>
      <c r="E1331" s="1" t="s">
        <v>1068</v>
      </c>
      <c r="F1331" s="1" t="s">
        <v>1814</v>
      </c>
      <c r="G1331" s="1" t="s">
        <v>998</v>
      </c>
      <c r="H1331" s="3">
        <v>45991</v>
      </c>
      <c r="I1331" s="1" t="s">
        <v>933</v>
      </c>
      <c r="J1331" s="1" t="s">
        <v>66</v>
      </c>
      <c r="K1331" s="1" t="s">
        <v>308</v>
      </c>
      <c r="L1331" s="1" t="s">
        <v>2661</v>
      </c>
      <c r="M1331" s="3">
        <v>45960</v>
      </c>
      <c r="N1331" s="1" t="s">
        <v>1814</v>
      </c>
      <c r="O1331" s="1" t="s">
        <v>998</v>
      </c>
      <c r="P1331" s="1">
        <v>1</v>
      </c>
    </row>
    <row r="1332" spans="1:16" x14ac:dyDescent="0.25">
      <c r="A1332" s="3">
        <v>45960</v>
      </c>
      <c r="B1332" s="1">
        <v>760</v>
      </c>
      <c r="C1332" s="5">
        <v>350</v>
      </c>
      <c r="D1332" s="1" t="s">
        <v>1182</v>
      </c>
      <c r="E1332" s="1" t="s">
        <v>1183</v>
      </c>
      <c r="F1332" s="1" t="s">
        <v>683</v>
      </c>
      <c r="G1332" s="1" t="s">
        <v>940</v>
      </c>
      <c r="H1332" s="3">
        <v>45991</v>
      </c>
      <c r="I1332" s="1" t="s">
        <v>933</v>
      </c>
      <c r="J1332" s="1" t="s">
        <v>66</v>
      </c>
      <c r="K1332" s="1" t="s">
        <v>308</v>
      </c>
      <c r="L1332" s="1" t="s">
        <v>2662</v>
      </c>
      <c r="M1332" s="3">
        <v>45960</v>
      </c>
      <c r="N1332" s="1" t="s">
        <v>75</v>
      </c>
      <c r="O1332" s="1" t="s">
        <v>936</v>
      </c>
      <c r="P1332" s="1">
        <v>1</v>
      </c>
    </row>
    <row r="1333" spans="1:16" x14ac:dyDescent="0.25">
      <c r="A1333" s="3">
        <v>45960</v>
      </c>
      <c r="B1333" s="1">
        <v>129</v>
      </c>
      <c r="C1333" s="5">
        <v>250</v>
      </c>
      <c r="D1333" s="1" t="s">
        <v>1773</v>
      </c>
      <c r="E1333" s="1" t="s">
        <v>1774</v>
      </c>
      <c r="F1333" s="1" t="s">
        <v>955</v>
      </c>
      <c r="G1333" s="1" t="s">
        <v>1029</v>
      </c>
      <c r="H1333" s="3">
        <v>45981</v>
      </c>
      <c r="I1333" s="1" t="s">
        <v>933</v>
      </c>
      <c r="J1333" s="1" t="s">
        <v>951</v>
      </c>
      <c r="K1333" s="1" t="s">
        <v>52</v>
      </c>
      <c r="L1333" s="1" t="s">
        <v>2663</v>
      </c>
      <c r="M1333" s="3">
        <v>45961</v>
      </c>
      <c r="N1333" s="1" t="s">
        <v>821</v>
      </c>
      <c r="O1333" s="1" t="s">
        <v>990</v>
      </c>
      <c r="P1333" s="1">
        <v>1</v>
      </c>
    </row>
    <row r="1334" spans="1:16" x14ac:dyDescent="0.25">
      <c r="A1334" s="3">
        <v>45960</v>
      </c>
      <c r="B1334" s="4">
        <v>22798</v>
      </c>
      <c r="C1334" s="1"/>
      <c r="D1334" s="1" t="s">
        <v>2664</v>
      </c>
      <c r="E1334" s="1" t="s">
        <v>2665</v>
      </c>
      <c r="F1334" s="1" t="s">
        <v>955</v>
      </c>
      <c r="G1334" s="1" t="s">
        <v>950</v>
      </c>
      <c r="H1334" s="1" t="s">
        <v>959</v>
      </c>
      <c r="I1334" s="1" t="s">
        <v>933</v>
      </c>
      <c r="J1334" s="1" t="s">
        <v>951</v>
      </c>
      <c r="K1334" s="1" t="s">
        <v>817</v>
      </c>
      <c r="L1334" s="1" t="s">
        <v>2666</v>
      </c>
      <c r="M1334" s="3">
        <v>45961</v>
      </c>
      <c r="N1334" s="1" t="s">
        <v>821</v>
      </c>
      <c r="O1334" s="1" t="s">
        <v>936</v>
      </c>
      <c r="P1334" s="1">
        <v>1</v>
      </c>
    </row>
    <row r="1335" spans="1:16" x14ac:dyDescent="0.25">
      <c r="A1335" s="3">
        <v>45960</v>
      </c>
      <c r="B1335" s="4">
        <v>1279080</v>
      </c>
      <c r="C1335" s="5">
        <v>4668.6499999999996</v>
      </c>
      <c r="D1335" s="1" t="s">
        <v>2667</v>
      </c>
      <c r="E1335" s="1" t="s">
        <v>2668</v>
      </c>
      <c r="F1335" s="1" t="s">
        <v>955</v>
      </c>
      <c r="G1335" s="1" t="s">
        <v>940</v>
      </c>
      <c r="H1335" s="3">
        <v>45991</v>
      </c>
      <c r="I1335" s="1" t="s">
        <v>933</v>
      </c>
      <c r="J1335" s="1" t="s">
        <v>951</v>
      </c>
      <c r="K1335" s="1" t="s">
        <v>52</v>
      </c>
      <c r="L1335" s="1" t="s">
        <v>2669</v>
      </c>
      <c r="M1335" s="3">
        <v>45961</v>
      </c>
      <c r="N1335" s="1" t="s">
        <v>821</v>
      </c>
      <c r="O1335" s="1" t="s">
        <v>936</v>
      </c>
      <c r="P1335" s="1">
        <v>1</v>
      </c>
    </row>
    <row r="1336" spans="1:16" x14ac:dyDescent="0.25">
      <c r="A1336" s="3">
        <v>45960</v>
      </c>
      <c r="B1336" s="4">
        <v>152990</v>
      </c>
      <c r="C1336" s="5">
        <v>2835.45</v>
      </c>
      <c r="D1336" s="1" t="s">
        <v>2670</v>
      </c>
      <c r="E1336" s="1" t="s">
        <v>2671</v>
      </c>
      <c r="F1336" s="1" t="s">
        <v>955</v>
      </c>
      <c r="G1336" s="1" t="s">
        <v>1667</v>
      </c>
      <c r="H1336" s="3">
        <v>45991</v>
      </c>
      <c r="I1336" s="1" t="s">
        <v>1100</v>
      </c>
      <c r="J1336" s="1" t="s">
        <v>951</v>
      </c>
      <c r="K1336" s="1" t="s">
        <v>340</v>
      </c>
      <c r="L1336" s="1" t="s">
        <v>2672</v>
      </c>
      <c r="M1336" s="3">
        <v>45961</v>
      </c>
      <c r="N1336" s="1" t="s">
        <v>821</v>
      </c>
      <c r="O1336" s="1" t="s">
        <v>936</v>
      </c>
      <c r="P1336" s="1">
        <v>1</v>
      </c>
    </row>
    <row r="1337" spans="1:16" x14ac:dyDescent="0.25">
      <c r="A1337" s="3">
        <v>45960</v>
      </c>
      <c r="B1337" s="4">
        <v>7765</v>
      </c>
      <c r="C1337" s="5">
        <v>3505.35</v>
      </c>
      <c r="D1337" s="1" t="s">
        <v>1504</v>
      </c>
      <c r="E1337" s="1" t="s">
        <v>1505</v>
      </c>
      <c r="F1337" s="1" t="s">
        <v>773</v>
      </c>
      <c r="G1337" s="1" t="s">
        <v>1667</v>
      </c>
      <c r="H1337" s="3">
        <v>45991</v>
      </c>
      <c r="I1337" s="1" t="s">
        <v>1100</v>
      </c>
      <c r="J1337" s="1" t="s">
        <v>66</v>
      </c>
      <c r="K1337" s="1" t="s">
        <v>308</v>
      </c>
      <c r="L1337" s="1" t="s">
        <v>2673</v>
      </c>
      <c r="M1337" s="3">
        <v>45961</v>
      </c>
      <c r="N1337" s="1" t="s">
        <v>57</v>
      </c>
      <c r="O1337" s="1" t="s">
        <v>936</v>
      </c>
      <c r="P1337" s="1">
        <v>1</v>
      </c>
    </row>
    <row r="1338" spans="1:16" x14ac:dyDescent="0.25">
      <c r="A1338" s="3">
        <v>45960</v>
      </c>
      <c r="B1338" s="4">
        <v>9165</v>
      </c>
      <c r="C1338" s="5">
        <v>25381.86</v>
      </c>
      <c r="D1338" s="1" t="s">
        <v>973</v>
      </c>
      <c r="E1338" s="1" t="s">
        <v>1068</v>
      </c>
      <c r="F1338" s="1" t="s">
        <v>2076</v>
      </c>
      <c r="G1338" s="1" t="s">
        <v>998</v>
      </c>
      <c r="H1338" s="3">
        <v>45976</v>
      </c>
      <c r="I1338" s="1" t="s">
        <v>933</v>
      </c>
      <c r="J1338" s="1" t="s">
        <v>951</v>
      </c>
      <c r="K1338" s="1" t="s">
        <v>340</v>
      </c>
      <c r="L1338" s="1">
        <v>4500.33</v>
      </c>
      <c r="M1338" s="3">
        <v>45961</v>
      </c>
      <c r="N1338" s="1"/>
      <c r="O1338" s="1" t="s">
        <v>998</v>
      </c>
      <c r="P1338" s="1">
        <v>1</v>
      </c>
    </row>
    <row r="1339" spans="1:16" x14ac:dyDescent="0.25">
      <c r="A1339" s="3">
        <v>45960</v>
      </c>
      <c r="B1339" s="4">
        <v>9166</v>
      </c>
      <c r="C1339" s="5">
        <v>2583.3000000000002</v>
      </c>
      <c r="D1339" s="1" t="s">
        <v>973</v>
      </c>
      <c r="E1339" s="1" t="s">
        <v>1068</v>
      </c>
      <c r="F1339" s="1" t="s">
        <v>1814</v>
      </c>
      <c r="G1339" s="1" t="s">
        <v>998</v>
      </c>
      <c r="H1339" s="3">
        <v>45976</v>
      </c>
      <c r="I1339" s="1" t="s">
        <v>933</v>
      </c>
      <c r="J1339" s="1" t="s">
        <v>66</v>
      </c>
      <c r="K1339" s="1" t="s">
        <v>308</v>
      </c>
      <c r="L1339" s="1" t="s">
        <v>2674</v>
      </c>
      <c r="M1339" s="3">
        <v>45961</v>
      </c>
      <c r="N1339" s="1" t="s">
        <v>1814</v>
      </c>
      <c r="O1339" s="1" t="s">
        <v>998</v>
      </c>
      <c r="P1339" s="1">
        <v>1</v>
      </c>
    </row>
    <row r="1340" spans="1:16" x14ac:dyDescent="0.25">
      <c r="A1340" s="3">
        <v>45960</v>
      </c>
      <c r="B1340" s="4">
        <v>4559</v>
      </c>
      <c r="C1340" s="5">
        <v>217.92</v>
      </c>
      <c r="D1340" s="1" t="s">
        <v>938</v>
      </c>
      <c r="E1340" s="1" t="s">
        <v>1137</v>
      </c>
      <c r="F1340" s="1" t="s">
        <v>955</v>
      </c>
      <c r="G1340" s="1" t="s">
        <v>940</v>
      </c>
      <c r="H1340" s="3">
        <v>45978</v>
      </c>
      <c r="I1340" s="1" t="s">
        <v>933</v>
      </c>
      <c r="J1340" s="1" t="s">
        <v>951</v>
      </c>
      <c r="K1340" s="1" t="s">
        <v>659</v>
      </c>
      <c r="L1340" s="1" t="s">
        <v>2675</v>
      </c>
      <c r="M1340" s="3">
        <v>45961</v>
      </c>
      <c r="N1340" s="1" t="s">
        <v>821</v>
      </c>
      <c r="O1340" s="1" t="s">
        <v>936</v>
      </c>
      <c r="P1340" s="1">
        <v>1</v>
      </c>
    </row>
    <row r="1341" spans="1:16" x14ac:dyDescent="0.25">
      <c r="A1341" s="3">
        <v>45960</v>
      </c>
      <c r="B1341" s="4">
        <v>27077</v>
      </c>
      <c r="C1341" s="5">
        <v>3750</v>
      </c>
      <c r="D1341" s="1" t="s">
        <v>2028</v>
      </c>
      <c r="E1341" s="1" t="s">
        <v>2029</v>
      </c>
      <c r="F1341" s="1" t="s">
        <v>955</v>
      </c>
      <c r="G1341" s="1" t="s">
        <v>940</v>
      </c>
      <c r="H1341" s="3">
        <v>45990</v>
      </c>
      <c r="I1341" s="1" t="s">
        <v>933</v>
      </c>
      <c r="J1341" s="1" t="s">
        <v>951</v>
      </c>
      <c r="K1341" s="1" t="s">
        <v>308</v>
      </c>
      <c r="L1341" s="1" t="s">
        <v>2676</v>
      </c>
      <c r="M1341" s="3">
        <v>45961</v>
      </c>
      <c r="N1341" s="1" t="s">
        <v>821</v>
      </c>
      <c r="O1341" s="1" t="s">
        <v>936</v>
      </c>
      <c r="P1341" s="1" t="s">
        <v>937</v>
      </c>
    </row>
    <row r="1342" spans="1:16" x14ac:dyDescent="0.25">
      <c r="A1342" s="3">
        <v>45960</v>
      </c>
      <c r="B1342" s="1">
        <v>128</v>
      </c>
      <c r="C1342" s="5">
        <v>250</v>
      </c>
      <c r="D1342" s="1" t="s">
        <v>1773</v>
      </c>
      <c r="E1342" s="1" t="s">
        <v>1774</v>
      </c>
      <c r="F1342" s="1" t="s">
        <v>955</v>
      </c>
      <c r="G1342" s="1" t="s">
        <v>1029</v>
      </c>
      <c r="H1342" s="3">
        <v>45981</v>
      </c>
      <c r="I1342" s="1" t="s">
        <v>933</v>
      </c>
      <c r="J1342" s="1" t="s">
        <v>951</v>
      </c>
      <c r="K1342" s="1" t="s">
        <v>52</v>
      </c>
      <c r="L1342" s="1" t="s">
        <v>2677</v>
      </c>
      <c r="M1342" s="3">
        <v>45961</v>
      </c>
      <c r="N1342" s="1" t="s">
        <v>821</v>
      </c>
      <c r="O1342" s="1" t="s">
        <v>990</v>
      </c>
      <c r="P1342" s="1">
        <v>1</v>
      </c>
    </row>
    <row r="1343" spans="1:16" x14ac:dyDescent="0.25">
      <c r="A1343" s="3">
        <v>45960</v>
      </c>
      <c r="B1343" s="4">
        <v>1059949</v>
      </c>
      <c r="C1343" s="5">
        <v>2259</v>
      </c>
      <c r="D1343" s="1" t="s">
        <v>2670</v>
      </c>
      <c r="E1343" s="1" t="s">
        <v>2671</v>
      </c>
      <c r="F1343" s="1" t="s">
        <v>304</v>
      </c>
      <c r="G1343" s="1" t="s">
        <v>1667</v>
      </c>
      <c r="H1343" s="3">
        <v>45988</v>
      </c>
      <c r="I1343" s="1" t="s">
        <v>1100</v>
      </c>
      <c r="J1343" s="1" t="s">
        <v>66</v>
      </c>
      <c r="K1343" s="1" t="s">
        <v>340</v>
      </c>
      <c r="L1343" s="1" t="s">
        <v>2678</v>
      </c>
      <c r="M1343" s="3">
        <v>45961</v>
      </c>
      <c r="N1343" s="1" t="s">
        <v>57</v>
      </c>
      <c r="O1343" s="1" t="s">
        <v>936</v>
      </c>
      <c r="P1343" s="1">
        <v>1</v>
      </c>
    </row>
    <row r="1344" spans="1:16" x14ac:dyDescent="0.25">
      <c r="A1344" s="3">
        <v>45960</v>
      </c>
      <c r="B1344" s="4">
        <v>51241217</v>
      </c>
      <c r="C1344" s="5">
        <v>20800.189999999999</v>
      </c>
      <c r="D1344" s="1" t="s">
        <v>1604</v>
      </c>
      <c r="E1344" s="1" t="s">
        <v>1605</v>
      </c>
      <c r="F1344" s="1" t="s">
        <v>955</v>
      </c>
      <c r="G1344" s="1" t="s">
        <v>950</v>
      </c>
      <c r="H1344" s="3">
        <v>45982</v>
      </c>
      <c r="I1344" s="1" t="s">
        <v>933</v>
      </c>
      <c r="J1344" s="1" t="s">
        <v>951</v>
      </c>
      <c r="K1344" s="1" t="s">
        <v>934</v>
      </c>
      <c r="L1344" s="1" t="s">
        <v>2679</v>
      </c>
      <c r="M1344" s="3">
        <v>45964</v>
      </c>
      <c r="N1344" s="1" t="s">
        <v>821</v>
      </c>
      <c r="O1344" s="1" t="s">
        <v>932</v>
      </c>
      <c r="P1344" s="1">
        <v>1</v>
      </c>
    </row>
    <row r="1345" spans="1:16" x14ac:dyDescent="0.25">
      <c r="A1345" s="3">
        <v>45960</v>
      </c>
      <c r="B1345" s="1">
        <v>52</v>
      </c>
      <c r="C1345" s="5">
        <v>1480</v>
      </c>
      <c r="D1345" s="1" t="s">
        <v>1200</v>
      </c>
      <c r="E1345" s="1" t="s">
        <v>1201</v>
      </c>
      <c r="F1345" s="1" t="s">
        <v>955</v>
      </c>
      <c r="G1345" s="1" t="s">
        <v>950</v>
      </c>
      <c r="H1345" s="3">
        <v>45982</v>
      </c>
      <c r="I1345" s="1" t="s">
        <v>933</v>
      </c>
      <c r="J1345" s="1" t="s">
        <v>951</v>
      </c>
      <c r="K1345" s="1" t="s">
        <v>340</v>
      </c>
      <c r="L1345" s="1" t="s">
        <v>2680</v>
      </c>
      <c r="M1345" s="3">
        <v>45964</v>
      </c>
      <c r="N1345" s="1" t="s">
        <v>821</v>
      </c>
      <c r="O1345" s="1" t="s">
        <v>936</v>
      </c>
      <c r="P1345" s="1" t="s">
        <v>937</v>
      </c>
    </row>
    <row r="1346" spans="1:16" x14ac:dyDescent="0.25">
      <c r="A1346" s="3">
        <v>45961</v>
      </c>
      <c r="B1346" s="4">
        <v>355589</v>
      </c>
      <c r="C1346" s="5">
        <v>157</v>
      </c>
      <c r="D1346" s="1" t="s">
        <v>2681</v>
      </c>
      <c r="E1346" s="1" t="s">
        <v>2682</v>
      </c>
      <c r="F1346" s="1" t="s">
        <v>955</v>
      </c>
      <c r="G1346" s="1" t="s">
        <v>940</v>
      </c>
      <c r="H1346" s="1" t="s">
        <v>959</v>
      </c>
      <c r="I1346" s="1" t="s">
        <v>933</v>
      </c>
      <c r="J1346" s="1" t="s">
        <v>951</v>
      </c>
      <c r="K1346" s="1" t="s">
        <v>52</v>
      </c>
      <c r="L1346" s="1" t="s">
        <v>2683</v>
      </c>
      <c r="M1346" s="3">
        <v>45961</v>
      </c>
      <c r="N1346" s="1" t="s">
        <v>821</v>
      </c>
      <c r="O1346" s="1" t="s">
        <v>936</v>
      </c>
      <c r="P1346" s="1">
        <v>1</v>
      </c>
    </row>
    <row r="1347" spans="1:16" x14ac:dyDescent="0.25">
      <c r="A1347" s="3">
        <v>45961</v>
      </c>
      <c r="B1347" s="1">
        <v>662</v>
      </c>
      <c r="C1347" s="5">
        <v>180</v>
      </c>
      <c r="D1347" s="1" t="s">
        <v>1820</v>
      </c>
      <c r="E1347" s="1" t="s">
        <v>1821</v>
      </c>
      <c r="F1347" s="1" t="s">
        <v>128</v>
      </c>
      <c r="G1347" s="1" t="s">
        <v>940</v>
      </c>
      <c r="H1347" s="3">
        <v>45981</v>
      </c>
      <c r="I1347" s="1" t="s">
        <v>933</v>
      </c>
      <c r="J1347" s="1" t="s">
        <v>66</v>
      </c>
      <c r="K1347" s="1" t="s">
        <v>52</v>
      </c>
      <c r="L1347" s="1" t="s">
        <v>2684</v>
      </c>
      <c r="M1347" s="3">
        <v>45961</v>
      </c>
      <c r="N1347" s="1" t="s">
        <v>93</v>
      </c>
      <c r="O1347" s="1" t="s">
        <v>936</v>
      </c>
      <c r="P1347" s="1">
        <v>1</v>
      </c>
    </row>
    <row r="1348" spans="1:16" x14ac:dyDescent="0.25">
      <c r="A1348" s="3">
        <v>45961</v>
      </c>
      <c r="B1348" s="1">
        <v>661</v>
      </c>
      <c r="C1348" s="5">
        <v>350</v>
      </c>
      <c r="D1348" s="1" t="s">
        <v>1820</v>
      </c>
      <c r="E1348" s="1" t="s">
        <v>1821</v>
      </c>
      <c r="F1348" s="1" t="s">
        <v>83</v>
      </c>
      <c r="G1348" s="1" t="s">
        <v>940</v>
      </c>
      <c r="H1348" s="3">
        <v>45981</v>
      </c>
      <c r="I1348" s="1" t="s">
        <v>933</v>
      </c>
      <c r="J1348" s="1" t="s">
        <v>66</v>
      </c>
      <c r="K1348" s="1" t="s">
        <v>52</v>
      </c>
      <c r="L1348" s="1" t="s">
        <v>2685</v>
      </c>
      <c r="M1348" s="3">
        <v>45961</v>
      </c>
      <c r="N1348" s="1" t="s">
        <v>57</v>
      </c>
      <c r="O1348" s="1" t="s">
        <v>936</v>
      </c>
      <c r="P1348" s="1">
        <v>1</v>
      </c>
    </row>
    <row r="1349" spans="1:16" x14ac:dyDescent="0.25">
      <c r="A1349" s="3">
        <v>45961</v>
      </c>
      <c r="B1349" s="1">
        <v>660</v>
      </c>
      <c r="C1349" s="5">
        <v>350</v>
      </c>
      <c r="D1349" s="1" t="s">
        <v>1820</v>
      </c>
      <c r="E1349" s="1" t="s">
        <v>1821</v>
      </c>
      <c r="F1349" s="1" t="s">
        <v>955</v>
      </c>
      <c r="G1349" s="1" t="s">
        <v>940</v>
      </c>
      <c r="H1349" s="3">
        <v>45981</v>
      </c>
      <c r="I1349" s="1" t="s">
        <v>933</v>
      </c>
      <c r="J1349" s="1" t="s">
        <v>951</v>
      </c>
      <c r="K1349" s="1" t="s">
        <v>52</v>
      </c>
      <c r="L1349" s="1" t="s">
        <v>2686</v>
      </c>
      <c r="M1349" s="3">
        <v>45961</v>
      </c>
      <c r="N1349" s="1" t="s">
        <v>821</v>
      </c>
      <c r="O1349" s="1" t="s">
        <v>936</v>
      </c>
      <c r="P1349" s="1">
        <v>1</v>
      </c>
    </row>
    <row r="1350" spans="1:16" x14ac:dyDescent="0.25">
      <c r="A1350" s="3">
        <v>45961</v>
      </c>
      <c r="B1350" s="4">
        <v>9083</v>
      </c>
      <c r="C1350" s="5">
        <v>110</v>
      </c>
      <c r="D1350" s="1" t="s">
        <v>2687</v>
      </c>
      <c r="E1350" s="1" t="s">
        <v>2688</v>
      </c>
      <c r="F1350" s="1" t="s">
        <v>955</v>
      </c>
      <c r="G1350" s="1" t="s">
        <v>940</v>
      </c>
      <c r="H1350" s="1" t="s">
        <v>941</v>
      </c>
      <c r="I1350" s="1" t="s">
        <v>933</v>
      </c>
      <c r="J1350" s="1" t="s">
        <v>951</v>
      </c>
      <c r="K1350" s="1" t="s">
        <v>52</v>
      </c>
      <c r="L1350" s="1" t="s">
        <v>2689</v>
      </c>
      <c r="M1350" s="3">
        <v>45964</v>
      </c>
      <c r="N1350" s="1" t="s">
        <v>821</v>
      </c>
      <c r="O1350" s="1" t="s">
        <v>937</v>
      </c>
      <c r="P1350" s="1">
        <v>1</v>
      </c>
    </row>
    <row r="1351" spans="1:16" x14ac:dyDescent="0.25">
      <c r="A1351" s="3">
        <v>45962</v>
      </c>
      <c r="B1351" s="4">
        <v>6811</v>
      </c>
      <c r="C1351" s="5">
        <v>1200</v>
      </c>
      <c r="D1351" s="1" t="s">
        <v>1106</v>
      </c>
      <c r="E1351" s="1" t="s">
        <v>1107</v>
      </c>
      <c r="F1351" s="1" t="s">
        <v>955</v>
      </c>
      <c r="G1351" s="1" t="s">
        <v>932</v>
      </c>
      <c r="H1351" s="3">
        <v>45976</v>
      </c>
      <c r="I1351" s="1" t="s">
        <v>933</v>
      </c>
      <c r="J1351" s="1" t="s">
        <v>951</v>
      </c>
      <c r="K1351" s="1" t="s">
        <v>817</v>
      </c>
      <c r="L1351" s="1" t="s">
        <v>2690</v>
      </c>
      <c r="M1351" s="3">
        <v>45964</v>
      </c>
      <c r="N1351" s="1" t="s">
        <v>821</v>
      </c>
      <c r="O1351" s="1" t="s">
        <v>932</v>
      </c>
      <c r="P1351" s="1">
        <v>1</v>
      </c>
    </row>
    <row r="1352" spans="1:16" x14ac:dyDescent="0.25">
      <c r="A1352" s="3">
        <v>45962</v>
      </c>
      <c r="B1352" s="4">
        <v>1816</v>
      </c>
      <c r="C1352" s="5">
        <v>585</v>
      </c>
      <c r="D1352" s="1" t="s">
        <v>953</v>
      </c>
      <c r="E1352" s="1" t="s">
        <v>954</v>
      </c>
      <c r="F1352" s="1" t="s">
        <v>955</v>
      </c>
      <c r="G1352" s="1" t="s">
        <v>940</v>
      </c>
      <c r="H1352" s="3">
        <v>45975</v>
      </c>
      <c r="I1352" s="1" t="s">
        <v>933</v>
      </c>
      <c r="J1352" s="1" t="s">
        <v>951</v>
      </c>
      <c r="K1352" s="1" t="s">
        <v>20</v>
      </c>
      <c r="L1352" s="1" t="s">
        <v>2691</v>
      </c>
      <c r="M1352" s="3">
        <v>45965</v>
      </c>
      <c r="N1352" s="1" t="s">
        <v>821</v>
      </c>
      <c r="O1352" s="1" t="s">
        <v>936</v>
      </c>
      <c r="P1352" s="1">
        <v>1</v>
      </c>
    </row>
    <row r="1353" spans="1:16" x14ac:dyDescent="0.25">
      <c r="A1353" s="3">
        <v>45962</v>
      </c>
      <c r="B1353" s="7">
        <v>45809</v>
      </c>
      <c r="C1353" s="5">
        <v>17500</v>
      </c>
      <c r="D1353" s="1" t="s">
        <v>2237</v>
      </c>
      <c r="E1353" s="1" t="s">
        <v>2238</v>
      </c>
      <c r="F1353" s="1" t="s">
        <v>643</v>
      </c>
      <c r="G1353" s="1" t="s">
        <v>932</v>
      </c>
      <c r="H1353" s="3">
        <v>45979</v>
      </c>
      <c r="I1353" s="1" t="s">
        <v>933</v>
      </c>
      <c r="J1353" s="1" t="s">
        <v>66</v>
      </c>
      <c r="K1353" s="1" t="s">
        <v>340</v>
      </c>
      <c r="L1353" s="1" t="s">
        <v>2692</v>
      </c>
      <c r="M1353" s="3">
        <v>45968</v>
      </c>
      <c r="N1353" s="1" t="s">
        <v>646</v>
      </c>
      <c r="O1353" s="1" t="s">
        <v>932</v>
      </c>
      <c r="P1353" s="1">
        <v>1</v>
      </c>
    </row>
    <row r="1354" spans="1:16" x14ac:dyDescent="0.25">
      <c r="A1354" s="3">
        <v>45964</v>
      </c>
      <c r="B1354" s="1">
        <v>206</v>
      </c>
      <c r="C1354" s="5">
        <v>7980</v>
      </c>
      <c r="D1354" s="4">
        <v>39645090000103</v>
      </c>
      <c r="E1354" s="1" t="s">
        <v>1618</v>
      </c>
      <c r="F1354" s="1" t="s">
        <v>955</v>
      </c>
      <c r="G1354" s="1" t="s">
        <v>932</v>
      </c>
      <c r="H1354" s="3">
        <v>45978</v>
      </c>
      <c r="I1354" s="1" t="s">
        <v>933</v>
      </c>
      <c r="J1354" s="1" t="s">
        <v>951</v>
      </c>
      <c r="K1354" s="1" t="s">
        <v>340</v>
      </c>
      <c r="L1354" s="1" t="s">
        <v>2693</v>
      </c>
      <c r="M1354" s="3">
        <v>45964</v>
      </c>
      <c r="N1354" s="1" t="s">
        <v>821</v>
      </c>
      <c r="O1354" s="1" t="s">
        <v>932</v>
      </c>
      <c r="P1354" s="1">
        <v>1</v>
      </c>
    </row>
    <row r="1355" spans="1:16" x14ac:dyDescent="0.25">
      <c r="A1355" s="3">
        <v>45964</v>
      </c>
      <c r="B1355" s="1">
        <v>76</v>
      </c>
      <c r="C1355" s="5">
        <v>450</v>
      </c>
      <c r="D1355" s="1" t="s">
        <v>1060</v>
      </c>
      <c r="E1355" s="1" t="s">
        <v>1061</v>
      </c>
      <c r="F1355" s="1" t="s">
        <v>717</v>
      </c>
      <c r="G1355" s="1" t="s">
        <v>940</v>
      </c>
      <c r="H1355" s="3">
        <v>45979</v>
      </c>
      <c r="I1355" s="1" t="s">
        <v>933</v>
      </c>
      <c r="J1355" s="1" t="s">
        <v>66</v>
      </c>
      <c r="K1355" s="1" t="s">
        <v>340</v>
      </c>
      <c r="L1355" s="1" t="s">
        <v>2694</v>
      </c>
      <c r="M1355" s="3">
        <v>45964</v>
      </c>
      <c r="N1355" s="1" t="s">
        <v>712</v>
      </c>
      <c r="O1355" s="1" t="s">
        <v>936</v>
      </c>
      <c r="P1355" s="1">
        <v>1</v>
      </c>
    </row>
    <row r="1356" spans="1:16" x14ac:dyDescent="0.25">
      <c r="A1356" s="3">
        <v>45964</v>
      </c>
      <c r="B1356" s="1">
        <v>75</v>
      </c>
      <c r="C1356" s="5">
        <v>450</v>
      </c>
      <c r="D1356" s="1" t="s">
        <v>1060</v>
      </c>
      <c r="E1356" s="1" t="s">
        <v>1061</v>
      </c>
      <c r="F1356" s="1" t="s">
        <v>809</v>
      </c>
      <c r="G1356" s="1" t="s">
        <v>940</v>
      </c>
      <c r="H1356" s="3">
        <v>45979</v>
      </c>
      <c r="I1356" s="1" t="s">
        <v>933</v>
      </c>
      <c r="J1356" s="1" t="s">
        <v>66</v>
      </c>
      <c r="K1356" s="1" t="s">
        <v>340</v>
      </c>
      <c r="L1356" s="1" t="s">
        <v>2695</v>
      </c>
      <c r="M1356" s="3">
        <v>45964</v>
      </c>
      <c r="N1356" s="1" t="s">
        <v>212</v>
      </c>
      <c r="O1356" s="1" t="s">
        <v>936</v>
      </c>
      <c r="P1356" s="1">
        <v>2</v>
      </c>
    </row>
    <row r="1357" spans="1:16" x14ac:dyDescent="0.25">
      <c r="A1357" s="3">
        <v>45964</v>
      </c>
      <c r="B1357" s="1">
        <v>1</v>
      </c>
      <c r="C1357" s="5">
        <v>6670</v>
      </c>
      <c r="D1357" s="1" t="s">
        <v>2696</v>
      </c>
      <c r="E1357" s="1" t="s">
        <v>2697</v>
      </c>
      <c r="F1357" s="1" t="s">
        <v>955</v>
      </c>
      <c r="G1357" s="1" t="s">
        <v>940</v>
      </c>
      <c r="H1357" s="3">
        <v>45975</v>
      </c>
      <c r="I1357" s="1" t="s">
        <v>933</v>
      </c>
      <c r="J1357" s="1" t="s">
        <v>951</v>
      </c>
      <c r="K1357" s="1" t="s">
        <v>20</v>
      </c>
      <c r="L1357" s="1" t="s">
        <v>2698</v>
      </c>
      <c r="M1357" s="3">
        <v>45964</v>
      </c>
      <c r="N1357" s="1" t="s">
        <v>821</v>
      </c>
      <c r="O1357" s="1" t="s">
        <v>936</v>
      </c>
      <c r="P1357" s="1">
        <v>1</v>
      </c>
    </row>
    <row r="1358" spans="1:16" x14ac:dyDescent="0.25">
      <c r="A1358" s="3">
        <v>45964</v>
      </c>
      <c r="B1358" s="1">
        <v>8</v>
      </c>
      <c r="C1358" s="5">
        <v>23000</v>
      </c>
      <c r="D1358" s="1" t="s">
        <v>1262</v>
      </c>
      <c r="E1358" s="1" t="s">
        <v>1507</v>
      </c>
      <c r="F1358" s="1" t="s">
        <v>1567</v>
      </c>
      <c r="G1358" s="1" t="s">
        <v>20</v>
      </c>
      <c r="H1358" s="3">
        <v>45982</v>
      </c>
      <c r="I1358" s="1" t="s">
        <v>933</v>
      </c>
      <c r="J1358" s="1" t="s">
        <v>951</v>
      </c>
      <c r="K1358" s="1" t="s">
        <v>20</v>
      </c>
      <c r="L1358" s="1" t="s">
        <v>2699</v>
      </c>
      <c r="M1358" s="3">
        <v>45964</v>
      </c>
      <c r="N1358" s="1" t="s">
        <v>821</v>
      </c>
      <c r="O1358" s="1" t="s">
        <v>936</v>
      </c>
      <c r="P1358" s="1" t="s">
        <v>937</v>
      </c>
    </row>
    <row r="1359" spans="1:16" x14ac:dyDescent="0.25">
      <c r="A1359" s="3">
        <v>45964</v>
      </c>
      <c r="B1359" s="4">
        <v>23878</v>
      </c>
      <c r="C1359" s="5">
        <v>113.68</v>
      </c>
      <c r="D1359" s="1" t="s">
        <v>2700</v>
      </c>
      <c r="E1359" s="1" t="s">
        <v>2701</v>
      </c>
      <c r="F1359" s="1" t="s">
        <v>955</v>
      </c>
      <c r="G1359" s="1" t="s">
        <v>950</v>
      </c>
      <c r="H1359" s="1" t="s">
        <v>2702</v>
      </c>
      <c r="I1359" s="1" t="s">
        <v>933</v>
      </c>
      <c r="J1359" s="1" t="s">
        <v>951</v>
      </c>
      <c r="K1359" s="1" t="s">
        <v>817</v>
      </c>
      <c r="L1359" s="1" t="s">
        <v>2703</v>
      </c>
      <c r="M1359" s="3">
        <v>45964</v>
      </c>
      <c r="N1359" s="1" t="s">
        <v>821</v>
      </c>
      <c r="O1359" s="1" t="s">
        <v>937</v>
      </c>
      <c r="P1359" s="1">
        <v>1</v>
      </c>
    </row>
    <row r="1360" spans="1:16" x14ac:dyDescent="0.25">
      <c r="A1360" s="3">
        <v>45964</v>
      </c>
      <c r="B1360" s="4">
        <v>580288</v>
      </c>
      <c r="C1360" s="5">
        <v>126.06</v>
      </c>
      <c r="D1360" s="1" t="s">
        <v>2704</v>
      </c>
      <c r="E1360" s="1" t="s">
        <v>2705</v>
      </c>
      <c r="F1360" s="1" t="s">
        <v>955</v>
      </c>
      <c r="G1360" s="1" t="s">
        <v>950</v>
      </c>
      <c r="H1360" s="1" t="s">
        <v>2702</v>
      </c>
      <c r="I1360" s="1" t="s">
        <v>933</v>
      </c>
      <c r="J1360" s="1" t="s">
        <v>951</v>
      </c>
      <c r="K1360" s="1" t="s">
        <v>817</v>
      </c>
      <c r="L1360" s="1" t="s">
        <v>2703</v>
      </c>
      <c r="M1360" s="3">
        <v>45964</v>
      </c>
      <c r="N1360" s="1" t="s">
        <v>821</v>
      </c>
      <c r="O1360" s="1" t="s">
        <v>937</v>
      </c>
      <c r="P1360" s="1">
        <v>1</v>
      </c>
    </row>
    <row r="1361" spans="1:16" x14ac:dyDescent="0.25">
      <c r="A1361" s="3">
        <v>45964</v>
      </c>
      <c r="B1361" s="4">
        <v>18820</v>
      </c>
      <c r="C1361" s="5">
        <v>1248.6600000000001</v>
      </c>
      <c r="D1361" s="1" t="s">
        <v>1964</v>
      </c>
      <c r="E1361" s="1" t="s">
        <v>1965</v>
      </c>
      <c r="F1361" s="1" t="s">
        <v>955</v>
      </c>
      <c r="G1361" s="1" t="s">
        <v>940</v>
      </c>
      <c r="H1361" s="3">
        <v>45992</v>
      </c>
      <c r="I1361" s="1" t="s">
        <v>933</v>
      </c>
      <c r="J1361" s="1" t="s">
        <v>951</v>
      </c>
      <c r="K1361" s="1" t="s">
        <v>308</v>
      </c>
      <c r="L1361" s="1" t="s">
        <v>2706</v>
      </c>
      <c r="M1361" s="3">
        <v>45964</v>
      </c>
      <c r="N1361" s="1" t="s">
        <v>821</v>
      </c>
      <c r="O1361" s="1" t="s">
        <v>932</v>
      </c>
      <c r="P1361" s="1">
        <v>1</v>
      </c>
    </row>
    <row r="1362" spans="1:16" x14ac:dyDescent="0.25">
      <c r="A1362" s="3">
        <v>45964</v>
      </c>
      <c r="B1362" s="1">
        <v>30</v>
      </c>
      <c r="C1362" s="5">
        <v>6762.7</v>
      </c>
      <c r="D1362" s="1" t="s">
        <v>2707</v>
      </c>
      <c r="E1362" s="1" t="s">
        <v>2708</v>
      </c>
      <c r="F1362" s="1" t="s">
        <v>955</v>
      </c>
      <c r="G1362" s="1" t="s">
        <v>940</v>
      </c>
      <c r="H1362" s="3">
        <v>45986</v>
      </c>
      <c r="I1362" s="1" t="s">
        <v>933</v>
      </c>
      <c r="J1362" s="1" t="s">
        <v>951</v>
      </c>
      <c r="K1362" s="1" t="s">
        <v>20</v>
      </c>
      <c r="L1362" s="1" t="s">
        <v>2709</v>
      </c>
      <c r="M1362" s="3">
        <v>45964</v>
      </c>
      <c r="N1362" s="1" t="s">
        <v>821</v>
      </c>
      <c r="O1362" s="1" t="s">
        <v>936</v>
      </c>
      <c r="P1362" s="1">
        <v>1</v>
      </c>
    </row>
    <row r="1363" spans="1:16" x14ac:dyDescent="0.25">
      <c r="A1363" s="3">
        <v>45964</v>
      </c>
      <c r="B1363" s="4">
        <v>1082</v>
      </c>
      <c r="C1363" s="5">
        <v>4185</v>
      </c>
      <c r="D1363" s="1" t="s">
        <v>1126</v>
      </c>
      <c r="E1363" s="1" t="s">
        <v>1127</v>
      </c>
      <c r="F1363" s="1" t="s">
        <v>955</v>
      </c>
      <c r="G1363" s="1" t="s">
        <v>940</v>
      </c>
      <c r="H1363" s="3">
        <v>45982</v>
      </c>
      <c r="I1363" s="1" t="s">
        <v>933</v>
      </c>
      <c r="J1363" s="1" t="s">
        <v>951</v>
      </c>
      <c r="K1363" s="1" t="s">
        <v>1654</v>
      </c>
      <c r="L1363" s="1" t="s">
        <v>2710</v>
      </c>
      <c r="M1363" s="3">
        <v>45964</v>
      </c>
      <c r="N1363" s="1" t="s">
        <v>821</v>
      </c>
      <c r="O1363" s="1" t="s">
        <v>936</v>
      </c>
      <c r="P1363" s="1">
        <v>1</v>
      </c>
    </row>
    <row r="1364" spans="1:16" x14ac:dyDescent="0.25">
      <c r="A1364" s="3">
        <v>45964</v>
      </c>
      <c r="B1364" s="4">
        <v>1083</v>
      </c>
      <c r="C1364" s="5">
        <v>650</v>
      </c>
      <c r="D1364" s="1" t="s">
        <v>1126</v>
      </c>
      <c r="E1364" s="1" t="s">
        <v>1127</v>
      </c>
      <c r="F1364" s="1" t="s">
        <v>955</v>
      </c>
      <c r="G1364" s="1" t="s">
        <v>940</v>
      </c>
      <c r="H1364" s="3">
        <v>45982</v>
      </c>
      <c r="I1364" s="1" t="s">
        <v>933</v>
      </c>
      <c r="J1364" s="1" t="s">
        <v>951</v>
      </c>
      <c r="K1364" s="1" t="s">
        <v>308</v>
      </c>
      <c r="L1364" s="1" t="s">
        <v>2711</v>
      </c>
      <c r="M1364" s="3">
        <v>45964</v>
      </c>
      <c r="N1364" s="1" t="s">
        <v>821</v>
      </c>
      <c r="O1364" s="1" t="s">
        <v>936</v>
      </c>
      <c r="P1364" s="1">
        <v>1</v>
      </c>
    </row>
    <row r="1365" spans="1:16" x14ac:dyDescent="0.25">
      <c r="A1365" s="3">
        <v>45964</v>
      </c>
      <c r="B1365" s="4">
        <v>1084</v>
      </c>
      <c r="C1365" s="5">
        <v>4046</v>
      </c>
      <c r="D1365" s="1" t="s">
        <v>1126</v>
      </c>
      <c r="E1365" s="1" t="s">
        <v>1127</v>
      </c>
      <c r="F1365" s="1" t="s">
        <v>955</v>
      </c>
      <c r="G1365" s="1" t="s">
        <v>20</v>
      </c>
      <c r="H1365" s="3">
        <v>45982</v>
      </c>
      <c r="I1365" s="1" t="s">
        <v>933</v>
      </c>
      <c r="J1365" s="1" t="s">
        <v>951</v>
      </c>
      <c r="K1365" s="1" t="s">
        <v>659</v>
      </c>
      <c r="L1365" s="1" t="s">
        <v>2712</v>
      </c>
      <c r="M1365" s="3">
        <v>45964</v>
      </c>
      <c r="N1365" s="1" t="s">
        <v>821</v>
      </c>
      <c r="O1365" s="1" t="s">
        <v>936</v>
      </c>
      <c r="P1365" s="1">
        <v>1</v>
      </c>
    </row>
    <row r="1366" spans="1:16" x14ac:dyDescent="0.25">
      <c r="A1366" s="3">
        <v>45964</v>
      </c>
      <c r="B1366" s="4">
        <v>1085</v>
      </c>
      <c r="C1366" s="5">
        <v>380</v>
      </c>
      <c r="D1366" s="1" t="s">
        <v>1126</v>
      </c>
      <c r="E1366" s="1" t="s">
        <v>1127</v>
      </c>
      <c r="F1366" s="1" t="s">
        <v>794</v>
      </c>
      <c r="G1366" s="1" t="s">
        <v>940</v>
      </c>
      <c r="H1366" s="3">
        <v>45982</v>
      </c>
      <c r="I1366" s="1" t="s">
        <v>933</v>
      </c>
      <c r="J1366" s="1" t="s">
        <v>66</v>
      </c>
      <c r="K1366" s="1" t="s">
        <v>308</v>
      </c>
      <c r="L1366" s="1" t="s">
        <v>2713</v>
      </c>
      <c r="M1366" s="3">
        <v>45964</v>
      </c>
      <c r="N1366" s="1" t="s">
        <v>57</v>
      </c>
      <c r="O1366" s="1" t="s">
        <v>936</v>
      </c>
      <c r="P1366" s="1">
        <v>1</v>
      </c>
    </row>
    <row r="1367" spans="1:16" x14ac:dyDescent="0.25">
      <c r="A1367" s="3">
        <v>45964</v>
      </c>
      <c r="B1367" s="4">
        <v>1086</v>
      </c>
      <c r="C1367" s="5">
        <v>850</v>
      </c>
      <c r="D1367" s="1" t="s">
        <v>1126</v>
      </c>
      <c r="E1367" s="1" t="s">
        <v>1127</v>
      </c>
      <c r="F1367" s="1" t="s">
        <v>419</v>
      </c>
      <c r="G1367" s="1" t="s">
        <v>940</v>
      </c>
      <c r="H1367" s="3">
        <v>45982</v>
      </c>
      <c r="I1367" s="1" t="s">
        <v>933</v>
      </c>
      <c r="J1367" s="1" t="s">
        <v>66</v>
      </c>
      <c r="K1367" s="1" t="s">
        <v>20</v>
      </c>
      <c r="L1367" s="1" t="s">
        <v>2714</v>
      </c>
      <c r="M1367" s="3">
        <v>45964</v>
      </c>
      <c r="N1367" s="1" t="s">
        <v>98</v>
      </c>
      <c r="O1367" s="1" t="s">
        <v>936</v>
      </c>
      <c r="P1367" s="1">
        <v>1</v>
      </c>
    </row>
    <row r="1368" spans="1:16" x14ac:dyDescent="0.25">
      <c r="A1368" s="3">
        <v>45964</v>
      </c>
      <c r="B1368" s="4">
        <v>1087</v>
      </c>
      <c r="C1368" s="5">
        <v>685</v>
      </c>
      <c r="D1368" s="1" t="s">
        <v>1126</v>
      </c>
      <c r="E1368" s="1" t="s">
        <v>1127</v>
      </c>
      <c r="F1368" s="1" t="s">
        <v>955</v>
      </c>
      <c r="G1368" s="1" t="s">
        <v>940</v>
      </c>
      <c r="H1368" s="3">
        <v>45982</v>
      </c>
      <c r="I1368" s="1" t="s">
        <v>933</v>
      </c>
      <c r="J1368" s="1" t="s">
        <v>951</v>
      </c>
      <c r="K1368" s="1" t="s">
        <v>340</v>
      </c>
      <c r="L1368" s="1" t="s">
        <v>2715</v>
      </c>
      <c r="M1368" s="3">
        <v>45964</v>
      </c>
      <c r="N1368" s="1" t="s">
        <v>821</v>
      </c>
      <c r="O1368" s="1" t="s">
        <v>936</v>
      </c>
      <c r="P1368" s="1">
        <v>1</v>
      </c>
    </row>
    <row r="1369" spans="1:16" x14ac:dyDescent="0.25">
      <c r="A1369" s="3">
        <v>45964</v>
      </c>
      <c r="B1369" s="4">
        <v>1089</v>
      </c>
      <c r="C1369" s="5">
        <v>180</v>
      </c>
      <c r="D1369" s="1" t="s">
        <v>1126</v>
      </c>
      <c r="E1369" s="1" t="s">
        <v>1127</v>
      </c>
      <c r="F1369" s="1" t="s">
        <v>955</v>
      </c>
      <c r="G1369" s="1" t="s">
        <v>940</v>
      </c>
      <c r="H1369" s="3">
        <v>45982</v>
      </c>
      <c r="I1369" s="1" t="s">
        <v>933</v>
      </c>
      <c r="J1369" s="1" t="s">
        <v>951</v>
      </c>
      <c r="K1369" s="1" t="s">
        <v>308</v>
      </c>
      <c r="L1369" s="1" t="s">
        <v>2716</v>
      </c>
      <c r="M1369" s="3">
        <v>45964</v>
      </c>
      <c r="N1369" s="1" t="s">
        <v>821</v>
      </c>
      <c r="O1369" s="1" t="s">
        <v>936</v>
      </c>
      <c r="P1369" s="1">
        <v>1</v>
      </c>
    </row>
    <row r="1370" spans="1:16" x14ac:dyDescent="0.25">
      <c r="A1370" s="3">
        <v>45964</v>
      </c>
      <c r="B1370" s="4">
        <v>1090</v>
      </c>
      <c r="C1370" s="5">
        <v>1550</v>
      </c>
      <c r="D1370" s="1" t="s">
        <v>1126</v>
      </c>
      <c r="E1370" s="1" t="s">
        <v>1127</v>
      </c>
      <c r="F1370" s="1" t="s">
        <v>955</v>
      </c>
      <c r="G1370" s="1" t="s">
        <v>940</v>
      </c>
      <c r="H1370" s="3">
        <v>45982</v>
      </c>
      <c r="I1370" s="1" t="s">
        <v>933</v>
      </c>
      <c r="J1370" s="1" t="s">
        <v>951</v>
      </c>
      <c r="K1370" s="1" t="s">
        <v>308</v>
      </c>
      <c r="L1370" s="1" t="s">
        <v>2717</v>
      </c>
      <c r="M1370" s="3">
        <v>45964</v>
      </c>
      <c r="N1370" s="1" t="s">
        <v>821</v>
      </c>
      <c r="O1370" s="1" t="s">
        <v>936</v>
      </c>
      <c r="P1370" s="1">
        <v>1</v>
      </c>
    </row>
    <row r="1371" spans="1:16" x14ac:dyDescent="0.25">
      <c r="A1371" s="3">
        <v>45964</v>
      </c>
      <c r="B1371" s="4">
        <v>1091</v>
      </c>
      <c r="C1371" s="5">
        <v>580</v>
      </c>
      <c r="D1371" s="1" t="s">
        <v>1126</v>
      </c>
      <c r="E1371" s="1" t="s">
        <v>1127</v>
      </c>
      <c r="F1371" s="1" t="s">
        <v>426</v>
      </c>
      <c r="G1371" s="1" t="s">
        <v>940</v>
      </c>
      <c r="H1371" s="3">
        <v>45982</v>
      </c>
      <c r="I1371" s="1" t="s">
        <v>933</v>
      </c>
      <c r="J1371" s="1" t="s">
        <v>66</v>
      </c>
      <c r="K1371" s="1" t="s">
        <v>52</v>
      </c>
      <c r="L1371" s="1" t="s">
        <v>2718</v>
      </c>
      <c r="M1371" s="3">
        <v>45964</v>
      </c>
      <c r="N1371" s="1" t="s">
        <v>429</v>
      </c>
      <c r="O1371" s="1" t="s">
        <v>936</v>
      </c>
      <c r="P1371" s="1">
        <v>1</v>
      </c>
    </row>
    <row r="1372" spans="1:16" x14ac:dyDescent="0.25">
      <c r="A1372" s="3">
        <v>45964</v>
      </c>
      <c r="B1372" s="4">
        <v>1092</v>
      </c>
      <c r="C1372" s="5">
        <v>300</v>
      </c>
      <c r="D1372" s="1" t="s">
        <v>1126</v>
      </c>
      <c r="E1372" s="1" t="s">
        <v>1127</v>
      </c>
      <c r="F1372" s="1" t="s">
        <v>426</v>
      </c>
      <c r="G1372" s="1" t="s">
        <v>940</v>
      </c>
      <c r="H1372" s="3">
        <v>45982</v>
      </c>
      <c r="I1372" s="1" t="s">
        <v>933</v>
      </c>
      <c r="J1372" s="1" t="s">
        <v>66</v>
      </c>
      <c r="K1372" s="1" t="s">
        <v>52</v>
      </c>
      <c r="L1372" s="1" t="s">
        <v>2719</v>
      </c>
      <c r="M1372" s="3">
        <v>45964</v>
      </c>
      <c r="N1372" s="1" t="s">
        <v>429</v>
      </c>
      <c r="O1372" s="1" t="s">
        <v>936</v>
      </c>
      <c r="P1372" s="1">
        <v>1</v>
      </c>
    </row>
    <row r="1373" spans="1:16" x14ac:dyDescent="0.25">
      <c r="A1373" s="3">
        <v>45964</v>
      </c>
      <c r="B1373" s="4">
        <v>1093</v>
      </c>
      <c r="C1373" s="5">
        <v>1650</v>
      </c>
      <c r="D1373" s="1" t="s">
        <v>1126</v>
      </c>
      <c r="E1373" s="1" t="s">
        <v>1127</v>
      </c>
      <c r="F1373" s="1" t="s">
        <v>419</v>
      </c>
      <c r="G1373" s="1" t="s">
        <v>940</v>
      </c>
      <c r="H1373" s="3">
        <v>45982</v>
      </c>
      <c r="I1373" s="1" t="s">
        <v>933</v>
      </c>
      <c r="J1373" s="1" t="s">
        <v>66</v>
      </c>
      <c r="K1373" s="1" t="s">
        <v>308</v>
      </c>
      <c r="L1373" s="1" t="s">
        <v>2720</v>
      </c>
      <c r="M1373" s="3">
        <v>45964</v>
      </c>
      <c r="N1373" s="1" t="s">
        <v>98</v>
      </c>
      <c r="O1373" s="1" t="s">
        <v>936</v>
      </c>
      <c r="P1373" s="1">
        <v>1</v>
      </c>
    </row>
    <row r="1374" spans="1:16" x14ac:dyDescent="0.25">
      <c r="A1374" s="3">
        <v>45964</v>
      </c>
      <c r="B1374" s="4">
        <v>1094</v>
      </c>
      <c r="C1374" s="5">
        <v>140</v>
      </c>
      <c r="D1374" s="1" t="s">
        <v>1126</v>
      </c>
      <c r="E1374" s="1" t="s">
        <v>1127</v>
      </c>
      <c r="F1374" s="1" t="s">
        <v>307</v>
      </c>
      <c r="G1374" s="1" t="s">
        <v>940</v>
      </c>
      <c r="H1374" s="3">
        <v>45982</v>
      </c>
      <c r="I1374" s="1" t="s">
        <v>933</v>
      </c>
      <c r="J1374" s="1" t="s">
        <v>66</v>
      </c>
      <c r="K1374" s="1" t="s">
        <v>308</v>
      </c>
      <c r="L1374" s="1" t="s">
        <v>2721</v>
      </c>
      <c r="M1374" s="3">
        <v>45964</v>
      </c>
      <c r="N1374" s="1" t="s">
        <v>57</v>
      </c>
      <c r="O1374" s="1" t="s">
        <v>936</v>
      </c>
      <c r="P1374" s="1">
        <v>1</v>
      </c>
    </row>
    <row r="1375" spans="1:16" x14ac:dyDescent="0.25">
      <c r="A1375" s="3">
        <v>45964</v>
      </c>
      <c r="B1375" s="4">
        <v>9198</v>
      </c>
      <c r="C1375" s="5">
        <v>25380</v>
      </c>
      <c r="D1375" s="1" t="s">
        <v>973</v>
      </c>
      <c r="E1375" s="1" t="s">
        <v>1068</v>
      </c>
      <c r="F1375" s="1" t="s">
        <v>304</v>
      </c>
      <c r="G1375" s="1" t="s">
        <v>998</v>
      </c>
      <c r="H1375" s="3">
        <v>45977</v>
      </c>
      <c r="I1375" s="1" t="s">
        <v>933</v>
      </c>
      <c r="J1375" s="1" t="s">
        <v>66</v>
      </c>
      <c r="K1375" s="1" t="s">
        <v>996</v>
      </c>
      <c r="L1375" s="1">
        <v>4500</v>
      </c>
      <c r="M1375" s="3">
        <v>45964</v>
      </c>
      <c r="N1375" s="1" t="s">
        <v>57</v>
      </c>
      <c r="O1375" s="1" t="s">
        <v>998</v>
      </c>
      <c r="P1375" s="1">
        <v>1</v>
      </c>
    </row>
    <row r="1376" spans="1:16" x14ac:dyDescent="0.25">
      <c r="A1376" s="3">
        <v>45964</v>
      </c>
      <c r="B1376" s="4">
        <v>149796</v>
      </c>
      <c r="C1376" s="5">
        <v>266.22000000000003</v>
      </c>
      <c r="D1376" s="1" t="s">
        <v>1492</v>
      </c>
      <c r="E1376" s="1" t="s">
        <v>1493</v>
      </c>
      <c r="F1376" s="1" t="s">
        <v>723</v>
      </c>
      <c r="G1376" s="1" t="s">
        <v>940</v>
      </c>
      <c r="H1376" s="3">
        <v>45994</v>
      </c>
      <c r="I1376" s="1" t="s">
        <v>933</v>
      </c>
      <c r="J1376" s="1" t="s">
        <v>66</v>
      </c>
      <c r="K1376" s="1" t="s">
        <v>340</v>
      </c>
      <c r="L1376" s="1" t="s">
        <v>2722</v>
      </c>
      <c r="M1376" s="3">
        <v>45966</v>
      </c>
      <c r="N1376" s="1" t="s">
        <v>726</v>
      </c>
      <c r="O1376" s="1" t="s">
        <v>936</v>
      </c>
      <c r="P1376" s="1">
        <v>1</v>
      </c>
    </row>
    <row r="1377" spans="1:16" x14ac:dyDescent="0.25">
      <c r="A1377" s="3">
        <v>45964</v>
      </c>
      <c r="B1377" s="4">
        <v>23363</v>
      </c>
      <c r="C1377" s="5">
        <v>6600</v>
      </c>
      <c r="D1377" s="1" t="s">
        <v>2723</v>
      </c>
      <c r="E1377" s="1" t="s">
        <v>2724</v>
      </c>
      <c r="F1377" s="1" t="s">
        <v>955</v>
      </c>
      <c r="G1377" s="1" t="s">
        <v>940</v>
      </c>
      <c r="H1377" s="3">
        <v>45971</v>
      </c>
      <c r="I1377" s="1" t="s">
        <v>933</v>
      </c>
      <c r="J1377" s="1"/>
      <c r="K1377" s="1" t="s">
        <v>20</v>
      </c>
      <c r="L1377" s="1" t="s">
        <v>2725</v>
      </c>
      <c r="M1377" s="3">
        <v>45969</v>
      </c>
      <c r="N1377" s="1" t="s">
        <v>821</v>
      </c>
      <c r="O1377" s="1" t="s">
        <v>936</v>
      </c>
      <c r="P1377" s="1">
        <v>1</v>
      </c>
    </row>
    <row r="1378" spans="1:16" x14ac:dyDescent="0.25">
      <c r="A1378" s="3">
        <v>45964</v>
      </c>
      <c r="B1378" s="4">
        <v>9207</v>
      </c>
      <c r="C1378" s="5">
        <v>8529.7199999999993</v>
      </c>
      <c r="D1378" s="1" t="s">
        <v>973</v>
      </c>
      <c r="E1378" s="1" t="s">
        <v>1068</v>
      </c>
      <c r="F1378" s="1" t="s">
        <v>1814</v>
      </c>
      <c r="G1378" s="1" t="s">
        <v>998</v>
      </c>
      <c r="H1378" s="3">
        <v>45979</v>
      </c>
      <c r="I1378" s="1" t="s">
        <v>1814</v>
      </c>
      <c r="J1378" s="1" t="s">
        <v>66</v>
      </c>
      <c r="K1378" s="1" t="s">
        <v>340</v>
      </c>
      <c r="L1378" s="1" t="s">
        <v>2726</v>
      </c>
      <c r="M1378" s="3">
        <v>45966</v>
      </c>
      <c r="N1378" s="1" t="s">
        <v>1814</v>
      </c>
      <c r="O1378" s="1" t="s">
        <v>998</v>
      </c>
      <c r="P1378" s="1">
        <v>1</v>
      </c>
    </row>
    <row r="1379" spans="1:16" x14ac:dyDescent="0.25">
      <c r="A1379" s="3">
        <v>45964</v>
      </c>
      <c r="B1379" s="4">
        <v>47483</v>
      </c>
      <c r="C1379" s="5">
        <v>3550</v>
      </c>
      <c r="D1379" s="1" t="s">
        <v>1489</v>
      </c>
      <c r="E1379" s="1" t="s">
        <v>1490</v>
      </c>
      <c r="F1379" s="1" t="s">
        <v>955</v>
      </c>
      <c r="G1379" s="1" t="s">
        <v>940</v>
      </c>
      <c r="H1379" s="3">
        <v>45994</v>
      </c>
      <c r="I1379" s="1" t="s">
        <v>933</v>
      </c>
      <c r="J1379" s="1" t="s">
        <v>951</v>
      </c>
      <c r="K1379" s="1" t="s">
        <v>659</v>
      </c>
      <c r="L1379" s="1" t="s">
        <v>2727</v>
      </c>
      <c r="M1379" s="3">
        <v>45966</v>
      </c>
      <c r="N1379" s="1" t="s">
        <v>821</v>
      </c>
      <c r="O1379" s="1" t="s">
        <v>936</v>
      </c>
      <c r="P1379" s="1">
        <v>1</v>
      </c>
    </row>
    <row r="1380" spans="1:16" x14ac:dyDescent="0.25">
      <c r="A1380" s="3">
        <v>45964</v>
      </c>
      <c r="B1380" s="4">
        <v>9965</v>
      </c>
      <c r="C1380" s="5">
        <v>439</v>
      </c>
      <c r="D1380" s="1" t="s">
        <v>1573</v>
      </c>
      <c r="E1380" s="1" t="s">
        <v>2539</v>
      </c>
      <c r="F1380" s="1" t="s">
        <v>955</v>
      </c>
      <c r="G1380" s="1" t="s">
        <v>940</v>
      </c>
      <c r="H1380" s="1" t="s">
        <v>2728</v>
      </c>
      <c r="I1380" s="1" t="s">
        <v>933</v>
      </c>
      <c r="J1380" s="1" t="s">
        <v>951</v>
      </c>
      <c r="K1380" s="1" t="s">
        <v>340</v>
      </c>
      <c r="L1380" s="1" t="s">
        <v>2729</v>
      </c>
      <c r="M1380" s="3">
        <v>45969</v>
      </c>
      <c r="N1380" s="1" t="s">
        <v>821</v>
      </c>
      <c r="O1380" s="1" t="s">
        <v>936</v>
      </c>
      <c r="P1380" s="1">
        <v>1</v>
      </c>
    </row>
    <row r="1381" spans="1:16" x14ac:dyDescent="0.25">
      <c r="A1381" s="3">
        <v>45964</v>
      </c>
      <c r="B1381" s="4">
        <v>71675</v>
      </c>
      <c r="C1381" s="5">
        <v>4639</v>
      </c>
      <c r="D1381" s="1" t="s">
        <v>1098</v>
      </c>
      <c r="E1381" s="1" t="s">
        <v>1099</v>
      </c>
      <c r="F1381" s="1" t="s">
        <v>650</v>
      </c>
      <c r="G1381" s="1" t="s">
        <v>940</v>
      </c>
      <c r="H1381" s="3">
        <v>45993</v>
      </c>
      <c r="I1381" s="1" t="s">
        <v>933</v>
      </c>
      <c r="J1381" s="1" t="s">
        <v>66</v>
      </c>
      <c r="K1381" s="1" t="s">
        <v>340</v>
      </c>
      <c r="L1381" s="1" t="s">
        <v>2730</v>
      </c>
      <c r="M1381" s="3">
        <v>45967</v>
      </c>
      <c r="N1381" s="1" t="s">
        <v>57</v>
      </c>
      <c r="O1381" s="1" t="s">
        <v>936</v>
      </c>
      <c r="P1381" s="1">
        <v>1</v>
      </c>
    </row>
    <row r="1382" spans="1:16" x14ac:dyDescent="0.25">
      <c r="A1382" s="3">
        <v>45964</v>
      </c>
      <c r="B1382" s="4">
        <v>71674</v>
      </c>
      <c r="C1382" s="5">
        <v>646.22</v>
      </c>
      <c r="D1382" s="1" t="s">
        <v>1098</v>
      </c>
      <c r="E1382" s="1" t="s">
        <v>1099</v>
      </c>
      <c r="F1382" s="1" t="s">
        <v>650</v>
      </c>
      <c r="G1382" s="1" t="s">
        <v>940</v>
      </c>
      <c r="H1382" s="3">
        <v>45993</v>
      </c>
      <c r="I1382" s="1" t="s">
        <v>933</v>
      </c>
      <c r="J1382" s="1" t="s">
        <v>66</v>
      </c>
      <c r="K1382" s="1" t="s">
        <v>340</v>
      </c>
      <c r="L1382" s="1" t="s">
        <v>2731</v>
      </c>
      <c r="M1382" s="3">
        <v>45967</v>
      </c>
      <c r="N1382" s="1" t="s">
        <v>57</v>
      </c>
      <c r="O1382" s="1" t="s">
        <v>936</v>
      </c>
      <c r="P1382" s="1">
        <v>1</v>
      </c>
    </row>
    <row r="1383" spans="1:16" x14ac:dyDescent="0.25">
      <c r="A1383" s="3">
        <v>45964</v>
      </c>
      <c r="B1383" s="4">
        <v>71673</v>
      </c>
      <c r="C1383" s="5">
        <v>1885.8</v>
      </c>
      <c r="D1383" s="1" t="s">
        <v>1098</v>
      </c>
      <c r="E1383" s="1" t="s">
        <v>1099</v>
      </c>
      <c r="F1383" s="1" t="s">
        <v>650</v>
      </c>
      <c r="G1383" s="1" t="s">
        <v>940</v>
      </c>
      <c r="H1383" s="3">
        <v>45993</v>
      </c>
      <c r="I1383" s="1" t="s">
        <v>933</v>
      </c>
      <c r="J1383" s="1" t="s">
        <v>66</v>
      </c>
      <c r="K1383" s="1" t="s">
        <v>340</v>
      </c>
      <c r="L1383" s="1" t="s">
        <v>2732</v>
      </c>
      <c r="M1383" s="3">
        <v>45967</v>
      </c>
      <c r="N1383" s="1" t="s">
        <v>57</v>
      </c>
      <c r="O1383" s="1" t="s">
        <v>936</v>
      </c>
      <c r="P1383" s="1">
        <v>1</v>
      </c>
    </row>
    <row r="1384" spans="1:16" x14ac:dyDescent="0.25">
      <c r="A1384" s="3">
        <v>45964</v>
      </c>
      <c r="B1384" s="1">
        <v>1104</v>
      </c>
      <c r="C1384" s="5">
        <v>6600</v>
      </c>
      <c r="D1384" s="1" t="s">
        <v>1074</v>
      </c>
      <c r="E1384" s="1" t="s">
        <v>1075</v>
      </c>
      <c r="F1384" s="1" t="s">
        <v>157</v>
      </c>
      <c r="G1384" s="1" t="s">
        <v>1260</v>
      </c>
      <c r="H1384" s="3">
        <v>46008</v>
      </c>
      <c r="I1384" s="1" t="s">
        <v>933</v>
      </c>
      <c r="J1384" s="1" t="s">
        <v>66</v>
      </c>
      <c r="K1384" s="1" t="s">
        <v>340</v>
      </c>
      <c r="L1384" s="1" t="s">
        <v>2733</v>
      </c>
      <c r="M1384" s="3">
        <v>45995</v>
      </c>
      <c r="N1384" s="1" t="s">
        <v>161</v>
      </c>
      <c r="O1384" s="1" t="s">
        <v>936</v>
      </c>
      <c r="P1384" s="1">
        <v>1</v>
      </c>
    </row>
    <row r="1385" spans="1:16" x14ac:dyDescent="0.25">
      <c r="A1385" s="3">
        <v>45964</v>
      </c>
      <c r="B1385" s="1">
        <v>1104</v>
      </c>
      <c r="C1385" s="5">
        <v>80</v>
      </c>
      <c r="D1385" s="1" t="s">
        <v>1074</v>
      </c>
      <c r="E1385" s="1" t="s">
        <v>1075</v>
      </c>
      <c r="F1385" s="1" t="s">
        <v>713</v>
      </c>
      <c r="G1385" s="1" t="s">
        <v>981</v>
      </c>
      <c r="H1385" s="3">
        <v>46008</v>
      </c>
      <c r="I1385" s="1" t="s">
        <v>933</v>
      </c>
      <c r="J1385" s="1" t="s">
        <v>66</v>
      </c>
      <c r="K1385" s="1" t="s">
        <v>340</v>
      </c>
      <c r="L1385" s="1" t="s">
        <v>2734</v>
      </c>
      <c r="M1385" s="3">
        <v>45995</v>
      </c>
      <c r="N1385" s="1" t="s">
        <v>712</v>
      </c>
      <c r="O1385" s="1" t="s">
        <v>936</v>
      </c>
      <c r="P1385" s="1">
        <v>1</v>
      </c>
    </row>
    <row r="1386" spans="1:16" x14ac:dyDescent="0.25">
      <c r="A1386" s="3">
        <v>45964</v>
      </c>
      <c r="B1386" s="1">
        <v>1104</v>
      </c>
      <c r="C1386" s="5">
        <v>90</v>
      </c>
      <c r="D1386" s="1" t="s">
        <v>1074</v>
      </c>
      <c r="E1386" s="1" t="s">
        <v>1075</v>
      </c>
      <c r="F1386" s="1" t="s">
        <v>419</v>
      </c>
      <c r="G1386" s="1" t="s">
        <v>981</v>
      </c>
      <c r="H1386" s="3">
        <v>46008</v>
      </c>
      <c r="I1386" s="1" t="s">
        <v>933</v>
      </c>
      <c r="J1386" s="1" t="s">
        <v>66</v>
      </c>
      <c r="K1386" s="1" t="s">
        <v>340</v>
      </c>
      <c r="L1386" s="1" t="s">
        <v>2735</v>
      </c>
      <c r="M1386" s="3">
        <v>45995</v>
      </c>
      <c r="N1386" s="1" t="s">
        <v>98</v>
      </c>
      <c r="O1386" s="1" t="s">
        <v>936</v>
      </c>
      <c r="P1386" s="1">
        <v>1</v>
      </c>
    </row>
    <row r="1387" spans="1:16" x14ac:dyDescent="0.25">
      <c r="A1387" s="3">
        <v>45964</v>
      </c>
      <c r="B1387" s="1">
        <v>1104</v>
      </c>
      <c r="C1387" s="5">
        <v>40</v>
      </c>
      <c r="D1387" s="1" t="s">
        <v>1074</v>
      </c>
      <c r="E1387" s="1" t="s">
        <v>1075</v>
      </c>
      <c r="F1387" s="1" t="s">
        <v>844</v>
      </c>
      <c r="G1387" s="1" t="s">
        <v>981</v>
      </c>
      <c r="H1387" s="3">
        <v>46008</v>
      </c>
      <c r="I1387" s="1" t="s">
        <v>933</v>
      </c>
      <c r="J1387" s="1" t="s">
        <v>66</v>
      </c>
      <c r="K1387" s="1" t="s">
        <v>340</v>
      </c>
      <c r="L1387" s="1" t="s">
        <v>2736</v>
      </c>
      <c r="M1387" s="3">
        <v>45995</v>
      </c>
      <c r="N1387" s="1" t="s">
        <v>836</v>
      </c>
      <c r="O1387" s="1" t="s">
        <v>936</v>
      </c>
      <c r="P1387" s="1">
        <v>1</v>
      </c>
    </row>
    <row r="1388" spans="1:16" x14ac:dyDescent="0.25">
      <c r="A1388" s="3">
        <v>45964</v>
      </c>
      <c r="B1388" s="1">
        <v>1104</v>
      </c>
      <c r="C1388" s="5">
        <v>40</v>
      </c>
      <c r="D1388" s="1" t="s">
        <v>1074</v>
      </c>
      <c r="E1388" s="1" t="s">
        <v>1075</v>
      </c>
      <c r="F1388" s="1" t="s">
        <v>715</v>
      </c>
      <c r="G1388" s="1" t="s">
        <v>981</v>
      </c>
      <c r="H1388" s="3">
        <v>46008</v>
      </c>
      <c r="I1388" s="1" t="s">
        <v>933</v>
      </c>
      <c r="J1388" s="1" t="s">
        <v>66</v>
      </c>
      <c r="K1388" s="1" t="s">
        <v>340</v>
      </c>
      <c r="L1388" s="1" t="s">
        <v>2737</v>
      </c>
      <c r="M1388" s="3">
        <v>45995</v>
      </c>
      <c r="N1388" s="1" t="s">
        <v>712</v>
      </c>
      <c r="O1388" s="1" t="s">
        <v>936</v>
      </c>
      <c r="P1388" s="1">
        <v>1</v>
      </c>
    </row>
    <row r="1389" spans="1:16" x14ac:dyDescent="0.25">
      <c r="A1389" s="3">
        <v>45964</v>
      </c>
      <c r="B1389" s="1">
        <v>1104</v>
      </c>
      <c r="C1389" s="5">
        <v>80</v>
      </c>
      <c r="D1389" s="1" t="s">
        <v>1074</v>
      </c>
      <c r="E1389" s="1" t="s">
        <v>1075</v>
      </c>
      <c r="F1389" s="1" t="s">
        <v>478</v>
      </c>
      <c r="G1389" s="1" t="s">
        <v>981</v>
      </c>
      <c r="H1389" s="3">
        <v>46008</v>
      </c>
      <c r="I1389" s="1" t="s">
        <v>933</v>
      </c>
      <c r="J1389" s="1" t="s">
        <v>66</v>
      </c>
      <c r="K1389" s="1" t="s">
        <v>340</v>
      </c>
      <c r="L1389" s="1" t="s">
        <v>2738</v>
      </c>
      <c r="M1389" s="3">
        <v>45995</v>
      </c>
      <c r="N1389" s="1" t="s">
        <v>440</v>
      </c>
      <c r="O1389" s="1" t="s">
        <v>936</v>
      </c>
      <c r="P1389" s="1">
        <v>1</v>
      </c>
    </row>
    <row r="1390" spans="1:16" x14ac:dyDescent="0.25">
      <c r="A1390" s="3">
        <v>45964</v>
      </c>
      <c r="B1390" s="1">
        <v>1104</v>
      </c>
      <c r="C1390" s="5">
        <v>80</v>
      </c>
      <c r="D1390" s="1" t="s">
        <v>1074</v>
      </c>
      <c r="E1390" s="1" t="s">
        <v>1075</v>
      </c>
      <c r="F1390" s="1" t="s">
        <v>392</v>
      </c>
      <c r="G1390" s="1" t="s">
        <v>981</v>
      </c>
      <c r="H1390" s="3">
        <v>46008</v>
      </c>
      <c r="I1390" s="1" t="s">
        <v>933</v>
      </c>
      <c r="J1390" s="1" t="s">
        <v>66</v>
      </c>
      <c r="K1390" s="1" t="s">
        <v>308</v>
      </c>
      <c r="L1390" s="1" t="s">
        <v>2739</v>
      </c>
      <c r="M1390" s="3">
        <v>45995</v>
      </c>
      <c r="N1390" s="1" t="s">
        <v>93</v>
      </c>
      <c r="O1390" s="1" t="s">
        <v>936</v>
      </c>
      <c r="P1390" s="1">
        <v>1</v>
      </c>
    </row>
    <row r="1391" spans="1:16" x14ac:dyDescent="0.25">
      <c r="A1391" s="3">
        <v>45964</v>
      </c>
      <c r="B1391" s="1">
        <v>1104</v>
      </c>
      <c r="C1391" s="5">
        <v>70</v>
      </c>
      <c r="D1391" s="1" t="s">
        <v>1074</v>
      </c>
      <c r="E1391" s="1" t="s">
        <v>1075</v>
      </c>
      <c r="F1391" s="1" t="s">
        <v>639</v>
      </c>
      <c r="G1391" s="1" t="s">
        <v>981</v>
      </c>
      <c r="H1391" s="3">
        <v>46008</v>
      </c>
      <c r="I1391" s="1" t="s">
        <v>933</v>
      </c>
      <c r="J1391" s="1" t="s">
        <v>66</v>
      </c>
      <c r="K1391" s="1" t="s">
        <v>308</v>
      </c>
      <c r="L1391" s="1" t="s">
        <v>2740</v>
      </c>
      <c r="M1391" s="3">
        <v>45995</v>
      </c>
      <c r="N1391" s="1" t="s">
        <v>98</v>
      </c>
      <c r="O1391" s="1" t="s">
        <v>936</v>
      </c>
      <c r="P1391" s="1">
        <v>1</v>
      </c>
    </row>
    <row r="1392" spans="1:16" x14ac:dyDescent="0.25">
      <c r="A1392" s="3">
        <v>45964</v>
      </c>
      <c r="B1392" s="4">
        <v>1105</v>
      </c>
      <c r="C1392" s="5">
        <v>80</v>
      </c>
      <c r="D1392" s="1" t="s">
        <v>1074</v>
      </c>
      <c r="E1392" s="1" t="s">
        <v>1075</v>
      </c>
      <c r="F1392" s="1" t="s">
        <v>955</v>
      </c>
      <c r="G1392" s="1" t="s">
        <v>1058</v>
      </c>
      <c r="H1392" s="3">
        <v>46011</v>
      </c>
      <c r="I1392" s="1" t="s">
        <v>933</v>
      </c>
      <c r="J1392" s="1" t="s">
        <v>951</v>
      </c>
      <c r="K1392" s="1" t="s">
        <v>934</v>
      </c>
      <c r="L1392" s="1" t="s">
        <v>2741</v>
      </c>
      <c r="M1392" s="3">
        <v>45992</v>
      </c>
      <c r="N1392" s="1" t="s">
        <v>821</v>
      </c>
      <c r="O1392" s="1" t="s">
        <v>936</v>
      </c>
      <c r="P1392" s="1">
        <v>1</v>
      </c>
    </row>
    <row r="1393" spans="1:16" x14ac:dyDescent="0.25">
      <c r="A1393" s="3">
        <v>45964</v>
      </c>
      <c r="B1393" s="4">
        <v>1105</v>
      </c>
      <c r="C1393" s="5">
        <v>280</v>
      </c>
      <c r="D1393" s="1" t="s">
        <v>1074</v>
      </c>
      <c r="E1393" s="1" t="s">
        <v>1075</v>
      </c>
      <c r="F1393" s="1" t="s">
        <v>245</v>
      </c>
      <c r="G1393" s="1" t="s">
        <v>1058</v>
      </c>
      <c r="H1393" s="3">
        <v>46011</v>
      </c>
      <c r="I1393" s="1" t="s">
        <v>933</v>
      </c>
      <c r="J1393" s="1" t="s">
        <v>66</v>
      </c>
      <c r="K1393" s="1" t="s">
        <v>308</v>
      </c>
      <c r="L1393" s="1" t="s">
        <v>2742</v>
      </c>
      <c r="M1393" s="3">
        <v>45992</v>
      </c>
      <c r="N1393" s="1" t="s">
        <v>57</v>
      </c>
      <c r="O1393" s="1" t="s">
        <v>936</v>
      </c>
      <c r="P1393" s="1">
        <v>1</v>
      </c>
    </row>
    <row r="1394" spans="1:16" x14ac:dyDescent="0.25">
      <c r="A1394" s="3">
        <v>45964</v>
      </c>
      <c r="B1394" s="4">
        <v>1105</v>
      </c>
      <c r="C1394" s="5">
        <v>308</v>
      </c>
      <c r="D1394" s="1" t="s">
        <v>1074</v>
      </c>
      <c r="E1394" s="1" t="s">
        <v>1075</v>
      </c>
      <c r="F1394" s="1" t="s">
        <v>453</v>
      </c>
      <c r="G1394" s="1" t="s">
        <v>1058</v>
      </c>
      <c r="H1394" s="3">
        <v>46011</v>
      </c>
      <c r="I1394" s="1" t="s">
        <v>933</v>
      </c>
      <c r="J1394" s="1" t="s">
        <v>66</v>
      </c>
      <c r="K1394" s="1" t="s">
        <v>308</v>
      </c>
      <c r="L1394" s="1" t="s">
        <v>2742</v>
      </c>
      <c r="M1394" s="3">
        <v>45992</v>
      </c>
      <c r="N1394" s="1" t="s">
        <v>455</v>
      </c>
      <c r="O1394" s="1" t="s">
        <v>936</v>
      </c>
      <c r="P1394" s="1">
        <v>1</v>
      </c>
    </row>
    <row r="1395" spans="1:16" x14ac:dyDescent="0.25">
      <c r="A1395" s="3">
        <v>45964</v>
      </c>
      <c r="B1395" s="4">
        <v>1105</v>
      </c>
      <c r="C1395" s="5">
        <v>400</v>
      </c>
      <c r="D1395" s="1" t="s">
        <v>1074</v>
      </c>
      <c r="E1395" s="1" t="s">
        <v>1075</v>
      </c>
      <c r="F1395" s="1" t="s">
        <v>619</v>
      </c>
      <c r="G1395" s="1" t="s">
        <v>1058</v>
      </c>
      <c r="H1395" s="3">
        <v>46011</v>
      </c>
      <c r="I1395" s="1" t="s">
        <v>933</v>
      </c>
      <c r="J1395" s="1" t="s">
        <v>66</v>
      </c>
      <c r="K1395" s="1" t="s">
        <v>340</v>
      </c>
      <c r="L1395" s="1" t="s">
        <v>2742</v>
      </c>
      <c r="M1395" s="3">
        <v>45992</v>
      </c>
      <c r="N1395" s="1" t="s">
        <v>383</v>
      </c>
      <c r="O1395" s="1" t="s">
        <v>936</v>
      </c>
      <c r="P1395" s="1">
        <v>1</v>
      </c>
    </row>
    <row r="1396" spans="1:16" x14ac:dyDescent="0.25">
      <c r="A1396" s="3">
        <v>45964</v>
      </c>
      <c r="B1396" s="4">
        <v>1105</v>
      </c>
      <c r="C1396" s="5">
        <v>250</v>
      </c>
      <c r="D1396" s="1" t="s">
        <v>1074</v>
      </c>
      <c r="E1396" s="1" t="s">
        <v>1075</v>
      </c>
      <c r="F1396" s="1" t="s">
        <v>623</v>
      </c>
      <c r="G1396" s="1" t="s">
        <v>1058</v>
      </c>
      <c r="H1396" s="3">
        <v>46011</v>
      </c>
      <c r="I1396" s="1" t="s">
        <v>933</v>
      </c>
      <c r="J1396" s="1" t="s">
        <v>66</v>
      </c>
      <c r="K1396" s="1" t="s">
        <v>340</v>
      </c>
      <c r="L1396" s="1" t="s">
        <v>2742</v>
      </c>
      <c r="M1396" s="3">
        <v>45992</v>
      </c>
      <c r="N1396" s="1" t="s">
        <v>383</v>
      </c>
      <c r="O1396" s="1" t="s">
        <v>936</v>
      </c>
      <c r="P1396" s="1">
        <v>1</v>
      </c>
    </row>
    <row r="1397" spans="1:16" x14ac:dyDescent="0.25">
      <c r="A1397" s="3">
        <v>45964</v>
      </c>
      <c r="B1397" s="4">
        <v>1105</v>
      </c>
      <c r="C1397" s="5">
        <v>250</v>
      </c>
      <c r="D1397" s="1" t="s">
        <v>1074</v>
      </c>
      <c r="E1397" s="1" t="s">
        <v>1075</v>
      </c>
      <c r="F1397" s="1" t="s">
        <v>457</v>
      </c>
      <c r="G1397" s="1" t="s">
        <v>1058</v>
      </c>
      <c r="H1397" s="3">
        <v>46011</v>
      </c>
      <c r="I1397" s="1" t="s">
        <v>933</v>
      </c>
      <c r="J1397" s="1" t="s">
        <v>66</v>
      </c>
      <c r="K1397" s="1" t="s">
        <v>308</v>
      </c>
      <c r="L1397" s="1" t="s">
        <v>2742</v>
      </c>
      <c r="M1397" s="3">
        <v>45992</v>
      </c>
      <c r="N1397" s="1" t="s">
        <v>358</v>
      </c>
      <c r="O1397" s="1" t="s">
        <v>936</v>
      </c>
      <c r="P1397" s="1">
        <v>1</v>
      </c>
    </row>
    <row r="1398" spans="1:16" x14ac:dyDescent="0.25">
      <c r="A1398" s="3">
        <v>45964</v>
      </c>
      <c r="B1398" s="4">
        <v>1105</v>
      </c>
      <c r="C1398" s="5">
        <v>350</v>
      </c>
      <c r="D1398" s="1" t="s">
        <v>1074</v>
      </c>
      <c r="E1398" s="1" t="s">
        <v>1075</v>
      </c>
      <c r="F1398" s="1" t="s">
        <v>773</v>
      </c>
      <c r="G1398" s="1" t="s">
        <v>1058</v>
      </c>
      <c r="H1398" s="3">
        <v>46011</v>
      </c>
      <c r="I1398" s="1" t="s">
        <v>933</v>
      </c>
      <c r="J1398" s="1" t="s">
        <v>66</v>
      </c>
      <c r="K1398" s="1" t="s">
        <v>308</v>
      </c>
      <c r="L1398" s="1" t="s">
        <v>2742</v>
      </c>
      <c r="M1398" s="3">
        <v>45992</v>
      </c>
      <c r="N1398" s="1" t="s">
        <v>57</v>
      </c>
      <c r="O1398" s="1" t="s">
        <v>936</v>
      </c>
      <c r="P1398" s="1">
        <v>1</v>
      </c>
    </row>
    <row r="1399" spans="1:16" x14ac:dyDescent="0.25">
      <c r="A1399" s="3">
        <v>45964</v>
      </c>
      <c r="B1399" s="4">
        <v>1105</v>
      </c>
      <c r="C1399" s="5">
        <v>380</v>
      </c>
      <c r="D1399" s="1" t="s">
        <v>1074</v>
      </c>
      <c r="E1399" s="1" t="s">
        <v>1075</v>
      </c>
      <c r="F1399" s="1" t="s">
        <v>483</v>
      </c>
      <c r="G1399" s="1" t="s">
        <v>1058</v>
      </c>
      <c r="H1399" s="3">
        <v>46011</v>
      </c>
      <c r="I1399" s="1" t="s">
        <v>933</v>
      </c>
      <c r="J1399" s="1" t="s">
        <v>66</v>
      </c>
      <c r="K1399" s="1" t="s">
        <v>308</v>
      </c>
      <c r="L1399" s="1" t="s">
        <v>2742</v>
      </c>
      <c r="M1399" s="3">
        <v>45992</v>
      </c>
      <c r="N1399" s="1"/>
      <c r="O1399" s="1"/>
      <c r="P1399" s="1"/>
    </row>
    <row r="1400" spans="1:16" x14ac:dyDescent="0.25">
      <c r="A1400" s="3">
        <v>45964</v>
      </c>
      <c r="B1400" s="4">
        <v>1105</v>
      </c>
      <c r="C1400" s="5">
        <v>80</v>
      </c>
      <c r="D1400" s="1" t="s">
        <v>1074</v>
      </c>
      <c r="E1400" s="1" t="s">
        <v>1075</v>
      </c>
      <c r="F1400" s="1" t="s">
        <v>955</v>
      </c>
      <c r="G1400" s="1" t="s">
        <v>1058</v>
      </c>
      <c r="H1400" s="3">
        <v>46011</v>
      </c>
      <c r="I1400" s="1" t="s">
        <v>933</v>
      </c>
      <c r="J1400" s="1" t="s">
        <v>951</v>
      </c>
      <c r="K1400" s="1" t="s">
        <v>340</v>
      </c>
      <c r="L1400" s="1" t="s">
        <v>2743</v>
      </c>
      <c r="M1400" s="3">
        <v>45992</v>
      </c>
      <c r="N1400" s="1" t="s">
        <v>821</v>
      </c>
      <c r="O1400" s="1" t="s">
        <v>936</v>
      </c>
      <c r="P1400" s="1">
        <v>1</v>
      </c>
    </row>
    <row r="1401" spans="1:16" x14ac:dyDescent="0.25">
      <c r="A1401" s="3">
        <v>45964</v>
      </c>
      <c r="B1401" s="4">
        <v>1105</v>
      </c>
      <c r="C1401" s="5">
        <v>280</v>
      </c>
      <c r="D1401" s="1" t="s">
        <v>1074</v>
      </c>
      <c r="E1401" s="1" t="s">
        <v>1075</v>
      </c>
      <c r="F1401" s="1" t="s">
        <v>857</v>
      </c>
      <c r="G1401" s="1" t="s">
        <v>1058</v>
      </c>
      <c r="H1401" s="3">
        <v>46011</v>
      </c>
      <c r="I1401" s="1" t="s">
        <v>933</v>
      </c>
      <c r="J1401" s="1" t="s">
        <v>66</v>
      </c>
      <c r="K1401" s="1" t="s">
        <v>934</v>
      </c>
      <c r="L1401" s="1" t="s">
        <v>2742</v>
      </c>
      <c r="M1401" s="3">
        <v>45992</v>
      </c>
      <c r="N1401" s="1" t="s">
        <v>506</v>
      </c>
      <c r="O1401" s="1" t="s">
        <v>936</v>
      </c>
      <c r="P1401" s="1">
        <v>1</v>
      </c>
    </row>
    <row r="1402" spans="1:16" x14ac:dyDescent="0.25">
      <c r="A1402" s="3">
        <v>45964</v>
      </c>
      <c r="B1402" s="4">
        <v>1105</v>
      </c>
      <c r="C1402" s="5">
        <v>400</v>
      </c>
      <c r="D1402" s="1" t="s">
        <v>1074</v>
      </c>
      <c r="E1402" s="1" t="s">
        <v>1075</v>
      </c>
      <c r="F1402" s="1" t="s">
        <v>599</v>
      </c>
      <c r="G1402" s="1" t="s">
        <v>1058</v>
      </c>
      <c r="H1402" s="3">
        <v>46011</v>
      </c>
      <c r="I1402" s="1" t="s">
        <v>933</v>
      </c>
      <c r="J1402" s="1" t="s">
        <v>66</v>
      </c>
      <c r="K1402" s="1" t="s">
        <v>308</v>
      </c>
      <c r="L1402" s="1" t="s">
        <v>2742</v>
      </c>
      <c r="M1402" s="3">
        <v>45992</v>
      </c>
      <c r="N1402" s="1" t="s">
        <v>57</v>
      </c>
      <c r="O1402" s="1" t="s">
        <v>936</v>
      </c>
      <c r="P1402" s="1">
        <v>1</v>
      </c>
    </row>
    <row r="1403" spans="1:16" x14ac:dyDescent="0.25">
      <c r="A1403" s="3">
        <v>45964</v>
      </c>
      <c r="B1403" s="4">
        <v>1105</v>
      </c>
      <c r="C1403" s="5">
        <v>80</v>
      </c>
      <c r="D1403" s="1" t="s">
        <v>1074</v>
      </c>
      <c r="E1403" s="1" t="s">
        <v>1075</v>
      </c>
      <c r="F1403" s="1" t="s">
        <v>955</v>
      </c>
      <c r="G1403" s="1" t="s">
        <v>1058</v>
      </c>
      <c r="H1403" s="3">
        <v>46011</v>
      </c>
      <c r="I1403" s="1" t="s">
        <v>933</v>
      </c>
      <c r="J1403" s="1" t="s">
        <v>951</v>
      </c>
      <c r="K1403" s="1" t="s">
        <v>934</v>
      </c>
      <c r="L1403" s="1" t="s">
        <v>2744</v>
      </c>
      <c r="M1403" s="3">
        <v>45992</v>
      </c>
      <c r="N1403" s="1" t="s">
        <v>821</v>
      </c>
      <c r="O1403" s="1" t="s">
        <v>936</v>
      </c>
      <c r="P1403" s="1">
        <v>1</v>
      </c>
    </row>
    <row r="1404" spans="1:16" x14ac:dyDescent="0.25">
      <c r="A1404" s="3">
        <v>45964</v>
      </c>
      <c r="B1404" s="4">
        <v>1105</v>
      </c>
      <c r="C1404" s="5">
        <v>280</v>
      </c>
      <c r="D1404" s="1" t="s">
        <v>1074</v>
      </c>
      <c r="E1404" s="1" t="s">
        <v>1075</v>
      </c>
      <c r="F1404" s="1" t="s">
        <v>723</v>
      </c>
      <c r="G1404" s="1" t="s">
        <v>1058</v>
      </c>
      <c r="H1404" s="3">
        <v>46011</v>
      </c>
      <c r="I1404" s="1" t="s">
        <v>933</v>
      </c>
      <c r="J1404" s="1" t="s">
        <v>66</v>
      </c>
      <c r="K1404" s="1" t="s">
        <v>340</v>
      </c>
      <c r="L1404" s="1" t="s">
        <v>2742</v>
      </c>
      <c r="M1404" s="3">
        <v>45992</v>
      </c>
      <c r="N1404" s="1" t="s">
        <v>726</v>
      </c>
      <c r="O1404" s="1" t="s">
        <v>936</v>
      </c>
      <c r="P1404" s="1">
        <v>1</v>
      </c>
    </row>
    <row r="1405" spans="1:16" x14ac:dyDescent="0.25">
      <c r="A1405" s="3">
        <v>45964</v>
      </c>
      <c r="B1405" s="4">
        <v>1105</v>
      </c>
      <c r="C1405" s="5">
        <v>400</v>
      </c>
      <c r="D1405" s="1" t="s">
        <v>1074</v>
      </c>
      <c r="E1405" s="1" t="s">
        <v>1075</v>
      </c>
      <c r="F1405" s="1" t="s">
        <v>619</v>
      </c>
      <c r="G1405" s="1" t="s">
        <v>1058</v>
      </c>
      <c r="H1405" s="3">
        <v>46011</v>
      </c>
      <c r="I1405" s="1" t="s">
        <v>933</v>
      </c>
      <c r="J1405" s="1" t="s">
        <v>66</v>
      </c>
      <c r="K1405" s="1" t="s">
        <v>340</v>
      </c>
      <c r="L1405" s="1" t="s">
        <v>2742</v>
      </c>
      <c r="M1405" s="3">
        <v>45992</v>
      </c>
      <c r="N1405" s="1" t="s">
        <v>383</v>
      </c>
      <c r="O1405" s="1" t="s">
        <v>936</v>
      </c>
      <c r="P1405" s="1">
        <v>1</v>
      </c>
    </row>
    <row r="1406" spans="1:16" x14ac:dyDescent="0.25">
      <c r="A1406" s="3">
        <v>45964</v>
      </c>
      <c r="B1406" s="4">
        <v>1105</v>
      </c>
      <c r="C1406" s="5">
        <v>400</v>
      </c>
      <c r="D1406" s="1" t="s">
        <v>1074</v>
      </c>
      <c r="E1406" s="1" t="s">
        <v>1075</v>
      </c>
      <c r="F1406" s="1" t="s">
        <v>693</v>
      </c>
      <c r="G1406" s="1" t="s">
        <v>1058</v>
      </c>
      <c r="H1406" s="3">
        <v>46011</v>
      </c>
      <c r="I1406" s="1" t="s">
        <v>933</v>
      </c>
      <c r="J1406" s="1" t="s">
        <v>66</v>
      </c>
      <c r="K1406" s="1" t="s">
        <v>340</v>
      </c>
      <c r="L1406" s="1" t="s">
        <v>2742</v>
      </c>
      <c r="M1406" s="3">
        <v>45992</v>
      </c>
      <c r="N1406" s="1" t="s">
        <v>383</v>
      </c>
      <c r="O1406" s="1" t="s">
        <v>936</v>
      </c>
      <c r="P1406" s="1">
        <v>1</v>
      </c>
    </row>
    <row r="1407" spans="1:16" x14ac:dyDescent="0.25">
      <c r="A1407" s="3">
        <v>45964</v>
      </c>
      <c r="B1407" s="4">
        <v>1105</v>
      </c>
      <c r="C1407" s="5">
        <v>280</v>
      </c>
      <c r="D1407" s="1" t="s">
        <v>1074</v>
      </c>
      <c r="E1407" s="1" t="s">
        <v>1075</v>
      </c>
      <c r="F1407" s="1" t="s">
        <v>713</v>
      </c>
      <c r="G1407" s="1" t="s">
        <v>1058</v>
      </c>
      <c r="H1407" s="3">
        <v>46011</v>
      </c>
      <c r="I1407" s="1" t="s">
        <v>933</v>
      </c>
      <c r="J1407" s="1" t="s">
        <v>66</v>
      </c>
      <c r="K1407" s="1" t="s">
        <v>340</v>
      </c>
      <c r="L1407" s="1" t="s">
        <v>2742</v>
      </c>
      <c r="M1407" s="3">
        <v>45992</v>
      </c>
      <c r="N1407" s="1" t="s">
        <v>712</v>
      </c>
      <c r="O1407" s="1" t="s">
        <v>936</v>
      </c>
      <c r="P1407" s="1">
        <v>1</v>
      </c>
    </row>
    <row r="1408" spans="1:16" x14ac:dyDescent="0.25">
      <c r="A1408" s="3">
        <v>45964</v>
      </c>
      <c r="B1408" s="4">
        <v>1105</v>
      </c>
      <c r="C1408" s="5">
        <v>250</v>
      </c>
      <c r="D1408" s="1" t="s">
        <v>1074</v>
      </c>
      <c r="E1408" s="1" t="s">
        <v>1075</v>
      </c>
      <c r="F1408" s="1" t="s">
        <v>804</v>
      </c>
      <c r="G1408" s="1" t="s">
        <v>1058</v>
      </c>
      <c r="H1408" s="3">
        <v>46011</v>
      </c>
      <c r="I1408" s="1" t="s">
        <v>933</v>
      </c>
      <c r="J1408" s="1" t="s">
        <v>66</v>
      </c>
      <c r="K1408" s="1" t="s">
        <v>308</v>
      </c>
      <c r="L1408" s="1" t="s">
        <v>2742</v>
      </c>
      <c r="M1408" s="3">
        <v>45992</v>
      </c>
      <c r="N1408" s="1" t="s">
        <v>57</v>
      </c>
      <c r="O1408" s="1" t="s">
        <v>936</v>
      </c>
      <c r="P1408" s="1">
        <v>1</v>
      </c>
    </row>
    <row r="1409" spans="1:16" x14ac:dyDescent="0.25">
      <c r="A1409" s="3">
        <v>45964</v>
      </c>
      <c r="B1409" s="4">
        <v>1105</v>
      </c>
      <c r="C1409" s="5">
        <v>350</v>
      </c>
      <c r="D1409" s="1" t="s">
        <v>1074</v>
      </c>
      <c r="E1409" s="1" t="s">
        <v>1075</v>
      </c>
      <c r="F1409" s="1" t="s">
        <v>727</v>
      </c>
      <c r="G1409" s="1" t="s">
        <v>1058</v>
      </c>
      <c r="H1409" s="3">
        <v>46011</v>
      </c>
      <c r="I1409" s="1" t="s">
        <v>933</v>
      </c>
      <c r="J1409" s="1" t="s">
        <v>66</v>
      </c>
      <c r="K1409" s="1" t="s">
        <v>308</v>
      </c>
      <c r="L1409" s="1" t="s">
        <v>2742</v>
      </c>
      <c r="M1409" s="3">
        <v>45992</v>
      </c>
      <c r="N1409" s="1" t="s">
        <v>57</v>
      </c>
      <c r="O1409" s="1" t="s">
        <v>936</v>
      </c>
      <c r="P1409" s="1">
        <v>1</v>
      </c>
    </row>
    <row r="1410" spans="1:16" x14ac:dyDescent="0.25">
      <c r="A1410" s="3">
        <v>45964</v>
      </c>
      <c r="B1410" s="4">
        <v>1105</v>
      </c>
      <c r="C1410" s="5">
        <v>350</v>
      </c>
      <c r="D1410" s="1" t="s">
        <v>1074</v>
      </c>
      <c r="E1410" s="1" t="s">
        <v>1075</v>
      </c>
      <c r="F1410" s="1" t="s">
        <v>736</v>
      </c>
      <c r="G1410" s="1" t="s">
        <v>1058</v>
      </c>
      <c r="H1410" s="3">
        <v>46011</v>
      </c>
      <c r="I1410" s="1" t="s">
        <v>933</v>
      </c>
      <c r="J1410" s="1" t="s">
        <v>66</v>
      </c>
      <c r="K1410" s="1" t="s">
        <v>340</v>
      </c>
      <c r="L1410" s="1" t="s">
        <v>2742</v>
      </c>
      <c r="M1410" s="3">
        <v>45992</v>
      </c>
      <c r="N1410" s="1" t="s">
        <v>57</v>
      </c>
      <c r="O1410" s="1" t="s">
        <v>936</v>
      </c>
      <c r="P1410" s="1">
        <v>1</v>
      </c>
    </row>
    <row r="1411" spans="1:16" x14ac:dyDescent="0.25">
      <c r="A1411" s="3">
        <v>45964</v>
      </c>
      <c r="B1411" s="4">
        <v>1105</v>
      </c>
      <c r="C1411" s="5">
        <v>400</v>
      </c>
      <c r="D1411" s="1" t="s">
        <v>1074</v>
      </c>
      <c r="E1411" s="1" t="s">
        <v>1075</v>
      </c>
      <c r="F1411" s="1" t="s">
        <v>748</v>
      </c>
      <c r="G1411" s="1" t="s">
        <v>1058</v>
      </c>
      <c r="H1411" s="3">
        <v>46011</v>
      </c>
      <c r="I1411" s="1" t="s">
        <v>933</v>
      </c>
      <c r="J1411" s="1" t="s">
        <v>66</v>
      </c>
      <c r="K1411" s="1" t="s">
        <v>340</v>
      </c>
      <c r="L1411" s="1" t="s">
        <v>2742</v>
      </c>
      <c r="M1411" s="3">
        <v>45992</v>
      </c>
      <c r="N1411" s="1" t="s">
        <v>75</v>
      </c>
      <c r="O1411" s="1" t="s">
        <v>936</v>
      </c>
      <c r="P1411" s="1">
        <v>1</v>
      </c>
    </row>
    <row r="1412" spans="1:16" x14ac:dyDescent="0.25">
      <c r="A1412" s="3">
        <v>45964</v>
      </c>
      <c r="B1412" s="4">
        <v>1105</v>
      </c>
      <c r="C1412" s="5">
        <v>280</v>
      </c>
      <c r="D1412" s="1" t="s">
        <v>1074</v>
      </c>
      <c r="E1412" s="1" t="s">
        <v>1075</v>
      </c>
      <c r="F1412" s="1" t="s">
        <v>157</v>
      </c>
      <c r="G1412" s="1" t="s">
        <v>1058</v>
      </c>
      <c r="H1412" s="3">
        <v>46011</v>
      </c>
      <c r="I1412" s="1" t="s">
        <v>933</v>
      </c>
      <c r="J1412" s="1" t="s">
        <v>66</v>
      </c>
      <c r="K1412" s="1" t="s">
        <v>340</v>
      </c>
      <c r="L1412" s="1" t="s">
        <v>2742</v>
      </c>
      <c r="M1412" s="3">
        <v>45992</v>
      </c>
      <c r="N1412" s="1" t="s">
        <v>161</v>
      </c>
      <c r="O1412" s="1" t="s">
        <v>936</v>
      </c>
      <c r="P1412" s="1">
        <v>1</v>
      </c>
    </row>
    <row r="1413" spans="1:16" x14ac:dyDescent="0.25">
      <c r="A1413" s="3">
        <v>45964</v>
      </c>
      <c r="B1413" s="4">
        <v>1105</v>
      </c>
      <c r="C1413" s="5">
        <v>408</v>
      </c>
      <c r="D1413" s="1" t="s">
        <v>1074</v>
      </c>
      <c r="E1413" s="1" t="s">
        <v>1075</v>
      </c>
      <c r="F1413" s="1" t="s">
        <v>218</v>
      </c>
      <c r="G1413" s="1" t="s">
        <v>1058</v>
      </c>
      <c r="H1413" s="3">
        <v>46011</v>
      </c>
      <c r="I1413" s="1" t="s">
        <v>933</v>
      </c>
      <c r="J1413" s="1" t="s">
        <v>66</v>
      </c>
      <c r="K1413" s="1" t="s">
        <v>340</v>
      </c>
      <c r="L1413" s="1" t="s">
        <v>2742</v>
      </c>
      <c r="M1413" s="3">
        <v>45992</v>
      </c>
      <c r="N1413" s="1" t="s">
        <v>221</v>
      </c>
      <c r="O1413" s="1" t="s">
        <v>936</v>
      </c>
      <c r="P1413" s="1">
        <v>1</v>
      </c>
    </row>
    <row r="1414" spans="1:16" x14ac:dyDescent="0.25">
      <c r="A1414" s="3">
        <v>45964</v>
      </c>
      <c r="B1414" s="4">
        <v>1105</v>
      </c>
      <c r="C1414" s="5">
        <v>280</v>
      </c>
      <c r="D1414" s="1" t="s">
        <v>1074</v>
      </c>
      <c r="E1414" s="1" t="s">
        <v>1075</v>
      </c>
      <c r="F1414" s="1" t="s">
        <v>166</v>
      </c>
      <c r="G1414" s="1" t="s">
        <v>1058</v>
      </c>
      <c r="H1414" s="3">
        <v>46011</v>
      </c>
      <c r="I1414" s="1" t="s">
        <v>933</v>
      </c>
      <c r="J1414" s="1" t="s">
        <v>66</v>
      </c>
      <c r="K1414" s="1" t="s">
        <v>340</v>
      </c>
      <c r="L1414" s="1" t="s">
        <v>2742</v>
      </c>
      <c r="M1414" s="3">
        <v>45992</v>
      </c>
      <c r="N1414" s="1" t="s">
        <v>170</v>
      </c>
      <c r="O1414" s="1" t="s">
        <v>936</v>
      </c>
      <c r="P1414" s="1">
        <v>1</v>
      </c>
    </row>
    <row r="1415" spans="1:16" x14ac:dyDescent="0.25">
      <c r="A1415" s="3">
        <v>45964</v>
      </c>
      <c r="B1415" s="4">
        <v>1105</v>
      </c>
      <c r="C1415" s="5">
        <v>280</v>
      </c>
      <c r="D1415" s="1" t="s">
        <v>1074</v>
      </c>
      <c r="E1415" s="1" t="s">
        <v>1075</v>
      </c>
      <c r="F1415" s="1" t="s">
        <v>162</v>
      </c>
      <c r="G1415" s="1" t="s">
        <v>1058</v>
      </c>
      <c r="H1415" s="3">
        <v>46011</v>
      </c>
      <c r="I1415" s="1" t="s">
        <v>933</v>
      </c>
      <c r="J1415" s="1" t="s">
        <v>66</v>
      </c>
      <c r="K1415" s="1" t="s">
        <v>340</v>
      </c>
      <c r="L1415" s="1" t="s">
        <v>2742</v>
      </c>
      <c r="M1415" s="3">
        <v>45992</v>
      </c>
      <c r="N1415" s="1" t="s">
        <v>165</v>
      </c>
      <c r="O1415" s="1" t="s">
        <v>936</v>
      </c>
      <c r="P1415" s="1">
        <v>1</v>
      </c>
    </row>
    <row r="1416" spans="1:16" x14ac:dyDescent="0.25">
      <c r="A1416" s="3">
        <v>45964</v>
      </c>
      <c r="B1416" s="4">
        <v>1105</v>
      </c>
      <c r="C1416" s="5">
        <v>280</v>
      </c>
      <c r="D1416" s="1" t="s">
        <v>1074</v>
      </c>
      <c r="E1416" s="1" t="s">
        <v>1075</v>
      </c>
      <c r="F1416" s="1" t="s">
        <v>715</v>
      </c>
      <c r="G1416" s="1" t="s">
        <v>1058</v>
      </c>
      <c r="H1416" s="3">
        <v>46011</v>
      </c>
      <c r="I1416" s="1" t="s">
        <v>933</v>
      </c>
      <c r="J1416" s="1" t="s">
        <v>66</v>
      </c>
      <c r="K1416" s="1" t="s">
        <v>340</v>
      </c>
      <c r="L1416" s="1" t="s">
        <v>2742</v>
      </c>
      <c r="M1416" s="3">
        <v>45992</v>
      </c>
      <c r="N1416" s="1" t="s">
        <v>712</v>
      </c>
      <c r="O1416" s="1" t="s">
        <v>936</v>
      </c>
      <c r="P1416" s="1">
        <v>1</v>
      </c>
    </row>
    <row r="1417" spans="1:16" x14ac:dyDescent="0.25">
      <c r="A1417" s="3">
        <v>45964</v>
      </c>
      <c r="B1417" s="4">
        <v>1105</v>
      </c>
      <c r="C1417" s="5">
        <v>280</v>
      </c>
      <c r="D1417" s="1" t="s">
        <v>1074</v>
      </c>
      <c r="E1417" s="1" t="s">
        <v>1075</v>
      </c>
      <c r="F1417" s="1" t="s">
        <v>719</v>
      </c>
      <c r="G1417" s="1" t="s">
        <v>1058</v>
      </c>
      <c r="H1417" s="3">
        <v>46011</v>
      </c>
      <c r="I1417" s="1" t="s">
        <v>933</v>
      </c>
      <c r="J1417" s="1" t="s">
        <v>66</v>
      </c>
      <c r="K1417" s="1" t="s">
        <v>340</v>
      </c>
      <c r="L1417" s="1" t="s">
        <v>2742</v>
      </c>
      <c r="M1417" s="3">
        <v>45992</v>
      </c>
      <c r="N1417" s="1" t="s">
        <v>712</v>
      </c>
      <c r="O1417" s="1" t="s">
        <v>936</v>
      </c>
      <c r="P1417" s="1">
        <v>1</v>
      </c>
    </row>
    <row r="1418" spans="1:16" x14ac:dyDescent="0.25">
      <c r="A1418" s="3">
        <v>45964</v>
      </c>
      <c r="B1418" s="4">
        <v>1105</v>
      </c>
      <c r="C1418" s="5">
        <v>230</v>
      </c>
      <c r="D1418" s="1" t="s">
        <v>1074</v>
      </c>
      <c r="E1418" s="1" t="s">
        <v>1075</v>
      </c>
      <c r="F1418" s="1" t="s">
        <v>775</v>
      </c>
      <c r="G1418" s="1" t="s">
        <v>1058</v>
      </c>
      <c r="H1418" s="3">
        <v>46011</v>
      </c>
      <c r="I1418" s="1" t="s">
        <v>933</v>
      </c>
      <c r="J1418" s="1" t="s">
        <v>66</v>
      </c>
      <c r="K1418" s="1" t="s">
        <v>340</v>
      </c>
      <c r="L1418" s="1" t="s">
        <v>2742</v>
      </c>
      <c r="M1418" s="3">
        <v>45992</v>
      </c>
      <c r="N1418" s="1" t="s">
        <v>580</v>
      </c>
      <c r="O1418" s="1" t="s">
        <v>936</v>
      </c>
      <c r="P1418" s="1">
        <v>1</v>
      </c>
    </row>
    <row r="1419" spans="1:16" x14ac:dyDescent="0.25">
      <c r="A1419" s="3">
        <v>45964</v>
      </c>
      <c r="B1419" s="4">
        <v>1105</v>
      </c>
      <c r="C1419" s="5">
        <v>280</v>
      </c>
      <c r="D1419" s="1" t="s">
        <v>1074</v>
      </c>
      <c r="E1419" s="1" t="s">
        <v>1075</v>
      </c>
      <c r="F1419" s="1" t="s">
        <v>721</v>
      </c>
      <c r="G1419" s="1" t="s">
        <v>1058</v>
      </c>
      <c r="H1419" s="3">
        <v>46011</v>
      </c>
      <c r="I1419" s="1" t="s">
        <v>933</v>
      </c>
      <c r="J1419" s="1" t="s">
        <v>66</v>
      </c>
      <c r="K1419" s="1" t="s">
        <v>340</v>
      </c>
      <c r="L1419" s="1" t="s">
        <v>2742</v>
      </c>
      <c r="M1419" s="3">
        <v>45992</v>
      </c>
      <c r="N1419" s="1" t="s">
        <v>712</v>
      </c>
      <c r="O1419" s="1" t="s">
        <v>936</v>
      </c>
      <c r="P1419" s="1">
        <v>1</v>
      </c>
    </row>
    <row r="1420" spans="1:16" x14ac:dyDescent="0.25">
      <c r="A1420" s="3">
        <v>45964</v>
      </c>
      <c r="B1420" s="4">
        <v>1105</v>
      </c>
      <c r="C1420" s="5">
        <v>80</v>
      </c>
      <c r="D1420" s="1" t="s">
        <v>1074</v>
      </c>
      <c r="E1420" s="1" t="s">
        <v>1075</v>
      </c>
      <c r="F1420" s="1" t="s">
        <v>955</v>
      </c>
      <c r="G1420" s="1" t="s">
        <v>1058</v>
      </c>
      <c r="H1420" s="3">
        <v>46011</v>
      </c>
      <c r="I1420" s="1" t="s">
        <v>933</v>
      </c>
      <c r="J1420" s="1" t="s">
        <v>951</v>
      </c>
      <c r="K1420" s="1" t="s">
        <v>934</v>
      </c>
      <c r="L1420" s="1" t="s">
        <v>2745</v>
      </c>
      <c r="M1420" s="3">
        <v>45992</v>
      </c>
      <c r="N1420" s="1" t="s">
        <v>821</v>
      </c>
      <c r="O1420" s="1" t="s">
        <v>936</v>
      </c>
      <c r="P1420" s="1">
        <v>1</v>
      </c>
    </row>
    <row r="1421" spans="1:16" x14ac:dyDescent="0.25">
      <c r="A1421" s="3">
        <v>45964</v>
      </c>
      <c r="B1421" s="4">
        <v>1105</v>
      </c>
      <c r="C1421" s="5">
        <v>450</v>
      </c>
      <c r="D1421" s="1" t="s">
        <v>1074</v>
      </c>
      <c r="E1421" s="1" t="s">
        <v>1075</v>
      </c>
      <c r="F1421" s="1" t="s">
        <v>906</v>
      </c>
      <c r="G1421" s="1" t="s">
        <v>1058</v>
      </c>
      <c r="H1421" s="3">
        <v>46011</v>
      </c>
      <c r="I1421" s="1" t="s">
        <v>933</v>
      </c>
      <c r="J1421" s="1" t="s">
        <v>66</v>
      </c>
      <c r="K1421" s="1" t="s">
        <v>308</v>
      </c>
      <c r="L1421" s="1" t="s">
        <v>2742</v>
      </c>
      <c r="M1421" s="3">
        <v>45992</v>
      </c>
      <c r="N1421" s="1" t="s">
        <v>57</v>
      </c>
      <c r="O1421" s="1" t="s">
        <v>936</v>
      </c>
      <c r="P1421" s="1">
        <v>1</v>
      </c>
    </row>
    <row r="1422" spans="1:16" x14ac:dyDescent="0.25">
      <c r="A1422" s="3">
        <v>45964</v>
      </c>
      <c r="B1422" s="4">
        <v>1105</v>
      </c>
      <c r="C1422" s="5">
        <v>80</v>
      </c>
      <c r="D1422" s="1" t="s">
        <v>1074</v>
      </c>
      <c r="E1422" s="1" t="s">
        <v>1075</v>
      </c>
      <c r="F1422" s="1" t="s">
        <v>955</v>
      </c>
      <c r="G1422" s="1" t="s">
        <v>1058</v>
      </c>
      <c r="H1422" s="3">
        <v>46011</v>
      </c>
      <c r="I1422" s="1" t="s">
        <v>933</v>
      </c>
      <c r="J1422" s="1" t="s">
        <v>951</v>
      </c>
      <c r="K1422" s="1" t="s">
        <v>934</v>
      </c>
      <c r="L1422" s="1" t="s">
        <v>2746</v>
      </c>
      <c r="M1422" s="3">
        <v>45992</v>
      </c>
      <c r="N1422" s="1" t="s">
        <v>821</v>
      </c>
      <c r="O1422" s="1" t="s">
        <v>936</v>
      </c>
      <c r="P1422" s="1">
        <v>1</v>
      </c>
    </row>
    <row r="1423" spans="1:16" x14ac:dyDescent="0.25">
      <c r="A1423" s="3">
        <v>45964</v>
      </c>
      <c r="B1423" s="1">
        <v>1114</v>
      </c>
      <c r="C1423" s="5">
        <v>280</v>
      </c>
      <c r="D1423" s="1" t="s">
        <v>1074</v>
      </c>
      <c r="E1423" s="1" t="s">
        <v>1075</v>
      </c>
      <c r="F1423" s="1" t="s">
        <v>400</v>
      </c>
      <c r="G1423" s="1" t="s">
        <v>1058</v>
      </c>
      <c r="H1423" s="3">
        <v>46001</v>
      </c>
      <c r="I1423" s="1" t="s">
        <v>933</v>
      </c>
      <c r="J1423" s="1" t="s">
        <v>66</v>
      </c>
      <c r="K1423" s="1" t="s">
        <v>340</v>
      </c>
      <c r="L1423" s="1" t="s">
        <v>2747</v>
      </c>
      <c r="M1423" s="3">
        <v>45986</v>
      </c>
      <c r="N1423" s="1" t="s">
        <v>57</v>
      </c>
      <c r="O1423" s="1" t="s">
        <v>936</v>
      </c>
      <c r="P1423" s="1">
        <v>1</v>
      </c>
    </row>
    <row r="1424" spans="1:16" x14ac:dyDescent="0.25">
      <c r="A1424" s="3">
        <v>45965</v>
      </c>
      <c r="B1424" s="4">
        <v>1817</v>
      </c>
      <c r="C1424" s="5">
        <v>779</v>
      </c>
      <c r="D1424" s="1" t="s">
        <v>953</v>
      </c>
      <c r="E1424" s="1" t="s">
        <v>954</v>
      </c>
      <c r="F1424" s="1" t="s">
        <v>955</v>
      </c>
      <c r="G1424" s="1" t="s">
        <v>940</v>
      </c>
      <c r="H1424" s="3">
        <v>45975</v>
      </c>
      <c r="I1424" s="1" t="s">
        <v>933</v>
      </c>
      <c r="J1424" s="1" t="s">
        <v>951</v>
      </c>
      <c r="K1424" s="1" t="s">
        <v>20</v>
      </c>
      <c r="L1424" s="1" t="s">
        <v>2748</v>
      </c>
      <c r="M1424" s="3">
        <v>45965</v>
      </c>
      <c r="N1424" s="1" t="s">
        <v>821</v>
      </c>
      <c r="O1424" s="1" t="s">
        <v>936</v>
      </c>
      <c r="P1424" s="1">
        <v>1</v>
      </c>
    </row>
    <row r="1425" spans="1:16" x14ac:dyDescent="0.25">
      <c r="A1425" s="3">
        <v>45965</v>
      </c>
      <c r="B1425" s="4">
        <v>1350</v>
      </c>
      <c r="C1425" s="5">
        <v>1350</v>
      </c>
      <c r="D1425" s="1" t="s">
        <v>1182</v>
      </c>
      <c r="E1425" s="1" t="s">
        <v>1183</v>
      </c>
      <c r="F1425" s="1" t="s">
        <v>422</v>
      </c>
      <c r="G1425" s="1" t="s">
        <v>940</v>
      </c>
      <c r="H1425" s="3">
        <v>45995</v>
      </c>
      <c r="I1425" s="1" t="s">
        <v>933</v>
      </c>
      <c r="J1425" s="1" t="s">
        <v>66</v>
      </c>
      <c r="K1425" s="1" t="s">
        <v>308</v>
      </c>
      <c r="L1425" s="1" t="s">
        <v>2749</v>
      </c>
      <c r="M1425" s="3">
        <v>45965</v>
      </c>
      <c r="N1425" s="1" t="s">
        <v>75</v>
      </c>
      <c r="O1425" s="1" t="s">
        <v>936</v>
      </c>
      <c r="P1425" s="1">
        <v>1</v>
      </c>
    </row>
    <row r="1426" spans="1:16" x14ac:dyDescent="0.25">
      <c r="A1426" s="3">
        <v>45965</v>
      </c>
      <c r="B1426" s="4">
        <v>7368025</v>
      </c>
      <c r="C1426" s="5">
        <v>17596</v>
      </c>
      <c r="D1426" s="1" t="s">
        <v>1224</v>
      </c>
      <c r="E1426" s="1" t="s">
        <v>1915</v>
      </c>
      <c r="F1426" s="1" t="s">
        <v>955</v>
      </c>
      <c r="G1426" s="1" t="s">
        <v>20</v>
      </c>
      <c r="H1426" s="3">
        <v>45995</v>
      </c>
      <c r="I1426" s="1" t="s">
        <v>933</v>
      </c>
      <c r="J1426" s="1" t="s">
        <v>951</v>
      </c>
      <c r="K1426" s="1" t="s">
        <v>20</v>
      </c>
      <c r="L1426" s="1" t="s">
        <v>2750</v>
      </c>
      <c r="M1426" s="3">
        <v>45965</v>
      </c>
      <c r="N1426" s="1" t="s">
        <v>821</v>
      </c>
      <c r="O1426" s="1" t="s">
        <v>936</v>
      </c>
      <c r="P1426" s="1">
        <v>1</v>
      </c>
    </row>
    <row r="1427" spans="1:16" x14ac:dyDescent="0.25">
      <c r="A1427" s="3">
        <v>45965</v>
      </c>
      <c r="B1427" s="4">
        <v>7372075</v>
      </c>
      <c r="C1427" s="5">
        <v>1540</v>
      </c>
      <c r="D1427" s="1" t="s">
        <v>1224</v>
      </c>
      <c r="E1427" s="1" t="s">
        <v>1915</v>
      </c>
      <c r="F1427" s="1" t="s">
        <v>955</v>
      </c>
      <c r="G1427" s="1" t="s">
        <v>940</v>
      </c>
      <c r="H1427" s="3">
        <v>45995</v>
      </c>
      <c r="I1427" s="1" t="s">
        <v>933</v>
      </c>
      <c r="J1427" s="1" t="s">
        <v>951</v>
      </c>
      <c r="K1427" s="1" t="s">
        <v>20</v>
      </c>
      <c r="L1427" s="1" t="s">
        <v>2751</v>
      </c>
      <c r="M1427" s="3">
        <v>45965</v>
      </c>
      <c r="N1427" s="1" t="s">
        <v>821</v>
      </c>
      <c r="O1427" s="1" t="s">
        <v>936</v>
      </c>
      <c r="P1427" s="1">
        <v>1</v>
      </c>
    </row>
    <row r="1428" spans="1:16" x14ac:dyDescent="0.25">
      <c r="A1428" s="3">
        <v>45965</v>
      </c>
      <c r="B1428" s="1">
        <v>15</v>
      </c>
      <c r="C1428" s="5">
        <v>250</v>
      </c>
      <c r="D1428" s="1" t="s">
        <v>2512</v>
      </c>
      <c r="E1428" s="1" t="s">
        <v>2513</v>
      </c>
      <c r="F1428" s="1" t="s">
        <v>955</v>
      </c>
      <c r="G1428" s="1" t="s">
        <v>940</v>
      </c>
      <c r="H1428" s="3">
        <v>45980</v>
      </c>
      <c r="I1428" s="1" t="s">
        <v>933</v>
      </c>
      <c r="J1428" s="1" t="s">
        <v>951</v>
      </c>
      <c r="K1428" s="1" t="s">
        <v>52</v>
      </c>
      <c r="L1428" s="1" t="s">
        <v>2752</v>
      </c>
      <c r="M1428" s="3">
        <v>45967</v>
      </c>
      <c r="N1428" s="1" t="s">
        <v>821</v>
      </c>
      <c r="O1428" s="1" t="s">
        <v>936</v>
      </c>
      <c r="P1428" s="1" t="s">
        <v>937</v>
      </c>
    </row>
    <row r="1429" spans="1:16" x14ac:dyDescent="0.25">
      <c r="A1429" s="3">
        <v>45965</v>
      </c>
      <c r="B1429" s="1">
        <v>74</v>
      </c>
      <c r="C1429" s="5">
        <v>227.2</v>
      </c>
      <c r="D1429" s="1" t="s">
        <v>2512</v>
      </c>
      <c r="E1429" s="1" t="s">
        <v>2513</v>
      </c>
      <c r="F1429" s="1" t="s">
        <v>955</v>
      </c>
      <c r="G1429" s="1" t="s">
        <v>940</v>
      </c>
      <c r="H1429" s="3">
        <v>45980</v>
      </c>
      <c r="I1429" s="1" t="s">
        <v>933</v>
      </c>
      <c r="J1429" s="1"/>
      <c r="K1429" s="1" t="s">
        <v>52</v>
      </c>
      <c r="L1429" s="1" t="s">
        <v>2753</v>
      </c>
      <c r="M1429" s="3">
        <v>45967</v>
      </c>
      <c r="N1429" s="1" t="s">
        <v>821</v>
      </c>
      <c r="O1429" s="1" t="s">
        <v>936</v>
      </c>
      <c r="P1429" s="1" t="s">
        <v>937</v>
      </c>
    </row>
    <row r="1430" spans="1:16" x14ac:dyDescent="0.25">
      <c r="A1430" s="3">
        <v>45965</v>
      </c>
      <c r="B1430" s="4">
        <v>9235</v>
      </c>
      <c r="C1430" s="5">
        <v>25380</v>
      </c>
      <c r="D1430" s="1" t="s">
        <v>973</v>
      </c>
      <c r="E1430" s="1" t="s">
        <v>1068</v>
      </c>
      <c r="F1430" s="1" t="s">
        <v>304</v>
      </c>
      <c r="G1430" s="1" t="s">
        <v>998</v>
      </c>
      <c r="H1430" s="3">
        <v>45980</v>
      </c>
      <c r="I1430" s="1" t="s">
        <v>933</v>
      </c>
      <c r="J1430" s="1" t="s">
        <v>66</v>
      </c>
      <c r="K1430" s="1" t="s">
        <v>996</v>
      </c>
      <c r="L1430" s="1">
        <v>4500</v>
      </c>
      <c r="M1430" s="3">
        <v>45969</v>
      </c>
      <c r="N1430" s="1" t="s">
        <v>57</v>
      </c>
      <c r="O1430" s="1" t="s">
        <v>998</v>
      </c>
      <c r="P1430" s="1">
        <v>1</v>
      </c>
    </row>
    <row r="1431" spans="1:16" x14ac:dyDescent="0.25">
      <c r="A1431" s="3">
        <v>45965</v>
      </c>
      <c r="B1431" s="1">
        <v>13</v>
      </c>
      <c r="C1431" s="5">
        <v>5774</v>
      </c>
      <c r="D1431" s="1" t="s">
        <v>2360</v>
      </c>
      <c r="E1431" s="1" t="s">
        <v>2361</v>
      </c>
      <c r="F1431" s="1" t="s">
        <v>51</v>
      </c>
      <c r="G1431" s="1" t="s">
        <v>940</v>
      </c>
      <c r="H1431" s="3">
        <v>45983</v>
      </c>
      <c r="I1431" s="1" t="s">
        <v>933</v>
      </c>
      <c r="J1431" s="1" t="s">
        <v>66</v>
      </c>
      <c r="K1431" s="1" t="s">
        <v>52</v>
      </c>
      <c r="L1431" s="1" t="s">
        <v>2754</v>
      </c>
      <c r="M1431" s="3">
        <v>45969</v>
      </c>
      <c r="N1431" s="1" t="s">
        <v>57</v>
      </c>
      <c r="O1431" s="1" t="s">
        <v>936</v>
      </c>
      <c r="P1431" s="1" t="s">
        <v>937</v>
      </c>
    </row>
    <row r="1432" spans="1:16" x14ac:dyDescent="0.25">
      <c r="A1432" s="3">
        <v>45965</v>
      </c>
      <c r="B1432" s="1">
        <v>14</v>
      </c>
      <c r="C1432" s="5">
        <v>2170</v>
      </c>
      <c r="D1432" s="1" t="s">
        <v>2360</v>
      </c>
      <c r="E1432" s="1" t="s">
        <v>2361</v>
      </c>
      <c r="F1432" s="1" t="s">
        <v>955</v>
      </c>
      <c r="G1432" s="1" t="s">
        <v>940</v>
      </c>
      <c r="H1432" s="3">
        <v>45983</v>
      </c>
      <c r="I1432" s="1" t="s">
        <v>933</v>
      </c>
      <c r="J1432" s="1" t="s">
        <v>951</v>
      </c>
      <c r="K1432" s="1" t="s">
        <v>52</v>
      </c>
      <c r="L1432" s="1" t="s">
        <v>2755</v>
      </c>
      <c r="M1432" s="3">
        <v>45969</v>
      </c>
      <c r="N1432" s="1" t="s">
        <v>821</v>
      </c>
      <c r="O1432" s="1" t="s">
        <v>936</v>
      </c>
      <c r="P1432" s="1" t="s">
        <v>937</v>
      </c>
    </row>
    <row r="1433" spans="1:16" x14ac:dyDescent="0.25">
      <c r="A1433" s="3">
        <v>45965</v>
      </c>
      <c r="B1433" s="4">
        <v>2123</v>
      </c>
      <c r="C1433" s="5">
        <v>2000</v>
      </c>
      <c r="D1433" s="1" t="s">
        <v>1368</v>
      </c>
      <c r="E1433" s="1" t="s">
        <v>31</v>
      </c>
      <c r="F1433" s="1" t="s">
        <v>955</v>
      </c>
      <c r="G1433" s="1" t="s">
        <v>932</v>
      </c>
      <c r="H1433" s="3">
        <v>45985</v>
      </c>
      <c r="I1433" s="1" t="s">
        <v>933</v>
      </c>
      <c r="J1433" s="1" t="s">
        <v>951</v>
      </c>
      <c r="K1433" s="1" t="s">
        <v>20</v>
      </c>
      <c r="L1433" s="1" t="s">
        <v>2756</v>
      </c>
      <c r="M1433" s="3">
        <v>45975</v>
      </c>
      <c r="N1433" s="1" t="s">
        <v>821</v>
      </c>
      <c r="O1433" s="1" t="s">
        <v>937</v>
      </c>
      <c r="P1433" s="1" t="s">
        <v>937</v>
      </c>
    </row>
    <row r="1434" spans="1:16" x14ac:dyDescent="0.25">
      <c r="A1434" s="3">
        <v>45965</v>
      </c>
      <c r="B1434" s="1">
        <v>332</v>
      </c>
      <c r="C1434" s="5">
        <v>430</v>
      </c>
      <c r="D1434" s="1" t="s">
        <v>1953</v>
      </c>
      <c r="E1434" s="1" t="s">
        <v>1954</v>
      </c>
      <c r="F1434" s="1" t="s">
        <v>599</v>
      </c>
      <c r="G1434" s="1" t="s">
        <v>990</v>
      </c>
      <c r="H1434" s="3">
        <v>45989</v>
      </c>
      <c r="I1434" s="1" t="s">
        <v>933</v>
      </c>
      <c r="J1434" s="1" t="s">
        <v>66</v>
      </c>
      <c r="K1434" s="1" t="s">
        <v>340</v>
      </c>
      <c r="L1434" s="1" t="s">
        <v>2757</v>
      </c>
      <c r="M1434" s="3">
        <v>45975</v>
      </c>
      <c r="N1434" s="1" t="s">
        <v>57</v>
      </c>
      <c r="O1434" s="1" t="s">
        <v>936</v>
      </c>
      <c r="P1434" s="1">
        <v>1</v>
      </c>
    </row>
    <row r="1435" spans="1:16" x14ac:dyDescent="0.25">
      <c r="A1435" s="3">
        <v>45965</v>
      </c>
      <c r="B1435" s="1">
        <v>333</v>
      </c>
      <c r="C1435" s="5">
        <v>20</v>
      </c>
      <c r="D1435" s="1" t="s">
        <v>1953</v>
      </c>
      <c r="E1435" s="1" t="s">
        <v>1954</v>
      </c>
      <c r="F1435" s="1" t="s">
        <v>475</v>
      </c>
      <c r="G1435" s="1" t="s">
        <v>990</v>
      </c>
      <c r="H1435" s="3">
        <v>45989</v>
      </c>
      <c r="I1435" s="1" t="s">
        <v>933</v>
      </c>
      <c r="J1435" s="1" t="s">
        <v>66</v>
      </c>
      <c r="K1435" s="1" t="s">
        <v>308</v>
      </c>
      <c r="L1435" s="1" t="s">
        <v>2758</v>
      </c>
      <c r="M1435" s="3">
        <v>45975</v>
      </c>
      <c r="N1435" s="1" t="s">
        <v>57</v>
      </c>
      <c r="O1435" s="1" t="s">
        <v>936</v>
      </c>
      <c r="P1435" s="1">
        <v>1</v>
      </c>
    </row>
    <row r="1436" spans="1:16" x14ac:dyDescent="0.25">
      <c r="A1436" s="3">
        <v>45965</v>
      </c>
      <c r="B1436" s="1">
        <v>334</v>
      </c>
      <c r="C1436" s="5">
        <v>270</v>
      </c>
      <c r="D1436" s="1" t="s">
        <v>1953</v>
      </c>
      <c r="E1436" s="1" t="s">
        <v>1954</v>
      </c>
      <c r="F1436" s="1" t="s">
        <v>906</v>
      </c>
      <c r="G1436" s="1" t="s">
        <v>990</v>
      </c>
      <c r="H1436" s="3">
        <v>45989</v>
      </c>
      <c r="I1436" s="1" t="s">
        <v>933</v>
      </c>
      <c r="J1436" s="1" t="s">
        <v>66</v>
      </c>
      <c r="K1436" s="1" t="s">
        <v>308</v>
      </c>
      <c r="L1436" s="1" t="s">
        <v>2759</v>
      </c>
      <c r="M1436" s="3">
        <v>45975</v>
      </c>
      <c r="N1436" s="1" t="s">
        <v>57</v>
      </c>
      <c r="O1436" s="1" t="s">
        <v>936</v>
      </c>
      <c r="P1436" s="1">
        <v>1</v>
      </c>
    </row>
    <row r="1437" spans="1:16" x14ac:dyDescent="0.25">
      <c r="A1437" s="3">
        <v>45965</v>
      </c>
      <c r="B1437" s="1">
        <v>335</v>
      </c>
      <c r="C1437" s="5">
        <v>820</v>
      </c>
      <c r="D1437" s="1" t="s">
        <v>1953</v>
      </c>
      <c r="E1437" s="1" t="s">
        <v>1954</v>
      </c>
      <c r="F1437" s="1" t="s">
        <v>478</v>
      </c>
      <c r="G1437" s="1" t="s">
        <v>990</v>
      </c>
      <c r="H1437" s="3">
        <v>45989</v>
      </c>
      <c r="I1437" s="1" t="s">
        <v>933</v>
      </c>
      <c r="J1437" s="1" t="s">
        <v>66</v>
      </c>
      <c r="K1437" s="1" t="s">
        <v>308</v>
      </c>
      <c r="L1437" s="1" t="s">
        <v>2760</v>
      </c>
      <c r="M1437" s="3">
        <v>45975</v>
      </c>
      <c r="N1437" s="1" t="s">
        <v>440</v>
      </c>
      <c r="O1437" s="1" t="s">
        <v>936</v>
      </c>
      <c r="P1437" s="1">
        <v>1</v>
      </c>
    </row>
    <row r="1438" spans="1:16" x14ac:dyDescent="0.25">
      <c r="A1438" s="3">
        <v>45965</v>
      </c>
      <c r="B1438" s="1">
        <v>336</v>
      </c>
      <c r="C1438" s="5">
        <v>280</v>
      </c>
      <c r="D1438" s="1" t="s">
        <v>1953</v>
      </c>
      <c r="E1438" s="1" t="s">
        <v>1954</v>
      </c>
      <c r="F1438" s="1" t="s">
        <v>218</v>
      </c>
      <c r="G1438" s="1" t="s">
        <v>990</v>
      </c>
      <c r="H1438" s="3">
        <v>45989</v>
      </c>
      <c r="I1438" s="1" t="s">
        <v>933</v>
      </c>
      <c r="J1438" s="1" t="s">
        <v>66</v>
      </c>
      <c r="K1438" s="1" t="s">
        <v>1654</v>
      </c>
      <c r="L1438" s="1" t="s">
        <v>2761</v>
      </c>
      <c r="M1438" s="3">
        <v>45975</v>
      </c>
      <c r="N1438" s="1" t="s">
        <v>221</v>
      </c>
      <c r="O1438" s="1" t="s">
        <v>936</v>
      </c>
      <c r="P1438" s="1">
        <v>1</v>
      </c>
    </row>
    <row r="1439" spans="1:16" x14ac:dyDescent="0.25">
      <c r="A1439" s="3">
        <v>45965</v>
      </c>
      <c r="B1439" s="1">
        <v>337</v>
      </c>
      <c r="C1439" s="5">
        <v>140</v>
      </c>
      <c r="D1439" s="1" t="s">
        <v>1953</v>
      </c>
      <c r="E1439" s="1" t="s">
        <v>1954</v>
      </c>
      <c r="F1439" s="1" t="s">
        <v>727</v>
      </c>
      <c r="G1439" s="1" t="s">
        <v>990</v>
      </c>
      <c r="H1439" s="3">
        <v>45989</v>
      </c>
      <c r="I1439" s="1" t="s">
        <v>933</v>
      </c>
      <c r="J1439" s="1" t="s">
        <v>66</v>
      </c>
      <c r="K1439" s="1" t="s">
        <v>308</v>
      </c>
      <c r="L1439" s="1" t="s">
        <v>2762</v>
      </c>
      <c r="M1439" s="3">
        <v>45975</v>
      </c>
      <c r="N1439" s="1" t="s">
        <v>57</v>
      </c>
      <c r="O1439" s="1" t="s">
        <v>936</v>
      </c>
      <c r="P1439" s="1">
        <v>1</v>
      </c>
    </row>
    <row r="1440" spans="1:16" x14ac:dyDescent="0.25">
      <c r="A1440" s="3">
        <v>45965</v>
      </c>
      <c r="B1440" s="1">
        <v>338</v>
      </c>
      <c r="C1440" s="5">
        <v>230</v>
      </c>
      <c r="D1440" s="1" t="s">
        <v>1953</v>
      </c>
      <c r="E1440" s="1" t="s">
        <v>1954</v>
      </c>
      <c r="F1440" s="1" t="s">
        <v>809</v>
      </c>
      <c r="G1440" s="1" t="s">
        <v>990</v>
      </c>
      <c r="H1440" s="3">
        <v>45989</v>
      </c>
      <c r="I1440" s="1" t="s">
        <v>933</v>
      </c>
      <c r="J1440" s="1" t="s">
        <v>66</v>
      </c>
      <c r="K1440" s="1" t="s">
        <v>340</v>
      </c>
      <c r="L1440" s="1" t="s">
        <v>2763</v>
      </c>
      <c r="M1440" s="3">
        <v>45975</v>
      </c>
      <c r="N1440" s="1" t="s">
        <v>212</v>
      </c>
      <c r="O1440" s="1" t="s">
        <v>936</v>
      </c>
      <c r="P1440" s="1">
        <v>1</v>
      </c>
    </row>
    <row r="1441" spans="1:16" x14ac:dyDescent="0.25">
      <c r="A1441" s="3">
        <v>45965</v>
      </c>
      <c r="B1441" s="1">
        <v>339</v>
      </c>
      <c r="C1441" s="5">
        <v>100</v>
      </c>
      <c r="D1441" s="1" t="s">
        <v>1953</v>
      </c>
      <c r="E1441" s="1" t="s">
        <v>1954</v>
      </c>
      <c r="F1441" s="1" t="s">
        <v>430</v>
      </c>
      <c r="G1441" s="1" t="s">
        <v>990</v>
      </c>
      <c r="H1441" s="3">
        <v>45989</v>
      </c>
      <c r="I1441" s="1" t="s">
        <v>933</v>
      </c>
      <c r="J1441" s="1" t="s">
        <v>66</v>
      </c>
      <c r="K1441" s="1" t="s">
        <v>308</v>
      </c>
      <c r="L1441" s="1" t="s">
        <v>2764</v>
      </c>
      <c r="M1441" s="3">
        <v>45975</v>
      </c>
      <c r="N1441" s="1" t="s">
        <v>57</v>
      </c>
      <c r="O1441" s="1" t="s">
        <v>936</v>
      </c>
      <c r="P1441" s="1">
        <v>1</v>
      </c>
    </row>
    <row r="1442" spans="1:16" x14ac:dyDescent="0.25">
      <c r="A1442" s="3">
        <v>45965</v>
      </c>
      <c r="B1442" s="1">
        <v>340</v>
      </c>
      <c r="C1442" s="5">
        <v>120</v>
      </c>
      <c r="D1442" s="1" t="s">
        <v>1953</v>
      </c>
      <c r="E1442" s="1" t="s">
        <v>1954</v>
      </c>
      <c r="F1442" s="1" t="s">
        <v>457</v>
      </c>
      <c r="G1442" s="1" t="s">
        <v>990</v>
      </c>
      <c r="H1442" s="3">
        <v>45989</v>
      </c>
      <c r="I1442" s="1" t="s">
        <v>933</v>
      </c>
      <c r="J1442" s="1" t="s">
        <v>66</v>
      </c>
      <c r="K1442" s="1" t="s">
        <v>308</v>
      </c>
      <c r="L1442" s="1" t="s">
        <v>2765</v>
      </c>
      <c r="M1442" s="3">
        <v>45975</v>
      </c>
      <c r="N1442" s="1" t="s">
        <v>358</v>
      </c>
      <c r="O1442" s="1" t="s">
        <v>936</v>
      </c>
      <c r="P1442" s="1">
        <v>1</v>
      </c>
    </row>
    <row r="1443" spans="1:16" x14ac:dyDescent="0.25">
      <c r="A1443" s="3">
        <v>45965</v>
      </c>
      <c r="B1443" s="1">
        <v>341</v>
      </c>
      <c r="C1443" s="5">
        <v>450</v>
      </c>
      <c r="D1443" s="1" t="s">
        <v>1953</v>
      </c>
      <c r="E1443" s="1" t="s">
        <v>1954</v>
      </c>
      <c r="F1443" s="1" t="s">
        <v>66</v>
      </c>
      <c r="G1443" s="1" t="s">
        <v>990</v>
      </c>
      <c r="H1443" s="3">
        <v>45989</v>
      </c>
      <c r="I1443" s="1" t="s">
        <v>933</v>
      </c>
      <c r="J1443" s="1" t="s">
        <v>66</v>
      </c>
      <c r="K1443" s="1" t="s">
        <v>66</v>
      </c>
      <c r="L1443" s="1" t="s">
        <v>2766</v>
      </c>
      <c r="M1443" s="3">
        <v>45975</v>
      </c>
      <c r="N1443" s="1" t="s">
        <v>821</v>
      </c>
      <c r="O1443" s="1" t="s">
        <v>936</v>
      </c>
      <c r="P1443" s="1">
        <v>1</v>
      </c>
    </row>
    <row r="1444" spans="1:16" x14ac:dyDescent="0.25">
      <c r="A1444" s="3">
        <v>45965</v>
      </c>
      <c r="B1444" s="1">
        <v>342</v>
      </c>
      <c r="C1444" s="5">
        <v>180</v>
      </c>
      <c r="D1444" s="1" t="s">
        <v>1953</v>
      </c>
      <c r="E1444" s="1" t="s">
        <v>1954</v>
      </c>
      <c r="F1444" s="1" t="s">
        <v>727</v>
      </c>
      <c r="G1444" s="1" t="s">
        <v>990</v>
      </c>
      <c r="H1444" s="3">
        <v>45989</v>
      </c>
      <c r="I1444" s="1" t="s">
        <v>933</v>
      </c>
      <c r="J1444" s="1" t="s">
        <v>66</v>
      </c>
      <c r="K1444" s="1" t="s">
        <v>308</v>
      </c>
      <c r="L1444" s="1" t="s">
        <v>2767</v>
      </c>
      <c r="M1444" s="3">
        <v>45975</v>
      </c>
      <c r="N1444" s="1" t="s">
        <v>57</v>
      </c>
      <c r="O1444" s="1" t="s">
        <v>936</v>
      </c>
      <c r="P1444" s="1">
        <v>1</v>
      </c>
    </row>
    <row r="1445" spans="1:16" x14ac:dyDescent="0.25">
      <c r="A1445" s="3">
        <v>45965</v>
      </c>
      <c r="B1445" s="1">
        <v>343</v>
      </c>
      <c r="C1445" s="5">
        <v>380</v>
      </c>
      <c r="D1445" s="1" t="s">
        <v>1953</v>
      </c>
      <c r="E1445" s="1" t="s">
        <v>1954</v>
      </c>
      <c r="F1445" s="1" t="s">
        <v>773</v>
      </c>
      <c r="G1445" s="1" t="s">
        <v>990</v>
      </c>
      <c r="H1445" s="3">
        <v>45989</v>
      </c>
      <c r="I1445" s="1" t="s">
        <v>933</v>
      </c>
      <c r="J1445" s="1" t="s">
        <v>66</v>
      </c>
      <c r="K1445" s="1" t="s">
        <v>308</v>
      </c>
      <c r="L1445" s="1" t="s">
        <v>2768</v>
      </c>
      <c r="M1445" s="3">
        <v>45975</v>
      </c>
      <c r="N1445" s="1" t="s">
        <v>57</v>
      </c>
      <c r="O1445" s="1" t="s">
        <v>936</v>
      </c>
      <c r="P1445" s="1">
        <v>1</v>
      </c>
    </row>
    <row r="1446" spans="1:16" x14ac:dyDescent="0.25">
      <c r="A1446" s="3">
        <v>45965</v>
      </c>
      <c r="B1446" s="1">
        <v>344</v>
      </c>
      <c r="C1446" s="5">
        <v>280</v>
      </c>
      <c r="D1446" s="1" t="s">
        <v>1953</v>
      </c>
      <c r="E1446" s="1" t="s">
        <v>1954</v>
      </c>
      <c r="F1446" s="1" t="s">
        <v>66</v>
      </c>
      <c r="G1446" s="1" t="s">
        <v>990</v>
      </c>
      <c r="H1446" s="3">
        <v>45989</v>
      </c>
      <c r="I1446" s="1" t="s">
        <v>933</v>
      </c>
      <c r="J1446" s="1" t="s">
        <v>66</v>
      </c>
      <c r="K1446" s="1" t="s">
        <v>487</v>
      </c>
      <c r="L1446" s="1" t="s">
        <v>2769</v>
      </c>
      <c r="M1446" s="3">
        <v>45975</v>
      </c>
      <c r="N1446" s="1" t="s">
        <v>821</v>
      </c>
      <c r="O1446" s="1" t="s">
        <v>936</v>
      </c>
      <c r="P1446" s="1">
        <v>1</v>
      </c>
    </row>
    <row r="1447" spans="1:16" x14ac:dyDescent="0.25">
      <c r="A1447" s="3">
        <v>45965</v>
      </c>
      <c r="B1447" s="1">
        <v>345</v>
      </c>
      <c r="C1447" s="5">
        <v>280</v>
      </c>
      <c r="D1447" s="1" t="s">
        <v>1953</v>
      </c>
      <c r="E1447" s="1" t="s">
        <v>1954</v>
      </c>
      <c r="F1447" s="1" t="s">
        <v>121</v>
      </c>
      <c r="G1447" s="1" t="s">
        <v>940</v>
      </c>
      <c r="H1447" s="3">
        <v>45989</v>
      </c>
      <c r="I1447" s="1" t="s">
        <v>933</v>
      </c>
      <c r="J1447" s="1" t="s">
        <v>66</v>
      </c>
      <c r="K1447" s="1" t="s">
        <v>308</v>
      </c>
      <c r="L1447" s="1" t="s">
        <v>2770</v>
      </c>
      <c r="M1447" s="3">
        <v>45975</v>
      </c>
      <c r="N1447" s="1" t="s">
        <v>50</v>
      </c>
      <c r="O1447" s="1" t="s">
        <v>936</v>
      </c>
      <c r="P1447" s="1">
        <v>1</v>
      </c>
    </row>
    <row r="1448" spans="1:16" x14ac:dyDescent="0.25">
      <c r="A1448" s="3">
        <v>45965</v>
      </c>
      <c r="B1448" s="1">
        <v>346</v>
      </c>
      <c r="C1448" s="5">
        <v>80</v>
      </c>
      <c r="D1448" s="1" t="s">
        <v>1953</v>
      </c>
      <c r="E1448" s="1" t="s">
        <v>1954</v>
      </c>
      <c r="F1448" s="1" t="s">
        <v>955</v>
      </c>
      <c r="G1448" s="1" t="s">
        <v>940</v>
      </c>
      <c r="H1448" s="3">
        <v>45989</v>
      </c>
      <c r="I1448" s="1" t="s">
        <v>933</v>
      </c>
      <c r="J1448" s="1" t="s">
        <v>951</v>
      </c>
      <c r="K1448" s="1" t="s">
        <v>640</v>
      </c>
      <c r="L1448" s="1" t="s">
        <v>2771</v>
      </c>
      <c r="M1448" s="3">
        <v>45975</v>
      </c>
      <c r="N1448" s="1" t="s">
        <v>821</v>
      </c>
      <c r="O1448" s="1" t="s">
        <v>936</v>
      </c>
      <c r="P1448" s="1">
        <v>1</v>
      </c>
    </row>
    <row r="1449" spans="1:16" x14ac:dyDescent="0.25">
      <c r="A1449" s="3">
        <v>45965</v>
      </c>
      <c r="B1449" s="1">
        <v>347</v>
      </c>
      <c r="C1449" s="5">
        <v>540</v>
      </c>
      <c r="D1449" s="1" t="s">
        <v>1953</v>
      </c>
      <c r="E1449" s="1" t="s">
        <v>1954</v>
      </c>
      <c r="F1449" s="1" t="s">
        <v>185</v>
      </c>
      <c r="G1449" s="1" t="s">
        <v>990</v>
      </c>
      <c r="H1449" s="3">
        <v>45989</v>
      </c>
      <c r="I1449" s="1" t="s">
        <v>933</v>
      </c>
      <c r="J1449" s="1" t="s">
        <v>66</v>
      </c>
      <c r="K1449" s="1" t="s">
        <v>308</v>
      </c>
      <c r="L1449" s="1" t="s">
        <v>2772</v>
      </c>
      <c r="M1449" s="3">
        <v>45975</v>
      </c>
      <c r="N1449" s="1" t="s">
        <v>190</v>
      </c>
      <c r="O1449" s="1" t="s">
        <v>936</v>
      </c>
      <c r="P1449" s="1">
        <v>1</v>
      </c>
    </row>
    <row r="1450" spans="1:16" x14ac:dyDescent="0.25">
      <c r="A1450" s="3">
        <v>45965</v>
      </c>
      <c r="B1450" s="1">
        <v>348</v>
      </c>
      <c r="C1450" s="5">
        <v>220</v>
      </c>
      <c r="D1450" s="1" t="s">
        <v>1953</v>
      </c>
      <c r="E1450" s="1" t="s">
        <v>1954</v>
      </c>
      <c r="F1450" s="1" t="s">
        <v>83</v>
      </c>
      <c r="G1450" s="1" t="s">
        <v>990</v>
      </c>
      <c r="H1450" s="3">
        <v>45989</v>
      </c>
      <c r="I1450" s="1" t="s">
        <v>933</v>
      </c>
      <c r="J1450" s="1" t="s">
        <v>66</v>
      </c>
      <c r="K1450" s="1" t="s">
        <v>52</v>
      </c>
      <c r="L1450" s="1" t="s">
        <v>2773</v>
      </c>
      <c r="M1450" s="3">
        <v>45975</v>
      </c>
      <c r="N1450" s="1" t="s">
        <v>57</v>
      </c>
      <c r="O1450" s="1" t="s">
        <v>936</v>
      </c>
      <c r="P1450" s="1">
        <v>1</v>
      </c>
    </row>
    <row r="1451" spans="1:16" x14ac:dyDescent="0.25">
      <c r="A1451" s="3">
        <v>45965</v>
      </c>
      <c r="B1451" s="1">
        <v>349</v>
      </c>
      <c r="C1451" s="5">
        <v>100</v>
      </c>
      <c r="D1451" s="1" t="s">
        <v>1953</v>
      </c>
      <c r="E1451" s="1" t="s">
        <v>1954</v>
      </c>
      <c r="F1451" s="1" t="s">
        <v>392</v>
      </c>
      <c r="G1451" s="1" t="s">
        <v>990</v>
      </c>
      <c r="H1451" s="3">
        <v>45989</v>
      </c>
      <c r="I1451" s="1" t="s">
        <v>933</v>
      </c>
      <c r="J1451" s="1" t="s">
        <v>66</v>
      </c>
      <c r="K1451" s="1" t="s">
        <v>52</v>
      </c>
      <c r="L1451" s="1" t="s">
        <v>2774</v>
      </c>
      <c r="M1451" s="3">
        <v>45975</v>
      </c>
      <c r="N1451" s="1" t="s">
        <v>93</v>
      </c>
      <c r="O1451" s="1" t="s">
        <v>936</v>
      </c>
      <c r="P1451" s="1">
        <v>1</v>
      </c>
    </row>
    <row r="1452" spans="1:16" x14ac:dyDescent="0.25">
      <c r="A1452" s="3">
        <v>45965</v>
      </c>
      <c r="B1452" s="1">
        <v>350</v>
      </c>
      <c r="C1452" s="5">
        <v>80</v>
      </c>
      <c r="D1452" s="1" t="s">
        <v>1953</v>
      </c>
      <c r="E1452" s="1" t="s">
        <v>1954</v>
      </c>
      <c r="F1452" s="1" t="s">
        <v>128</v>
      </c>
      <c r="G1452" s="1" t="s">
        <v>990</v>
      </c>
      <c r="H1452" s="3">
        <v>45989</v>
      </c>
      <c r="I1452" s="1" t="s">
        <v>933</v>
      </c>
      <c r="J1452" s="1" t="s">
        <v>66</v>
      </c>
      <c r="K1452" s="1" t="s">
        <v>52</v>
      </c>
      <c r="L1452" s="1" t="s">
        <v>2775</v>
      </c>
      <c r="M1452" s="3">
        <v>45975</v>
      </c>
      <c r="N1452" s="1" t="s">
        <v>93</v>
      </c>
      <c r="O1452" s="1" t="s">
        <v>936</v>
      </c>
      <c r="P1452" s="1">
        <v>1</v>
      </c>
    </row>
    <row r="1453" spans="1:16" x14ac:dyDescent="0.25">
      <c r="A1453" s="3">
        <v>45965</v>
      </c>
      <c r="B1453" s="1">
        <v>351</v>
      </c>
      <c r="C1453" s="5">
        <v>670</v>
      </c>
      <c r="D1453" s="1" t="s">
        <v>1953</v>
      </c>
      <c r="E1453" s="1" t="s">
        <v>1954</v>
      </c>
      <c r="F1453" s="1" t="s">
        <v>51</v>
      </c>
      <c r="G1453" s="1" t="s">
        <v>990</v>
      </c>
      <c r="H1453" s="3">
        <v>45989</v>
      </c>
      <c r="I1453" s="1" t="s">
        <v>933</v>
      </c>
      <c r="J1453" s="1" t="s">
        <v>66</v>
      </c>
      <c r="K1453" s="1" t="s">
        <v>52</v>
      </c>
      <c r="L1453" s="1" t="s">
        <v>2776</v>
      </c>
      <c r="M1453" s="3">
        <v>45975</v>
      </c>
      <c r="N1453" s="1" t="s">
        <v>57</v>
      </c>
      <c r="O1453" s="1" t="s">
        <v>936</v>
      </c>
      <c r="P1453" s="1">
        <v>1</v>
      </c>
    </row>
    <row r="1454" spans="1:16" x14ac:dyDescent="0.25">
      <c r="A1454" s="3">
        <v>45965</v>
      </c>
      <c r="B1454" s="1">
        <v>352</v>
      </c>
      <c r="C1454" s="5">
        <v>120</v>
      </c>
      <c r="D1454" s="1" t="s">
        <v>1953</v>
      </c>
      <c r="E1454" s="1" t="s">
        <v>1954</v>
      </c>
      <c r="F1454" s="1" t="s">
        <v>218</v>
      </c>
      <c r="G1454" s="1" t="s">
        <v>990</v>
      </c>
      <c r="H1454" s="3">
        <v>45989</v>
      </c>
      <c r="I1454" s="1" t="s">
        <v>933</v>
      </c>
      <c r="J1454" s="1" t="s">
        <v>66</v>
      </c>
      <c r="K1454" s="1" t="s">
        <v>1654</v>
      </c>
      <c r="L1454" s="1" t="s">
        <v>2777</v>
      </c>
      <c r="M1454" s="3">
        <v>45975</v>
      </c>
      <c r="N1454" s="1" t="s">
        <v>221</v>
      </c>
      <c r="O1454" s="1" t="s">
        <v>936</v>
      </c>
      <c r="P1454" s="1">
        <v>1</v>
      </c>
    </row>
    <row r="1455" spans="1:16" x14ac:dyDescent="0.25">
      <c r="A1455" s="3">
        <v>45965</v>
      </c>
      <c r="B1455" s="1">
        <v>353</v>
      </c>
      <c r="C1455" s="5">
        <v>280</v>
      </c>
      <c r="D1455" s="1" t="s">
        <v>1953</v>
      </c>
      <c r="E1455" s="1" t="s">
        <v>1954</v>
      </c>
      <c r="F1455" s="1" t="s">
        <v>670</v>
      </c>
      <c r="G1455" s="1" t="s">
        <v>990</v>
      </c>
      <c r="H1455" s="3">
        <v>45989</v>
      </c>
      <c r="I1455" s="1" t="s">
        <v>933</v>
      </c>
      <c r="J1455" s="1" t="s">
        <v>66</v>
      </c>
      <c r="K1455" s="1" t="s">
        <v>659</v>
      </c>
      <c r="L1455" s="1" t="s">
        <v>2778</v>
      </c>
      <c r="M1455" s="3">
        <v>45975</v>
      </c>
      <c r="N1455" s="1" t="s">
        <v>57</v>
      </c>
      <c r="O1455" s="1" t="s">
        <v>936</v>
      </c>
      <c r="P1455" s="1">
        <v>1</v>
      </c>
    </row>
    <row r="1456" spans="1:16" x14ac:dyDescent="0.25">
      <c r="A1456" s="3">
        <v>45965</v>
      </c>
      <c r="B1456" s="1">
        <v>354</v>
      </c>
      <c r="C1456" s="5">
        <v>380</v>
      </c>
      <c r="D1456" s="1" t="s">
        <v>1953</v>
      </c>
      <c r="E1456" s="1" t="s">
        <v>1954</v>
      </c>
      <c r="F1456" s="1" t="s">
        <v>419</v>
      </c>
      <c r="G1456" s="1" t="s">
        <v>990</v>
      </c>
      <c r="H1456" s="3">
        <v>45989</v>
      </c>
      <c r="I1456" s="1" t="s">
        <v>933</v>
      </c>
      <c r="J1456" s="1" t="s">
        <v>66</v>
      </c>
      <c r="K1456" s="1" t="s">
        <v>308</v>
      </c>
      <c r="L1456" s="1" t="s">
        <v>2779</v>
      </c>
      <c r="M1456" s="3">
        <v>45975</v>
      </c>
      <c r="N1456" s="1" t="s">
        <v>98</v>
      </c>
      <c r="O1456" s="1" t="s">
        <v>936</v>
      </c>
      <c r="P1456" s="1">
        <v>1</v>
      </c>
    </row>
    <row r="1457" spans="1:16" x14ac:dyDescent="0.25">
      <c r="A1457" s="3">
        <v>45965</v>
      </c>
      <c r="B1457" s="1">
        <v>355</v>
      </c>
      <c r="C1457" s="5">
        <v>80</v>
      </c>
      <c r="D1457" s="1" t="s">
        <v>1953</v>
      </c>
      <c r="E1457" s="1" t="s">
        <v>1954</v>
      </c>
      <c r="F1457" s="1" t="s">
        <v>182</v>
      </c>
      <c r="G1457" s="1" t="s">
        <v>990</v>
      </c>
      <c r="H1457" s="3">
        <v>45989</v>
      </c>
      <c r="I1457" s="1" t="s">
        <v>933</v>
      </c>
      <c r="J1457" s="1" t="s">
        <v>66</v>
      </c>
      <c r="K1457" s="1" t="s">
        <v>52</v>
      </c>
      <c r="L1457" s="1" t="s">
        <v>2780</v>
      </c>
      <c r="M1457" s="3">
        <v>45975</v>
      </c>
      <c r="N1457" s="1" t="s">
        <v>93</v>
      </c>
      <c r="O1457" s="1" t="s">
        <v>936</v>
      </c>
      <c r="P1457" s="1">
        <v>1</v>
      </c>
    </row>
    <row r="1458" spans="1:16" x14ac:dyDescent="0.25">
      <c r="A1458" s="3">
        <v>45965</v>
      </c>
      <c r="B1458" s="1">
        <v>356</v>
      </c>
      <c r="C1458" s="5">
        <v>480</v>
      </c>
      <c r="D1458" s="1" t="s">
        <v>1953</v>
      </c>
      <c r="E1458" s="1" t="s">
        <v>1954</v>
      </c>
      <c r="F1458" s="1" t="s">
        <v>307</v>
      </c>
      <c r="G1458" s="1" t="s">
        <v>990</v>
      </c>
      <c r="H1458" s="3">
        <v>45989</v>
      </c>
      <c r="I1458" s="1" t="s">
        <v>933</v>
      </c>
      <c r="J1458" s="1" t="s">
        <v>66</v>
      </c>
      <c r="K1458" s="1" t="s">
        <v>340</v>
      </c>
      <c r="L1458" s="1" t="s">
        <v>2781</v>
      </c>
      <c r="M1458" s="3">
        <v>45975</v>
      </c>
      <c r="N1458" s="1" t="s">
        <v>57</v>
      </c>
      <c r="O1458" s="1" t="s">
        <v>936</v>
      </c>
      <c r="P1458" s="1">
        <v>1</v>
      </c>
    </row>
    <row r="1459" spans="1:16" x14ac:dyDescent="0.25">
      <c r="A1459" s="3">
        <v>45965</v>
      </c>
      <c r="B1459" s="1">
        <v>357</v>
      </c>
      <c r="C1459" s="5">
        <v>420</v>
      </c>
      <c r="D1459" s="1" t="s">
        <v>1953</v>
      </c>
      <c r="E1459" s="1" t="s">
        <v>1954</v>
      </c>
      <c r="F1459" s="1" t="s">
        <v>955</v>
      </c>
      <c r="G1459" s="1" t="s">
        <v>990</v>
      </c>
      <c r="H1459" s="3">
        <v>45989</v>
      </c>
      <c r="I1459" s="1" t="s">
        <v>933</v>
      </c>
      <c r="J1459" s="1" t="s">
        <v>951</v>
      </c>
      <c r="K1459" s="1" t="s">
        <v>817</v>
      </c>
      <c r="L1459" s="1" t="s">
        <v>2782</v>
      </c>
      <c r="M1459" s="3">
        <v>45975</v>
      </c>
      <c r="N1459" s="1" t="s">
        <v>821</v>
      </c>
      <c r="O1459" s="1" t="s">
        <v>936</v>
      </c>
      <c r="P1459" s="1">
        <v>1</v>
      </c>
    </row>
    <row r="1460" spans="1:16" x14ac:dyDescent="0.25">
      <c r="A1460" s="3">
        <v>45965</v>
      </c>
      <c r="B1460" s="1">
        <v>358</v>
      </c>
      <c r="C1460" s="5">
        <v>670</v>
      </c>
      <c r="D1460" s="1" t="s">
        <v>1953</v>
      </c>
      <c r="E1460" s="1" t="s">
        <v>1954</v>
      </c>
      <c r="F1460" s="1" t="s">
        <v>670</v>
      </c>
      <c r="G1460" s="1" t="s">
        <v>990</v>
      </c>
      <c r="H1460" s="3">
        <v>45989</v>
      </c>
      <c r="I1460" s="1" t="s">
        <v>933</v>
      </c>
      <c r="J1460" s="1" t="s">
        <v>66</v>
      </c>
      <c r="K1460" s="1" t="s">
        <v>659</v>
      </c>
      <c r="L1460" s="1" t="s">
        <v>2783</v>
      </c>
      <c r="M1460" s="3">
        <v>45975</v>
      </c>
      <c r="N1460" s="1" t="s">
        <v>57</v>
      </c>
      <c r="O1460" s="1" t="s">
        <v>936</v>
      </c>
      <c r="P1460" s="1">
        <v>1</v>
      </c>
    </row>
    <row r="1461" spans="1:16" x14ac:dyDescent="0.25">
      <c r="A1461" s="3">
        <v>45965</v>
      </c>
      <c r="B1461" s="1">
        <v>359</v>
      </c>
      <c r="C1461" s="5">
        <v>260</v>
      </c>
      <c r="D1461" s="1" t="s">
        <v>1953</v>
      </c>
      <c r="E1461" s="1" t="s">
        <v>1954</v>
      </c>
      <c r="F1461" s="1" t="s">
        <v>110</v>
      </c>
      <c r="G1461" s="1" t="s">
        <v>990</v>
      </c>
      <c r="H1461" s="3">
        <v>45989</v>
      </c>
      <c r="I1461" s="1" t="s">
        <v>933</v>
      </c>
      <c r="J1461" s="1" t="s">
        <v>66</v>
      </c>
      <c r="K1461" s="1" t="s">
        <v>1654</v>
      </c>
      <c r="L1461" s="1" t="s">
        <v>2784</v>
      </c>
      <c r="M1461" s="3">
        <v>45975</v>
      </c>
      <c r="N1461" s="1" t="s">
        <v>115</v>
      </c>
      <c r="O1461" s="1" t="s">
        <v>936</v>
      </c>
      <c r="P1461" s="1">
        <v>1</v>
      </c>
    </row>
    <row r="1462" spans="1:16" x14ac:dyDescent="0.25">
      <c r="A1462" s="3">
        <v>45965</v>
      </c>
      <c r="B1462" s="1">
        <v>361</v>
      </c>
      <c r="C1462" s="5">
        <v>370</v>
      </c>
      <c r="D1462" s="1" t="s">
        <v>1953</v>
      </c>
      <c r="E1462" s="1" t="s">
        <v>1954</v>
      </c>
      <c r="F1462" s="1" t="s">
        <v>339</v>
      </c>
      <c r="G1462" s="1" t="s">
        <v>990</v>
      </c>
      <c r="H1462" s="3">
        <v>45989</v>
      </c>
      <c r="I1462" s="1" t="s">
        <v>933</v>
      </c>
      <c r="J1462" s="1" t="s">
        <v>66</v>
      </c>
      <c r="K1462" s="1" t="s">
        <v>308</v>
      </c>
      <c r="L1462" s="1" t="s">
        <v>2763</v>
      </c>
      <c r="M1462" s="3">
        <v>45975</v>
      </c>
      <c r="N1462" s="1" t="s">
        <v>57</v>
      </c>
      <c r="O1462" s="1" t="s">
        <v>936</v>
      </c>
      <c r="P1462" s="1">
        <v>1</v>
      </c>
    </row>
    <row r="1463" spans="1:16" x14ac:dyDescent="0.25">
      <c r="A1463" s="3">
        <v>45965</v>
      </c>
      <c r="B1463" s="1">
        <v>362</v>
      </c>
      <c r="C1463" s="5">
        <v>1311</v>
      </c>
      <c r="D1463" s="1" t="s">
        <v>1953</v>
      </c>
      <c r="E1463" s="1" t="s">
        <v>1954</v>
      </c>
      <c r="F1463" s="1" t="s">
        <v>759</v>
      </c>
      <c r="G1463" s="1" t="s">
        <v>990</v>
      </c>
      <c r="H1463" s="3">
        <v>45989</v>
      </c>
      <c r="I1463" s="1" t="s">
        <v>933</v>
      </c>
      <c r="J1463" s="1" t="s">
        <v>66</v>
      </c>
      <c r="K1463" s="1" t="s">
        <v>340</v>
      </c>
      <c r="L1463" s="1" t="s">
        <v>2785</v>
      </c>
      <c r="M1463" s="3">
        <v>45975</v>
      </c>
      <c r="N1463" s="1" t="s">
        <v>75</v>
      </c>
      <c r="O1463" s="1" t="s">
        <v>936</v>
      </c>
      <c r="P1463" s="1">
        <v>1</v>
      </c>
    </row>
    <row r="1464" spans="1:16" x14ac:dyDescent="0.25">
      <c r="A1464" s="3">
        <v>45965</v>
      </c>
      <c r="B1464" s="4">
        <v>10555</v>
      </c>
      <c r="C1464" s="5">
        <v>944</v>
      </c>
      <c r="D1464" s="1" t="s">
        <v>1801</v>
      </c>
      <c r="E1464" s="1" t="s">
        <v>1802</v>
      </c>
      <c r="F1464" s="1" t="s">
        <v>166</v>
      </c>
      <c r="G1464" s="1" t="s">
        <v>998</v>
      </c>
      <c r="H1464" s="3">
        <v>46001</v>
      </c>
      <c r="I1464" s="1" t="s">
        <v>933</v>
      </c>
      <c r="J1464" s="1" t="s">
        <v>66</v>
      </c>
      <c r="K1464" s="1" t="s">
        <v>52</v>
      </c>
      <c r="L1464" s="1" t="s">
        <v>2786</v>
      </c>
      <c r="M1464" s="3">
        <v>45985</v>
      </c>
      <c r="N1464" s="1" t="s">
        <v>170</v>
      </c>
      <c r="O1464" s="1" t="s">
        <v>998</v>
      </c>
      <c r="P1464" s="1">
        <v>1</v>
      </c>
    </row>
    <row r="1465" spans="1:16" x14ac:dyDescent="0.25">
      <c r="A1465" s="3">
        <v>45965</v>
      </c>
      <c r="B1465" s="1">
        <v>932</v>
      </c>
      <c r="C1465" s="5">
        <v>4794</v>
      </c>
      <c r="D1465" s="1" t="s">
        <v>1294</v>
      </c>
      <c r="E1465" s="1" t="s">
        <v>1295</v>
      </c>
      <c r="F1465" s="1" t="s">
        <v>430</v>
      </c>
      <c r="G1465" s="1" t="s">
        <v>940</v>
      </c>
      <c r="H1465" s="3">
        <v>45986</v>
      </c>
      <c r="I1465" s="1" t="s">
        <v>933</v>
      </c>
      <c r="J1465" s="1" t="s">
        <v>66</v>
      </c>
      <c r="K1465" s="1" t="s">
        <v>340</v>
      </c>
      <c r="L1465" s="1" t="s">
        <v>2787</v>
      </c>
      <c r="M1465" s="3">
        <v>45986</v>
      </c>
      <c r="N1465" s="1" t="s">
        <v>57</v>
      </c>
      <c r="O1465" s="1" t="s">
        <v>936</v>
      </c>
      <c r="P1465" s="1">
        <v>1</v>
      </c>
    </row>
    <row r="1466" spans="1:16" x14ac:dyDescent="0.25">
      <c r="A1466" s="3">
        <v>45965</v>
      </c>
      <c r="B1466" s="4">
        <v>47787</v>
      </c>
      <c r="C1466" s="5">
        <v>910</v>
      </c>
      <c r="D1466" s="1" t="s">
        <v>1489</v>
      </c>
      <c r="E1466" s="1" t="s">
        <v>1490</v>
      </c>
      <c r="F1466" s="1" t="s">
        <v>955</v>
      </c>
      <c r="G1466" s="1" t="s">
        <v>940</v>
      </c>
      <c r="H1466" s="3">
        <v>45999</v>
      </c>
      <c r="I1466" s="1" t="s">
        <v>933</v>
      </c>
      <c r="J1466" s="1" t="s">
        <v>951</v>
      </c>
      <c r="K1466" s="1" t="s">
        <v>20</v>
      </c>
      <c r="L1466" s="1" t="s">
        <v>2788</v>
      </c>
      <c r="M1466" s="3">
        <v>45986</v>
      </c>
      <c r="N1466" s="1" t="s">
        <v>821</v>
      </c>
      <c r="O1466" s="1" t="s">
        <v>936</v>
      </c>
      <c r="P1466" s="1">
        <v>1</v>
      </c>
    </row>
    <row r="1467" spans="1:16" x14ac:dyDescent="0.25">
      <c r="A1467" s="3">
        <v>45965</v>
      </c>
      <c r="B1467" s="4">
        <v>1114</v>
      </c>
      <c r="C1467" s="5">
        <v>450</v>
      </c>
      <c r="D1467" s="1" t="s">
        <v>1074</v>
      </c>
      <c r="E1467" s="1" t="s">
        <v>1075</v>
      </c>
      <c r="F1467" s="1" t="s">
        <v>837</v>
      </c>
      <c r="G1467" s="1" t="s">
        <v>1058</v>
      </c>
      <c r="H1467" s="3">
        <v>46001</v>
      </c>
      <c r="I1467" s="1" t="s">
        <v>933</v>
      </c>
      <c r="J1467" s="1" t="s">
        <v>2789</v>
      </c>
      <c r="K1467" s="1" t="s">
        <v>340</v>
      </c>
      <c r="L1467" s="1" t="s">
        <v>2790</v>
      </c>
      <c r="M1467" s="3">
        <v>45986</v>
      </c>
      <c r="N1467" s="1" t="e">
        <v>#REF!</v>
      </c>
      <c r="O1467" s="1" t="s">
        <v>936</v>
      </c>
      <c r="P1467" s="1">
        <v>1</v>
      </c>
    </row>
    <row r="1468" spans="1:16" x14ac:dyDescent="0.25">
      <c r="A1468" s="3">
        <v>45965</v>
      </c>
      <c r="B1468" s="4">
        <v>1114</v>
      </c>
      <c r="C1468" s="5">
        <v>800</v>
      </c>
      <c r="D1468" s="1" t="s">
        <v>1074</v>
      </c>
      <c r="E1468" s="1" t="s">
        <v>1075</v>
      </c>
      <c r="F1468" s="1" t="s">
        <v>745</v>
      </c>
      <c r="G1468" s="1" t="s">
        <v>1058</v>
      </c>
      <c r="H1468" s="3">
        <v>46001</v>
      </c>
      <c r="I1468" s="1" t="s">
        <v>933</v>
      </c>
      <c r="J1468" s="1" t="s">
        <v>951</v>
      </c>
      <c r="K1468" s="1" t="s">
        <v>340</v>
      </c>
      <c r="L1468" s="1" t="s">
        <v>2791</v>
      </c>
      <c r="M1468" s="3">
        <v>45986</v>
      </c>
      <c r="N1468" s="1" t="s">
        <v>50</v>
      </c>
      <c r="O1468" s="1" t="s">
        <v>936</v>
      </c>
      <c r="P1468" s="1">
        <v>1</v>
      </c>
    </row>
    <row r="1469" spans="1:16" x14ac:dyDescent="0.25">
      <c r="A1469" s="3">
        <v>45965</v>
      </c>
      <c r="B1469" s="4">
        <v>1114</v>
      </c>
      <c r="C1469" s="5">
        <v>330</v>
      </c>
      <c r="D1469" s="1" t="s">
        <v>1074</v>
      </c>
      <c r="E1469" s="1" t="s">
        <v>1075</v>
      </c>
      <c r="F1469" s="1" t="s">
        <v>453</v>
      </c>
      <c r="G1469" s="1" t="s">
        <v>1058</v>
      </c>
      <c r="H1469" s="3">
        <v>46001</v>
      </c>
      <c r="I1469" s="1" t="s">
        <v>933</v>
      </c>
      <c r="J1469" s="1" t="s">
        <v>66</v>
      </c>
      <c r="K1469" s="1" t="s">
        <v>340</v>
      </c>
      <c r="L1469" s="1" t="s">
        <v>2792</v>
      </c>
      <c r="M1469" s="3">
        <v>45986</v>
      </c>
      <c r="N1469" s="1" t="s">
        <v>455</v>
      </c>
      <c r="O1469" s="1" t="s">
        <v>936</v>
      </c>
      <c r="P1469" s="1">
        <v>1</v>
      </c>
    </row>
    <row r="1470" spans="1:16" x14ac:dyDescent="0.25">
      <c r="A1470" s="3">
        <v>45965</v>
      </c>
      <c r="B1470" s="4">
        <v>2362</v>
      </c>
      <c r="C1470" s="5">
        <v>250</v>
      </c>
      <c r="D1470" s="1" t="s">
        <v>1182</v>
      </c>
      <c r="E1470" s="1" t="s">
        <v>1183</v>
      </c>
      <c r="F1470" s="1" t="s">
        <v>955</v>
      </c>
      <c r="G1470" s="1" t="s">
        <v>940</v>
      </c>
      <c r="H1470" s="3">
        <v>46001</v>
      </c>
      <c r="I1470" s="1" t="s">
        <v>933</v>
      </c>
      <c r="J1470" s="1"/>
      <c r="K1470" s="1" t="s">
        <v>308</v>
      </c>
      <c r="L1470" s="1" t="s">
        <v>2793</v>
      </c>
      <c r="M1470" s="3">
        <v>45986</v>
      </c>
      <c r="N1470" s="1"/>
      <c r="O1470" s="1"/>
      <c r="P1470" s="1"/>
    </row>
    <row r="1471" spans="1:16" x14ac:dyDescent="0.25">
      <c r="A1471" s="3">
        <v>45966</v>
      </c>
      <c r="B1471" s="4">
        <v>94749</v>
      </c>
      <c r="C1471" s="5">
        <v>55700</v>
      </c>
      <c r="D1471" s="1" t="s">
        <v>1094</v>
      </c>
      <c r="E1471" s="1" t="s">
        <v>1095</v>
      </c>
      <c r="F1471" s="1" t="s">
        <v>955</v>
      </c>
      <c r="G1471" s="1" t="s">
        <v>998</v>
      </c>
      <c r="H1471" s="3">
        <v>45996</v>
      </c>
      <c r="I1471" s="1" t="s">
        <v>933</v>
      </c>
      <c r="J1471" s="1" t="s">
        <v>951</v>
      </c>
      <c r="K1471" s="1" t="s">
        <v>20</v>
      </c>
      <c r="L1471" s="1" t="s">
        <v>2794</v>
      </c>
      <c r="M1471" s="3">
        <v>45966</v>
      </c>
      <c r="N1471" s="1" t="s">
        <v>821</v>
      </c>
      <c r="O1471" s="1" t="s">
        <v>998</v>
      </c>
      <c r="P1471" s="1">
        <v>1</v>
      </c>
    </row>
    <row r="1472" spans="1:16" x14ac:dyDescent="0.25">
      <c r="A1472" s="3">
        <v>45966</v>
      </c>
      <c r="B1472" s="4">
        <v>47626</v>
      </c>
      <c r="C1472" s="5">
        <v>1175</v>
      </c>
      <c r="D1472" s="1" t="s">
        <v>1489</v>
      </c>
      <c r="E1472" s="1" t="s">
        <v>1490</v>
      </c>
      <c r="F1472" s="1" t="s">
        <v>955</v>
      </c>
      <c r="G1472" s="1" t="s">
        <v>940</v>
      </c>
      <c r="H1472" s="3">
        <v>45996</v>
      </c>
      <c r="I1472" s="1" t="s">
        <v>933</v>
      </c>
      <c r="J1472" s="1" t="s">
        <v>951</v>
      </c>
      <c r="K1472" s="1" t="s">
        <v>20</v>
      </c>
      <c r="L1472" s="1" t="s">
        <v>2795</v>
      </c>
      <c r="M1472" s="3">
        <v>45966</v>
      </c>
      <c r="N1472" s="1" t="s">
        <v>821</v>
      </c>
      <c r="O1472" s="1" t="s">
        <v>936</v>
      </c>
      <c r="P1472" s="1">
        <v>1</v>
      </c>
    </row>
    <row r="1473" spans="1:16" x14ac:dyDescent="0.25">
      <c r="A1473" s="3">
        <v>45966</v>
      </c>
      <c r="B1473" s="1">
        <v>264</v>
      </c>
      <c r="C1473" s="5">
        <v>11556</v>
      </c>
      <c r="D1473" s="1" t="s">
        <v>2360</v>
      </c>
      <c r="E1473" s="1" t="s">
        <v>2361</v>
      </c>
      <c r="F1473" s="1" t="s">
        <v>955</v>
      </c>
      <c r="G1473" s="1" t="s">
        <v>940</v>
      </c>
      <c r="H1473" s="6">
        <v>46361</v>
      </c>
      <c r="I1473" s="1" t="s">
        <v>933</v>
      </c>
      <c r="J1473" s="1" t="s">
        <v>951</v>
      </c>
      <c r="K1473" s="1" t="s">
        <v>52</v>
      </c>
      <c r="L1473" s="1" t="s">
        <v>2796</v>
      </c>
      <c r="M1473" s="3">
        <v>45966</v>
      </c>
      <c r="N1473" s="1" t="s">
        <v>821</v>
      </c>
      <c r="O1473" s="1" t="s">
        <v>936</v>
      </c>
      <c r="P1473" s="1" t="s">
        <v>937</v>
      </c>
    </row>
    <row r="1474" spans="1:16" x14ac:dyDescent="0.25">
      <c r="A1474" s="3">
        <v>45966</v>
      </c>
      <c r="B1474" s="4">
        <v>290341</v>
      </c>
      <c r="C1474" s="5">
        <v>512.98</v>
      </c>
      <c r="D1474" s="1" t="s">
        <v>1098</v>
      </c>
      <c r="E1474" s="1" t="s">
        <v>1099</v>
      </c>
      <c r="F1474" s="1" t="s">
        <v>218</v>
      </c>
      <c r="G1474" s="1" t="s">
        <v>940</v>
      </c>
      <c r="H1474" s="3">
        <v>45996</v>
      </c>
      <c r="I1474" s="1" t="s">
        <v>933</v>
      </c>
      <c r="J1474" s="1" t="s">
        <v>66</v>
      </c>
      <c r="K1474" s="1" t="s">
        <v>1654</v>
      </c>
      <c r="L1474" s="1" t="s">
        <v>2797</v>
      </c>
      <c r="M1474" s="3">
        <v>45966</v>
      </c>
      <c r="N1474" s="1" t="s">
        <v>221</v>
      </c>
      <c r="O1474" s="1" t="s">
        <v>936</v>
      </c>
      <c r="P1474" s="1">
        <v>1</v>
      </c>
    </row>
    <row r="1475" spans="1:16" x14ac:dyDescent="0.25">
      <c r="A1475" s="3">
        <v>45966</v>
      </c>
      <c r="B1475" s="4">
        <v>9237</v>
      </c>
      <c r="C1475" s="5">
        <v>9699.8799999999992</v>
      </c>
      <c r="D1475" s="1" t="s">
        <v>973</v>
      </c>
      <c r="E1475" s="1" t="s">
        <v>1068</v>
      </c>
      <c r="F1475" s="1" t="s">
        <v>1814</v>
      </c>
      <c r="G1475" s="1" t="s">
        <v>998</v>
      </c>
      <c r="H1475" s="3">
        <v>45981</v>
      </c>
      <c r="I1475" s="1" t="s">
        <v>1814</v>
      </c>
      <c r="J1475" s="1" t="s">
        <v>66</v>
      </c>
      <c r="K1475" s="1" t="s">
        <v>340</v>
      </c>
      <c r="L1475" s="1" t="s">
        <v>2798</v>
      </c>
      <c r="M1475" s="3">
        <v>45967</v>
      </c>
      <c r="N1475" s="1" t="s">
        <v>1814</v>
      </c>
      <c r="O1475" s="1" t="s">
        <v>998</v>
      </c>
      <c r="P1475" s="1">
        <v>1</v>
      </c>
    </row>
    <row r="1476" spans="1:16" x14ac:dyDescent="0.25">
      <c r="A1476" s="3">
        <v>45966</v>
      </c>
      <c r="B1476" s="4">
        <v>1822</v>
      </c>
      <c r="C1476" s="5">
        <v>564</v>
      </c>
      <c r="D1476" s="1" t="s">
        <v>953</v>
      </c>
      <c r="E1476" s="1" t="s">
        <v>954</v>
      </c>
      <c r="F1476" s="1" t="s">
        <v>955</v>
      </c>
      <c r="G1476" s="1" t="s">
        <v>940</v>
      </c>
      <c r="H1476" s="3">
        <v>45993</v>
      </c>
      <c r="I1476" s="1" t="s">
        <v>933</v>
      </c>
      <c r="J1476" s="1"/>
      <c r="K1476" s="1" t="s">
        <v>20</v>
      </c>
      <c r="L1476" s="1" t="s">
        <v>2799</v>
      </c>
      <c r="M1476" s="3">
        <v>45967</v>
      </c>
      <c r="N1476" s="1"/>
      <c r="O1476" s="1" t="s">
        <v>936</v>
      </c>
      <c r="P1476" s="1">
        <v>1</v>
      </c>
    </row>
    <row r="1477" spans="1:16" x14ac:dyDescent="0.25">
      <c r="A1477" s="3">
        <v>45966</v>
      </c>
      <c r="B1477" s="4">
        <v>1546328</v>
      </c>
      <c r="C1477" s="5">
        <v>50</v>
      </c>
      <c r="D1477" s="1" t="s">
        <v>2800</v>
      </c>
      <c r="E1477" s="1" t="s">
        <v>2801</v>
      </c>
      <c r="F1477" s="1" t="s">
        <v>955</v>
      </c>
      <c r="G1477" s="1" t="s">
        <v>998</v>
      </c>
      <c r="H1477" s="3">
        <v>45980</v>
      </c>
      <c r="I1477" s="1" t="s">
        <v>933</v>
      </c>
      <c r="J1477" s="1" t="s">
        <v>951</v>
      </c>
      <c r="K1477" s="1" t="s">
        <v>996</v>
      </c>
      <c r="L1477" s="1" t="s">
        <v>2802</v>
      </c>
      <c r="M1477" s="3">
        <v>45968</v>
      </c>
      <c r="N1477" s="1" t="s">
        <v>821</v>
      </c>
      <c r="O1477" s="1" t="s">
        <v>937</v>
      </c>
      <c r="P1477" s="1">
        <v>1</v>
      </c>
    </row>
    <row r="1478" spans="1:16" x14ac:dyDescent="0.25">
      <c r="A1478" s="3">
        <v>45966</v>
      </c>
      <c r="B1478" s="4">
        <v>9225</v>
      </c>
      <c r="C1478" s="5">
        <v>723</v>
      </c>
      <c r="D1478" s="1" t="s">
        <v>973</v>
      </c>
      <c r="E1478" s="1" t="s">
        <v>1068</v>
      </c>
      <c r="F1478" s="1" t="s">
        <v>304</v>
      </c>
      <c r="G1478" s="1" t="s">
        <v>932</v>
      </c>
      <c r="H1478" s="3">
        <v>45983</v>
      </c>
      <c r="I1478" s="1" t="s">
        <v>933</v>
      </c>
      <c r="J1478" s="1" t="s">
        <v>66</v>
      </c>
      <c r="K1478" s="1" t="s">
        <v>996</v>
      </c>
      <c r="L1478" s="1"/>
      <c r="M1478" s="3">
        <v>45969</v>
      </c>
      <c r="N1478" s="1" t="s">
        <v>57</v>
      </c>
      <c r="O1478" s="1" t="s">
        <v>998</v>
      </c>
      <c r="P1478" s="1">
        <v>1</v>
      </c>
    </row>
    <row r="1479" spans="1:16" x14ac:dyDescent="0.25">
      <c r="A1479" s="3">
        <v>45966</v>
      </c>
      <c r="B1479" s="1">
        <v>23</v>
      </c>
      <c r="C1479" s="5">
        <v>6190</v>
      </c>
      <c r="D1479" s="1" t="s">
        <v>2803</v>
      </c>
      <c r="E1479" s="1" t="s">
        <v>2804</v>
      </c>
      <c r="F1479" s="1" t="s">
        <v>955</v>
      </c>
      <c r="G1479" s="1" t="s">
        <v>20</v>
      </c>
      <c r="H1479" s="3">
        <v>45983</v>
      </c>
      <c r="I1479" s="1" t="s">
        <v>933</v>
      </c>
      <c r="J1479" s="1" t="s">
        <v>951</v>
      </c>
      <c r="K1479" s="1" t="s">
        <v>817</v>
      </c>
      <c r="L1479" s="1" t="s">
        <v>2805</v>
      </c>
      <c r="M1479" s="3">
        <v>45973</v>
      </c>
      <c r="N1479" s="1" t="s">
        <v>821</v>
      </c>
      <c r="O1479" s="1" t="s">
        <v>936</v>
      </c>
      <c r="P1479" s="1">
        <v>1</v>
      </c>
    </row>
    <row r="1480" spans="1:16" x14ac:dyDescent="0.25">
      <c r="A1480" s="3">
        <v>45967</v>
      </c>
      <c r="B1480" s="1">
        <v>17</v>
      </c>
      <c r="C1480" s="5">
        <v>8980</v>
      </c>
      <c r="D1480" s="1" t="s">
        <v>2512</v>
      </c>
      <c r="E1480" s="1" t="s">
        <v>2513</v>
      </c>
      <c r="F1480" s="1" t="s">
        <v>955</v>
      </c>
      <c r="G1480" s="1" t="s">
        <v>940</v>
      </c>
      <c r="H1480" s="3">
        <v>45982</v>
      </c>
      <c r="I1480" s="1" t="s">
        <v>933</v>
      </c>
      <c r="J1480" s="1" t="s">
        <v>951</v>
      </c>
      <c r="K1480" s="1" t="s">
        <v>52</v>
      </c>
      <c r="L1480" s="1" t="s">
        <v>2806</v>
      </c>
      <c r="M1480" s="3">
        <v>45967</v>
      </c>
      <c r="N1480" s="1" t="s">
        <v>821</v>
      </c>
      <c r="O1480" s="1" t="s">
        <v>936</v>
      </c>
      <c r="P1480" s="1" t="s">
        <v>937</v>
      </c>
    </row>
    <row r="1481" spans="1:16" x14ac:dyDescent="0.25">
      <c r="A1481" s="3">
        <v>45967</v>
      </c>
      <c r="B1481" s="1">
        <v>16</v>
      </c>
      <c r="C1481" s="5">
        <v>5528</v>
      </c>
      <c r="D1481" s="1" t="s">
        <v>2512</v>
      </c>
      <c r="E1481" s="1" t="s">
        <v>2513</v>
      </c>
      <c r="F1481" s="1" t="s">
        <v>955</v>
      </c>
      <c r="G1481" s="1" t="s">
        <v>940</v>
      </c>
      <c r="H1481" s="3">
        <v>45982</v>
      </c>
      <c r="I1481" s="1" t="s">
        <v>933</v>
      </c>
      <c r="J1481" s="1" t="s">
        <v>951</v>
      </c>
      <c r="K1481" s="1" t="s">
        <v>52</v>
      </c>
      <c r="L1481" s="1" t="s">
        <v>2806</v>
      </c>
      <c r="M1481" s="3">
        <v>45967</v>
      </c>
      <c r="N1481" s="1" t="s">
        <v>821</v>
      </c>
      <c r="O1481" s="1" t="s">
        <v>936</v>
      </c>
      <c r="P1481" s="1" t="s">
        <v>937</v>
      </c>
    </row>
    <row r="1482" spans="1:16" x14ac:dyDescent="0.25">
      <c r="A1482" s="3">
        <v>45967</v>
      </c>
      <c r="B1482" s="4">
        <v>1114</v>
      </c>
      <c r="C1482" s="5">
        <v>280</v>
      </c>
      <c r="D1482" s="1" t="s">
        <v>1074</v>
      </c>
      <c r="E1482" s="1" t="s">
        <v>1075</v>
      </c>
      <c r="F1482" s="1" t="s">
        <v>304</v>
      </c>
      <c r="G1482" s="1" t="s">
        <v>1058</v>
      </c>
      <c r="H1482" s="3">
        <v>46001</v>
      </c>
      <c r="I1482" s="1" t="s">
        <v>933</v>
      </c>
      <c r="J1482" s="1" t="s">
        <v>951</v>
      </c>
      <c r="K1482" s="1" t="s">
        <v>996</v>
      </c>
      <c r="L1482" s="1" t="s">
        <v>2807</v>
      </c>
      <c r="M1482" s="3">
        <v>45986</v>
      </c>
      <c r="N1482" s="1" t="s">
        <v>57</v>
      </c>
      <c r="O1482" s="1" t="s">
        <v>936</v>
      </c>
      <c r="P1482" s="1">
        <v>1</v>
      </c>
    </row>
    <row r="1483" spans="1:16" x14ac:dyDescent="0.25">
      <c r="A1483" s="3">
        <v>45967</v>
      </c>
      <c r="B1483" s="4">
        <v>1114</v>
      </c>
      <c r="C1483" s="5">
        <v>533</v>
      </c>
      <c r="D1483" s="1" t="s">
        <v>1074</v>
      </c>
      <c r="E1483" s="1" t="s">
        <v>1075</v>
      </c>
      <c r="F1483" s="1" t="s">
        <v>350</v>
      </c>
      <c r="G1483" s="1" t="s">
        <v>1058</v>
      </c>
      <c r="H1483" s="3">
        <v>46001</v>
      </c>
      <c r="I1483" s="1" t="s">
        <v>933</v>
      </c>
      <c r="J1483" s="1" t="s">
        <v>951</v>
      </c>
      <c r="K1483" s="1" t="s">
        <v>308</v>
      </c>
      <c r="L1483" s="1" t="s">
        <v>2808</v>
      </c>
      <c r="M1483" s="3">
        <v>45986</v>
      </c>
      <c r="N1483" s="1" t="s">
        <v>233</v>
      </c>
      <c r="O1483" s="1" t="e">
        <v>#REF!</v>
      </c>
      <c r="P1483" s="1" t="e">
        <v>#REF!</v>
      </c>
    </row>
    <row r="1484" spans="1:16" x14ac:dyDescent="0.25">
      <c r="A1484" s="3">
        <v>45967</v>
      </c>
      <c r="B1484" s="4">
        <v>1114</v>
      </c>
      <c r="C1484" s="5">
        <v>80</v>
      </c>
      <c r="D1484" s="1" t="s">
        <v>1074</v>
      </c>
      <c r="E1484" s="1" t="s">
        <v>1075</v>
      </c>
      <c r="F1484" s="1" t="s">
        <v>955</v>
      </c>
      <c r="G1484" s="1" t="s">
        <v>1058</v>
      </c>
      <c r="H1484" s="3">
        <v>46001</v>
      </c>
      <c r="I1484" s="1" t="s">
        <v>933</v>
      </c>
      <c r="J1484" s="1" t="s">
        <v>951</v>
      </c>
      <c r="K1484" s="1" t="s">
        <v>817</v>
      </c>
      <c r="L1484" s="1" t="s">
        <v>2809</v>
      </c>
      <c r="M1484" s="3">
        <v>45986</v>
      </c>
      <c r="N1484" s="1" t="s">
        <v>821</v>
      </c>
      <c r="O1484" s="1" t="s">
        <v>936</v>
      </c>
      <c r="P1484" s="1">
        <v>1</v>
      </c>
    </row>
    <row r="1485" spans="1:16" x14ac:dyDescent="0.25">
      <c r="A1485" s="3">
        <v>45967</v>
      </c>
      <c r="B1485" s="4">
        <v>1114</v>
      </c>
      <c r="C1485" s="5">
        <v>280</v>
      </c>
      <c r="D1485" s="1" t="s">
        <v>1074</v>
      </c>
      <c r="E1485" s="1" t="s">
        <v>1075</v>
      </c>
      <c r="F1485" s="1" t="s">
        <v>339</v>
      </c>
      <c r="G1485" s="1" t="s">
        <v>1058</v>
      </c>
      <c r="H1485" s="3">
        <v>37965</v>
      </c>
      <c r="I1485" s="1" t="s">
        <v>933</v>
      </c>
      <c r="J1485" s="1" t="s">
        <v>951</v>
      </c>
      <c r="K1485" s="1" t="s">
        <v>340</v>
      </c>
      <c r="L1485" s="1" t="s">
        <v>2810</v>
      </c>
      <c r="M1485" s="3">
        <v>45986</v>
      </c>
      <c r="N1485" s="1" t="s">
        <v>57</v>
      </c>
      <c r="O1485" s="1" t="s">
        <v>936</v>
      </c>
      <c r="P1485" s="1">
        <v>1</v>
      </c>
    </row>
    <row r="1486" spans="1:16" x14ac:dyDescent="0.25">
      <c r="A1486" s="3">
        <v>45967</v>
      </c>
      <c r="B1486" s="4">
        <v>1114</v>
      </c>
      <c r="C1486" s="5">
        <v>230</v>
      </c>
      <c r="D1486" s="1" t="s">
        <v>1074</v>
      </c>
      <c r="E1486" s="1" t="s">
        <v>1075</v>
      </c>
      <c r="F1486" s="1" t="s">
        <v>451</v>
      </c>
      <c r="G1486" s="1" t="s">
        <v>1058</v>
      </c>
      <c r="H1486" s="3">
        <v>46001</v>
      </c>
      <c r="I1486" s="1" t="s">
        <v>933</v>
      </c>
      <c r="J1486" s="1" t="s">
        <v>66</v>
      </c>
      <c r="K1486" s="1" t="s">
        <v>1654</v>
      </c>
      <c r="L1486" s="1" t="s">
        <v>2811</v>
      </c>
      <c r="M1486" s="3">
        <v>45986</v>
      </c>
      <c r="N1486" s="1" t="s">
        <v>212</v>
      </c>
      <c r="O1486" s="1" t="s">
        <v>936</v>
      </c>
      <c r="P1486" s="1">
        <v>1</v>
      </c>
    </row>
    <row r="1487" spans="1:16" x14ac:dyDescent="0.25">
      <c r="A1487" s="3">
        <v>45967</v>
      </c>
      <c r="B1487" s="4">
        <v>1114</v>
      </c>
      <c r="C1487" s="5">
        <v>400</v>
      </c>
      <c r="D1487" s="1" t="s">
        <v>1074</v>
      </c>
      <c r="E1487" s="1" t="s">
        <v>1075</v>
      </c>
      <c r="F1487" s="1" t="s">
        <v>599</v>
      </c>
      <c r="G1487" s="1" t="s">
        <v>1058</v>
      </c>
      <c r="H1487" s="3">
        <v>46001</v>
      </c>
      <c r="I1487" s="1" t="s">
        <v>933</v>
      </c>
      <c r="J1487" s="1" t="s">
        <v>66</v>
      </c>
      <c r="K1487" s="1" t="s">
        <v>340</v>
      </c>
      <c r="L1487" s="1" t="s">
        <v>2812</v>
      </c>
      <c r="M1487" s="3">
        <v>45986</v>
      </c>
      <c r="N1487" s="1" t="s">
        <v>57</v>
      </c>
      <c r="O1487" s="1" t="s">
        <v>936</v>
      </c>
      <c r="P1487" s="1">
        <v>1</v>
      </c>
    </row>
    <row r="1488" spans="1:16" x14ac:dyDescent="0.25">
      <c r="A1488" s="3">
        <v>45967</v>
      </c>
      <c r="B1488" s="4">
        <v>1114</v>
      </c>
      <c r="C1488" s="5">
        <v>180</v>
      </c>
      <c r="D1488" s="1" t="s">
        <v>1074</v>
      </c>
      <c r="E1488" s="1" t="s">
        <v>1075</v>
      </c>
      <c r="F1488" s="1" t="s">
        <v>635</v>
      </c>
      <c r="G1488" s="1" t="s">
        <v>1058</v>
      </c>
      <c r="H1488" s="3">
        <v>46001</v>
      </c>
      <c r="I1488" s="1" t="s">
        <v>933</v>
      </c>
      <c r="J1488" s="1" t="s">
        <v>66</v>
      </c>
      <c r="K1488" s="1" t="s">
        <v>340</v>
      </c>
      <c r="L1488" s="1" t="s">
        <v>2813</v>
      </c>
      <c r="M1488" s="3">
        <v>45986</v>
      </c>
      <c r="N1488" s="1" t="s">
        <v>429</v>
      </c>
      <c r="O1488" s="1" t="s">
        <v>936</v>
      </c>
      <c r="P1488" s="1">
        <v>1</v>
      </c>
    </row>
    <row r="1489" spans="1:16" x14ac:dyDescent="0.25">
      <c r="A1489" s="3">
        <v>45967</v>
      </c>
      <c r="B1489" s="4">
        <v>1114</v>
      </c>
      <c r="C1489" s="5">
        <v>230</v>
      </c>
      <c r="D1489" s="1" t="s">
        <v>1074</v>
      </c>
      <c r="E1489" s="1" t="s">
        <v>1075</v>
      </c>
      <c r="F1489" s="1" t="s">
        <v>683</v>
      </c>
      <c r="G1489" s="1" t="s">
        <v>1058</v>
      </c>
      <c r="H1489" s="3">
        <v>46001</v>
      </c>
      <c r="I1489" s="1" t="s">
        <v>933</v>
      </c>
      <c r="J1489" s="1" t="s">
        <v>66</v>
      </c>
      <c r="K1489" s="1" t="s">
        <v>308</v>
      </c>
      <c r="L1489" s="1" t="s">
        <v>2814</v>
      </c>
      <c r="M1489" s="3">
        <v>45986</v>
      </c>
      <c r="N1489" s="1" t="s">
        <v>75</v>
      </c>
      <c r="O1489" s="1">
        <v>11</v>
      </c>
      <c r="P1489" s="1">
        <v>1</v>
      </c>
    </row>
    <row r="1490" spans="1:16" x14ac:dyDescent="0.25">
      <c r="A1490" s="3">
        <v>45967</v>
      </c>
      <c r="B1490" s="4">
        <v>1114</v>
      </c>
      <c r="C1490" s="5">
        <v>600</v>
      </c>
      <c r="D1490" s="1" t="s">
        <v>1074</v>
      </c>
      <c r="E1490" s="1" t="s">
        <v>1075</v>
      </c>
      <c r="F1490" s="1" t="s">
        <v>553</v>
      </c>
      <c r="G1490" s="1" t="s">
        <v>1058</v>
      </c>
      <c r="H1490" s="3">
        <v>46001</v>
      </c>
      <c r="I1490" s="1" t="s">
        <v>933</v>
      </c>
      <c r="J1490" s="1" t="s">
        <v>66</v>
      </c>
      <c r="K1490" s="1" t="s">
        <v>20</v>
      </c>
      <c r="L1490" s="1" t="s">
        <v>2815</v>
      </c>
      <c r="M1490" s="3">
        <v>45986</v>
      </c>
      <c r="N1490" s="1" t="s">
        <v>57</v>
      </c>
      <c r="O1490" s="1" t="s">
        <v>936</v>
      </c>
      <c r="P1490" s="1">
        <v>1</v>
      </c>
    </row>
    <row r="1491" spans="1:16" x14ac:dyDescent="0.25">
      <c r="A1491" s="3">
        <v>45967</v>
      </c>
      <c r="B1491" s="4">
        <v>1114</v>
      </c>
      <c r="C1491" s="5">
        <v>250</v>
      </c>
      <c r="D1491" s="1" t="s">
        <v>1074</v>
      </c>
      <c r="E1491" s="1" t="s">
        <v>1075</v>
      </c>
      <c r="F1491" s="1" t="s">
        <v>437</v>
      </c>
      <c r="G1491" s="1" t="s">
        <v>1058</v>
      </c>
      <c r="H1491" s="3">
        <v>46001</v>
      </c>
      <c r="I1491" s="1" t="s">
        <v>933</v>
      </c>
      <c r="J1491" s="1" t="s">
        <v>66</v>
      </c>
      <c r="K1491" s="1"/>
      <c r="L1491" s="1" t="s">
        <v>2816</v>
      </c>
      <c r="M1491" s="3">
        <v>45986</v>
      </c>
      <c r="N1491" s="1" t="s">
        <v>440</v>
      </c>
      <c r="O1491" s="1" t="s">
        <v>936</v>
      </c>
      <c r="P1491" s="1">
        <v>1</v>
      </c>
    </row>
    <row r="1492" spans="1:16" x14ac:dyDescent="0.25">
      <c r="A1492" s="3">
        <v>45967</v>
      </c>
      <c r="B1492" s="4">
        <v>1828</v>
      </c>
      <c r="C1492" s="5">
        <v>152</v>
      </c>
      <c r="D1492" s="1" t="s">
        <v>953</v>
      </c>
      <c r="E1492" s="1" t="s">
        <v>954</v>
      </c>
      <c r="F1492" s="1" t="s">
        <v>955</v>
      </c>
      <c r="G1492" s="1" t="s">
        <v>940</v>
      </c>
      <c r="H1492" s="3">
        <v>45996</v>
      </c>
      <c r="I1492" s="1" t="s">
        <v>933</v>
      </c>
      <c r="J1492" s="1" t="s">
        <v>951</v>
      </c>
      <c r="K1492" s="1" t="s">
        <v>20</v>
      </c>
      <c r="L1492" s="1" t="s">
        <v>2817</v>
      </c>
      <c r="M1492" s="3">
        <v>45965</v>
      </c>
      <c r="N1492" s="1" t="s">
        <v>821</v>
      </c>
      <c r="O1492" s="1" t="s">
        <v>936</v>
      </c>
      <c r="P1492" s="1">
        <v>1</v>
      </c>
    </row>
    <row r="1493" spans="1:16" x14ac:dyDescent="0.25">
      <c r="A1493" s="3">
        <v>45967</v>
      </c>
      <c r="B1493" s="4">
        <v>1827</v>
      </c>
      <c r="C1493" s="5">
        <v>273</v>
      </c>
      <c r="D1493" s="1" t="s">
        <v>953</v>
      </c>
      <c r="E1493" s="1" t="s">
        <v>954</v>
      </c>
      <c r="F1493" s="1" t="s">
        <v>955</v>
      </c>
      <c r="G1493" s="1" t="s">
        <v>1082</v>
      </c>
      <c r="H1493" s="3">
        <v>45996</v>
      </c>
      <c r="I1493" s="1" t="s">
        <v>933</v>
      </c>
      <c r="J1493" s="1" t="s">
        <v>951</v>
      </c>
      <c r="K1493" s="1" t="s">
        <v>20</v>
      </c>
      <c r="L1493" s="1" t="s">
        <v>2818</v>
      </c>
      <c r="M1493" s="3">
        <v>45965</v>
      </c>
      <c r="N1493" s="1" t="s">
        <v>821</v>
      </c>
      <c r="O1493" s="1" t="s">
        <v>936</v>
      </c>
      <c r="P1493" s="1">
        <v>1</v>
      </c>
    </row>
    <row r="1494" spans="1:16" x14ac:dyDescent="0.25">
      <c r="A1494" s="3">
        <v>45967</v>
      </c>
      <c r="B1494" s="4">
        <v>1144</v>
      </c>
      <c r="C1494" s="5">
        <v>85</v>
      </c>
      <c r="D1494" s="1" t="s">
        <v>1074</v>
      </c>
      <c r="E1494" s="1" t="s">
        <v>1075</v>
      </c>
      <c r="F1494" s="1" t="s">
        <v>955</v>
      </c>
      <c r="G1494" s="1" t="s">
        <v>1058</v>
      </c>
      <c r="H1494" s="3">
        <v>46001</v>
      </c>
      <c r="I1494" s="1" t="s">
        <v>933</v>
      </c>
      <c r="J1494" s="1" t="s">
        <v>951</v>
      </c>
      <c r="K1494" s="1" t="s">
        <v>640</v>
      </c>
      <c r="L1494" s="1" t="s">
        <v>2819</v>
      </c>
      <c r="M1494" s="3">
        <v>45986</v>
      </c>
      <c r="N1494" s="1" t="s">
        <v>821</v>
      </c>
      <c r="O1494" s="1" t="s">
        <v>936</v>
      </c>
      <c r="P1494" s="1">
        <v>1</v>
      </c>
    </row>
    <row r="1495" spans="1:16" x14ac:dyDescent="0.25">
      <c r="A1495" s="3">
        <v>45968</v>
      </c>
      <c r="B1495" s="4">
        <v>1114</v>
      </c>
      <c r="C1495" s="5">
        <v>350</v>
      </c>
      <c r="D1495" s="1" t="s">
        <v>1074</v>
      </c>
      <c r="E1495" s="1" t="s">
        <v>1075</v>
      </c>
      <c r="F1495" s="1" t="s">
        <v>955</v>
      </c>
      <c r="G1495" s="1" t="s">
        <v>1058</v>
      </c>
      <c r="H1495" s="3">
        <v>46001</v>
      </c>
      <c r="I1495" s="1" t="s">
        <v>933</v>
      </c>
      <c r="J1495" s="1" t="s">
        <v>951</v>
      </c>
      <c r="K1495" s="1" t="s">
        <v>52</v>
      </c>
      <c r="L1495" s="1" t="s">
        <v>2820</v>
      </c>
      <c r="M1495" s="3">
        <v>45986</v>
      </c>
      <c r="N1495" s="1"/>
      <c r="O1495" s="1"/>
      <c r="P1495" s="1"/>
    </row>
    <row r="1496" spans="1:16" x14ac:dyDescent="0.25">
      <c r="A1496" s="3">
        <v>45968</v>
      </c>
      <c r="B1496" s="1">
        <v>6</v>
      </c>
      <c r="C1496" s="5">
        <v>11200</v>
      </c>
      <c r="D1496" s="1" t="s">
        <v>2821</v>
      </c>
      <c r="E1496" s="1" t="s">
        <v>2822</v>
      </c>
      <c r="F1496" s="1" t="s">
        <v>955</v>
      </c>
      <c r="G1496" s="1" t="s">
        <v>1082</v>
      </c>
      <c r="H1496" s="3">
        <v>45984</v>
      </c>
      <c r="I1496" s="1" t="s">
        <v>933</v>
      </c>
      <c r="J1496" s="1" t="s">
        <v>951</v>
      </c>
      <c r="K1496" s="1" t="s">
        <v>20</v>
      </c>
      <c r="L1496" s="1" t="s">
        <v>2823</v>
      </c>
      <c r="M1496" s="3">
        <v>45967</v>
      </c>
      <c r="N1496" s="1" t="s">
        <v>821</v>
      </c>
      <c r="O1496" s="1" t="s">
        <v>936</v>
      </c>
      <c r="P1496" s="1" t="s">
        <v>937</v>
      </c>
    </row>
    <row r="1497" spans="1:16" x14ac:dyDescent="0.25">
      <c r="A1497" s="3">
        <v>45968</v>
      </c>
      <c r="B1497" s="1">
        <v>91</v>
      </c>
      <c r="C1497" s="5">
        <v>130</v>
      </c>
      <c r="D1497" s="1" t="s">
        <v>1323</v>
      </c>
      <c r="E1497" s="1" t="s">
        <v>1324</v>
      </c>
      <c r="F1497" s="1" t="s">
        <v>218</v>
      </c>
      <c r="G1497" s="1" t="s">
        <v>940</v>
      </c>
      <c r="H1497" s="1" t="s">
        <v>1124</v>
      </c>
      <c r="I1497" s="1" t="s">
        <v>933</v>
      </c>
      <c r="J1497" s="1" t="s">
        <v>66</v>
      </c>
      <c r="K1497" s="1"/>
      <c r="L1497" s="1" t="s">
        <v>2824</v>
      </c>
      <c r="M1497" s="3">
        <v>45969</v>
      </c>
      <c r="N1497" s="1" t="s">
        <v>221</v>
      </c>
      <c r="O1497" s="1" t="s">
        <v>936</v>
      </c>
      <c r="P1497" s="1">
        <v>1</v>
      </c>
    </row>
    <row r="1498" spans="1:16" x14ac:dyDescent="0.25">
      <c r="A1498" s="3">
        <v>45968</v>
      </c>
      <c r="B1498" s="4">
        <v>9255</v>
      </c>
      <c r="C1498" s="5">
        <v>3279.68</v>
      </c>
      <c r="D1498" s="1" t="s">
        <v>973</v>
      </c>
      <c r="E1498" s="1" t="s">
        <v>1068</v>
      </c>
      <c r="F1498" s="1" t="s">
        <v>1814</v>
      </c>
      <c r="G1498" s="1" t="s">
        <v>998</v>
      </c>
      <c r="H1498" s="3">
        <v>45983</v>
      </c>
      <c r="I1498" s="1" t="s">
        <v>933</v>
      </c>
      <c r="J1498" s="1" t="s">
        <v>66</v>
      </c>
      <c r="K1498" s="1" t="s">
        <v>340</v>
      </c>
      <c r="L1498" s="1" t="s">
        <v>2825</v>
      </c>
      <c r="M1498" s="3">
        <v>45969</v>
      </c>
      <c r="N1498" s="1" t="s">
        <v>1814</v>
      </c>
      <c r="O1498" s="1" t="s">
        <v>998</v>
      </c>
      <c r="P1498" s="1">
        <v>1</v>
      </c>
    </row>
    <row r="1499" spans="1:16" x14ac:dyDescent="0.25">
      <c r="A1499" s="3">
        <v>45968</v>
      </c>
      <c r="B1499" s="4">
        <v>1583</v>
      </c>
      <c r="C1499" s="5">
        <v>1800</v>
      </c>
      <c r="D1499" s="1" t="s">
        <v>1080</v>
      </c>
      <c r="E1499" s="1" t="s">
        <v>1081</v>
      </c>
      <c r="F1499" s="1" t="s">
        <v>955</v>
      </c>
      <c r="G1499" s="1" t="s">
        <v>1082</v>
      </c>
      <c r="H1499" s="3">
        <v>45992</v>
      </c>
      <c r="I1499" s="1" t="s">
        <v>933</v>
      </c>
      <c r="J1499" s="1" t="s">
        <v>951</v>
      </c>
      <c r="K1499" s="1" t="s">
        <v>1654</v>
      </c>
      <c r="L1499" s="1" t="s">
        <v>2826</v>
      </c>
      <c r="M1499" s="3">
        <v>45973</v>
      </c>
      <c r="N1499" s="1" t="s">
        <v>821</v>
      </c>
      <c r="O1499" s="1" t="s">
        <v>936</v>
      </c>
      <c r="P1499" s="1">
        <v>1</v>
      </c>
    </row>
    <row r="1500" spans="1:16" x14ac:dyDescent="0.25">
      <c r="A1500" s="3">
        <v>45968</v>
      </c>
      <c r="B1500" s="4">
        <v>1583</v>
      </c>
      <c r="C1500" s="5">
        <v>1800</v>
      </c>
      <c r="D1500" s="1" t="s">
        <v>1080</v>
      </c>
      <c r="E1500" s="1" t="s">
        <v>1081</v>
      </c>
      <c r="F1500" s="1" t="s">
        <v>955</v>
      </c>
      <c r="G1500" s="1" t="s">
        <v>1082</v>
      </c>
      <c r="H1500" s="3">
        <v>45992</v>
      </c>
      <c r="I1500" s="1" t="s">
        <v>933</v>
      </c>
      <c r="J1500" s="1" t="s">
        <v>951</v>
      </c>
      <c r="K1500" s="1" t="s">
        <v>308</v>
      </c>
      <c r="L1500" s="1" t="s">
        <v>2827</v>
      </c>
      <c r="M1500" s="3">
        <v>45973</v>
      </c>
      <c r="N1500" s="1" t="s">
        <v>821</v>
      </c>
      <c r="O1500" s="1" t="s">
        <v>936</v>
      </c>
      <c r="P1500" s="1">
        <v>1</v>
      </c>
    </row>
    <row r="1501" spans="1:16" x14ac:dyDescent="0.25">
      <c r="A1501" s="3">
        <v>45968</v>
      </c>
      <c r="B1501" s="4">
        <v>1583</v>
      </c>
      <c r="C1501" s="5">
        <v>1800</v>
      </c>
      <c r="D1501" s="1" t="s">
        <v>1080</v>
      </c>
      <c r="E1501" s="1" t="s">
        <v>1081</v>
      </c>
      <c r="F1501" s="1" t="s">
        <v>955</v>
      </c>
      <c r="G1501" s="1" t="s">
        <v>1082</v>
      </c>
      <c r="H1501" s="3">
        <v>45992</v>
      </c>
      <c r="I1501" s="1" t="s">
        <v>933</v>
      </c>
      <c r="J1501" s="1" t="s">
        <v>951</v>
      </c>
      <c r="K1501" s="1" t="s">
        <v>308</v>
      </c>
      <c r="L1501" s="1" t="s">
        <v>2828</v>
      </c>
      <c r="M1501" s="3">
        <v>45973</v>
      </c>
      <c r="N1501" s="1" t="s">
        <v>821</v>
      </c>
      <c r="O1501" s="1" t="s">
        <v>936</v>
      </c>
      <c r="P1501" s="1">
        <v>1</v>
      </c>
    </row>
    <row r="1502" spans="1:16" x14ac:dyDescent="0.25">
      <c r="A1502" s="3">
        <v>45968</v>
      </c>
      <c r="B1502" s="4">
        <v>1583</v>
      </c>
      <c r="C1502" s="5">
        <v>1800</v>
      </c>
      <c r="D1502" s="1" t="s">
        <v>1080</v>
      </c>
      <c r="E1502" s="1" t="s">
        <v>1081</v>
      </c>
      <c r="F1502" s="1" t="s">
        <v>955</v>
      </c>
      <c r="G1502" s="1" t="s">
        <v>1082</v>
      </c>
      <c r="H1502" s="3">
        <v>45992</v>
      </c>
      <c r="I1502" s="1" t="s">
        <v>933</v>
      </c>
      <c r="J1502" s="1" t="s">
        <v>951</v>
      </c>
      <c r="K1502" s="1" t="s">
        <v>308</v>
      </c>
      <c r="L1502" s="1" t="s">
        <v>2829</v>
      </c>
      <c r="M1502" s="3">
        <v>45973</v>
      </c>
      <c r="N1502" s="1" t="s">
        <v>821</v>
      </c>
      <c r="O1502" s="1" t="s">
        <v>936</v>
      </c>
      <c r="P1502" s="1">
        <v>1</v>
      </c>
    </row>
    <row r="1503" spans="1:16" x14ac:dyDescent="0.25">
      <c r="A1503" s="3">
        <v>45968</v>
      </c>
      <c r="B1503" s="4">
        <v>1583</v>
      </c>
      <c r="C1503" s="5">
        <v>1800</v>
      </c>
      <c r="D1503" s="1" t="s">
        <v>1080</v>
      </c>
      <c r="E1503" s="1" t="s">
        <v>1081</v>
      </c>
      <c r="F1503" s="1" t="s">
        <v>955</v>
      </c>
      <c r="G1503" s="1" t="s">
        <v>1082</v>
      </c>
      <c r="H1503" s="3">
        <v>45992</v>
      </c>
      <c r="I1503" s="1" t="s">
        <v>933</v>
      </c>
      <c r="J1503" s="1" t="s">
        <v>951</v>
      </c>
      <c r="K1503" s="1" t="s">
        <v>2085</v>
      </c>
      <c r="L1503" s="1" t="s">
        <v>2830</v>
      </c>
      <c r="M1503" s="3">
        <v>45973</v>
      </c>
      <c r="N1503" s="1" t="s">
        <v>821</v>
      </c>
      <c r="O1503" s="1" t="s">
        <v>936</v>
      </c>
      <c r="P1503" s="1">
        <v>1</v>
      </c>
    </row>
    <row r="1504" spans="1:16" x14ac:dyDescent="0.25">
      <c r="A1504" s="3">
        <v>45968</v>
      </c>
      <c r="B1504" s="4">
        <v>1583</v>
      </c>
      <c r="C1504" s="5">
        <v>9000</v>
      </c>
      <c r="D1504" s="1" t="s">
        <v>1080</v>
      </c>
      <c r="E1504" s="1" t="s">
        <v>1081</v>
      </c>
      <c r="F1504" s="1" t="s">
        <v>713</v>
      </c>
      <c r="G1504" s="1" t="s">
        <v>1082</v>
      </c>
      <c r="H1504" s="3">
        <v>45992</v>
      </c>
      <c r="I1504" s="1" t="s">
        <v>933</v>
      </c>
      <c r="J1504" s="1" t="s">
        <v>66</v>
      </c>
      <c r="K1504" s="1" t="s">
        <v>340</v>
      </c>
      <c r="L1504" s="1" t="s">
        <v>2831</v>
      </c>
      <c r="M1504" s="3">
        <v>45973</v>
      </c>
      <c r="N1504" s="1" t="s">
        <v>712</v>
      </c>
      <c r="O1504" s="1" t="s">
        <v>936</v>
      </c>
      <c r="P1504" s="1">
        <v>1</v>
      </c>
    </row>
    <row r="1505" spans="1:16" x14ac:dyDescent="0.25">
      <c r="A1505" s="3">
        <v>45968</v>
      </c>
      <c r="B1505" s="4">
        <v>1583</v>
      </c>
      <c r="C1505" s="5">
        <v>9000</v>
      </c>
      <c r="D1505" s="1" t="s">
        <v>1080</v>
      </c>
      <c r="E1505" s="1" t="s">
        <v>1081</v>
      </c>
      <c r="F1505" s="1" t="s">
        <v>721</v>
      </c>
      <c r="G1505" s="1" t="s">
        <v>1082</v>
      </c>
      <c r="H1505" s="3">
        <v>45992</v>
      </c>
      <c r="I1505" s="1" t="s">
        <v>933</v>
      </c>
      <c r="J1505" s="1" t="s">
        <v>66</v>
      </c>
      <c r="K1505" s="1" t="s">
        <v>340</v>
      </c>
      <c r="L1505" s="1" t="s">
        <v>2832</v>
      </c>
      <c r="M1505" s="3">
        <v>45973</v>
      </c>
      <c r="N1505" s="1" t="s">
        <v>712</v>
      </c>
      <c r="O1505" s="1" t="s">
        <v>936</v>
      </c>
      <c r="P1505" s="1">
        <v>1</v>
      </c>
    </row>
    <row r="1506" spans="1:16" x14ac:dyDescent="0.25">
      <c r="A1506" s="3">
        <v>45968</v>
      </c>
      <c r="B1506" s="4">
        <v>1583</v>
      </c>
      <c r="C1506" s="5">
        <v>7000</v>
      </c>
      <c r="D1506" s="1" t="s">
        <v>1080</v>
      </c>
      <c r="E1506" s="1" t="s">
        <v>1081</v>
      </c>
      <c r="F1506" s="1" t="s">
        <v>451</v>
      </c>
      <c r="G1506" s="1" t="s">
        <v>1082</v>
      </c>
      <c r="H1506" s="3">
        <v>45992</v>
      </c>
      <c r="I1506" s="1" t="s">
        <v>933</v>
      </c>
      <c r="J1506" s="1" t="s">
        <v>66</v>
      </c>
      <c r="K1506" s="1" t="s">
        <v>1654</v>
      </c>
      <c r="L1506" s="1" t="s">
        <v>2833</v>
      </c>
      <c r="M1506" s="3">
        <v>45973</v>
      </c>
      <c r="N1506" s="1" t="s">
        <v>212</v>
      </c>
      <c r="O1506" s="1" t="s">
        <v>936</v>
      </c>
      <c r="P1506" s="1">
        <v>1</v>
      </c>
    </row>
    <row r="1507" spans="1:16" x14ac:dyDescent="0.25">
      <c r="A1507" s="3">
        <v>45968</v>
      </c>
      <c r="B1507" s="4">
        <v>1583</v>
      </c>
      <c r="C1507" s="5">
        <v>6850</v>
      </c>
      <c r="D1507" s="1" t="s">
        <v>1080</v>
      </c>
      <c r="E1507" s="1" t="s">
        <v>1081</v>
      </c>
      <c r="F1507" s="1" t="s">
        <v>955</v>
      </c>
      <c r="G1507" s="1" t="s">
        <v>1082</v>
      </c>
      <c r="H1507" s="3">
        <v>45992</v>
      </c>
      <c r="I1507" s="1" t="s">
        <v>933</v>
      </c>
      <c r="J1507" s="1" t="s">
        <v>2834</v>
      </c>
      <c r="K1507" s="1" t="s">
        <v>1654</v>
      </c>
      <c r="L1507" s="1" t="s">
        <v>2835</v>
      </c>
      <c r="M1507" s="3">
        <v>45973</v>
      </c>
      <c r="N1507" s="1" t="s">
        <v>821</v>
      </c>
      <c r="O1507" s="1" t="s">
        <v>936</v>
      </c>
      <c r="P1507" s="1">
        <v>1</v>
      </c>
    </row>
    <row r="1508" spans="1:16" x14ac:dyDescent="0.25">
      <c r="A1508" s="3">
        <v>45968</v>
      </c>
      <c r="B1508" s="4">
        <v>1583</v>
      </c>
      <c r="C1508" s="5">
        <v>1980</v>
      </c>
      <c r="D1508" s="1" t="s">
        <v>1080</v>
      </c>
      <c r="E1508" s="1" t="s">
        <v>1081</v>
      </c>
      <c r="F1508" s="1" t="s">
        <v>955</v>
      </c>
      <c r="G1508" s="1" t="s">
        <v>1082</v>
      </c>
      <c r="H1508" s="3">
        <v>45992</v>
      </c>
      <c r="I1508" s="1" t="s">
        <v>933</v>
      </c>
      <c r="J1508" s="1" t="s">
        <v>951</v>
      </c>
      <c r="K1508" s="1" t="s">
        <v>340</v>
      </c>
      <c r="L1508" s="1" t="s">
        <v>2836</v>
      </c>
      <c r="M1508" s="3">
        <v>45973</v>
      </c>
      <c r="N1508" s="1" t="s">
        <v>821</v>
      </c>
      <c r="O1508" s="1" t="s">
        <v>936</v>
      </c>
      <c r="P1508" s="1">
        <v>1</v>
      </c>
    </row>
    <row r="1509" spans="1:16" x14ac:dyDescent="0.25">
      <c r="A1509" s="3">
        <v>45968</v>
      </c>
      <c r="B1509" s="4">
        <v>1583</v>
      </c>
      <c r="C1509" s="5">
        <v>1800</v>
      </c>
      <c r="D1509" s="1" t="s">
        <v>1080</v>
      </c>
      <c r="E1509" s="1" t="s">
        <v>1081</v>
      </c>
      <c r="F1509" s="1" t="s">
        <v>955</v>
      </c>
      <c r="G1509" s="1" t="s">
        <v>1082</v>
      </c>
      <c r="H1509" s="3">
        <v>45992</v>
      </c>
      <c r="I1509" s="1" t="s">
        <v>933</v>
      </c>
      <c r="J1509" s="1" t="s">
        <v>951</v>
      </c>
      <c r="K1509" s="1" t="s">
        <v>934</v>
      </c>
      <c r="L1509" s="1" t="s">
        <v>2837</v>
      </c>
      <c r="M1509" s="3">
        <v>45973</v>
      </c>
      <c r="N1509" s="1"/>
      <c r="O1509" s="1"/>
      <c r="P1509" s="1"/>
    </row>
    <row r="1510" spans="1:16" x14ac:dyDescent="0.25">
      <c r="A1510" s="3">
        <v>45968</v>
      </c>
      <c r="B1510" s="4">
        <v>1583</v>
      </c>
      <c r="C1510" s="5">
        <v>1930</v>
      </c>
      <c r="D1510" s="1" t="s">
        <v>1080</v>
      </c>
      <c r="E1510" s="1" t="s">
        <v>1081</v>
      </c>
      <c r="F1510" s="1" t="s">
        <v>218</v>
      </c>
      <c r="G1510" s="1" t="s">
        <v>1082</v>
      </c>
      <c r="H1510" s="3">
        <v>45992</v>
      </c>
      <c r="I1510" s="1" t="s">
        <v>933</v>
      </c>
      <c r="J1510" s="1" t="s">
        <v>66</v>
      </c>
      <c r="K1510" s="1" t="s">
        <v>1654</v>
      </c>
      <c r="L1510" s="1" t="s">
        <v>2838</v>
      </c>
      <c r="M1510" s="3">
        <v>45973</v>
      </c>
      <c r="N1510" s="1"/>
      <c r="O1510" s="1"/>
      <c r="P1510" s="1"/>
    </row>
    <row r="1511" spans="1:16" x14ac:dyDescent="0.25">
      <c r="A1511" s="3">
        <v>45968</v>
      </c>
      <c r="B1511" s="4">
        <v>1583</v>
      </c>
      <c r="C1511" s="5">
        <v>9000</v>
      </c>
      <c r="D1511" s="1" t="s">
        <v>1080</v>
      </c>
      <c r="E1511" s="1" t="s">
        <v>1081</v>
      </c>
      <c r="F1511" s="1" t="s">
        <v>110</v>
      </c>
      <c r="G1511" s="1" t="s">
        <v>1082</v>
      </c>
      <c r="H1511" s="3">
        <v>45992</v>
      </c>
      <c r="I1511" s="1" t="s">
        <v>933</v>
      </c>
      <c r="J1511" s="1" t="s">
        <v>66</v>
      </c>
      <c r="K1511" s="1" t="s">
        <v>1654</v>
      </c>
      <c r="L1511" s="1" t="s">
        <v>2839</v>
      </c>
      <c r="M1511" s="3">
        <v>45973</v>
      </c>
      <c r="N1511" s="1"/>
      <c r="O1511" s="1"/>
      <c r="P1511" s="1"/>
    </row>
    <row r="1512" spans="1:16" x14ac:dyDescent="0.25">
      <c r="A1512" s="3">
        <v>45968</v>
      </c>
      <c r="B1512" s="4">
        <v>1583</v>
      </c>
      <c r="C1512" s="5">
        <v>9000</v>
      </c>
      <c r="D1512" s="1" t="s">
        <v>1080</v>
      </c>
      <c r="E1512" s="1" t="s">
        <v>1081</v>
      </c>
      <c r="F1512" s="1" t="s">
        <v>719</v>
      </c>
      <c r="G1512" s="1" t="s">
        <v>1082</v>
      </c>
      <c r="H1512" s="3">
        <v>45992</v>
      </c>
      <c r="I1512" s="1" t="s">
        <v>933</v>
      </c>
      <c r="J1512" s="1" t="s">
        <v>66</v>
      </c>
      <c r="K1512" s="1" t="s">
        <v>340</v>
      </c>
      <c r="L1512" s="1" t="s">
        <v>2840</v>
      </c>
      <c r="M1512" s="3">
        <v>45973</v>
      </c>
      <c r="N1512" s="1"/>
      <c r="O1512" s="1"/>
      <c r="P1512" s="1"/>
    </row>
    <row r="1513" spans="1:16" x14ac:dyDescent="0.25">
      <c r="A1513" s="3">
        <v>45968</v>
      </c>
      <c r="B1513" s="4">
        <v>1583</v>
      </c>
      <c r="C1513" s="5">
        <v>9000</v>
      </c>
      <c r="D1513" s="1" t="s">
        <v>1080</v>
      </c>
      <c r="E1513" s="1" t="s">
        <v>1081</v>
      </c>
      <c r="F1513" s="1" t="s">
        <v>715</v>
      </c>
      <c r="G1513" s="1" t="s">
        <v>1082</v>
      </c>
      <c r="H1513" s="3">
        <v>45992</v>
      </c>
      <c r="I1513" s="1" t="s">
        <v>933</v>
      </c>
      <c r="J1513" s="1" t="s">
        <v>66</v>
      </c>
      <c r="K1513" s="1" t="s">
        <v>340</v>
      </c>
      <c r="L1513" s="1" t="s">
        <v>2841</v>
      </c>
      <c r="M1513" s="3">
        <v>45973</v>
      </c>
      <c r="N1513" s="1"/>
      <c r="O1513" s="1"/>
      <c r="P1513" s="1"/>
    </row>
    <row r="1514" spans="1:16" x14ac:dyDescent="0.25">
      <c r="A1514" s="3">
        <v>45968</v>
      </c>
      <c r="B1514" s="4">
        <v>1583</v>
      </c>
      <c r="C1514" s="5">
        <v>3960</v>
      </c>
      <c r="D1514" s="1" t="s">
        <v>1080</v>
      </c>
      <c r="E1514" s="1" t="s">
        <v>1081</v>
      </c>
      <c r="F1514" s="1" t="s">
        <v>430</v>
      </c>
      <c r="G1514" s="1" t="s">
        <v>1082</v>
      </c>
      <c r="H1514" s="3">
        <v>45992</v>
      </c>
      <c r="I1514" s="1" t="s">
        <v>933</v>
      </c>
      <c r="J1514" s="1" t="s">
        <v>66</v>
      </c>
      <c r="K1514" s="1" t="s">
        <v>1654</v>
      </c>
      <c r="L1514" s="1" t="s">
        <v>2842</v>
      </c>
      <c r="M1514" s="3">
        <v>45973</v>
      </c>
      <c r="N1514" s="1"/>
      <c r="O1514" s="1"/>
      <c r="P1514" s="1"/>
    </row>
    <row r="1515" spans="1:16" x14ac:dyDescent="0.25">
      <c r="A1515" s="3">
        <v>45968</v>
      </c>
      <c r="B1515" s="4">
        <v>1583</v>
      </c>
      <c r="C1515" s="5">
        <v>9000</v>
      </c>
      <c r="D1515" s="1" t="s">
        <v>1080</v>
      </c>
      <c r="E1515" s="1" t="s">
        <v>1081</v>
      </c>
      <c r="F1515" s="1" t="s">
        <v>516</v>
      </c>
      <c r="G1515" s="1" t="s">
        <v>1082</v>
      </c>
      <c r="H1515" s="3">
        <v>45992</v>
      </c>
      <c r="I1515" s="1" t="s">
        <v>933</v>
      </c>
      <c r="J1515" s="1" t="s">
        <v>66</v>
      </c>
      <c r="K1515" s="1" t="s">
        <v>487</v>
      </c>
      <c r="L1515" s="1" t="s">
        <v>2843</v>
      </c>
      <c r="M1515" s="3">
        <v>45973</v>
      </c>
      <c r="N1515" s="1"/>
      <c r="O1515" s="1"/>
      <c r="P1515" s="1"/>
    </row>
    <row r="1516" spans="1:16" x14ac:dyDescent="0.25">
      <c r="A1516" s="3">
        <v>45968</v>
      </c>
      <c r="B1516" s="4">
        <v>1583</v>
      </c>
      <c r="C1516" s="5">
        <v>7000</v>
      </c>
      <c r="D1516" s="1" t="s">
        <v>1080</v>
      </c>
      <c r="E1516" s="1" t="s">
        <v>1081</v>
      </c>
      <c r="F1516" s="1" t="s">
        <v>683</v>
      </c>
      <c r="G1516" s="1" t="s">
        <v>1082</v>
      </c>
      <c r="H1516" s="3">
        <v>45992</v>
      </c>
      <c r="I1516" s="1" t="s">
        <v>933</v>
      </c>
      <c r="J1516" s="1" t="s">
        <v>66</v>
      </c>
      <c r="K1516" s="1" t="s">
        <v>308</v>
      </c>
      <c r="L1516" s="1" t="s">
        <v>2844</v>
      </c>
      <c r="M1516" s="3">
        <v>45973</v>
      </c>
      <c r="N1516" s="1"/>
      <c r="O1516" s="1"/>
      <c r="P1516" s="1"/>
    </row>
    <row r="1517" spans="1:16" x14ac:dyDescent="0.25">
      <c r="A1517" s="3">
        <v>45968</v>
      </c>
      <c r="B1517" s="4">
        <v>1583</v>
      </c>
      <c r="C1517" s="5">
        <v>1400</v>
      </c>
      <c r="D1517" s="1" t="s">
        <v>1080</v>
      </c>
      <c r="E1517" s="1" t="s">
        <v>1081</v>
      </c>
      <c r="F1517" s="1" t="s">
        <v>955</v>
      </c>
      <c r="G1517" s="1" t="s">
        <v>1082</v>
      </c>
      <c r="H1517" s="3">
        <v>45992</v>
      </c>
      <c r="I1517" s="1" t="s">
        <v>933</v>
      </c>
      <c r="J1517" s="1" t="s">
        <v>951</v>
      </c>
      <c r="K1517" s="1" t="s">
        <v>487</v>
      </c>
      <c r="L1517" s="1" t="s">
        <v>2845</v>
      </c>
      <c r="M1517" s="3">
        <v>45973</v>
      </c>
      <c r="N1517" s="1"/>
      <c r="O1517" s="1"/>
      <c r="P1517" s="1"/>
    </row>
    <row r="1518" spans="1:16" x14ac:dyDescent="0.25">
      <c r="A1518" s="3">
        <v>45968</v>
      </c>
      <c r="B1518" s="4">
        <v>1583</v>
      </c>
      <c r="C1518" s="5">
        <v>1400</v>
      </c>
      <c r="D1518" s="1" t="s">
        <v>1080</v>
      </c>
      <c r="E1518" s="1" t="s">
        <v>1081</v>
      </c>
      <c r="F1518" s="1" t="s">
        <v>955</v>
      </c>
      <c r="G1518" s="1" t="s">
        <v>1082</v>
      </c>
      <c r="H1518" s="3">
        <v>45992</v>
      </c>
      <c r="I1518" s="1" t="s">
        <v>933</v>
      </c>
      <c r="J1518" s="1" t="s">
        <v>951</v>
      </c>
      <c r="K1518" s="1" t="s">
        <v>487</v>
      </c>
      <c r="L1518" s="1" t="s">
        <v>2845</v>
      </c>
      <c r="M1518" s="3">
        <v>45973</v>
      </c>
      <c r="N1518" s="1"/>
      <c r="O1518" s="1"/>
      <c r="P1518" s="1"/>
    </row>
    <row r="1519" spans="1:16" x14ac:dyDescent="0.25">
      <c r="A1519" s="3">
        <v>45968</v>
      </c>
      <c r="B1519" s="4">
        <v>1583</v>
      </c>
      <c r="C1519" s="5">
        <v>3960</v>
      </c>
      <c r="D1519" s="1" t="s">
        <v>1080</v>
      </c>
      <c r="E1519" s="1" t="s">
        <v>1081</v>
      </c>
      <c r="F1519" s="1" t="s">
        <v>478</v>
      </c>
      <c r="G1519" s="1" t="s">
        <v>1082</v>
      </c>
      <c r="H1519" s="3">
        <v>45992</v>
      </c>
      <c r="I1519" s="1" t="s">
        <v>933</v>
      </c>
      <c r="J1519" s="1" t="s">
        <v>66</v>
      </c>
      <c r="K1519" s="1" t="s">
        <v>308</v>
      </c>
      <c r="L1519" s="1" t="s">
        <v>2846</v>
      </c>
      <c r="M1519" s="3">
        <v>45973</v>
      </c>
      <c r="N1519" s="1"/>
      <c r="O1519" s="1"/>
      <c r="P1519" s="1"/>
    </row>
    <row r="1520" spans="1:16" x14ac:dyDescent="0.25">
      <c r="A1520" s="3">
        <v>45968</v>
      </c>
      <c r="B1520" s="4">
        <v>1583</v>
      </c>
      <c r="C1520" s="5">
        <v>1800</v>
      </c>
      <c r="D1520" s="1" t="s">
        <v>1080</v>
      </c>
      <c r="E1520" s="1" t="s">
        <v>1081</v>
      </c>
      <c r="F1520" s="1" t="s">
        <v>955</v>
      </c>
      <c r="G1520" s="1" t="s">
        <v>1082</v>
      </c>
      <c r="H1520" s="3">
        <v>45992</v>
      </c>
      <c r="I1520" s="1" t="s">
        <v>933</v>
      </c>
      <c r="J1520" s="1" t="s">
        <v>951</v>
      </c>
      <c r="K1520" s="1" t="s">
        <v>340</v>
      </c>
      <c r="L1520" s="1" t="s">
        <v>2847</v>
      </c>
      <c r="M1520" s="3">
        <v>45973</v>
      </c>
      <c r="N1520" s="1"/>
      <c r="O1520" s="1"/>
      <c r="P1520" s="1"/>
    </row>
    <row r="1521" spans="1:16" x14ac:dyDescent="0.25">
      <c r="A1521" s="3">
        <v>45968</v>
      </c>
      <c r="B1521" s="1">
        <v>336</v>
      </c>
      <c r="C1521" s="5">
        <v>7000</v>
      </c>
      <c r="D1521" s="1" t="s">
        <v>2848</v>
      </c>
      <c r="E1521" s="1" t="s">
        <v>2849</v>
      </c>
      <c r="F1521" s="1" t="s">
        <v>199</v>
      </c>
      <c r="G1521" s="1" t="s">
        <v>1029</v>
      </c>
      <c r="H1521" s="3">
        <v>45988</v>
      </c>
      <c r="I1521" s="1" t="s">
        <v>933</v>
      </c>
      <c r="J1521" s="1" t="s">
        <v>66</v>
      </c>
      <c r="K1521" s="1" t="s">
        <v>52</v>
      </c>
      <c r="L1521" s="1" t="s">
        <v>2850</v>
      </c>
      <c r="M1521" s="3">
        <v>45978</v>
      </c>
      <c r="N1521" s="1" t="s">
        <v>175</v>
      </c>
      <c r="O1521" s="1" t="s">
        <v>1031</v>
      </c>
      <c r="P1521" s="1">
        <v>2</v>
      </c>
    </row>
    <row r="1522" spans="1:16" x14ac:dyDescent="0.25">
      <c r="A1522" s="3">
        <v>45968</v>
      </c>
      <c r="B1522" s="4">
        <v>1584</v>
      </c>
      <c r="C1522" s="5">
        <v>675</v>
      </c>
      <c r="D1522" s="1" t="s">
        <v>1080</v>
      </c>
      <c r="E1522" s="1" t="s">
        <v>1081</v>
      </c>
      <c r="F1522" s="1" t="s">
        <v>966</v>
      </c>
      <c r="G1522" s="1" t="s">
        <v>1082</v>
      </c>
      <c r="H1522" s="3">
        <v>45992</v>
      </c>
      <c r="I1522" s="1" t="s">
        <v>933</v>
      </c>
      <c r="J1522" s="1" t="s">
        <v>951</v>
      </c>
      <c r="K1522" s="1" t="s">
        <v>340</v>
      </c>
      <c r="L1522" s="1" t="s">
        <v>2851</v>
      </c>
      <c r="M1522" s="3">
        <v>45986</v>
      </c>
      <c r="N1522" s="1" t="s">
        <v>821</v>
      </c>
      <c r="O1522" s="1" t="s">
        <v>936</v>
      </c>
      <c r="P1522" s="1">
        <v>1</v>
      </c>
    </row>
    <row r="1523" spans="1:16" x14ac:dyDescent="0.25">
      <c r="A1523" s="3">
        <v>45968</v>
      </c>
      <c r="B1523" s="1">
        <v>336</v>
      </c>
      <c r="C1523" s="5">
        <v>7000</v>
      </c>
      <c r="D1523" s="1" t="s">
        <v>2848</v>
      </c>
      <c r="E1523" s="1" t="s">
        <v>2849</v>
      </c>
      <c r="F1523" s="1" t="s">
        <v>199</v>
      </c>
      <c r="G1523" s="1" t="s">
        <v>1029</v>
      </c>
      <c r="H1523" s="1"/>
      <c r="I1523" s="1" t="s">
        <v>933</v>
      </c>
      <c r="J1523" s="1" t="s">
        <v>66</v>
      </c>
      <c r="K1523" s="1" t="s">
        <v>52</v>
      </c>
      <c r="L1523" s="1" t="s">
        <v>2852</v>
      </c>
      <c r="M1523" s="3">
        <v>45986</v>
      </c>
      <c r="N1523" s="1" t="s">
        <v>175</v>
      </c>
      <c r="O1523" s="1" t="s">
        <v>1031</v>
      </c>
      <c r="P1523" s="1">
        <v>2</v>
      </c>
    </row>
    <row r="1524" spans="1:16" x14ac:dyDescent="0.25">
      <c r="A1524" s="3">
        <v>45968</v>
      </c>
      <c r="B1524" s="4">
        <v>2371</v>
      </c>
      <c r="C1524" s="5">
        <v>1850</v>
      </c>
      <c r="D1524" s="1" t="s">
        <v>1182</v>
      </c>
      <c r="E1524" s="1" t="s">
        <v>1183</v>
      </c>
      <c r="F1524" s="1" t="s">
        <v>683</v>
      </c>
      <c r="G1524" s="1" t="s">
        <v>940</v>
      </c>
      <c r="H1524" s="1"/>
      <c r="I1524" s="1" t="s">
        <v>933</v>
      </c>
      <c r="J1524" s="1" t="s">
        <v>66</v>
      </c>
      <c r="K1524" s="1" t="s">
        <v>308</v>
      </c>
      <c r="L1524" s="1" t="s">
        <v>2853</v>
      </c>
      <c r="M1524" s="3">
        <v>45986</v>
      </c>
      <c r="N1524" s="1" t="s">
        <v>75</v>
      </c>
      <c r="O1524" s="1" t="s">
        <v>936</v>
      </c>
      <c r="P1524" s="1">
        <v>1</v>
      </c>
    </row>
    <row r="1525" spans="1:16" x14ac:dyDescent="0.25">
      <c r="A1525" s="3">
        <v>45968</v>
      </c>
      <c r="B1525" s="4">
        <v>2369</v>
      </c>
      <c r="C1525" s="5">
        <v>850</v>
      </c>
      <c r="D1525" s="1" t="s">
        <v>1182</v>
      </c>
      <c r="E1525" s="1" t="s">
        <v>1183</v>
      </c>
      <c r="F1525" s="1" t="s">
        <v>686</v>
      </c>
      <c r="G1525" s="1" t="s">
        <v>940</v>
      </c>
      <c r="H1525" s="1"/>
      <c r="I1525" s="1" t="s">
        <v>933</v>
      </c>
      <c r="J1525" s="1" t="s">
        <v>66</v>
      </c>
      <c r="K1525" s="1" t="s">
        <v>1654</v>
      </c>
      <c r="L1525" s="1" t="s">
        <v>2854</v>
      </c>
      <c r="M1525" s="3">
        <v>45986</v>
      </c>
      <c r="N1525" s="1" t="s">
        <v>57</v>
      </c>
      <c r="O1525" s="1" t="s">
        <v>936</v>
      </c>
      <c r="P1525" s="1">
        <v>1</v>
      </c>
    </row>
    <row r="1526" spans="1:16" x14ac:dyDescent="0.25">
      <c r="A1526" s="3">
        <v>45968</v>
      </c>
      <c r="B1526" s="4">
        <v>2370</v>
      </c>
      <c r="C1526" s="5">
        <v>850</v>
      </c>
      <c r="D1526" s="1" t="s">
        <v>1182</v>
      </c>
      <c r="E1526" s="1" t="s">
        <v>1183</v>
      </c>
      <c r="F1526" s="1" t="s">
        <v>727</v>
      </c>
      <c r="G1526" s="1" t="s">
        <v>940</v>
      </c>
      <c r="H1526" s="1"/>
      <c r="I1526" s="1" t="s">
        <v>933</v>
      </c>
      <c r="J1526" s="1" t="s">
        <v>66</v>
      </c>
      <c r="K1526" s="1" t="s">
        <v>52</v>
      </c>
      <c r="L1526" s="1" t="s">
        <v>2855</v>
      </c>
      <c r="M1526" s="3">
        <v>45986</v>
      </c>
      <c r="N1526" s="1" t="s">
        <v>57</v>
      </c>
      <c r="O1526" s="1" t="s">
        <v>936</v>
      </c>
      <c r="P1526" s="1">
        <v>1</v>
      </c>
    </row>
    <row r="1527" spans="1:16" x14ac:dyDescent="0.25">
      <c r="A1527" s="3">
        <v>45968</v>
      </c>
      <c r="B1527" s="1">
        <v>24</v>
      </c>
      <c r="C1527" s="5">
        <v>573.9</v>
      </c>
      <c r="D1527" s="1" t="s">
        <v>2803</v>
      </c>
      <c r="E1527" s="1" t="s">
        <v>2804</v>
      </c>
      <c r="F1527" s="1" t="s">
        <v>955</v>
      </c>
      <c r="G1527" s="1" t="s">
        <v>990</v>
      </c>
      <c r="H1527" s="3">
        <v>45989</v>
      </c>
      <c r="I1527" s="1" t="s">
        <v>933</v>
      </c>
      <c r="J1527" s="1" t="s">
        <v>951</v>
      </c>
      <c r="K1527" s="1" t="s">
        <v>20</v>
      </c>
      <c r="L1527" s="1" t="s">
        <v>2856</v>
      </c>
      <c r="M1527" s="3">
        <v>45986</v>
      </c>
      <c r="N1527" s="1" t="s">
        <v>821</v>
      </c>
      <c r="O1527" s="1" t="s">
        <v>936</v>
      </c>
      <c r="P1527" s="1">
        <v>1</v>
      </c>
    </row>
    <row r="1528" spans="1:16" x14ac:dyDescent="0.25">
      <c r="A1528" s="3">
        <v>45968</v>
      </c>
      <c r="B1528" s="4">
        <v>1831</v>
      </c>
      <c r="C1528" s="5">
        <v>746</v>
      </c>
      <c r="D1528" s="1" t="s">
        <v>953</v>
      </c>
      <c r="E1528" s="1" t="s">
        <v>954</v>
      </c>
      <c r="F1528" s="1" t="s">
        <v>955</v>
      </c>
      <c r="G1528" s="1" t="s">
        <v>20</v>
      </c>
      <c r="H1528" s="3">
        <v>45996</v>
      </c>
      <c r="I1528" s="1" t="s">
        <v>933</v>
      </c>
      <c r="J1528" s="1" t="s">
        <v>951</v>
      </c>
      <c r="K1528" s="1" t="s">
        <v>20</v>
      </c>
      <c r="L1528" s="1" t="s">
        <v>2857</v>
      </c>
      <c r="M1528" s="3">
        <v>45983</v>
      </c>
      <c r="N1528" s="1" t="s">
        <v>821</v>
      </c>
      <c r="O1528" s="1" t="s">
        <v>936</v>
      </c>
      <c r="P1528" s="1">
        <v>1</v>
      </c>
    </row>
    <row r="1529" spans="1:16" x14ac:dyDescent="0.25">
      <c r="A1529" s="3">
        <v>45969</v>
      </c>
      <c r="B1529" s="1">
        <v>353</v>
      </c>
      <c r="C1529" s="5">
        <v>2076</v>
      </c>
      <c r="D1529" s="1" t="s">
        <v>1810</v>
      </c>
      <c r="E1529" s="1" t="s">
        <v>1811</v>
      </c>
      <c r="F1529" s="1" t="s">
        <v>955</v>
      </c>
      <c r="G1529" s="1" t="s">
        <v>940</v>
      </c>
      <c r="H1529" s="3">
        <v>45989</v>
      </c>
      <c r="I1529" s="1" t="s">
        <v>933</v>
      </c>
      <c r="J1529" s="1" t="s">
        <v>951</v>
      </c>
      <c r="K1529" s="1" t="s">
        <v>20</v>
      </c>
      <c r="L1529" s="1" t="s">
        <v>2858</v>
      </c>
      <c r="M1529" s="3">
        <v>45968</v>
      </c>
      <c r="N1529" s="1" t="s">
        <v>821</v>
      </c>
      <c r="O1529" s="1" t="s">
        <v>936</v>
      </c>
      <c r="P1529" s="1">
        <v>1</v>
      </c>
    </row>
    <row r="1530" spans="1:16" x14ac:dyDescent="0.25">
      <c r="A1530" s="3">
        <v>45969</v>
      </c>
      <c r="B1530" s="1">
        <v>72</v>
      </c>
      <c r="C1530" s="5">
        <v>5298.05</v>
      </c>
      <c r="D1530" s="1" t="s">
        <v>1658</v>
      </c>
      <c r="E1530" s="1" t="s">
        <v>1659</v>
      </c>
      <c r="F1530" s="1" t="s">
        <v>955</v>
      </c>
      <c r="G1530" s="1" t="s">
        <v>2508</v>
      </c>
      <c r="H1530" s="3">
        <v>45989</v>
      </c>
      <c r="I1530" s="1" t="s">
        <v>933</v>
      </c>
      <c r="J1530" s="1" t="s">
        <v>951</v>
      </c>
      <c r="K1530" s="1" t="s">
        <v>20</v>
      </c>
      <c r="L1530" s="1" t="s">
        <v>2859</v>
      </c>
      <c r="M1530" s="3">
        <v>45981</v>
      </c>
      <c r="N1530" s="1" t="s">
        <v>821</v>
      </c>
      <c r="O1530" s="1" t="s">
        <v>936</v>
      </c>
      <c r="P1530" s="1">
        <v>1</v>
      </c>
    </row>
    <row r="1531" spans="1:16" x14ac:dyDescent="0.25">
      <c r="A1531" s="3">
        <v>45969</v>
      </c>
      <c r="B1531" s="1">
        <v>6</v>
      </c>
      <c r="C1531" s="5">
        <v>11500</v>
      </c>
      <c r="D1531" s="1" t="s">
        <v>930</v>
      </c>
      <c r="E1531" s="1" t="s">
        <v>931</v>
      </c>
      <c r="F1531" s="1" t="s">
        <v>66</v>
      </c>
      <c r="G1531" s="1" t="s">
        <v>2860</v>
      </c>
      <c r="H1531" s="3">
        <v>46009</v>
      </c>
      <c r="I1531" s="1" t="s">
        <v>933</v>
      </c>
      <c r="J1531" s="1" t="s">
        <v>66</v>
      </c>
      <c r="K1531" s="1" t="s">
        <v>52</v>
      </c>
      <c r="L1531" s="1" t="s">
        <v>2861</v>
      </c>
      <c r="M1531" s="3">
        <v>45984</v>
      </c>
      <c r="N1531" s="1" t="s">
        <v>821</v>
      </c>
      <c r="O1531" s="1" t="s">
        <v>936</v>
      </c>
      <c r="P1531" s="1" t="s">
        <v>937</v>
      </c>
    </row>
    <row r="1532" spans="1:16" x14ac:dyDescent="0.25">
      <c r="A1532" s="3">
        <v>45969</v>
      </c>
      <c r="B1532" s="1">
        <v>220</v>
      </c>
      <c r="C1532" s="5">
        <v>9500</v>
      </c>
      <c r="D1532" s="1" t="s">
        <v>2862</v>
      </c>
      <c r="E1532" s="1" t="s">
        <v>2863</v>
      </c>
      <c r="F1532" s="1" t="s">
        <v>1778</v>
      </c>
      <c r="G1532" s="1" t="s">
        <v>990</v>
      </c>
      <c r="H1532" s="3">
        <v>45994</v>
      </c>
      <c r="I1532" s="1" t="s">
        <v>933</v>
      </c>
      <c r="J1532" s="1" t="s">
        <v>951</v>
      </c>
      <c r="K1532" s="1" t="s">
        <v>858</v>
      </c>
      <c r="L1532" s="1" t="s">
        <v>2864</v>
      </c>
      <c r="M1532" s="1" t="s">
        <v>2865</v>
      </c>
      <c r="N1532" s="1" t="s">
        <v>821</v>
      </c>
      <c r="O1532" s="1" t="s">
        <v>1031</v>
      </c>
      <c r="P1532" s="1">
        <v>1</v>
      </c>
    </row>
    <row r="1533" spans="1:16" x14ac:dyDescent="0.25">
      <c r="A1533" s="3">
        <v>45971</v>
      </c>
      <c r="B1533" s="4">
        <v>1114</v>
      </c>
      <c r="C1533" s="5">
        <v>80</v>
      </c>
      <c r="D1533" s="1" t="s">
        <v>1074</v>
      </c>
      <c r="E1533" s="1" t="s">
        <v>1075</v>
      </c>
      <c r="F1533" s="1" t="s">
        <v>955</v>
      </c>
      <c r="G1533" s="1" t="s">
        <v>1058</v>
      </c>
      <c r="H1533" s="3">
        <v>46001</v>
      </c>
      <c r="I1533" s="1" t="s">
        <v>933</v>
      </c>
      <c r="J1533" s="1" t="s">
        <v>951</v>
      </c>
      <c r="K1533" s="1" t="s">
        <v>340</v>
      </c>
      <c r="L1533" s="1" t="s">
        <v>2866</v>
      </c>
      <c r="M1533" s="3">
        <v>45986</v>
      </c>
      <c r="N1533" s="1" t="s">
        <v>821</v>
      </c>
      <c r="O1533" s="1" t="s">
        <v>936</v>
      </c>
      <c r="P1533" s="1">
        <v>1</v>
      </c>
    </row>
    <row r="1534" spans="1:16" x14ac:dyDescent="0.25">
      <c r="A1534" s="3">
        <v>45971</v>
      </c>
      <c r="B1534" s="1">
        <v>10</v>
      </c>
      <c r="C1534" s="5">
        <v>20000</v>
      </c>
      <c r="D1534" s="1" t="s">
        <v>982</v>
      </c>
      <c r="E1534" s="1" t="s">
        <v>983</v>
      </c>
      <c r="F1534" s="1" t="s">
        <v>955</v>
      </c>
      <c r="G1534" s="1" t="s">
        <v>940</v>
      </c>
      <c r="H1534" s="3">
        <v>45988</v>
      </c>
      <c r="I1534" s="1" t="s">
        <v>933</v>
      </c>
      <c r="J1534" s="1" t="s">
        <v>951</v>
      </c>
      <c r="K1534" s="1" t="s">
        <v>308</v>
      </c>
      <c r="L1534" s="1" t="s">
        <v>2867</v>
      </c>
      <c r="M1534" s="3">
        <v>45968</v>
      </c>
      <c r="N1534" s="1" t="s">
        <v>821</v>
      </c>
      <c r="O1534" s="1" t="s">
        <v>936</v>
      </c>
      <c r="P1534" s="1">
        <v>1</v>
      </c>
    </row>
    <row r="1535" spans="1:16" x14ac:dyDescent="0.25">
      <c r="A1535" s="3">
        <v>45971</v>
      </c>
      <c r="B1535" s="1">
        <v>275</v>
      </c>
      <c r="C1535" s="5">
        <v>3000</v>
      </c>
      <c r="D1535" s="1" t="s">
        <v>2232</v>
      </c>
      <c r="E1535" s="1" t="s">
        <v>2233</v>
      </c>
      <c r="F1535" s="1" t="s">
        <v>354</v>
      </c>
      <c r="G1535" s="1" t="s">
        <v>932</v>
      </c>
      <c r="H1535" s="3">
        <v>45981</v>
      </c>
      <c r="I1535" s="1" t="s">
        <v>933</v>
      </c>
      <c r="J1535" s="1" t="s">
        <v>66</v>
      </c>
      <c r="K1535" s="1" t="s">
        <v>308</v>
      </c>
      <c r="L1535" s="1" t="s">
        <v>2868</v>
      </c>
      <c r="M1535" s="3">
        <v>45968</v>
      </c>
      <c r="N1535" s="1" t="s">
        <v>358</v>
      </c>
      <c r="O1535" s="1" t="s">
        <v>936</v>
      </c>
      <c r="P1535" s="1">
        <v>1</v>
      </c>
    </row>
    <row r="1536" spans="1:16" x14ac:dyDescent="0.25">
      <c r="A1536" s="3">
        <v>45971</v>
      </c>
      <c r="B1536" s="1">
        <v>44</v>
      </c>
      <c r="C1536" s="5">
        <v>8500</v>
      </c>
      <c r="D1536" s="1" t="s">
        <v>1197</v>
      </c>
      <c r="E1536" s="1" t="s">
        <v>1198</v>
      </c>
      <c r="F1536" s="1" t="s">
        <v>955</v>
      </c>
      <c r="G1536" s="1" t="s">
        <v>940</v>
      </c>
      <c r="H1536" s="3">
        <v>45986</v>
      </c>
      <c r="I1536" s="1" t="s">
        <v>933</v>
      </c>
      <c r="J1536" s="1" t="s">
        <v>951</v>
      </c>
      <c r="K1536" s="1" t="s">
        <v>817</v>
      </c>
      <c r="L1536" s="1" t="s">
        <v>2869</v>
      </c>
      <c r="M1536" s="3">
        <v>45968</v>
      </c>
      <c r="N1536" s="1" t="s">
        <v>821</v>
      </c>
      <c r="O1536" s="1" t="s">
        <v>936</v>
      </c>
      <c r="P1536" s="1">
        <v>1</v>
      </c>
    </row>
    <row r="1537" spans="1:16" x14ac:dyDescent="0.25">
      <c r="A1537" s="3">
        <v>45971</v>
      </c>
      <c r="B1537" s="4">
        <v>9277</v>
      </c>
      <c r="C1537" s="5">
        <v>11681.12</v>
      </c>
      <c r="D1537" s="1" t="s">
        <v>973</v>
      </c>
      <c r="E1537" s="1" t="s">
        <v>1068</v>
      </c>
      <c r="F1537" s="1" t="s">
        <v>1814</v>
      </c>
      <c r="G1537" s="1" t="s">
        <v>998</v>
      </c>
      <c r="H1537" s="3">
        <v>45986</v>
      </c>
      <c r="I1537" s="1" t="s">
        <v>1814</v>
      </c>
      <c r="J1537" s="1" t="s">
        <v>66</v>
      </c>
      <c r="K1537" s="1" t="s">
        <v>340</v>
      </c>
      <c r="L1537" s="1" t="s">
        <v>2870</v>
      </c>
      <c r="M1537" s="3">
        <v>45969</v>
      </c>
      <c r="N1537" s="1" t="s">
        <v>1814</v>
      </c>
      <c r="O1537" s="1" t="s">
        <v>998</v>
      </c>
      <c r="P1537" s="1">
        <v>1</v>
      </c>
    </row>
    <row r="1538" spans="1:16" x14ac:dyDescent="0.25">
      <c r="A1538" s="3">
        <v>45971</v>
      </c>
      <c r="B1538" s="1">
        <v>28</v>
      </c>
      <c r="C1538" s="5">
        <v>70295</v>
      </c>
      <c r="D1538" s="1" t="s">
        <v>1354</v>
      </c>
      <c r="E1538" s="1" t="s">
        <v>1355</v>
      </c>
      <c r="F1538" s="1" t="s">
        <v>955</v>
      </c>
      <c r="G1538" s="1" t="s">
        <v>940</v>
      </c>
      <c r="H1538" s="3">
        <v>45987</v>
      </c>
      <c r="I1538" s="1" t="s">
        <v>933</v>
      </c>
      <c r="J1538" s="1" t="s">
        <v>951</v>
      </c>
      <c r="K1538" s="1" t="s">
        <v>20</v>
      </c>
      <c r="L1538" s="1" t="s">
        <v>2871</v>
      </c>
      <c r="M1538" s="3">
        <v>45973</v>
      </c>
      <c r="N1538" s="1" t="s">
        <v>821</v>
      </c>
      <c r="O1538" s="1" t="s">
        <v>936</v>
      </c>
      <c r="P1538" s="1" t="s">
        <v>937</v>
      </c>
    </row>
    <row r="1539" spans="1:16" x14ac:dyDescent="0.25">
      <c r="A1539" s="3">
        <v>45971</v>
      </c>
      <c r="B1539" s="4">
        <v>150032</v>
      </c>
      <c r="C1539" s="5">
        <v>280.89999999999998</v>
      </c>
      <c r="D1539" s="1" t="s">
        <v>1492</v>
      </c>
      <c r="E1539" s="1" t="s">
        <v>1493</v>
      </c>
      <c r="F1539" s="1" t="s">
        <v>759</v>
      </c>
      <c r="G1539" s="1" t="s">
        <v>940</v>
      </c>
      <c r="H1539" s="3">
        <v>46001</v>
      </c>
      <c r="I1539" s="1" t="s">
        <v>933</v>
      </c>
      <c r="J1539" s="1" t="s">
        <v>66</v>
      </c>
      <c r="K1539" s="1" t="s">
        <v>340</v>
      </c>
      <c r="L1539" s="1" t="s">
        <v>2872</v>
      </c>
      <c r="M1539" s="3">
        <v>45984</v>
      </c>
      <c r="N1539" s="1" t="s">
        <v>75</v>
      </c>
      <c r="O1539" s="1" t="s">
        <v>936</v>
      </c>
      <c r="P1539" s="1">
        <v>1</v>
      </c>
    </row>
    <row r="1540" spans="1:16" x14ac:dyDescent="0.25">
      <c r="A1540" s="3">
        <v>45971</v>
      </c>
      <c r="B1540" s="4">
        <v>153355</v>
      </c>
      <c r="C1540" s="5">
        <v>3025</v>
      </c>
      <c r="D1540" s="1" t="s">
        <v>2670</v>
      </c>
      <c r="E1540" s="1" t="s">
        <v>2873</v>
      </c>
      <c r="F1540" s="1" t="s">
        <v>400</v>
      </c>
      <c r="G1540" s="1" t="s">
        <v>940</v>
      </c>
      <c r="H1540" s="3">
        <v>45996</v>
      </c>
      <c r="I1540" s="1" t="s">
        <v>1100</v>
      </c>
      <c r="J1540" s="1" t="s">
        <v>66</v>
      </c>
      <c r="K1540" s="1" t="s">
        <v>340</v>
      </c>
      <c r="L1540" s="1" t="s">
        <v>2874</v>
      </c>
      <c r="M1540" s="3">
        <v>45986</v>
      </c>
      <c r="N1540" s="1" t="s">
        <v>57</v>
      </c>
      <c r="O1540" s="1" t="s">
        <v>936</v>
      </c>
      <c r="P1540" s="1">
        <v>1</v>
      </c>
    </row>
    <row r="1541" spans="1:16" x14ac:dyDescent="0.25">
      <c r="A1541" s="3">
        <v>45971</v>
      </c>
      <c r="B1541" s="4">
        <v>4633</v>
      </c>
      <c r="C1541" s="5">
        <v>558.03</v>
      </c>
      <c r="D1541" s="1" t="s">
        <v>938</v>
      </c>
      <c r="E1541" s="1" t="s">
        <v>939</v>
      </c>
      <c r="F1541" s="1" t="s">
        <v>955</v>
      </c>
      <c r="G1541" s="1" t="s">
        <v>940</v>
      </c>
      <c r="H1541" s="3">
        <v>45994</v>
      </c>
      <c r="I1541" s="1" t="s">
        <v>933</v>
      </c>
      <c r="J1541" s="1" t="s">
        <v>951</v>
      </c>
      <c r="K1541" s="1" t="s">
        <v>934</v>
      </c>
      <c r="L1541" s="1" t="s">
        <v>2875</v>
      </c>
      <c r="M1541" s="3">
        <v>45986</v>
      </c>
      <c r="N1541" s="1" t="s">
        <v>821</v>
      </c>
      <c r="O1541" s="1" t="s">
        <v>936</v>
      </c>
      <c r="P1541" s="1">
        <v>1</v>
      </c>
    </row>
    <row r="1542" spans="1:16" x14ac:dyDescent="0.25">
      <c r="A1542" s="3">
        <v>45971</v>
      </c>
      <c r="B1542" s="4">
        <v>4635</v>
      </c>
      <c r="C1542" s="5">
        <v>648</v>
      </c>
      <c r="D1542" s="1" t="s">
        <v>938</v>
      </c>
      <c r="E1542" s="1" t="s">
        <v>939</v>
      </c>
      <c r="F1542" s="1" t="s">
        <v>955</v>
      </c>
      <c r="G1542" s="1" t="s">
        <v>940</v>
      </c>
      <c r="H1542" s="1"/>
      <c r="I1542" s="1" t="s">
        <v>933</v>
      </c>
      <c r="J1542" s="1" t="s">
        <v>951</v>
      </c>
      <c r="K1542" s="1" t="s">
        <v>20</v>
      </c>
      <c r="L1542" s="1" t="s">
        <v>2876</v>
      </c>
      <c r="M1542" s="3">
        <v>45986</v>
      </c>
      <c r="N1542" s="1" t="s">
        <v>821</v>
      </c>
      <c r="O1542" s="1" t="s">
        <v>936</v>
      </c>
      <c r="P1542" s="1">
        <v>1</v>
      </c>
    </row>
    <row r="1543" spans="1:16" x14ac:dyDescent="0.25">
      <c r="A1543" s="3">
        <v>45971</v>
      </c>
      <c r="B1543" s="1">
        <v>167</v>
      </c>
      <c r="C1543" s="5">
        <v>32648.720000000001</v>
      </c>
      <c r="D1543" s="1" t="s">
        <v>1436</v>
      </c>
      <c r="E1543" s="1" t="s">
        <v>1437</v>
      </c>
      <c r="F1543" s="1" t="s">
        <v>955</v>
      </c>
      <c r="G1543" s="1" t="s">
        <v>940</v>
      </c>
      <c r="H1543" s="1"/>
      <c r="I1543" s="1" t="s">
        <v>933</v>
      </c>
      <c r="J1543" s="1"/>
      <c r="K1543" s="1" t="s">
        <v>20</v>
      </c>
      <c r="L1543" s="1" t="s">
        <v>2877</v>
      </c>
      <c r="M1543" s="3">
        <v>45986</v>
      </c>
      <c r="N1543" s="1" t="s">
        <v>821</v>
      </c>
      <c r="O1543" s="1" t="s">
        <v>936</v>
      </c>
      <c r="P1543" s="1">
        <v>1</v>
      </c>
    </row>
    <row r="1544" spans="1:16" x14ac:dyDescent="0.25">
      <c r="A1544" s="3">
        <v>45971</v>
      </c>
      <c r="B1544" s="1">
        <v>166</v>
      </c>
      <c r="C1544" s="5">
        <v>3046</v>
      </c>
      <c r="D1544" s="1" t="s">
        <v>1436</v>
      </c>
      <c r="E1544" s="1" t="s">
        <v>1437</v>
      </c>
      <c r="F1544" s="1" t="s">
        <v>955</v>
      </c>
      <c r="G1544" s="1" t="s">
        <v>940</v>
      </c>
      <c r="H1544" s="3">
        <v>45992</v>
      </c>
      <c r="I1544" s="1" t="s">
        <v>933</v>
      </c>
      <c r="J1544" s="1" t="s">
        <v>951</v>
      </c>
      <c r="K1544" s="1" t="s">
        <v>20</v>
      </c>
      <c r="L1544" s="1" t="s">
        <v>2878</v>
      </c>
      <c r="M1544" s="3">
        <v>45986</v>
      </c>
      <c r="N1544" s="1" t="s">
        <v>821</v>
      </c>
      <c r="O1544" s="1" t="s">
        <v>936</v>
      </c>
      <c r="P1544" s="1">
        <v>1</v>
      </c>
    </row>
    <row r="1545" spans="1:16" x14ac:dyDescent="0.25">
      <c r="A1545" s="3">
        <v>45971</v>
      </c>
      <c r="B1545" s="4">
        <v>106099</v>
      </c>
      <c r="C1545" s="5">
        <v>2259</v>
      </c>
      <c r="D1545" s="1" t="s">
        <v>2670</v>
      </c>
      <c r="E1545" s="1" t="s">
        <v>2873</v>
      </c>
      <c r="F1545" s="1" t="s">
        <v>304</v>
      </c>
      <c r="G1545" s="1" t="s">
        <v>1667</v>
      </c>
      <c r="H1545" s="3">
        <v>45989</v>
      </c>
      <c r="I1545" s="1" t="s">
        <v>1100</v>
      </c>
      <c r="J1545" s="1" t="s">
        <v>66</v>
      </c>
      <c r="K1545" s="1" t="s">
        <v>996</v>
      </c>
      <c r="L1545" s="1" t="s">
        <v>2879</v>
      </c>
      <c r="M1545" s="3">
        <v>45986</v>
      </c>
      <c r="N1545" s="1" t="s">
        <v>57</v>
      </c>
      <c r="O1545" s="1" t="s">
        <v>936</v>
      </c>
      <c r="P1545" s="1">
        <v>1</v>
      </c>
    </row>
    <row r="1546" spans="1:16" x14ac:dyDescent="0.25">
      <c r="A1546" s="3">
        <v>45972</v>
      </c>
      <c r="B1546" s="4">
        <v>1114</v>
      </c>
      <c r="C1546" s="5">
        <v>5400</v>
      </c>
      <c r="D1546" s="1" t="s">
        <v>1074</v>
      </c>
      <c r="E1546" s="1" t="s">
        <v>1075</v>
      </c>
      <c r="F1546" s="1" t="s">
        <v>949</v>
      </c>
      <c r="G1546" s="1" t="s">
        <v>981</v>
      </c>
      <c r="H1546" s="3">
        <v>45963</v>
      </c>
      <c r="I1546" s="1" t="s">
        <v>933</v>
      </c>
      <c r="J1546" s="1" t="s">
        <v>951</v>
      </c>
      <c r="K1546" s="1" t="s">
        <v>340</v>
      </c>
      <c r="L1546" s="1" t="s">
        <v>2880</v>
      </c>
      <c r="M1546" s="3">
        <v>45986</v>
      </c>
      <c r="N1546" s="1" t="s">
        <v>821</v>
      </c>
      <c r="O1546" s="1" t="s">
        <v>936</v>
      </c>
      <c r="P1546" s="1">
        <v>1</v>
      </c>
    </row>
    <row r="1547" spans="1:16" x14ac:dyDescent="0.25">
      <c r="A1547" s="3">
        <v>45972</v>
      </c>
      <c r="B1547" s="4">
        <v>9310</v>
      </c>
      <c r="C1547" s="5">
        <v>13266.81</v>
      </c>
      <c r="D1547" s="1" t="s">
        <v>973</v>
      </c>
      <c r="E1547" s="1" t="s">
        <v>1068</v>
      </c>
      <c r="F1547" s="1" t="s">
        <v>1814</v>
      </c>
      <c r="G1547" s="1" t="s">
        <v>998</v>
      </c>
      <c r="H1547" s="3">
        <v>45987</v>
      </c>
      <c r="I1547" s="1" t="s">
        <v>933</v>
      </c>
      <c r="J1547" s="1" t="s">
        <v>66</v>
      </c>
      <c r="K1547" s="1" t="s">
        <v>1814</v>
      </c>
      <c r="L1547" s="1" t="s">
        <v>2881</v>
      </c>
      <c r="M1547" s="3">
        <v>45976</v>
      </c>
      <c r="N1547" s="1" t="s">
        <v>1814</v>
      </c>
      <c r="O1547" s="1" t="s">
        <v>937</v>
      </c>
      <c r="P1547" s="1" t="s">
        <v>937</v>
      </c>
    </row>
    <row r="1548" spans="1:16" x14ac:dyDescent="0.25">
      <c r="A1548" s="3">
        <v>45972</v>
      </c>
      <c r="B1548" s="4">
        <v>47848</v>
      </c>
      <c r="C1548" s="5">
        <v>1215</v>
      </c>
      <c r="D1548" s="1" t="s">
        <v>1489</v>
      </c>
      <c r="E1548" s="1" t="s">
        <v>1490</v>
      </c>
      <c r="F1548" s="1" t="s">
        <v>307</v>
      </c>
      <c r="G1548" s="1" t="s">
        <v>940</v>
      </c>
      <c r="H1548" s="3">
        <v>46002</v>
      </c>
      <c r="I1548" s="1" t="s">
        <v>933</v>
      </c>
      <c r="J1548" s="1" t="s">
        <v>66</v>
      </c>
      <c r="K1548" s="1" t="s">
        <v>308</v>
      </c>
      <c r="L1548" s="1" t="s">
        <v>2882</v>
      </c>
      <c r="M1548" s="3">
        <v>45978</v>
      </c>
      <c r="N1548" s="1" t="s">
        <v>57</v>
      </c>
      <c r="O1548" s="1" t="s">
        <v>936</v>
      </c>
      <c r="P1548" s="1">
        <v>2</v>
      </c>
    </row>
    <row r="1549" spans="1:16" x14ac:dyDescent="0.25">
      <c r="A1549" s="3">
        <v>45972</v>
      </c>
      <c r="B1549" s="4">
        <v>10980</v>
      </c>
      <c r="C1549" s="5">
        <v>1226.9000000000001</v>
      </c>
      <c r="D1549" s="1" t="s">
        <v>1801</v>
      </c>
      <c r="E1549" s="1" t="s">
        <v>1802</v>
      </c>
      <c r="F1549" s="1" t="s">
        <v>166</v>
      </c>
      <c r="G1549" s="1" t="s">
        <v>998</v>
      </c>
      <c r="H1549" s="1"/>
      <c r="I1549" s="1" t="s">
        <v>933</v>
      </c>
      <c r="J1549" s="1" t="s">
        <v>66</v>
      </c>
      <c r="K1549" s="1" t="s">
        <v>52</v>
      </c>
      <c r="L1549" s="1" t="s">
        <v>2883</v>
      </c>
      <c r="M1549" s="3">
        <v>45985</v>
      </c>
      <c r="N1549" s="1" t="s">
        <v>170</v>
      </c>
      <c r="O1549" s="1" t="s">
        <v>998</v>
      </c>
      <c r="P1549" s="1">
        <v>1</v>
      </c>
    </row>
    <row r="1550" spans="1:16" x14ac:dyDescent="0.25">
      <c r="A1550" s="3">
        <v>45972</v>
      </c>
      <c r="B1550" s="4">
        <v>1114</v>
      </c>
      <c r="C1550" s="5">
        <v>80</v>
      </c>
      <c r="D1550" s="1" t="s">
        <v>1074</v>
      </c>
      <c r="E1550" s="1" t="s">
        <v>1075</v>
      </c>
      <c r="F1550" s="1" t="s">
        <v>955</v>
      </c>
      <c r="G1550" s="1" t="s">
        <v>1058</v>
      </c>
      <c r="H1550" s="3">
        <v>46000</v>
      </c>
      <c r="I1550" s="1" t="s">
        <v>933</v>
      </c>
      <c r="J1550" s="1" t="s">
        <v>951</v>
      </c>
      <c r="K1550" s="1" t="s">
        <v>934</v>
      </c>
      <c r="L1550" s="1" t="s">
        <v>2884</v>
      </c>
      <c r="M1550" s="3">
        <v>45986</v>
      </c>
      <c r="N1550" s="1" t="s">
        <v>821</v>
      </c>
      <c r="O1550" s="1" t="s">
        <v>936</v>
      </c>
      <c r="P1550" s="1">
        <v>1</v>
      </c>
    </row>
    <row r="1551" spans="1:16" x14ac:dyDescent="0.25">
      <c r="A1551" s="3">
        <v>45972</v>
      </c>
      <c r="B1551" s="4">
        <v>47848</v>
      </c>
      <c r="C1551" s="5">
        <v>1215</v>
      </c>
      <c r="D1551" s="1" t="s">
        <v>1489</v>
      </c>
      <c r="E1551" s="1" t="s">
        <v>1490</v>
      </c>
      <c r="F1551" s="1" t="s">
        <v>307</v>
      </c>
      <c r="G1551" s="1" t="s">
        <v>940</v>
      </c>
      <c r="H1551" s="3">
        <v>46002</v>
      </c>
      <c r="I1551" s="1" t="s">
        <v>933</v>
      </c>
      <c r="J1551" s="1" t="s">
        <v>66</v>
      </c>
      <c r="K1551" s="1" t="s">
        <v>308</v>
      </c>
      <c r="L1551" s="1" t="s">
        <v>2885</v>
      </c>
      <c r="M1551" s="3">
        <v>45986</v>
      </c>
      <c r="N1551" s="1" t="s">
        <v>57</v>
      </c>
      <c r="O1551" s="1" t="s">
        <v>936</v>
      </c>
      <c r="P1551" s="1">
        <v>2</v>
      </c>
    </row>
    <row r="1552" spans="1:16" x14ac:dyDescent="0.25">
      <c r="A1552" s="3">
        <v>45972</v>
      </c>
      <c r="B1552" s="4">
        <v>71771</v>
      </c>
      <c r="C1552" s="5">
        <v>316.64</v>
      </c>
      <c r="D1552" s="1" t="s">
        <v>1253</v>
      </c>
      <c r="E1552" s="1" t="s">
        <v>1487</v>
      </c>
      <c r="F1552" s="1" t="s">
        <v>748</v>
      </c>
      <c r="G1552" s="1" t="s">
        <v>940</v>
      </c>
      <c r="H1552" s="3">
        <v>46002</v>
      </c>
      <c r="I1552" s="1" t="s">
        <v>933</v>
      </c>
      <c r="J1552" s="1" t="s">
        <v>66</v>
      </c>
      <c r="K1552" s="1" t="s">
        <v>340</v>
      </c>
      <c r="L1552" s="1" t="s">
        <v>2886</v>
      </c>
      <c r="M1552" s="3">
        <v>45986</v>
      </c>
      <c r="N1552" s="1" t="s">
        <v>75</v>
      </c>
      <c r="O1552" s="1" t="s">
        <v>936</v>
      </c>
      <c r="P1552" s="1">
        <v>1</v>
      </c>
    </row>
    <row r="1553" spans="1:16" x14ac:dyDescent="0.25">
      <c r="A1553" s="3">
        <v>45972</v>
      </c>
      <c r="B1553" s="4">
        <v>1114</v>
      </c>
      <c r="C1553" s="5">
        <v>80</v>
      </c>
      <c r="D1553" s="1" t="s">
        <v>1074</v>
      </c>
      <c r="E1553" s="1" t="s">
        <v>1075</v>
      </c>
      <c r="F1553" s="1" t="s">
        <v>955</v>
      </c>
      <c r="G1553" s="1" t="s">
        <v>1058</v>
      </c>
      <c r="H1553" s="3">
        <v>46001</v>
      </c>
      <c r="I1553" s="1" t="s">
        <v>933</v>
      </c>
      <c r="J1553" s="1" t="s">
        <v>951</v>
      </c>
      <c r="K1553" s="1" t="s">
        <v>487</v>
      </c>
      <c r="L1553" s="1" t="s">
        <v>2887</v>
      </c>
      <c r="M1553" s="3">
        <v>45986</v>
      </c>
      <c r="N1553" s="1" t="s">
        <v>821</v>
      </c>
      <c r="O1553" s="1" t="s">
        <v>936</v>
      </c>
      <c r="P1553" s="1">
        <v>1</v>
      </c>
    </row>
    <row r="1554" spans="1:16" x14ac:dyDescent="0.25">
      <c r="A1554" s="3">
        <v>45972</v>
      </c>
      <c r="B1554" s="1">
        <v>133</v>
      </c>
      <c r="C1554" s="5">
        <v>170</v>
      </c>
      <c r="D1554" s="1" t="s">
        <v>1229</v>
      </c>
      <c r="E1554" s="1" t="s">
        <v>1230</v>
      </c>
      <c r="F1554" s="1" t="s">
        <v>162</v>
      </c>
      <c r="G1554" s="1" t="s">
        <v>940</v>
      </c>
      <c r="H1554" s="3">
        <v>45991</v>
      </c>
      <c r="I1554" s="1" t="s">
        <v>933</v>
      </c>
      <c r="J1554" s="1" t="s">
        <v>66</v>
      </c>
      <c r="K1554" s="1" t="s">
        <v>52</v>
      </c>
      <c r="L1554" s="1" t="s">
        <v>2888</v>
      </c>
      <c r="M1554" s="3">
        <v>45986</v>
      </c>
      <c r="N1554" s="1" t="s">
        <v>165</v>
      </c>
      <c r="O1554" s="1" t="s">
        <v>990</v>
      </c>
      <c r="P1554" s="1">
        <v>1</v>
      </c>
    </row>
    <row r="1555" spans="1:16" x14ac:dyDescent="0.25">
      <c r="A1555" s="3">
        <v>45972</v>
      </c>
      <c r="B1555" s="1">
        <v>134</v>
      </c>
      <c r="C1555" s="5">
        <v>3870</v>
      </c>
      <c r="D1555" s="1" t="s">
        <v>1229</v>
      </c>
      <c r="E1555" s="1" t="s">
        <v>1230</v>
      </c>
      <c r="F1555" s="1" t="s">
        <v>955</v>
      </c>
      <c r="G1555" s="1" t="s">
        <v>940</v>
      </c>
      <c r="H1555" s="3">
        <v>45991</v>
      </c>
      <c r="I1555" s="1" t="s">
        <v>933</v>
      </c>
      <c r="J1555" s="1" t="s">
        <v>951</v>
      </c>
      <c r="K1555" s="1" t="s">
        <v>52</v>
      </c>
      <c r="L1555" s="1" t="s">
        <v>2889</v>
      </c>
      <c r="M1555" s="3">
        <v>45986</v>
      </c>
      <c r="N1555" s="1" t="s">
        <v>821</v>
      </c>
      <c r="O1555" s="1" t="s">
        <v>990</v>
      </c>
      <c r="P1555" s="1">
        <v>1</v>
      </c>
    </row>
    <row r="1556" spans="1:16" x14ac:dyDescent="0.25">
      <c r="A1556" s="3">
        <v>45972</v>
      </c>
      <c r="B1556" s="1">
        <v>132</v>
      </c>
      <c r="C1556" s="5">
        <v>100</v>
      </c>
      <c r="D1556" s="1" t="s">
        <v>1229</v>
      </c>
      <c r="E1556" s="1" t="s">
        <v>1230</v>
      </c>
      <c r="F1556" s="1" t="s">
        <v>748</v>
      </c>
      <c r="G1556" s="1" t="s">
        <v>940</v>
      </c>
      <c r="H1556" s="3">
        <v>45991</v>
      </c>
      <c r="I1556" s="1" t="s">
        <v>933</v>
      </c>
      <c r="J1556" s="1" t="s">
        <v>66</v>
      </c>
      <c r="K1556" s="1" t="s">
        <v>340</v>
      </c>
      <c r="L1556" s="1" t="s">
        <v>2890</v>
      </c>
      <c r="M1556" s="3">
        <v>45986</v>
      </c>
      <c r="N1556" s="1" t="s">
        <v>75</v>
      </c>
      <c r="O1556" s="1" t="s">
        <v>990</v>
      </c>
      <c r="P1556" s="1">
        <v>1</v>
      </c>
    </row>
    <row r="1557" spans="1:16" x14ac:dyDescent="0.25">
      <c r="A1557" s="3">
        <v>45972</v>
      </c>
      <c r="B1557" s="1">
        <v>122</v>
      </c>
      <c r="C1557" s="5">
        <v>100</v>
      </c>
      <c r="D1557" s="1" t="s">
        <v>1229</v>
      </c>
      <c r="E1557" s="1" t="s">
        <v>1230</v>
      </c>
      <c r="F1557" s="1" t="s">
        <v>723</v>
      </c>
      <c r="G1557" s="1" t="s">
        <v>940</v>
      </c>
      <c r="H1557" s="3">
        <v>45991</v>
      </c>
      <c r="I1557" s="1" t="s">
        <v>933</v>
      </c>
      <c r="J1557" s="1" t="s">
        <v>66</v>
      </c>
      <c r="K1557" s="1" t="s">
        <v>340</v>
      </c>
      <c r="L1557" s="1" t="s">
        <v>2891</v>
      </c>
      <c r="M1557" s="3">
        <v>45986</v>
      </c>
      <c r="N1557" s="1" t="s">
        <v>726</v>
      </c>
      <c r="O1557" s="1" t="s">
        <v>990</v>
      </c>
      <c r="P1557" s="1">
        <v>1</v>
      </c>
    </row>
    <row r="1558" spans="1:16" x14ac:dyDescent="0.25">
      <c r="A1558" s="3">
        <v>45972</v>
      </c>
      <c r="B1558" s="1">
        <v>123</v>
      </c>
      <c r="C1558" s="5">
        <v>320</v>
      </c>
      <c r="D1558" s="1" t="s">
        <v>1229</v>
      </c>
      <c r="E1558" s="1" t="s">
        <v>1230</v>
      </c>
      <c r="F1558" s="1" t="s">
        <v>717</v>
      </c>
      <c r="G1558" s="1" t="s">
        <v>940</v>
      </c>
      <c r="H1558" s="3">
        <v>45991</v>
      </c>
      <c r="I1558" s="1" t="s">
        <v>933</v>
      </c>
      <c r="J1558" s="1" t="s">
        <v>66</v>
      </c>
      <c r="K1558" s="1" t="s">
        <v>340</v>
      </c>
      <c r="L1558" s="1" t="s">
        <v>2892</v>
      </c>
      <c r="M1558" s="3">
        <v>45986</v>
      </c>
      <c r="N1558" s="1" t="s">
        <v>712</v>
      </c>
      <c r="O1558" s="1" t="s">
        <v>990</v>
      </c>
      <c r="P1558" s="1">
        <v>1</v>
      </c>
    </row>
    <row r="1559" spans="1:16" x14ac:dyDescent="0.25">
      <c r="A1559" s="3">
        <v>45972</v>
      </c>
      <c r="B1559" s="1">
        <v>124</v>
      </c>
      <c r="C1559" s="5">
        <v>335</v>
      </c>
      <c r="D1559" s="1" t="s">
        <v>1229</v>
      </c>
      <c r="E1559" s="1" t="s">
        <v>1230</v>
      </c>
      <c r="F1559" s="1" t="s">
        <v>422</v>
      </c>
      <c r="G1559" s="1" t="s">
        <v>940</v>
      </c>
      <c r="H1559" s="3">
        <v>45991</v>
      </c>
      <c r="I1559" s="1" t="s">
        <v>933</v>
      </c>
      <c r="J1559" s="1" t="s">
        <v>66</v>
      </c>
      <c r="K1559" s="1" t="s">
        <v>308</v>
      </c>
      <c r="L1559" s="1" t="s">
        <v>2893</v>
      </c>
      <c r="M1559" s="3">
        <v>45986</v>
      </c>
      <c r="N1559" s="1" t="s">
        <v>75</v>
      </c>
      <c r="O1559" s="1" t="s">
        <v>990</v>
      </c>
      <c r="P1559" s="1">
        <v>1</v>
      </c>
    </row>
    <row r="1560" spans="1:16" x14ac:dyDescent="0.25">
      <c r="A1560" s="3">
        <v>45972</v>
      </c>
      <c r="B1560" s="1">
        <v>125</v>
      </c>
      <c r="C1560" s="5">
        <v>100</v>
      </c>
      <c r="D1560" s="1" t="s">
        <v>1229</v>
      </c>
      <c r="E1560" s="1" t="s">
        <v>1230</v>
      </c>
      <c r="F1560" s="1" t="s">
        <v>650</v>
      </c>
      <c r="G1560" s="1" t="s">
        <v>940</v>
      </c>
      <c r="H1560" s="3">
        <v>45991</v>
      </c>
      <c r="I1560" s="1" t="s">
        <v>933</v>
      </c>
      <c r="J1560" s="1" t="s">
        <v>66</v>
      </c>
      <c r="K1560" s="1" t="s">
        <v>340</v>
      </c>
      <c r="L1560" s="1" t="s">
        <v>2894</v>
      </c>
      <c r="M1560" s="3">
        <v>45986</v>
      </c>
      <c r="N1560" s="1" t="s">
        <v>57</v>
      </c>
      <c r="O1560" s="1" t="s">
        <v>990</v>
      </c>
      <c r="P1560" s="1">
        <v>1</v>
      </c>
    </row>
    <row r="1561" spans="1:16" x14ac:dyDescent="0.25">
      <c r="A1561" s="3">
        <v>45972</v>
      </c>
      <c r="B1561" s="1">
        <v>126</v>
      </c>
      <c r="C1561" s="5">
        <v>100</v>
      </c>
      <c r="D1561" s="1" t="s">
        <v>1229</v>
      </c>
      <c r="E1561" s="1" t="s">
        <v>1230</v>
      </c>
      <c r="F1561" s="1" t="s">
        <v>71</v>
      </c>
      <c r="G1561" s="1" t="s">
        <v>940</v>
      </c>
      <c r="H1561" s="3">
        <v>45991</v>
      </c>
      <c r="I1561" s="1" t="s">
        <v>933</v>
      </c>
      <c r="J1561" s="1" t="s">
        <v>66</v>
      </c>
      <c r="K1561" s="1" t="s">
        <v>340</v>
      </c>
      <c r="L1561" s="1" t="s">
        <v>2895</v>
      </c>
      <c r="M1561" s="3">
        <v>45986</v>
      </c>
      <c r="N1561" s="1" t="s">
        <v>75</v>
      </c>
      <c r="O1561" s="1" t="s">
        <v>990</v>
      </c>
      <c r="P1561" s="1">
        <v>1</v>
      </c>
    </row>
    <row r="1562" spans="1:16" x14ac:dyDescent="0.25">
      <c r="A1562" s="3">
        <v>45972</v>
      </c>
      <c r="B1562" s="1">
        <v>127</v>
      </c>
      <c r="C1562" s="5">
        <v>100</v>
      </c>
      <c r="D1562" s="1" t="s">
        <v>1229</v>
      </c>
      <c r="E1562" s="1" t="s">
        <v>1230</v>
      </c>
      <c r="F1562" s="1" t="s">
        <v>827</v>
      </c>
      <c r="G1562" s="1" t="s">
        <v>940</v>
      </c>
      <c r="H1562" s="3">
        <v>45991</v>
      </c>
      <c r="I1562" s="1" t="s">
        <v>933</v>
      </c>
      <c r="J1562" s="1" t="s">
        <v>66</v>
      </c>
      <c r="K1562" s="1" t="s">
        <v>340</v>
      </c>
      <c r="L1562" s="1" t="s">
        <v>2896</v>
      </c>
      <c r="M1562" s="3">
        <v>45986</v>
      </c>
      <c r="N1562" s="1" t="s">
        <v>772</v>
      </c>
      <c r="O1562" s="1" t="s">
        <v>990</v>
      </c>
      <c r="P1562" s="1">
        <v>1</v>
      </c>
    </row>
    <row r="1563" spans="1:16" x14ac:dyDescent="0.25">
      <c r="A1563" s="3">
        <v>45972</v>
      </c>
      <c r="B1563" s="1">
        <v>128</v>
      </c>
      <c r="C1563" s="5">
        <v>210</v>
      </c>
      <c r="D1563" s="1" t="s">
        <v>1229</v>
      </c>
      <c r="E1563" s="1" t="s">
        <v>1230</v>
      </c>
      <c r="F1563" s="1" t="s">
        <v>745</v>
      </c>
      <c r="G1563" s="1" t="s">
        <v>940</v>
      </c>
      <c r="H1563" s="3">
        <v>45991</v>
      </c>
      <c r="I1563" s="1" t="s">
        <v>933</v>
      </c>
      <c r="J1563" s="1" t="s">
        <v>66</v>
      </c>
      <c r="K1563" s="1" t="s">
        <v>340</v>
      </c>
      <c r="L1563" s="1" t="s">
        <v>2897</v>
      </c>
      <c r="M1563" s="3">
        <v>45986</v>
      </c>
      <c r="N1563" s="1" t="s">
        <v>50</v>
      </c>
      <c r="O1563" s="1" t="s">
        <v>990</v>
      </c>
      <c r="P1563" s="1">
        <v>1</v>
      </c>
    </row>
    <row r="1564" spans="1:16" x14ac:dyDescent="0.25">
      <c r="A1564" s="3">
        <v>45972</v>
      </c>
      <c r="B1564" s="1">
        <v>129</v>
      </c>
      <c r="C1564" s="5">
        <v>100</v>
      </c>
      <c r="D1564" s="1" t="s">
        <v>1229</v>
      </c>
      <c r="E1564" s="1" t="s">
        <v>1230</v>
      </c>
      <c r="F1564" s="1" t="s">
        <v>245</v>
      </c>
      <c r="G1564" s="1" t="s">
        <v>940</v>
      </c>
      <c r="H1564" s="3">
        <v>45991</v>
      </c>
      <c r="I1564" s="1" t="s">
        <v>933</v>
      </c>
      <c r="J1564" s="1" t="s">
        <v>66</v>
      </c>
      <c r="K1564" s="1" t="s">
        <v>308</v>
      </c>
      <c r="L1564" s="1" t="s">
        <v>2898</v>
      </c>
      <c r="M1564" s="3">
        <v>45986</v>
      </c>
      <c r="N1564" s="1" t="s">
        <v>57</v>
      </c>
      <c r="O1564" s="1" t="s">
        <v>990</v>
      </c>
      <c r="P1564" s="1">
        <v>1</v>
      </c>
    </row>
    <row r="1565" spans="1:16" x14ac:dyDescent="0.25">
      <c r="A1565" s="3">
        <v>45972</v>
      </c>
      <c r="B1565" s="1">
        <v>130</v>
      </c>
      <c r="C1565" s="5">
        <v>460</v>
      </c>
      <c r="D1565" s="1" t="s">
        <v>1229</v>
      </c>
      <c r="E1565" s="1" t="s">
        <v>1230</v>
      </c>
      <c r="F1565" s="1" t="s">
        <v>647</v>
      </c>
      <c r="G1565" s="1" t="s">
        <v>940</v>
      </c>
      <c r="H1565" s="3">
        <v>45991</v>
      </c>
      <c r="I1565" s="1" t="s">
        <v>933</v>
      </c>
      <c r="J1565" s="1" t="s">
        <v>66</v>
      </c>
      <c r="K1565" s="1" t="s">
        <v>340</v>
      </c>
      <c r="L1565" s="1" t="s">
        <v>2899</v>
      </c>
      <c r="M1565" s="3">
        <v>45986</v>
      </c>
      <c r="N1565" s="1" t="s">
        <v>57</v>
      </c>
      <c r="O1565" s="1" t="s">
        <v>990</v>
      </c>
      <c r="P1565" s="1">
        <v>1</v>
      </c>
    </row>
    <row r="1566" spans="1:16" x14ac:dyDescent="0.25">
      <c r="A1566" s="3">
        <v>45972</v>
      </c>
      <c r="B1566" s="1">
        <v>131</v>
      </c>
      <c r="C1566" s="5">
        <v>120</v>
      </c>
      <c r="D1566" s="1" t="s">
        <v>1229</v>
      </c>
      <c r="E1566" s="1" t="s">
        <v>1230</v>
      </c>
      <c r="F1566" s="1" t="s">
        <v>619</v>
      </c>
      <c r="G1566" s="1" t="s">
        <v>940</v>
      </c>
      <c r="H1566" s="3">
        <v>45991</v>
      </c>
      <c r="I1566" s="1" t="s">
        <v>933</v>
      </c>
      <c r="J1566" s="1" t="s">
        <v>66</v>
      </c>
      <c r="K1566" s="1" t="s">
        <v>340</v>
      </c>
      <c r="L1566" s="1" t="s">
        <v>2900</v>
      </c>
      <c r="M1566" s="3">
        <v>45986</v>
      </c>
      <c r="N1566" s="1" t="s">
        <v>383</v>
      </c>
      <c r="O1566" s="1" t="s">
        <v>990</v>
      </c>
      <c r="P1566" s="1">
        <v>1</v>
      </c>
    </row>
    <row r="1567" spans="1:16" x14ac:dyDescent="0.25">
      <c r="A1567" s="3">
        <v>45972</v>
      </c>
      <c r="B1567" s="1">
        <v>135</v>
      </c>
      <c r="C1567" s="5">
        <v>153</v>
      </c>
      <c r="D1567" s="1" t="s">
        <v>1229</v>
      </c>
      <c r="E1567" s="1" t="s">
        <v>1230</v>
      </c>
      <c r="F1567" s="1" t="s">
        <v>955</v>
      </c>
      <c r="G1567" s="1" t="s">
        <v>940</v>
      </c>
      <c r="H1567" s="3">
        <v>45991</v>
      </c>
      <c r="I1567" s="1" t="s">
        <v>933</v>
      </c>
      <c r="J1567" s="1" t="s">
        <v>951</v>
      </c>
      <c r="K1567" s="1" t="s">
        <v>340</v>
      </c>
      <c r="L1567" s="1" t="s">
        <v>2901</v>
      </c>
      <c r="M1567" s="3">
        <v>45986</v>
      </c>
      <c r="N1567" s="1" t="s">
        <v>821</v>
      </c>
      <c r="O1567" s="1" t="s">
        <v>990</v>
      </c>
      <c r="P1567" s="1">
        <v>1</v>
      </c>
    </row>
    <row r="1568" spans="1:16" x14ac:dyDescent="0.25">
      <c r="A1568" s="3">
        <v>45972</v>
      </c>
      <c r="B1568" s="1">
        <v>337</v>
      </c>
      <c r="C1568" s="5">
        <v>2200</v>
      </c>
      <c r="D1568" s="1" t="s">
        <v>2848</v>
      </c>
      <c r="E1568" s="1" t="s">
        <v>2849</v>
      </c>
      <c r="F1568" s="1" t="s">
        <v>243</v>
      </c>
      <c r="G1568" s="1" t="s">
        <v>1029</v>
      </c>
      <c r="H1568" s="1"/>
      <c r="I1568" s="1" t="s">
        <v>933</v>
      </c>
      <c r="J1568" s="1" t="s">
        <v>66</v>
      </c>
      <c r="K1568" s="1" t="s">
        <v>52</v>
      </c>
      <c r="L1568" s="1" t="s">
        <v>2902</v>
      </c>
      <c r="M1568" s="3">
        <v>45986</v>
      </c>
      <c r="N1568" s="1" t="s">
        <v>93</v>
      </c>
      <c r="O1568" s="1" t="s">
        <v>1031</v>
      </c>
      <c r="P1568" s="1">
        <v>1</v>
      </c>
    </row>
    <row r="1569" spans="1:16" x14ac:dyDescent="0.25">
      <c r="A1569" s="3">
        <v>45972</v>
      </c>
      <c r="B1569" s="4">
        <v>9981</v>
      </c>
      <c r="C1569" s="5">
        <v>723.8</v>
      </c>
      <c r="D1569" s="1" t="s">
        <v>1573</v>
      </c>
      <c r="E1569" s="1" t="s">
        <v>2130</v>
      </c>
      <c r="F1569" s="1" t="s">
        <v>339</v>
      </c>
      <c r="G1569" s="1" t="s">
        <v>940</v>
      </c>
      <c r="H1569" s="1" t="s">
        <v>941</v>
      </c>
      <c r="I1569" s="1" t="s">
        <v>933</v>
      </c>
      <c r="J1569" s="1"/>
      <c r="K1569" s="1" t="s">
        <v>340</v>
      </c>
      <c r="L1569" s="1" t="s">
        <v>2903</v>
      </c>
      <c r="M1569" s="3">
        <v>45986</v>
      </c>
      <c r="N1569" s="1"/>
      <c r="O1569" s="1"/>
      <c r="P1569" s="1"/>
    </row>
    <row r="1570" spans="1:16" x14ac:dyDescent="0.25">
      <c r="A1570" s="3">
        <v>45973</v>
      </c>
      <c r="B1570" s="4">
        <v>14234</v>
      </c>
      <c r="C1570" s="5">
        <v>5033</v>
      </c>
      <c r="D1570" s="1" t="s">
        <v>2349</v>
      </c>
      <c r="E1570" s="1" t="s">
        <v>2350</v>
      </c>
      <c r="F1570" s="1" t="s">
        <v>453</v>
      </c>
      <c r="G1570" s="1" t="s">
        <v>2351</v>
      </c>
      <c r="H1570" s="3">
        <v>46001</v>
      </c>
      <c r="I1570" s="1" t="s">
        <v>933</v>
      </c>
      <c r="J1570" s="1" t="s">
        <v>66</v>
      </c>
      <c r="K1570" s="1" t="s">
        <v>52</v>
      </c>
      <c r="L1570" s="1" t="s">
        <v>2904</v>
      </c>
      <c r="M1570" s="3">
        <v>45978</v>
      </c>
      <c r="N1570" s="1" t="s">
        <v>455</v>
      </c>
      <c r="O1570" s="1" t="s">
        <v>2101</v>
      </c>
      <c r="P1570" s="1">
        <v>1</v>
      </c>
    </row>
    <row r="1571" spans="1:16" x14ac:dyDescent="0.25">
      <c r="A1571" s="3">
        <v>45973</v>
      </c>
      <c r="B1571" s="4">
        <v>71796</v>
      </c>
      <c r="C1571" s="5">
        <v>655.30999999999995</v>
      </c>
      <c r="D1571" s="1" t="s">
        <v>1253</v>
      </c>
      <c r="E1571" s="1" t="s">
        <v>1487</v>
      </c>
      <c r="F1571" s="1" t="s">
        <v>222</v>
      </c>
      <c r="G1571" s="1" t="s">
        <v>940</v>
      </c>
      <c r="H1571" s="3">
        <v>46003</v>
      </c>
      <c r="I1571" s="1" t="s">
        <v>933</v>
      </c>
      <c r="J1571" s="1" t="s">
        <v>66</v>
      </c>
      <c r="K1571" s="1" t="s">
        <v>52</v>
      </c>
      <c r="L1571" s="1" t="s">
        <v>2905</v>
      </c>
      <c r="M1571" s="3">
        <v>45978</v>
      </c>
      <c r="N1571" s="1" t="s">
        <v>93</v>
      </c>
      <c r="O1571" s="1" t="s">
        <v>936</v>
      </c>
      <c r="P1571" s="1">
        <v>1</v>
      </c>
    </row>
    <row r="1572" spans="1:16" x14ac:dyDescent="0.25">
      <c r="A1572" s="3">
        <v>45973</v>
      </c>
      <c r="B1572" s="4">
        <v>47905</v>
      </c>
      <c r="C1572" s="5">
        <v>400</v>
      </c>
      <c r="D1572" s="1" t="s">
        <v>1489</v>
      </c>
      <c r="E1572" s="1" t="s">
        <v>1490</v>
      </c>
      <c r="F1572" s="1" t="s">
        <v>955</v>
      </c>
      <c r="G1572" s="1" t="s">
        <v>20</v>
      </c>
      <c r="H1572" s="3">
        <v>46003</v>
      </c>
      <c r="I1572" s="1" t="s">
        <v>933</v>
      </c>
      <c r="J1572" s="1" t="s">
        <v>951</v>
      </c>
      <c r="K1572" s="1" t="s">
        <v>20</v>
      </c>
      <c r="L1572" s="1" t="s">
        <v>2906</v>
      </c>
      <c r="M1572" s="3">
        <v>45978</v>
      </c>
      <c r="N1572" s="1" t="s">
        <v>821</v>
      </c>
      <c r="O1572" s="1" t="s">
        <v>936</v>
      </c>
      <c r="P1572" s="1">
        <v>1</v>
      </c>
    </row>
    <row r="1573" spans="1:16" x14ac:dyDescent="0.25">
      <c r="A1573" s="3">
        <v>45973</v>
      </c>
      <c r="B1573" s="1">
        <v>365</v>
      </c>
      <c r="C1573" s="5">
        <v>180</v>
      </c>
      <c r="D1573" s="1" t="s">
        <v>1953</v>
      </c>
      <c r="E1573" s="1" t="s">
        <v>1954</v>
      </c>
      <c r="F1573" s="1" t="s">
        <v>2907</v>
      </c>
      <c r="G1573" s="1" t="s">
        <v>990</v>
      </c>
      <c r="H1573" s="3">
        <v>45989</v>
      </c>
      <c r="I1573" s="1" t="s">
        <v>933</v>
      </c>
      <c r="J1573" s="1" t="s">
        <v>937</v>
      </c>
      <c r="K1573" s="1" t="s">
        <v>340</v>
      </c>
      <c r="L1573" s="1" t="s">
        <v>2908</v>
      </c>
      <c r="M1573" s="3">
        <v>45980</v>
      </c>
      <c r="N1573" s="1" t="s">
        <v>937</v>
      </c>
      <c r="O1573" s="1" t="s">
        <v>936</v>
      </c>
      <c r="P1573" s="1">
        <v>1</v>
      </c>
    </row>
    <row r="1574" spans="1:16" x14ac:dyDescent="0.25">
      <c r="A1574" s="3">
        <v>45973</v>
      </c>
      <c r="B1574" s="1">
        <v>367</v>
      </c>
      <c r="C1574" s="5">
        <v>185</v>
      </c>
      <c r="D1574" s="1" t="s">
        <v>1953</v>
      </c>
      <c r="E1574" s="1" t="s">
        <v>1954</v>
      </c>
      <c r="F1574" s="1" t="s">
        <v>400</v>
      </c>
      <c r="G1574" s="1" t="s">
        <v>990</v>
      </c>
      <c r="H1574" s="3">
        <v>46003</v>
      </c>
      <c r="I1574" s="1" t="s">
        <v>933</v>
      </c>
      <c r="J1574" s="1" t="s">
        <v>66</v>
      </c>
      <c r="K1574" s="1" t="s">
        <v>340</v>
      </c>
      <c r="L1574" s="1" t="s">
        <v>2909</v>
      </c>
      <c r="M1574" s="3">
        <v>45980</v>
      </c>
      <c r="N1574" s="1" t="s">
        <v>57</v>
      </c>
      <c r="O1574" s="1" t="s">
        <v>936</v>
      </c>
      <c r="P1574" s="1">
        <v>1</v>
      </c>
    </row>
    <row r="1575" spans="1:16" x14ac:dyDescent="0.25">
      <c r="A1575" s="3">
        <v>45973</v>
      </c>
      <c r="B1575" s="1">
        <v>368</v>
      </c>
      <c r="C1575" s="5">
        <v>1020</v>
      </c>
      <c r="D1575" s="1" t="s">
        <v>1953</v>
      </c>
      <c r="E1575" s="1" t="s">
        <v>1954</v>
      </c>
      <c r="F1575" s="1" t="s">
        <v>460</v>
      </c>
      <c r="G1575" s="1" t="s">
        <v>990</v>
      </c>
      <c r="H1575" s="3">
        <v>46003</v>
      </c>
      <c r="I1575" s="1" t="s">
        <v>440</v>
      </c>
      <c r="J1575" s="1" t="s">
        <v>66</v>
      </c>
      <c r="K1575" s="1" t="s">
        <v>659</v>
      </c>
      <c r="L1575" s="1" t="s">
        <v>2910</v>
      </c>
      <c r="M1575" s="3">
        <v>45980</v>
      </c>
      <c r="N1575" s="1" t="s">
        <v>440</v>
      </c>
      <c r="O1575" s="1" t="s">
        <v>936</v>
      </c>
      <c r="P1575" s="1">
        <v>1</v>
      </c>
    </row>
    <row r="1576" spans="1:16" x14ac:dyDescent="0.25">
      <c r="A1576" s="3">
        <v>45973</v>
      </c>
      <c r="B1576" s="1">
        <v>369</v>
      </c>
      <c r="C1576" s="5">
        <v>80</v>
      </c>
      <c r="D1576" s="1" t="s">
        <v>1953</v>
      </c>
      <c r="E1576" s="1" t="s">
        <v>1954</v>
      </c>
      <c r="F1576" s="1" t="s">
        <v>773</v>
      </c>
      <c r="G1576" s="1" t="s">
        <v>990</v>
      </c>
      <c r="H1576" s="3">
        <v>46003</v>
      </c>
      <c r="I1576" s="1" t="s">
        <v>933</v>
      </c>
      <c r="J1576" s="1" t="s">
        <v>66</v>
      </c>
      <c r="K1576" s="1" t="s">
        <v>308</v>
      </c>
      <c r="L1576" s="1" t="s">
        <v>2911</v>
      </c>
      <c r="M1576" s="3">
        <v>45980</v>
      </c>
      <c r="N1576" s="1" t="s">
        <v>57</v>
      </c>
      <c r="O1576" s="1" t="s">
        <v>936</v>
      </c>
      <c r="P1576" s="1">
        <v>1</v>
      </c>
    </row>
    <row r="1577" spans="1:16" x14ac:dyDescent="0.25">
      <c r="A1577" s="3">
        <v>45973</v>
      </c>
      <c r="B1577" s="1">
        <v>370</v>
      </c>
      <c r="C1577" s="5">
        <v>120</v>
      </c>
      <c r="D1577" s="1" t="s">
        <v>1953</v>
      </c>
      <c r="E1577" s="1" t="s">
        <v>1954</v>
      </c>
      <c r="F1577" s="1" t="s">
        <v>736</v>
      </c>
      <c r="G1577" s="1" t="s">
        <v>990</v>
      </c>
      <c r="H1577" s="3">
        <v>46003</v>
      </c>
      <c r="I1577" s="1" t="s">
        <v>933</v>
      </c>
      <c r="J1577" s="1" t="s">
        <v>66</v>
      </c>
      <c r="K1577" s="1" t="s">
        <v>308</v>
      </c>
      <c r="L1577" s="1" t="s">
        <v>2912</v>
      </c>
      <c r="M1577" s="3">
        <v>45980</v>
      </c>
      <c r="N1577" s="1" t="s">
        <v>57</v>
      </c>
      <c r="O1577" s="1" t="s">
        <v>936</v>
      </c>
      <c r="P1577" s="1">
        <v>1</v>
      </c>
    </row>
    <row r="1578" spans="1:16" x14ac:dyDescent="0.25">
      <c r="A1578" s="3">
        <v>45973</v>
      </c>
      <c r="B1578" s="1">
        <v>371</v>
      </c>
      <c r="C1578" s="5">
        <v>65</v>
      </c>
      <c r="D1578" s="1" t="s">
        <v>1953</v>
      </c>
      <c r="E1578" s="1" t="s">
        <v>1954</v>
      </c>
      <c r="F1578" s="1" t="s">
        <v>775</v>
      </c>
      <c r="G1578" s="1" t="s">
        <v>990</v>
      </c>
      <c r="H1578" s="3">
        <v>46003</v>
      </c>
      <c r="I1578" s="1" t="s">
        <v>933</v>
      </c>
      <c r="J1578" s="1" t="s">
        <v>66</v>
      </c>
      <c r="K1578" s="1" t="s">
        <v>340</v>
      </c>
      <c r="L1578" s="1" t="s">
        <v>2913</v>
      </c>
      <c r="M1578" s="3">
        <v>45980</v>
      </c>
      <c r="N1578" s="1" t="s">
        <v>580</v>
      </c>
      <c r="O1578" s="1" t="s">
        <v>936</v>
      </c>
      <c r="P1578" s="1">
        <v>1</v>
      </c>
    </row>
    <row r="1579" spans="1:16" x14ac:dyDescent="0.25">
      <c r="A1579" s="3">
        <v>45973</v>
      </c>
      <c r="B1579" s="1">
        <v>372</v>
      </c>
      <c r="C1579" s="5">
        <v>80</v>
      </c>
      <c r="D1579" s="1" t="s">
        <v>1953</v>
      </c>
      <c r="E1579" s="1" t="s">
        <v>1954</v>
      </c>
      <c r="F1579" s="1" t="s">
        <v>88</v>
      </c>
      <c r="G1579" s="1" t="s">
        <v>990</v>
      </c>
      <c r="H1579" s="3">
        <v>46003</v>
      </c>
      <c r="I1579" s="1" t="s">
        <v>933</v>
      </c>
      <c r="J1579" s="1" t="s">
        <v>66</v>
      </c>
      <c r="K1579" s="1" t="s">
        <v>1654</v>
      </c>
      <c r="L1579" s="1" t="s">
        <v>2914</v>
      </c>
      <c r="M1579" s="3">
        <v>45980</v>
      </c>
      <c r="N1579" s="1" t="s">
        <v>93</v>
      </c>
      <c r="O1579" s="1" t="s">
        <v>936</v>
      </c>
      <c r="P1579" s="1">
        <v>1</v>
      </c>
    </row>
    <row r="1580" spans="1:16" x14ac:dyDescent="0.25">
      <c r="A1580" s="3">
        <v>45973</v>
      </c>
      <c r="B1580" s="1">
        <v>373</v>
      </c>
      <c r="C1580" s="5">
        <v>985</v>
      </c>
      <c r="D1580" s="1" t="s">
        <v>1953</v>
      </c>
      <c r="E1580" s="1" t="s">
        <v>1954</v>
      </c>
      <c r="F1580" s="1" t="s">
        <v>955</v>
      </c>
      <c r="G1580" s="1" t="s">
        <v>990</v>
      </c>
      <c r="H1580" s="3">
        <v>46003</v>
      </c>
      <c r="I1580" s="1" t="s">
        <v>933</v>
      </c>
      <c r="J1580" s="1" t="s">
        <v>951</v>
      </c>
      <c r="K1580" s="1" t="s">
        <v>340</v>
      </c>
      <c r="L1580" s="1" t="s">
        <v>2915</v>
      </c>
      <c r="M1580" s="3">
        <v>45980</v>
      </c>
      <c r="N1580" s="1" t="s">
        <v>821</v>
      </c>
      <c r="O1580" s="1" t="s">
        <v>936</v>
      </c>
      <c r="P1580" s="1">
        <v>1</v>
      </c>
    </row>
    <row r="1581" spans="1:16" x14ac:dyDescent="0.25">
      <c r="A1581" s="3">
        <v>45973</v>
      </c>
      <c r="B1581" s="1">
        <v>374</v>
      </c>
      <c r="C1581" s="5">
        <v>830</v>
      </c>
      <c r="D1581" s="1" t="s">
        <v>1953</v>
      </c>
      <c r="E1581" s="1" t="s">
        <v>1954</v>
      </c>
      <c r="F1581" s="1" t="s">
        <v>422</v>
      </c>
      <c r="G1581" s="1" t="s">
        <v>990</v>
      </c>
      <c r="H1581" s="3">
        <v>46003</v>
      </c>
      <c r="I1581" s="1" t="s">
        <v>933</v>
      </c>
      <c r="J1581" s="1" t="s">
        <v>66</v>
      </c>
      <c r="K1581" s="1" t="s">
        <v>308</v>
      </c>
      <c r="L1581" s="1" t="s">
        <v>2916</v>
      </c>
      <c r="M1581" s="3">
        <v>45980</v>
      </c>
      <c r="N1581" s="1" t="s">
        <v>75</v>
      </c>
      <c r="O1581" s="1" t="s">
        <v>936</v>
      </c>
      <c r="P1581" s="1">
        <v>1</v>
      </c>
    </row>
    <row r="1582" spans="1:16" x14ac:dyDescent="0.25">
      <c r="A1582" s="3">
        <v>45973</v>
      </c>
      <c r="B1582" s="1">
        <v>375</v>
      </c>
      <c r="C1582" s="5">
        <v>55</v>
      </c>
      <c r="D1582" s="1" t="s">
        <v>1953</v>
      </c>
      <c r="E1582" s="1" t="s">
        <v>1954</v>
      </c>
      <c r="F1582" s="1" t="s">
        <v>809</v>
      </c>
      <c r="G1582" s="1" t="s">
        <v>990</v>
      </c>
      <c r="H1582" s="3">
        <v>46003</v>
      </c>
      <c r="I1582" s="1" t="s">
        <v>933</v>
      </c>
      <c r="J1582" s="1" t="s">
        <v>66</v>
      </c>
      <c r="K1582" s="1" t="s">
        <v>340</v>
      </c>
      <c r="L1582" s="1" t="s">
        <v>2917</v>
      </c>
      <c r="M1582" s="3">
        <v>45980</v>
      </c>
      <c r="N1582" s="1" t="s">
        <v>212</v>
      </c>
      <c r="O1582" s="1" t="s">
        <v>936</v>
      </c>
      <c r="P1582" s="1">
        <v>1</v>
      </c>
    </row>
    <row r="1583" spans="1:16" x14ac:dyDescent="0.25">
      <c r="A1583" s="3">
        <v>45973</v>
      </c>
      <c r="B1583" s="1">
        <v>376</v>
      </c>
      <c r="C1583" s="5">
        <v>160</v>
      </c>
      <c r="D1583" s="1" t="s">
        <v>1953</v>
      </c>
      <c r="E1583" s="1" t="s">
        <v>1954</v>
      </c>
      <c r="F1583" s="1" t="s">
        <v>245</v>
      </c>
      <c r="G1583" s="1" t="s">
        <v>940</v>
      </c>
      <c r="H1583" s="3">
        <v>46003</v>
      </c>
      <c r="I1583" s="1" t="s">
        <v>933</v>
      </c>
      <c r="J1583" s="1" t="s">
        <v>66</v>
      </c>
      <c r="K1583" s="1" t="s">
        <v>308</v>
      </c>
      <c r="L1583" s="1" t="s">
        <v>2918</v>
      </c>
      <c r="M1583" s="3">
        <v>45980</v>
      </c>
      <c r="N1583" s="1" t="s">
        <v>57</v>
      </c>
      <c r="O1583" s="1" t="s">
        <v>936</v>
      </c>
      <c r="P1583" s="1">
        <v>1</v>
      </c>
    </row>
    <row r="1584" spans="1:16" x14ac:dyDescent="0.25">
      <c r="A1584" s="3">
        <v>45973</v>
      </c>
      <c r="B1584" s="1">
        <v>377</v>
      </c>
      <c r="C1584" s="5">
        <v>860</v>
      </c>
      <c r="D1584" s="1" t="s">
        <v>1953</v>
      </c>
      <c r="E1584" s="1" t="s">
        <v>1954</v>
      </c>
      <c r="F1584" s="1" t="s">
        <v>199</v>
      </c>
      <c r="G1584" s="1" t="s">
        <v>990</v>
      </c>
      <c r="H1584" s="3">
        <v>46003</v>
      </c>
      <c r="I1584" s="1" t="s">
        <v>933</v>
      </c>
      <c r="J1584" s="1" t="s">
        <v>66</v>
      </c>
      <c r="K1584" s="1" t="s">
        <v>52</v>
      </c>
      <c r="L1584" s="1" t="s">
        <v>2919</v>
      </c>
      <c r="M1584" s="3">
        <v>45980</v>
      </c>
      <c r="N1584" s="1" t="s">
        <v>175</v>
      </c>
      <c r="O1584" s="1" t="s">
        <v>936</v>
      </c>
      <c r="P1584" s="1">
        <v>1</v>
      </c>
    </row>
    <row r="1585" spans="1:16" x14ac:dyDescent="0.25">
      <c r="A1585" s="3">
        <v>45973</v>
      </c>
      <c r="B1585" s="1">
        <v>378</v>
      </c>
      <c r="C1585" s="5">
        <v>430</v>
      </c>
      <c r="D1585" s="1" t="s">
        <v>1953</v>
      </c>
      <c r="E1585" s="1" t="s">
        <v>1954</v>
      </c>
      <c r="F1585" s="1" t="s">
        <v>307</v>
      </c>
      <c r="G1585" s="1" t="s">
        <v>990</v>
      </c>
      <c r="H1585" s="3">
        <v>46003</v>
      </c>
      <c r="I1585" s="1" t="s">
        <v>933</v>
      </c>
      <c r="J1585" s="1" t="s">
        <v>66</v>
      </c>
      <c r="K1585" s="1" t="s">
        <v>340</v>
      </c>
      <c r="L1585" s="1" t="s">
        <v>2920</v>
      </c>
      <c r="M1585" s="3">
        <v>45980</v>
      </c>
      <c r="N1585" s="1" t="s">
        <v>57</v>
      </c>
      <c r="O1585" s="1" t="s">
        <v>936</v>
      </c>
      <c r="P1585" s="1">
        <v>1</v>
      </c>
    </row>
    <row r="1586" spans="1:16" x14ac:dyDescent="0.25">
      <c r="A1586" s="3">
        <v>45973</v>
      </c>
      <c r="B1586" s="1">
        <v>379</v>
      </c>
      <c r="C1586" s="5">
        <v>210</v>
      </c>
      <c r="D1586" s="1" t="s">
        <v>1953</v>
      </c>
      <c r="E1586" s="1" t="s">
        <v>1954</v>
      </c>
      <c r="F1586" s="1" t="s">
        <v>339</v>
      </c>
      <c r="G1586" s="1" t="s">
        <v>990</v>
      </c>
      <c r="H1586" s="3">
        <v>46003</v>
      </c>
      <c r="I1586" s="1" t="s">
        <v>933</v>
      </c>
      <c r="J1586" s="1" t="s">
        <v>66</v>
      </c>
      <c r="K1586" s="1" t="s">
        <v>340</v>
      </c>
      <c r="L1586" s="1" t="s">
        <v>2921</v>
      </c>
      <c r="M1586" s="3">
        <v>45980</v>
      </c>
      <c r="N1586" s="1" t="s">
        <v>57</v>
      </c>
      <c r="O1586" s="1" t="s">
        <v>936</v>
      </c>
      <c r="P1586" s="1">
        <v>1</v>
      </c>
    </row>
    <row r="1587" spans="1:16" x14ac:dyDescent="0.25">
      <c r="A1587" s="3">
        <v>45973</v>
      </c>
      <c r="B1587" s="1">
        <v>380</v>
      </c>
      <c r="C1587" s="5">
        <v>280</v>
      </c>
      <c r="D1587" s="1" t="s">
        <v>1953</v>
      </c>
      <c r="E1587" s="1" t="s">
        <v>1954</v>
      </c>
      <c r="F1587" s="1" t="s">
        <v>426</v>
      </c>
      <c r="G1587" s="1" t="s">
        <v>990</v>
      </c>
      <c r="H1587" s="3">
        <v>46003</v>
      </c>
      <c r="I1587" s="1" t="s">
        <v>933</v>
      </c>
      <c r="J1587" s="1" t="s">
        <v>66</v>
      </c>
      <c r="K1587" s="1" t="s">
        <v>308</v>
      </c>
      <c r="L1587" s="1" t="s">
        <v>2922</v>
      </c>
      <c r="M1587" s="3">
        <v>45980</v>
      </c>
      <c r="N1587" s="1" t="s">
        <v>429</v>
      </c>
      <c r="O1587" s="1" t="s">
        <v>936</v>
      </c>
      <c r="P1587" s="1">
        <v>1</v>
      </c>
    </row>
    <row r="1588" spans="1:16" x14ac:dyDescent="0.25">
      <c r="A1588" s="3">
        <v>45973</v>
      </c>
      <c r="B1588" s="1">
        <v>381</v>
      </c>
      <c r="C1588" s="5">
        <v>40</v>
      </c>
      <c r="D1588" s="1" t="s">
        <v>1953</v>
      </c>
      <c r="E1588" s="1" t="s">
        <v>1954</v>
      </c>
      <c r="F1588" s="1" t="s">
        <v>727</v>
      </c>
      <c r="G1588" s="1" t="s">
        <v>990</v>
      </c>
      <c r="H1588" s="3">
        <v>46003</v>
      </c>
      <c r="I1588" s="1" t="s">
        <v>933</v>
      </c>
      <c r="J1588" s="1" t="s">
        <v>66</v>
      </c>
      <c r="K1588" s="1" t="s">
        <v>308</v>
      </c>
      <c r="L1588" s="1" t="s">
        <v>2923</v>
      </c>
      <c r="M1588" s="3">
        <v>45980</v>
      </c>
      <c r="N1588" s="1" t="s">
        <v>57</v>
      </c>
      <c r="O1588" s="1" t="s">
        <v>936</v>
      </c>
      <c r="P1588" s="1">
        <v>1</v>
      </c>
    </row>
    <row r="1589" spans="1:16" x14ac:dyDescent="0.25">
      <c r="A1589" s="3">
        <v>45973</v>
      </c>
      <c r="B1589" s="1">
        <v>382</v>
      </c>
      <c r="C1589" s="5">
        <v>590</v>
      </c>
      <c r="D1589" s="1" t="s">
        <v>1953</v>
      </c>
      <c r="E1589" s="1" t="s">
        <v>1954</v>
      </c>
      <c r="F1589" s="1" t="s">
        <v>635</v>
      </c>
      <c r="G1589" s="1" t="s">
        <v>990</v>
      </c>
      <c r="H1589" s="3">
        <v>46003</v>
      </c>
      <c r="I1589" s="1" t="s">
        <v>933</v>
      </c>
      <c r="J1589" s="1" t="s">
        <v>66</v>
      </c>
      <c r="K1589" s="1" t="s">
        <v>340</v>
      </c>
      <c r="L1589" s="1" t="s">
        <v>2924</v>
      </c>
      <c r="M1589" s="3">
        <v>45980</v>
      </c>
      <c r="N1589" s="1" t="s">
        <v>429</v>
      </c>
      <c r="O1589" s="1" t="s">
        <v>936</v>
      </c>
      <c r="P1589" s="1">
        <v>1</v>
      </c>
    </row>
    <row r="1590" spans="1:16" x14ac:dyDescent="0.25">
      <c r="A1590" s="3">
        <v>45973</v>
      </c>
      <c r="B1590" s="1">
        <v>383</v>
      </c>
      <c r="C1590" s="5">
        <v>480</v>
      </c>
      <c r="D1590" s="1" t="s">
        <v>1953</v>
      </c>
      <c r="E1590" s="1" t="s">
        <v>1954</v>
      </c>
      <c r="F1590" s="1" t="s">
        <v>686</v>
      </c>
      <c r="G1590" s="1" t="s">
        <v>990</v>
      </c>
      <c r="H1590" s="3">
        <v>46003</v>
      </c>
      <c r="I1590" s="1" t="s">
        <v>933</v>
      </c>
      <c r="J1590" s="1" t="s">
        <v>66</v>
      </c>
      <c r="K1590" s="1" t="s">
        <v>308</v>
      </c>
      <c r="L1590" s="1" t="s">
        <v>2925</v>
      </c>
      <c r="M1590" s="3">
        <v>45980</v>
      </c>
      <c r="N1590" s="1" t="s">
        <v>57</v>
      </c>
      <c r="O1590" s="1" t="s">
        <v>936</v>
      </c>
      <c r="P1590" s="1">
        <v>1</v>
      </c>
    </row>
    <row r="1591" spans="1:16" x14ac:dyDescent="0.25">
      <c r="A1591" s="3">
        <v>45973</v>
      </c>
      <c r="B1591" s="1">
        <v>384</v>
      </c>
      <c r="C1591" s="5">
        <v>130</v>
      </c>
      <c r="D1591" s="1" t="s">
        <v>1953</v>
      </c>
      <c r="E1591" s="1" t="s">
        <v>1954</v>
      </c>
      <c r="F1591" s="1" t="s">
        <v>447</v>
      </c>
      <c r="G1591" s="1" t="s">
        <v>990</v>
      </c>
      <c r="H1591" s="3">
        <v>46003</v>
      </c>
      <c r="I1591" s="1" t="s">
        <v>933</v>
      </c>
      <c r="J1591" s="1" t="s">
        <v>66</v>
      </c>
      <c r="K1591" s="1" t="s">
        <v>308</v>
      </c>
      <c r="L1591" s="1" t="s">
        <v>2926</v>
      </c>
      <c r="M1591" s="3">
        <v>45980</v>
      </c>
      <c r="N1591" s="1" t="s">
        <v>450</v>
      </c>
      <c r="O1591" s="1" t="s">
        <v>936</v>
      </c>
      <c r="P1591" s="1">
        <v>1</v>
      </c>
    </row>
    <row r="1592" spans="1:16" x14ac:dyDescent="0.25">
      <c r="A1592" s="3">
        <v>45973</v>
      </c>
      <c r="B1592" s="1">
        <v>23</v>
      </c>
      <c r="C1592" s="5">
        <v>1100.02</v>
      </c>
      <c r="D1592" s="1" t="s">
        <v>1730</v>
      </c>
      <c r="E1592" s="1" t="s">
        <v>2927</v>
      </c>
      <c r="F1592" s="1" t="s">
        <v>955</v>
      </c>
      <c r="G1592" s="1" t="s">
        <v>20</v>
      </c>
      <c r="H1592" s="3">
        <v>46003</v>
      </c>
      <c r="I1592" s="1" t="s">
        <v>933</v>
      </c>
      <c r="J1592" s="1" t="s">
        <v>951</v>
      </c>
      <c r="K1592" s="1" t="s">
        <v>20</v>
      </c>
      <c r="L1592" s="1" t="s">
        <v>2928</v>
      </c>
      <c r="M1592" s="3">
        <v>45981</v>
      </c>
      <c r="N1592" s="1" t="s">
        <v>821</v>
      </c>
      <c r="O1592" s="1" t="s">
        <v>936</v>
      </c>
      <c r="P1592" s="1" t="s">
        <v>937</v>
      </c>
    </row>
    <row r="1593" spans="1:16" x14ac:dyDescent="0.25">
      <c r="A1593" s="3">
        <v>45973</v>
      </c>
      <c r="B1593" s="1">
        <v>26</v>
      </c>
      <c r="C1593" s="5">
        <v>3500.05</v>
      </c>
      <c r="D1593" s="1" t="s">
        <v>1730</v>
      </c>
      <c r="E1593" s="1" t="s">
        <v>2927</v>
      </c>
      <c r="F1593" s="1" t="s">
        <v>955</v>
      </c>
      <c r="G1593" s="1" t="s">
        <v>20</v>
      </c>
      <c r="H1593" s="3">
        <v>46003</v>
      </c>
      <c r="I1593" s="1" t="s">
        <v>933</v>
      </c>
      <c r="J1593" s="1" t="s">
        <v>951</v>
      </c>
      <c r="K1593" s="1" t="s">
        <v>20</v>
      </c>
      <c r="L1593" s="1" t="s">
        <v>2929</v>
      </c>
      <c r="M1593" s="3">
        <v>45981</v>
      </c>
      <c r="N1593" s="1" t="s">
        <v>821</v>
      </c>
      <c r="O1593" s="1" t="s">
        <v>936</v>
      </c>
      <c r="P1593" s="1" t="s">
        <v>937</v>
      </c>
    </row>
    <row r="1594" spans="1:16" x14ac:dyDescent="0.25">
      <c r="A1594" s="3">
        <v>45973</v>
      </c>
      <c r="B1594" s="4">
        <v>215430</v>
      </c>
      <c r="C1594" s="5">
        <v>1775.69</v>
      </c>
      <c r="D1594" s="1" t="s">
        <v>2368</v>
      </c>
      <c r="E1594" s="1" t="s">
        <v>2371</v>
      </c>
      <c r="F1594" s="1" t="s">
        <v>670</v>
      </c>
      <c r="G1594" s="1" t="s">
        <v>1667</v>
      </c>
      <c r="H1594" s="3">
        <v>46003</v>
      </c>
      <c r="I1594" s="1" t="s">
        <v>1100</v>
      </c>
      <c r="J1594" s="1" t="s">
        <v>66</v>
      </c>
      <c r="K1594" s="1" t="s">
        <v>659</v>
      </c>
      <c r="L1594" s="1" t="s">
        <v>2930</v>
      </c>
      <c r="M1594" s="3">
        <v>45984</v>
      </c>
      <c r="N1594" s="1" t="s">
        <v>57</v>
      </c>
      <c r="O1594" s="1" t="s">
        <v>936</v>
      </c>
      <c r="P1594" s="1" t="s">
        <v>937</v>
      </c>
    </row>
    <row r="1595" spans="1:16" x14ac:dyDescent="0.25">
      <c r="A1595" s="3">
        <v>45974</v>
      </c>
      <c r="B1595" s="4">
        <v>9315</v>
      </c>
      <c r="C1595" s="5">
        <v>9361.8700000000008</v>
      </c>
      <c r="D1595" s="1" t="s">
        <v>973</v>
      </c>
      <c r="E1595" s="1" t="s">
        <v>1068</v>
      </c>
      <c r="F1595" s="1" t="s">
        <v>1814</v>
      </c>
      <c r="G1595" s="1" t="s">
        <v>998</v>
      </c>
      <c r="H1595" s="3">
        <v>45989</v>
      </c>
      <c r="I1595" s="1" t="s">
        <v>933</v>
      </c>
      <c r="J1595" s="1" t="s">
        <v>66</v>
      </c>
      <c r="K1595" s="1" t="s">
        <v>1814</v>
      </c>
      <c r="L1595" s="1" t="s">
        <v>2931</v>
      </c>
      <c r="M1595" s="3">
        <v>45976</v>
      </c>
      <c r="N1595" s="1" t="s">
        <v>1814</v>
      </c>
      <c r="O1595" s="1" t="s">
        <v>937</v>
      </c>
      <c r="P1595" s="1" t="s">
        <v>937</v>
      </c>
    </row>
    <row r="1596" spans="1:16" x14ac:dyDescent="0.25">
      <c r="A1596" s="3">
        <v>45974</v>
      </c>
      <c r="B1596" s="4">
        <v>3368</v>
      </c>
      <c r="C1596" s="5">
        <v>350</v>
      </c>
      <c r="D1596" s="1" t="s">
        <v>1179</v>
      </c>
      <c r="E1596" s="1" t="s">
        <v>1180</v>
      </c>
      <c r="F1596" s="1" t="s">
        <v>723</v>
      </c>
      <c r="G1596" s="1" t="s">
        <v>940</v>
      </c>
      <c r="H1596" s="3">
        <v>45993</v>
      </c>
      <c r="I1596" s="1" t="s">
        <v>933</v>
      </c>
      <c r="J1596" s="1" t="s">
        <v>66</v>
      </c>
      <c r="K1596" s="1" t="s">
        <v>340</v>
      </c>
      <c r="L1596" s="1" t="s">
        <v>2932</v>
      </c>
      <c r="M1596" s="3">
        <v>45977</v>
      </c>
      <c r="N1596" s="1" t="s">
        <v>726</v>
      </c>
      <c r="O1596" s="1" t="s">
        <v>936</v>
      </c>
      <c r="P1596" s="1">
        <v>1</v>
      </c>
    </row>
    <row r="1597" spans="1:16" x14ac:dyDescent="0.25">
      <c r="A1597" s="3">
        <v>45974</v>
      </c>
      <c r="B1597" s="4">
        <v>3366</v>
      </c>
      <c r="C1597" s="5">
        <v>200</v>
      </c>
      <c r="D1597" s="1" t="s">
        <v>1179</v>
      </c>
      <c r="E1597" s="1" t="s">
        <v>1180</v>
      </c>
      <c r="F1597" s="1" t="s">
        <v>683</v>
      </c>
      <c r="G1597" s="1" t="s">
        <v>1667</v>
      </c>
      <c r="H1597" s="3">
        <v>45993</v>
      </c>
      <c r="I1597" s="1" t="s">
        <v>1484</v>
      </c>
      <c r="J1597" s="1" t="s">
        <v>66</v>
      </c>
      <c r="K1597" s="1" t="s">
        <v>308</v>
      </c>
      <c r="L1597" s="1" t="s">
        <v>2933</v>
      </c>
      <c r="M1597" s="3">
        <v>45977</v>
      </c>
      <c r="N1597" s="1" t="s">
        <v>75</v>
      </c>
      <c r="O1597" s="1" t="s">
        <v>936</v>
      </c>
      <c r="P1597" s="1">
        <v>1</v>
      </c>
    </row>
    <row r="1598" spans="1:16" x14ac:dyDescent="0.25">
      <c r="A1598" s="3">
        <v>45974</v>
      </c>
      <c r="B1598" s="4">
        <v>3784</v>
      </c>
      <c r="C1598" s="5">
        <v>1050</v>
      </c>
      <c r="D1598" s="1" t="s">
        <v>1179</v>
      </c>
      <c r="E1598" s="1" t="s">
        <v>1180</v>
      </c>
      <c r="F1598" s="1" t="s">
        <v>683</v>
      </c>
      <c r="G1598" s="1" t="s">
        <v>1667</v>
      </c>
      <c r="H1598" s="3">
        <v>45993</v>
      </c>
      <c r="I1598" s="1" t="s">
        <v>1484</v>
      </c>
      <c r="J1598" s="1" t="s">
        <v>66</v>
      </c>
      <c r="K1598" s="1" t="s">
        <v>308</v>
      </c>
      <c r="L1598" s="1" t="s">
        <v>2934</v>
      </c>
      <c r="M1598" s="3">
        <v>45977</v>
      </c>
      <c r="N1598" s="1" t="s">
        <v>75</v>
      </c>
      <c r="O1598" s="1" t="s">
        <v>936</v>
      </c>
      <c r="P1598" s="1">
        <v>1</v>
      </c>
    </row>
    <row r="1599" spans="1:16" x14ac:dyDescent="0.25">
      <c r="A1599" s="3">
        <v>45974</v>
      </c>
      <c r="B1599" s="4">
        <v>3369</v>
      </c>
      <c r="C1599" s="5">
        <v>2550</v>
      </c>
      <c r="D1599" s="1" t="s">
        <v>1179</v>
      </c>
      <c r="E1599" s="1" t="s">
        <v>1180</v>
      </c>
      <c r="F1599" s="1" t="s">
        <v>307</v>
      </c>
      <c r="G1599" s="1" t="s">
        <v>940</v>
      </c>
      <c r="H1599" s="3">
        <v>45993</v>
      </c>
      <c r="I1599" s="1" t="s">
        <v>1100</v>
      </c>
      <c r="J1599" s="1" t="s">
        <v>66</v>
      </c>
      <c r="K1599" s="1" t="s">
        <v>308</v>
      </c>
      <c r="L1599" s="1" t="s">
        <v>2935</v>
      </c>
      <c r="M1599" s="3">
        <v>45977</v>
      </c>
      <c r="N1599" s="1" t="s">
        <v>57</v>
      </c>
      <c r="O1599" s="1" t="s">
        <v>936</v>
      </c>
      <c r="P1599" s="1">
        <v>1</v>
      </c>
    </row>
    <row r="1600" spans="1:16" x14ac:dyDescent="0.25">
      <c r="A1600" s="3">
        <v>45974</v>
      </c>
      <c r="B1600" s="4">
        <v>3786</v>
      </c>
      <c r="C1600" s="5">
        <v>5784</v>
      </c>
      <c r="D1600" s="1" t="s">
        <v>1179</v>
      </c>
      <c r="E1600" s="1" t="s">
        <v>1180</v>
      </c>
      <c r="F1600" s="1" t="s">
        <v>307</v>
      </c>
      <c r="G1600" s="1" t="s">
        <v>940</v>
      </c>
      <c r="H1600" s="3">
        <v>45993</v>
      </c>
      <c r="I1600" s="1" t="s">
        <v>1100</v>
      </c>
      <c r="J1600" s="1" t="s">
        <v>66</v>
      </c>
      <c r="K1600" s="1" t="s">
        <v>308</v>
      </c>
      <c r="L1600" s="1" t="s">
        <v>2936</v>
      </c>
      <c r="M1600" s="3">
        <v>45977</v>
      </c>
      <c r="N1600" s="1" t="s">
        <v>57</v>
      </c>
      <c r="O1600" s="1" t="s">
        <v>936</v>
      </c>
      <c r="P1600" s="1">
        <v>1</v>
      </c>
    </row>
    <row r="1601" spans="1:16" x14ac:dyDescent="0.25">
      <c r="A1601" s="3">
        <v>45974</v>
      </c>
      <c r="B1601" s="4">
        <v>1588</v>
      </c>
      <c r="C1601" s="5">
        <v>9200</v>
      </c>
      <c r="D1601" s="1" t="s">
        <v>1080</v>
      </c>
      <c r="E1601" s="1" t="s">
        <v>1081</v>
      </c>
      <c r="F1601" s="1" t="s">
        <v>66</v>
      </c>
      <c r="G1601" s="1" t="s">
        <v>1082</v>
      </c>
      <c r="H1601" s="3">
        <v>45994</v>
      </c>
      <c r="I1601" s="1" t="s">
        <v>933</v>
      </c>
      <c r="J1601" s="1" t="s">
        <v>66</v>
      </c>
      <c r="K1601" s="1" t="s">
        <v>308</v>
      </c>
      <c r="L1601" s="1" t="s">
        <v>2937</v>
      </c>
      <c r="M1601" s="3">
        <v>45978</v>
      </c>
      <c r="N1601" s="1" t="s">
        <v>821</v>
      </c>
      <c r="O1601" s="1" t="s">
        <v>937</v>
      </c>
      <c r="P1601" s="1" t="s">
        <v>937</v>
      </c>
    </row>
    <row r="1602" spans="1:16" x14ac:dyDescent="0.25">
      <c r="A1602" s="3">
        <v>45974</v>
      </c>
      <c r="B1602" s="1">
        <v>873</v>
      </c>
      <c r="C1602" s="5">
        <v>113842.45</v>
      </c>
      <c r="D1602" s="1" t="s">
        <v>2938</v>
      </c>
      <c r="E1602" s="1" t="s">
        <v>2939</v>
      </c>
      <c r="F1602" s="1" t="s">
        <v>955</v>
      </c>
      <c r="G1602" s="1" t="s">
        <v>20</v>
      </c>
      <c r="H1602" s="3">
        <v>46004</v>
      </c>
      <c r="I1602" s="1" t="s">
        <v>933</v>
      </c>
      <c r="J1602" s="1" t="s">
        <v>951</v>
      </c>
      <c r="K1602" s="1" t="s">
        <v>20</v>
      </c>
      <c r="L1602" s="1" t="s">
        <v>2940</v>
      </c>
      <c r="M1602" s="3">
        <v>45978</v>
      </c>
      <c r="N1602" s="1" t="s">
        <v>821</v>
      </c>
      <c r="O1602" s="1" t="s">
        <v>936</v>
      </c>
      <c r="P1602" s="1">
        <v>1</v>
      </c>
    </row>
    <row r="1603" spans="1:16" x14ac:dyDescent="0.25">
      <c r="A1603" s="3">
        <v>45974</v>
      </c>
      <c r="B1603" s="4">
        <v>2752</v>
      </c>
      <c r="C1603" s="5">
        <v>1976.6</v>
      </c>
      <c r="D1603" s="1" t="s">
        <v>2941</v>
      </c>
      <c r="E1603" s="1" t="s">
        <v>2942</v>
      </c>
      <c r="F1603" s="1" t="s">
        <v>955</v>
      </c>
      <c r="G1603" s="1" t="s">
        <v>20</v>
      </c>
      <c r="H1603" s="3">
        <v>46002</v>
      </c>
      <c r="I1603" s="1" t="s">
        <v>933</v>
      </c>
      <c r="J1603" s="1" t="s">
        <v>951</v>
      </c>
      <c r="K1603" s="1" t="s">
        <v>934</v>
      </c>
      <c r="L1603" s="1" t="s">
        <v>2943</v>
      </c>
      <c r="M1603" s="3">
        <v>45981</v>
      </c>
      <c r="N1603" s="1" t="s">
        <v>821</v>
      </c>
      <c r="O1603" s="1" t="s">
        <v>936</v>
      </c>
      <c r="P1603" s="1" t="s">
        <v>937</v>
      </c>
    </row>
    <row r="1604" spans="1:16" x14ac:dyDescent="0.25">
      <c r="A1604" s="3">
        <v>45974</v>
      </c>
      <c r="B1604" s="4">
        <v>47955</v>
      </c>
      <c r="C1604" s="5">
        <v>2148</v>
      </c>
      <c r="D1604" s="1" t="s">
        <v>1489</v>
      </c>
      <c r="E1604" s="1" t="s">
        <v>1490</v>
      </c>
      <c r="F1604" s="1" t="s">
        <v>966</v>
      </c>
      <c r="G1604" s="1" t="s">
        <v>2508</v>
      </c>
      <c r="H1604" s="3">
        <v>46004</v>
      </c>
      <c r="I1604" s="1" t="s">
        <v>933</v>
      </c>
      <c r="J1604" s="1" t="s">
        <v>951</v>
      </c>
      <c r="K1604" s="1" t="s">
        <v>817</v>
      </c>
      <c r="L1604" s="1" t="s">
        <v>2944</v>
      </c>
      <c r="M1604" s="3">
        <v>45984</v>
      </c>
      <c r="N1604" s="1" t="s">
        <v>821</v>
      </c>
      <c r="O1604" s="1" t="s">
        <v>936</v>
      </c>
      <c r="P1604" s="1">
        <v>1</v>
      </c>
    </row>
    <row r="1605" spans="1:16" x14ac:dyDescent="0.25">
      <c r="A1605" s="3">
        <v>45974</v>
      </c>
      <c r="B1605" s="1">
        <v>111</v>
      </c>
      <c r="C1605" s="5">
        <v>2200</v>
      </c>
      <c r="D1605" s="1" t="s">
        <v>1579</v>
      </c>
      <c r="E1605" s="1" t="s">
        <v>1580</v>
      </c>
      <c r="F1605" s="1" t="s">
        <v>66</v>
      </c>
      <c r="G1605" s="1" t="s">
        <v>1260</v>
      </c>
      <c r="H1605" s="3">
        <v>46003</v>
      </c>
      <c r="I1605" s="1" t="s">
        <v>933</v>
      </c>
      <c r="J1605" s="1" t="s">
        <v>66</v>
      </c>
      <c r="K1605" s="1" t="s">
        <v>934</v>
      </c>
      <c r="L1605" s="1" t="s">
        <v>2945</v>
      </c>
      <c r="M1605" s="3">
        <v>45986</v>
      </c>
      <c r="N1605" s="1" t="s">
        <v>821</v>
      </c>
      <c r="O1605" s="1" t="s">
        <v>936</v>
      </c>
      <c r="P1605" s="1">
        <v>1</v>
      </c>
    </row>
    <row r="1606" spans="1:16" x14ac:dyDescent="0.25">
      <c r="A1606" s="3">
        <v>45974</v>
      </c>
      <c r="B1606" s="4">
        <v>127497</v>
      </c>
      <c r="C1606" s="5">
        <v>180</v>
      </c>
      <c r="D1606" s="1" t="s">
        <v>2946</v>
      </c>
      <c r="E1606" s="1" t="s">
        <v>2947</v>
      </c>
      <c r="F1606" s="1" t="s">
        <v>955</v>
      </c>
      <c r="G1606" s="1" t="s">
        <v>940</v>
      </c>
      <c r="H1606" s="3">
        <v>45960</v>
      </c>
      <c r="I1606" s="1" t="s">
        <v>933</v>
      </c>
      <c r="J1606" s="1" t="s">
        <v>951</v>
      </c>
      <c r="K1606" s="1" t="s">
        <v>340</v>
      </c>
      <c r="L1606" s="1" t="s">
        <v>2948</v>
      </c>
      <c r="M1606" s="3">
        <v>45986</v>
      </c>
      <c r="N1606" s="1" t="s">
        <v>821</v>
      </c>
      <c r="O1606" s="1" t="s">
        <v>937</v>
      </c>
      <c r="P1606" s="1">
        <v>1</v>
      </c>
    </row>
    <row r="1607" spans="1:16" x14ac:dyDescent="0.25">
      <c r="A1607" s="3">
        <v>45974</v>
      </c>
      <c r="B1607" s="1">
        <v>132</v>
      </c>
      <c r="C1607" s="5">
        <v>2200</v>
      </c>
      <c r="D1607" s="1" t="s">
        <v>1773</v>
      </c>
      <c r="E1607" s="1" t="s">
        <v>1774</v>
      </c>
      <c r="F1607" s="1" t="s">
        <v>243</v>
      </c>
      <c r="G1607" s="1" t="s">
        <v>1029</v>
      </c>
      <c r="H1607" s="3">
        <v>45988</v>
      </c>
      <c r="I1607" s="1" t="s">
        <v>933</v>
      </c>
      <c r="J1607" s="1" t="s">
        <v>66</v>
      </c>
      <c r="K1607" s="1" t="s">
        <v>52</v>
      </c>
      <c r="L1607" s="1" t="s">
        <v>2949</v>
      </c>
      <c r="M1607" s="3">
        <v>45986</v>
      </c>
      <c r="N1607" s="1" t="s">
        <v>93</v>
      </c>
      <c r="O1607" s="1" t="s">
        <v>990</v>
      </c>
      <c r="P1607" s="1">
        <v>1</v>
      </c>
    </row>
    <row r="1608" spans="1:16" x14ac:dyDescent="0.25">
      <c r="A1608" s="3">
        <v>45974</v>
      </c>
      <c r="B1608" s="1">
        <v>132</v>
      </c>
      <c r="C1608" s="5">
        <v>2200</v>
      </c>
      <c r="D1608" s="1" t="s">
        <v>1773</v>
      </c>
      <c r="E1608" s="1" t="s">
        <v>1774</v>
      </c>
      <c r="F1608" s="1" t="s">
        <v>199</v>
      </c>
      <c r="G1608" s="1" t="s">
        <v>1029</v>
      </c>
      <c r="H1608" s="3">
        <v>45988</v>
      </c>
      <c r="I1608" s="1" t="s">
        <v>933</v>
      </c>
      <c r="J1608" s="1" t="s">
        <v>66</v>
      </c>
      <c r="K1608" s="1" t="s">
        <v>52</v>
      </c>
      <c r="L1608" s="1" t="s">
        <v>2950</v>
      </c>
      <c r="M1608" s="3">
        <v>45986</v>
      </c>
      <c r="N1608" s="1" t="s">
        <v>175</v>
      </c>
      <c r="O1608" s="1" t="s">
        <v>990</v>
      </c>
      <c r="P1608" s="1">
        <v>1</v>
      </c>
    </row>
    <row r="1609" spans="1:16" x14ac:dyDescent="0.25">
      <c r="A1609" s="3">
        <v>45974</v>
      </c>
      <c r="B1609" s="4">
        <v>51835</v>
      </c>
      <c r="C1609" s="5">
        <v>1836.36</v>
      </c>
      <c r="D1609" s="1" t="s">
        <v>1504</v>
      </c>
      <c r="E1609" s="1" t="s">
        <v>1505</v>
      </c>
      <c r="F1609" s="1" t="s">
        <v>392</v>
      </c>
      <c r="G1609" s="1" t="s">
        <v>940</v>
      </c>
      <c r="H1609" s="3">
        <v>46003</v>
      </c>
      <c r="I1609" s="1" t="s">
        <v>933</v>
      </c>
      <c r="J1609" s="1" t="s">
        <v>66</v>
      </c>
      <c r="K1609" s="1" t="s">
        <v>659</v>
      </c>
      <c r="L1609" s="1" t="s">
        <v>2951</v>
      </c>
      <c r="M1609" s="3">
        <v>45980</v>
      </c>
      <c r="N1609" s="1" t="s">
        <v>93</v>
      </c>
      <c r="O1609" s="1" t="s">
        <v>936</v>
      </c>
      <c r="P1609" s="1"/>
    </row>
    <row r="1610" spans="1:16" x14ac:dyDescent="0.25">
      <c r="A1610" s="3">
        <v>45974</v>
      </c>
      <c r="B1610" s="4">
        <v>1848</v>
      </c>
      <c r="C1610" s="5">
        <v>507</v>
      </c>
      <c r="D1610" s="1" t="s">
        <v>953</v>
      </c>
      <c r="E1610" s="1" t="s">
        <v>954</v>
      </c>
      <c r="F1610" s="1" t="s">
        <v>955</v>
      </c>
      <c r="G1610" s="1" t="s">
        <v>20</v>
      </c>
      <c r="H1610" s="3">
        <v>46002</v>
      </c>
      <c r="I1610" s="1" t="s">
        <v>933</v>
      </c>
      <c r="J1610" s="1" t="s">
        <v>951</v>
      </c>
      <c r="K1610" s="1" t="s">
        <v>20</v>
      </c>
      <c r="L1610" s="1" t="s">
        <v>2952</v>
      </c>
      <c r="M1610" s="3">
        <v>45983</v>
      </c>
      <c r="N1610" s="1" t="s">
        <v>821</v>
      </c>
      <c r="O1610" s="1" t="s">
        <v>936</v>
      </c>
      <c r="P1610" s="1">
        <v>1</v>
      </c>
    </row>
    <row r="1611" spans="1:16" x14ac:dyDescent="0.25">
      <c r="A1611" s="3">
        <v>45974</v>
      </c>
      <c r="B1611" s="4">
        <v>1846</v>
      </c>
      <c r="C1611" s="5">
        <v>705.5</v>
      </c>
      <c r="D1611" s="1" t="s">
        <v>953</v>
      </c>
      <c r="E1611" s="1" t="s">
        <v>954</v>
      </c>
      <c r="F1611" s="1" t="s">
        <v>955</v>
      </c>
      <c r="G1611" s="1" t="s">
        <v>20</v>
      </c>
      <c r="H1611" s="3">
        <v>46002</v>
      </c>
      <c r="I1611" s="1" t="s">
        <v>933</v>
      </c>
      <c r="J1611" s="1" t="s">
        <v>951</v>
      </c>
      <c r="K1611" s="1" t="s">
        <v>20</v>
      </c>
      <c r="L1611" s="1" t="s">
        <v>2953</v>
      </c>
      <c r="M1611" s="3">
        <v>45983</v>
      </c>
      <c r="N1611" s="1" t="s">
        <v>821</v>
      </c>
      <c r="O1611" s="1" t="s">
        <v>936</v>
      </c>
      <c r="P1611" s="1">
        <v>1</v>
      </c>
    </row>
    <row r="1612" spans="1:16" x14ac:dyDescent="0.25">
      <c r="A1612" s="3">
        <v>45974</v>
      </c>
      <c r="B1612" s="4">
        <v>21712</v>
      </c>
      <c r="C1612" s="5">
        <v>13800</v>
      </c>
      <c r="D1612" s="1" t="s">
        <v>2345</v>
      </c>
      <c r="E1612" s="1" t="s">
        <v>2346</v>
      </c>
      <c r="F1612" s="1" t="s">
        <v>871</v>
      </c>
      <c r="G1612" s="1" t="s">
        <v>932</v>
      </c>
      <c r="H1612" s="3">
        <v>46004</v>
      </c>
      <c r="I1612" s="1" t="s">
        <v>933</v>
      </c>
      <c r="J1612" s="1" t="s">
        <v>66</v>
      </c>
      <c r="K1612" s="1" t="s">
        <v>659</v>
      </c>
      <c r="L1612" s="1" t="s">
        <v>2954</v>
      </c>
      <c r="M1612" s="3">
        <v>45993</v>
      </c>
      <c r="N1612" s="1" t="s">
        <v>767</v>
      </c>
      <c r="O1612" s="1" t="s">
        <v>936</v>
      </c>
      <c r="P1612" s="1" t="s">
        <v>937</v>
      </c>
    </row>
    <row r="1613" spans="1:16" x14ac:dyDescent="0.25">
      <c r="A1613" s="3">
        <v>45974</v>
      </c>
      <c r="B1613" s="4">
        <v>1121</v>
      </c>
      <c r="C1613" s="5">
        <v>80</v>
      </c>
      <c r="D1613" s="1" t="s">
        <v>1074</v>
      </c>
      <c r="E1613" s="1" t="s">
        <v>1075</v>
      </c>
      <c r="F1613" s="1" t="s">
        <v>955</v>
      </c>
      <c r="G1613" s="1" t="s">
        <v>1058</v>
      </c>
      <c r="H1613" s="3">
        <v>45993</v>
      </c>
      <c r="I1613" s="1" t="s">
        <v>933</v>
      </c>
      <c r="J1613" s="1" t="s">
        <v>951</v>
      </c>
      <c r="K1613" s="1" t="s">
        <v>934</v>
      </c>
      <c r="L1613" s="1" t="s">
        <v>2955</v>
      </c>
      <c r="M1613" s="3">
        <v>45980</v>
      </c>
      <c r="N1613" s="1" t="s">
        <v>821</v>
      </c>
      <c r="O1613" s="1" t="s">
        <v>936</v>
      </c>
      <c r="P1613" s="1">
        <v>1</v>
      </c>
    </row>
    <row r="1614" spans="1:16" x14ac:dyDescent="0.25">
      <c r="A1614" s="3">
        <v>45975</v>
      </c>
      <c r="B1614" s="4">
        <v>9327</v>
      </c>
      <c r="C1614" s="5">
        <v>3647.28</v>
      </c>
      <c r="D1614" s="1" t="s">
        <v>973</v>
      </c>
      <c r="E1614" s="1" t="s">
        <v>1068</v>
      </c>
      <c r="F1614" s="1" t="s">
        <v>1814</v>
      </c>
      <c r="G1614" s="1" t="s">
        <v>1814</v>
      </c>
      <c r="H1614" s="3">
        <v>45990</v>
      </c>
      <c r="I1614" s="1" t="s">
        <v>933</v>
      </c>
      <c r="J1614" s="1" t="s">
        <v>66</v>
      </c>
      <c r="K1614" s="1" t="s">
        <v>308</v>
      </c>
      <c r="L1614" s="1" t="s">
        <v>2956</v>
      </c>
      <c r="M1614" s="3">
        <v>45984</v>
      </c>
      <c r="N1614" s="1" t="s">
        <v>1814</v>
      </c>
      <c r="O1614" s="1" t="s">
        <v>998</v>
      </c>
      <c r="P1614" s="1">
        <v>1</v>
      </c>
    </row>
    <row r="1615" spans="1:16" x14ac:dyDescent="0.25">
      <c r="A1615" s="3">
        <v>45975</v>
      </c>
      <c r="B1615" s="1">
        <v>950</v>
      </c>
      <c r="C1615" s="5">
        <v>2245</v>
      </c>
      <c r="D1615" s="1" t="s">
        <v>1294</v>
      </c>
      <c r="E1615" s="1" t="s">
        <v>1295</v>
      </c>
      <c r="F1615" s="1" t="s">
        <v>949</v>
      </c>
      <c r="G1615" s="1" t="s">
        <v>1058</v>
      </c>
      <c r="H1615" s="3">
        <v>45996</v>
      </c>
      <c r="I1615" s="1" t="s">
        <v>933</v>
      </c>
      <c r="J1615" s="1" t="s">
        <v>951</v>
      </c>
      <c r="K1615" s="1" t="s">
        <v>308</v>
      </c>
      <c r="L1615" s="1" t="s">
        <v>2957</v>
      </c>
      <c r="M1615" s="3">
        <v>45984</v>
      </c>
      <c r="N1615" s="1" t="s">
        <v>821</v>
      </c>
      <c r="O1615" s="1" t="s">
        <v>936</v>
      </c>
      <c r="P1615" s="1">
        <v>1</v>
      </c>
    </row>
    <row r="1616" spans="1:16" x14ac:dyDescent="0.25">
      <c r="A1616" s="3">
        <v>45975</v>
      </c>
      <c r="B1616" s="4">
        <v>2880</v>
      </c>
      <c r="C1616" s="5">
        <v>14000</v>
      </c>
      <c r="D1616" s="1" t="s">
        <v>1285</v>
      </c>
      <c r="E1616" s="1" t="s">
        <v>1286</v>
      </c>
      <c r="F1616" s="1" t="s">
        <v>37</v>
      </c>
      <c r="G1616" s="1" t="s">
        <v>932</v>
      </c>
      <c r="H1616" s="3">
        <v>45995</v>
      </c>
      <c r="I1616" s="1" t="s">
        <v>933</v>
      </c>
      <c r="J1616" s="1" t="s">
        <v>66</v>
      </c>
      <c r="K1616" s="1" t="s">
        <v>20</v>
      </c>
      <c r="L1616" s="1" t="s">
        <v>2958</v>
      </c>
      <c r="M1616" s="3">
        <v>45984</v>
      </c>
      <c r="N1616" s="1" t="s">
        <v>25</v>
      </c>
      <c r="O1616" s="1" t="s">
        <v>932</v>
      </c>
      <c r="P1616" s="1">
        <v>1</v>
      </c>
    </row>
    <row r="1617" spans="1:16" x14ac:dyDescent="0.25">
      <c r="A1617" s="3">
        <v>45975</v>
      </c>
      <c r="B1617" s="1">
        <v>3</v>
      </c>
      <c r="C1617" s="5">
        <v>790</v>
      </c>
      <c r="D1617" s="1" t="s">
        <v>2696</v>
      </c>
      <c r="E1617" s="1" t="s">
        <v>2697</v>
      </c>
      <c r="F1617" s="1" t="s">
        <v>949</v>
      </c>
      <c r="G1617" s="1" t="s">
        <v>932</v>
      </c>
      <c r="H1617" s="3">
        <v>45989</v>
      </c>
      <c r="I1617" s="1" t="s">
        <v>933</v>
      </c>
      <c r="J1617" s="1" t="s">
        <v>951</v>
      </c>
      <c r="K1617" s="1" t="s">
        <v>340</v>
      </c>
      <c r="L1617" s="1" t="s">
        <v>2959</v>
      </c>
      <c r="M1617" s="3">
        <v>45984</v>
      </c>
      <c r="N1617" s="1" t="s">
        <v>821</v>
      </c>
      <c r="O1617" s="1" t="s">
        <v>936</v>
      </c>
      <c r="P1617" s="1">
        <v>1</v>
      </c>
    </row>
    <row r="1618" spans="1:16" x14ac:dyDescent="0.25">
      <c r="A1618" s="3">
        <v>45975</v>
      </c>
      <c r="B1618" s="4">
        <v>51351054</v>
      </c>
      <c r="C1618" s="5">
        <v>19621.37</v>
      </c>
      <c r="D1618" s="1" t="s">
        <v>1604</v>
      </c>
      <c r="E1618" s="1" t="s">
        <v>1605</v>
      </c>
      <c r="F1618" s="1" t="s">
        <v>955</v>
      </c>
      <c r="G1618" s="1" t="s">
        <v>950</v>
      </c>
      <c r="H1618" s="3">
        <v>45989</v>
      </c>
      <c r="I1618" s="1" t="s">
        <v>933</v>
      </c>
      <c r="J1618" s="1" t="s">
        <v>951</v>
      </c>
      <c r="K1618" s="1" t="s">
        <v>934</v>
      </c>
      <c r="L1618" s="1" t="s">
        <v>2960</v>
      </c>
      <c r="M1618" s="3">
        <v>45986</v>
      </c>
      <c r="N1618" s="1" t="s">
        <v>821</v>
      </c>
      <c r="O1618" s="1" t="s">
        <v>932</v>
      </c>
      <c r="P1618" s="1">
        <v>1</v>
      </c>
    </row>
    <row r="1619" spans="1:16" x14ac:dyDescent="0.25">
      <c r="A1619" s="3">
        <v>45975</v>
      </c>
      <c r="B1619" s="4">
        <v>3072</v>
      </c>
      <c r="C1619" s="5">
        <v>1650</v>
      </c>
      <c r="D1619" s="1" t="s">
        <v>1745</v>
      </c>
      <c r="E1619" s="1" t="s">
        <v>1746</v>
      </c>
      <c r="F1619" s="1" t="s">
        <v>955</v>
      </c>
      <c r="G1619" s="1" t="s">
        <v>20</v>
      </c>
      <c r="H1619" s="3">
        <v>45989</v>
      </c>
      <c r="I1619" s="1" t="s">
        <v>933</v>
      </c>
      <c r="J1619" s="1" t="s">
        <v>951</v>
      </c>
      <c r="K1619" s="1" t="s">
        <v>52</v>
      </c>
      <c r="L1619" s="1" t="s">
        <v>2961</v>
      </c>
      <c r="M1619" s="1"/>
      <c r="N1619" s="1" t="s">
        <v>821</v>
      </c>
      <c r="O1619" s="1" t="s">
        <v>936</v>
      </c>
      <c r="P1619" s="1" t="s">
        <v>2962</v>
      </c>
    </row>
    <row r="1620" spans="1:16" x14ac:dyDescent="0.25">
      <c r="A1620" s="3">
        <v>45975</v>
      </c>
      <c r="B1620" s="4">
        <v>1121</v>
      </c>
      <c r="C1620" s="5">
        <v>500</v>
      </c>
      <c r="D1620" s="1" t="s">
        <v>1074</v>
      </c>
      <c r="E1620" s="1" t="s">
        <v>1075</v>
      </c>
      <c r="F1620" s="1" t="s">
        <v>750</v>
      </c>
      <c r="G1620" s="1" t="s">
        <v>1058</v>
      </c>
      <c r="H1620" s="3">
        <v>45993</v>
      </c>
      <c r="I1620" s="1" t="s">
        <v>933</v>
      </c>
      <c r="J1620" s="1" t="s">
        <v>66</v>
      </c>
      <c r="K1620" s="1" t="s">
        <v>2963</v>
      </c>
      <c r="L1620" s="1" t="s">
        <v>2964</v>
      </c>
      <c r="M1620" s="3">
        <v>45980</v>
      </c>
      <c r="N1620" s="1" t="s">
        <v>752</v>
      </c>
      <c r="O1620" s="1" t="s">
        <v>936</v>
      </c>
      <c r="P1620" s="1">
        <v>1</v>
      </c>
    </row>
    <row r="1621" spans="1:16" x14ac:dyDescent="0.25">
      <c r="A1621" s="3">
        <v>45975</v>
      </c>
      <c r="B1621" s="4">
        <v>1121</v>
      </c>
      <c r="C1621" s="5">
        <v>380</v>
      </c>
      <c r="D1621" s="1" t="s">
        <v>1074</v>
      </c>
      <c r="E1621" s="1" t="s">
        <v>1075</v>
      </c>
      <c r="F1621" s="1" t="s">
        <v>809</v>
      </c>
      <c r="G1621" s="1" t="s">
        <v>1058</v>
      </c>
      <c r="H1621" s="3">
        <v>45993</v>
      </c>
      <c r="I1621" s="1" t="s">
        <v>933</v>
      </c>
      <c r="J1621" s="1" t="s">
        <v>66</v>
      </c>
      <c r="K1621" s="1" t="s">
        <v>340</v>
      </c>
      <c r="L1621" s="1" t="s">
        <v>2965</v>
      </c>
      <c r="M1621" s="3">
        <v>45980</v>
      </c>
      <c r="N1621" s="1" t="s">
        <v>212</v>
      </c>
      <c r="O1621" s="1" t="s">
        <v>936</v>
      </c>
      <c r="P1621" s="1">
        <v>1</v>
      </c>
    </row>
    <row r="1622" spans="1:16" x14ac:dyDescent="0.25">
      <c r="A1622" s="3">
        <v>45976</v>
      </c>
      <c r="B1622" s="1">
        <v>19</v>
      </c>
      <c r="C1622" s="5">
        <v>2100</v>
      </c>
      <c r="D1622" s="1" t="s">
        <v>2966</v>
      </c>
      <c r="E1622" s="1" t="s">
        <v>2967</v>
      </c>
      <c r="F1622" s="1" t="s">
        <v>949</v>
      </c>
      <c r="G1622" s="1" t="s">
        <v>940</v>
      </c>
      <c r="H1622" s="3">
        <v>45989</v>
      </c>
      <c r="I1622" s="1" t="s">
        <v>933</v>
      </c>
      <c r="J1622" s="1" t="s">
        <v>951</v>
      </c>
      <c r="K1622" s="1" t="s">
        <v>66</v>
      </c>
      <c r="L1622" s="1" t="s">
        <v>2968</v>
      </c>
      <c r="M1622" s="3">
        <v>45986</v>
      </c>
      <c r="N1622" s="1" t="s">
        <v>821</v>
      </c>
      <c r="O1622" s="1" t="s">
        <v>937</v>
      </c>
      <c r="P1622" s="1" t="s">
        <v>937</v>
      </c>
    </row>
    <row r="1623" spans="1:16" x14ac:dyDescent="0.25">
      <c r="A1623" s="3">
        <v>45976</v>
      </c>
      <c r="B1623" s="4">
        <v>1121</v>
      </c>
      <c r="C1623" s="5">
        <v>280</v>
      </c>
      <c r="D1623" s="1" t="s">
        <v>1074</v>
      </c>
      <c r="E1623" s="1" t="s">
        <v>1075</v>
      </c>
      <c r="F1623" s="1" t="s">
        <v>400</v>
      </c>
      <c r="G1623" s="1" t="s">
        <v>1058</v>
      </c>
      <c r="H1623" s="3">
        <v>45993</v>
      </c>
      <c r="I1623" s="1" t="s">
        <v>933</v>
      </c>
      <c r="J1623" s="1" t="s">
        <v>66</v>
      </c>
      <c r="K1623" s="1" t="s">
        <v>996</v>
      </c>
      <c r="L1623" s="1" t="s">
        <v>2969</v>
      </c>
      <c r="M1623" s="3">
        <v>45980</v>
      </c>
      <c r="N1623" s="1" t="s">
        <v>57</v>
      </c>
      <c r="O1623" s="1" t="s">
        <v>936</v>
      </c>
      <c r="P1623" s="1">
        <v>1</v>
      </c>
    </row>
    <row r="1624" spans="1:16" x14ac:dyDescent="0.25">
      <c r="A1624" s="3">
        <v>45976</v>
      </c>
      <c r="B1624" s="4">
        <v>1121</v>
      </c>
      <c r="C1624" s="5">
        <v>280</v>
      </c>
      <c r="D1624" s="1" t="s">
        <v>1074</v>
      </c>
      <c r="E1624" s="1" t="s">
        <v>1075</v>
      </c>
      <c r="F1624" s="1" t="s">
        <v>955</v>
      </c>
      <c r="G1624" s="1" t="s">
        <v>1058</v>
      </c>
      <c r="H1624" s="3">
        <v>45993</v>
      </c>
      <c r="I1624" s="1" t="s">
        <v>933</v>
      </c>
      <c r="J1624" s="1" t="s">
        <v>951</v>
      </c>
      <c r="K1624" s="1" t="s">
        <v>340</v>
      </c>
      <c r="L1624" s="1" t="s">
        <v>2970</v>
      </c>
      <c r="M1624" s="3">
        <v>45980</v>
      </c>
      <c r="N1624" s="1" t="s">
        <v>821</v>
      </c>
      <c r="O1624" s="1" t="s">
        <v>936</v>
      </c>
      <c r="P1624" s="1">
        <v>1</v>
      </c>
    </row>
    <row r="1625" spans="1:16" x14ac:dyDescent="0.25">
      <c r="A1625" s="3">
        <v>45976</v>
      </c>
      <c r="B1625" s="4">
        <v>1121</v>
      </c>
      <c r="C1625" s="5">
        <v>80</v>
      </c>
      <c r="D1625" s="1" t="s">
        <v>1074</v>
      </c>
      <c r="E1625" s="1" t="s">
        <v>1075</v>
      </c>
      <c r="F1625" s="1" t="s">
        <v>955</v>
      </c>
      <c r="G1625" s="1" t="s">
        <v>1058</v>
      </c>
      <c r="H1625" s="3">
        <v>45993</v>
      </c>
      <c r="I1625" s="1" t="s">
        <v>933</v>
      </c>
      <c r="J1625" s="1" t="s">
        <v>951</v>
      </c>
      <c r="K1625" s="1" t="s">
        <v>340</v>
      </c>
      <c r="L1625" s="1" t="s">
        <v>2971</v>
      </c>
      <c r="M1625" s="3">
        <v>45980</v>
      </c>
      <c r="N1625" s="1" t="s">
        <v>821</v>
      </c>
      <c r="O1625" s="1" t="s">
        <v>936</v>
      </c>
      <c r="P1625" s="1">
        <v>1</v>
      </c>
    </row>
    <row r="1626" spans="1:16" x14ac:dyDescent="0.25">
      <c r="A1626" s="3">
        <v>45976</v>
      </c>
      <c r="B1626" s="4">
        <v>1121</v>
      </c>
      <c r="C1626" s="5">
        <v>80</v>
      </c>
      <c r="D1626" s="1" t="s">
        <v>1074</v>
      </c>
      <c r="E1626" s="1" t="s">
        <v>1075</v>
      </c>
      <c r="F1626" s="1" t="s">
        <v>955</v>
      </c>
      <c r="G1626" s="1" t="s">
        <v>1058</v>
      </c>
      <c r="H1626" s="3">
        <v>45993</v>
      </c>
      <c r="I1626" s="1" t="s">
        <v>933</v>
      </c>
      <c r="J1626" s="1" t="s">
        <v>951</v>
      </c>
      <c r="K1626" s="1" t="s">
        <v>640</v>
      </c>
      <c r="L1626" s="1" t="s">
        <v>2972</v>
      </c>
      <c r="M1626" s="3">
        <v>45980</v>
      </c>
      <c r="N1626" s="1" t="s">
        <v>821</v>
      </c>
      <c r="O1626" s="1" t="s">
        <v>936</v>
      </c>
      <c r="P1626" s="1">
        <v>1</v>
      </c>
    </row>
    <row r="1627" spans="1:16" x14ac:dyDescent="0.25">
      <c r="A1627" s="3">
        <v>45976</v>
      </c>
      <c r="B1627" s="4">
        <v>1121</v>
      </c>
      <c r="C1627" s="5">
        <v>80</v>
      </c>
      <c r="D1627" s="1" t="s">
        <v>1074</v>
      </c>
      <c r="E1627" s="1" t="s">
        <v>1075</v>
      </c>
      <c r="F1627" s="1" t="s">
        <v>955</v>
      </c>
      <c r="G1627" s="1" t="s">
        <v>1058</v>
      </c>
      <c r="H1627" s="3">
        <v>45993</v>
      </c>
      <c r="I1627" s="1" t="s">
        <v>933</v>
      </c>
      <c r="J1627" s="1" t="s">
        <v>951</v>
      </c>
      <c r="K1627" s="1" t="s">
        <v>934</v>
      </c>
      <c r="L1627" s="1" t="s">
        <v>2973</v>
      </c>
      <c r="M1627" s="3">
        <v>45980</v>
      </c>
      <c r="N1627" s="1" t="s">
        <v>821</v>
      </c>
      <c r="O1627" s="1" t="s">
        <v>936</v>
      </c>
      <c r="P1627" s="1">
        <v>1</v>
      </c>
    </row>
    <row r="1628" spans="1:16" x14ac:dyDescent="0.25">
      <c r="A1628" s="3">
        <v>45976</v>
      </c>
      <c r="B1628" s="4">
        <v>1121</v>
      </c>
      <c r="C1628" s="5">
        <v>80</v>
      </c>
      <c r="D1628" s="1" t="s">
        <v>1074</v>
      </c>
      <c r="E1628" s="1" t="s">
        <v>1075</v>
      </c>
      <c r="F1628" s="1" t="s">
        <v>955</v>
      </c>
      <c r="G1628" s="1" t="s">
        <v>1058</v>
      </c>
      <c r="H1628" s="3">
        <v>45993</v>
      </c>
      <c r="I1628" s="1" t="s">
        <v>933</v>
      </c>
      <c r="J1628" s="1" t="s">
        <v>951</v>
      </c>
      <c r="K1628" s="1" t="s">
        <v>308</v>
      </c>
      <c r="L1628" s="1" t="s">
        <v>2974</v>
      </c>
      <c r="M1628" s="3">
        <v>45980</v>
      </c>
      <c r="N1628" s="1" t="s">
        <v>821</v>
      </c>
      <c r="O1628" s="1" t="s">
        <v>936</v>
      </c>
      <c r="P1628" s="1">
        <v>1</v>
      </c>
    </row>
    <row r="1629" spans="1:16" x14ac:dyDescent="0.25">
      <c r="A1629" s="3">
        <v>45976</v>
      </c>
      <c r="B1629" s="4">
        <v>1121</v>
      </c>
      <c r="C1629" s="5">
        <v>80</v>
      </c>
      <c r="D1629" s="1" t="s">
        <v>1074</v>
      </c>
      <c r="E1629" s="1" t="s">
        <v>1075</v>
      </c>
      <c r="F1629" s="1" t="s">
        <v>955</v>
      </c>
      <c r="G1629" s="1" t="s">
        <v>1058</v>
      </c>
      <c r="H1629" s="3">
        <v>45993</v>
      </c>
      <c r="I1629" s="1" t="s">
        <v>933</v>
      </c>
      <c r="J1629" s="1" t="s">
        <v>951</v>
      </c>
      <c r="K1629" s="1" t="s">
        <v>487</v>
      </c>
      <c r="L1629" s="1" t="s">
        <v>2975</v>
      </c>
      <c r="M1629" s="3">
        <v>45980</v>
      </c>
      <c r="N1629" s="1" t="s">
        <v>821</v>
      </c>
      <c r="O1629" s="1" t="s">
        <v>936</v>
      </c>
      <c r="P1629" s="1">
        <v>1</v>
      </c>
    </row>
    <row r="1630" spans="1:16" x14ac:dyDescent="0.25">
      <c r="A1630" s="3">
        <v>45976</v>
      </c>
      <c r="B1630" s="4">
        <v>1121</v>
      </c>
      <c r="C1630" s="5">
        <v>80</v>
      </c>
      <c r="D1630" s="1" t="s">
        <v>1074</v>
      </c>
      <c r="E1630" s="1" t="s">
        <v>1075</v>
      </c>
      <c r="F1630" s="1" t="s">
        <v>955</v>
      </c>
      <c r="G1630" s="1" t="s">
        <v>1058</v>
      </c>
      <c r="H1630" s="3">
        <v>45993</v>
      </c>
      <c r="I1630" s="1" t="s">
        <v>933</v>
      </c>
      <c r="J1630" s="1" t="s">
        <v>951</v>
      </c>
      <c r="K1630" s="1" t="s">
        <v>487</v>
      </c>
      <c r="L1630" s="1" t="s">
        <v>2976</v>
      </c>
      <c r="M1630" s="3">
        <v>45980</v>
      </c>
      <c r="N1630" s="1" t="s">
        <v>821</v>
      </c>
      <c r="O1630" s="1" t="s">
        <v>936</v>
      </c>
      <c r="P1630" s="1">
        <v>1</v>
      </c>
    </row>
    <row r="1631" spans="1:16" x14ac:dyDescent="0.25">
      <c r="A1631" s="3">
        <v>45976</v>
      </c>
      <c r="B1631" s="4">
        <v>1121</v>
      </c>
      <c r="C1631" s="5">
        <v>80</v>
      </c>
      <c r="D1631" s="1" t="s">
        <v>1074</v>
      </c>
      <c r="E1631" s="1" t="s">
        <v>1075</v>
      </c>
      <c r="F1631" s="1" t="s">
        <v>955</v>
      </c>
      <c r="G1631" s="1" t="s">
        <v>1058</v>
      </c>
      <c r="H1631" s="3">
        <v>45993</v>
      </c>
      <c r="I1631" s="1" t="s">
        <v>933</v>
      </c>
      <c r="J1631" s="1" t="s">
        <v>951</v>
      </c>
      <c r="K1631" s="1" t="s">
        <v>487</v>
      </c>
      <c r="L1631" s="1" t="s">
        <v>2977</v>
      </c>
      <c r="M1631" s="3">
        <v>45980</v>
      </c>
      <c r="N1631" s="1" t="s">
        <v>821</v>
      </c>
      <c r="O1631" s="1" t="s">
        <v>936</v>
      </c>
      <c r="P1631" s="1">
        <v>1</v>
      </c>
    </row>
    <row r="1632" spans="1:16" x14ac:dyDescent="0.25">
      <c r="A1632" s="3">
        <v>45976</v>
      </c>
      <c r="B1632" s="4">
        <v>1121</v>
      </c>
      <c r="C1632" s="5">
        <v>250</v>
      </c>
      <c r="D1632" s="1" t="s">
        <v>1074</v>
      </c>
      <c r="E1632" s="1" t="s">
        <v>1075</v>
      </c>
      <c r="F1632" s="1" t="s">
        <v>245</v>
      </c>
      <c r="G1632" s="1" t="s">
        <v>1058</v>
      </c>
      <c r="H1632" s="3">
        <v>45993</v>
      </c>
      <c r="I1632" s="1" t="s">
        <v>933</v>
      </c>
      <c r="J1632" s="1" t="s">
        <v>66</v>
      </c>
      <c r="K1632" s="1" t="s">
        <v>308</v>
      </c>
      <c r="L1632" s="1" t="s">
        <v>2978</v>
      </c>
      <c r="M1632" s="3">
        <v>45980</v>
      </c>
      <c r="N1632" s="1" t="s">
        <v>57</v>
      </c>
      <c r="O1632" s="1" t="s">
        <v>936</v>
      </c>
      <c r="P1632" s="1">
        <v>1</v>
      </c>
    </row>
    <row r="1633" spans="1:16" x14ac:dyDescent="0.25">
      <c r="A1633" s="3">
        <v>45977</v>
      </c>
      <c r="B1633" s="1">
        <v>31</v>
      </c>
      <c r="C1633" s="5">
        <v>500</v>
      </c>
      <c r="D1633" s="1" t="s">
        <v>2979</v>
      </c>
      <c r="E1633" s="1" t="s">
        <v>1157</v>
      </c>
      <c r="F1633" s="1" t="s">
        <v>392</v>
      </c>
      <c r="G1633" s="1" t="s">
        <v>940</v>
      </c>
      <c r="H1633" s="3">
        <v>45977</v>
      </c>
      <c r="I1633" s="1" t="s">
        <v>933</v>
      </c>
      <c r="J1633" s="1" t="s">
        <v>66</v>
      </c>
      <c r="K1633" s="1" t="s">
        <v>52</v>
      </c>
      <c r="L1633" s="1" t="s">
        <v>2980</v>
      </c>
      <c r="M1633" s="3">
        <v>45986</v>
      </c>
      <c r="N1633" s="1" t="s">
        <v>93</v>
      </c>
      <c r="O1633" s="1" t="s">
        <v>937</v>
      </c>
      <c r="P1633" s="1">
        <v>1</v>
      </c>
    </row>
    <row r="1634" spans="1:16" x14ac:dyDescent="0.25">
      <c r="A1634" s="3">
        <v>45978</v>
      </c>
      <c r="B1634" s="4">
        <v>11241</v>
      </c>
      <c r="C1634" s="5">
        <v>1078.8399999999999</v>
      </c>
      <c r="D1634" s="1" t="s">
        <v>1801</v>
      </c>
      <c r="E1634" s="1" t="s">
        <v>1802</v>
      </c>
      <c r="F1634" s="1" t="s">
        <v>166</v>
      </c>
      <c r="G1634" s="1" t="s">
        <v>998</v>
      </c>
      <c r="H1634" s="3">
        <v>46001</v>
      </c>
      <c r="I1634" s="1" t="s">
        <v>933</v>
      </c>
      <c r="J1634" s="1" t="s">
        <v>66</v>
      </c>
      <c r="K1634" s="1" t="s">
        <v>52</v>
      </c>
      <c r="L1634" s="1" t="s">
        <v>2786</v>
      </c>
      <c r="M1634" s="3">
        <v>45985</v>
      </c>
      <c r="N1634" s="1" t="s">
        <v>170</v>
      </c>
      <c r="O1634" s="1" t="s">
        <v>998</v>
      </c>
      <c r="P1634" s="1">
        <v>1</v>
      </c>
    </row>
    <row r="1635" spans="1:16" x14ac:dyDescent="0.25">
      <c r="A1635" s="3">
        <v>45978</v>
      </c>
      <c r="B1635" s="1">
        <v>100</v>
      </c>
      <c r="C1635" s="5">
        <v>480</v>
      </c>
      <c r="D1635" s="1" t="s">
        <v>2981</v>
      </c>
      <c r="E1635" s="1" t="s">
        <v>2982</v>
      </c>
      <c r="F1635" s="1" t="s">
        <v>955</v>
      </c>
      <c r="G1635" s="1" t="s">
        <v>20</v>
      </c>
      <c r="H1635" s="3">
        <v>45996</v>
      </c>
      <c r="I1635" s="1" t="s">
        <v>933</v>
      </c>
      <c r="J1635" s="1" t="s">
        <v>951</v>
      </c>
      <c r="K1635" s="1" t="s">
        <v>934</v>
      </c>
      <c r="L1635" s="1" t="s">
        <v>2983</v>
      </c>
      <c r="M1635" s="3">
        <v>45986</v>
      </c>
      <c r="N1635" s="1" t="s">
        <v>821</v>
      </c>
      <c r="O1635" s="1" t="s">
        <v>937</v>
      </c>
      <c r="P1635" s="1" t="s">
        <v>937</v>
      </c>
    </row>
    <row r="1636" spans="1:16" x14ac:dyDescent="0.25">
      <c r="A1636" s="3">
        <v>45978</v>
      </c>
      <c r="B1636" s="4">
        <v>8009</v>
      </c>
      <c r="C1636" s="5">
        <v>2200</v>
      </c>
      <c r="D1636" s="1" t="s">
        <v>2984</v>
      </c>
      <c r="E1636" s="1" t="s">
        <v>2985</v>
      </c>
      <c r="F1636" s="1" t="s">
        <v>66</v>
      </c>
      <c r="G1636" s="1" t="s">
        <v>1260</v>
      </c>
      <c r="H1636" s="3">
        <v>46006</v>
      </c>
      <c r="I1636" s="1" t="s">
        <v>933</v>
      </c>
      <c r="J1636" s="1" t="s">
        <v>66</v>
      </c>
      <c r="K1636" s="1" t="s">
        <v>66</v>
      </c>
      <c r="L1636" s="1" t="s">
        <v>2986</v>
      </c>
      <c r="M1636" s="3">
        <v>45986</v>
      </c>
      <c r="N1636" s="1" t="s">
        <v>821</v>
      </c>
      <c r="O1636" s="1" t="s">
        <v>936</v>
      </c>
      <c r="P1636" s="1" t="s">
        <v>937</v>
      </c>
    </row>
    <row r="1637" spans="1:16" x14ac:dyDescent="0.25">
      <c r="A1637" s="3">
        <v>45978</v>
      </c>
      <c r="B1637" s="1">
        <v>112</v>
      </c>
      <c r="C1637" s="5">
        <v>380</v>
      </c>
      <c r="D1637" s="1" t="s">
        <v>1579</v>
      </c>
      <c r="E1637" s="1" t="s">
        <v>1580</v>
      </c>
      <c r="F1637" s="1" t="s">
        <v>955</v>
      </c>
      <c r="G1637" s="1" t="s">
        <v>940</v>
      </c>
      <c r="H1637" s="3">
        <v>45999</v>
      </c>
      <c r="I1637" s="1" t="s">
        <v>933</v>
      </c>
      <c r="J1637" s="1" t="s">
        <v>951</v>
      </c>
      <c r="K1637" s="1" t="s">
        <v>934</v>
      </c>
      <c r="L1637" s="1" t="s">
        <v>2987</v>
      </c>
      <c r="M1637" s="3">
        <v>45986</v>
      </c>
      <c r="N1637" s="1" t="s">
        <v>821</v>
      </c>
      <c r="O1637" s="1" t="s">
        <v>936</v>
      </c>
      <c r="P1637" s="1">
        <v>1</v>
      </c>
    </row>
    <row r="1638" spans="1:16" x14ac:dyDescent="0.25">
      <c r="A1638" s="3">
        <v>45978</v>
      </c>
      <c r="B1638" s="1">
        <v>49</v>
      </c>
      <c r="C1638" s="5">
        <v>2500</v>
      </c>
      <c r="D1638" s="1" t="s">
        <v>1607</v>
      </c>
      <c r="E1638" s="1" t="s">
        <v>1608</v>
      </c>
      <c r="F1638" s="1" t="s">
        <v>955</v>
      </c>
      <c r="G1638" s="1" t="s">
        <v>20</v>
      </c>
      <c r="H1638" s="3">
        <v>45999</v>
      </c>
      <c r="I1638" s="1" t="s">
        <v>933</v>
      </c>
      <c r="J1638" s="1" t="s">
        <v>951</v>
      </c>
      <c r="K1638" s="1" t="s">
        <v>20</v>
      </c>
      <c r="L1638" s="1" t="s">
        <v>2988</v>
      </c>
      <c r="M1638" s="3">
        <v>45986</v>
      </c>
      <c r="N1638" s="1" t="s">
        <v>821</v>
      </c>
      <c r="O1638" s="1" t="s">
        <v>1497</v>
      </c>
      <c r="P1638" s="1" t="s">
        <v>937</v>
      </c>
    </row>
    <row r="1639" spans="1:16" x14ac:dyDescent="0.25">
      <c r="A1639" s="3">
        <v>45978</v>
      </c>
      <c r="B1639" s="4">
        <v>9334</v>
      </c>
      <c r="C1639" s="5">
        <v>15401.54</v>
      </c>
      <c r="D1639" s="1" t="s">
        <v>973</v>
      </c>
      <c r="E1639" s="1" t="s">
        <v>1068</v>
      </c>
      <c r="F1639" s="1" t="s">
        <v>1814</v>
      </c>
      <c r="G1639" s="1" t="s">
        <v>1814</v>
      </c>
      <c r="H1639" s="3">
        <v>45993</v>
      </c>
      <c r="I1639" s="1" t="s">
        <v>933</v>
      </c>
      <c r="J1639" s="1" t="s">
        <v>66</v>
      </c>
      <c r="K1639" s="1" t="s">
        <v>1814</v>
      </c>
      <c r="L1639" s="1" t="s">
        <v>2989</v>
      </c>
      <c r="M1639" s="1"/>
      <c r="N1639" s="1" t="s">
        <v>1814</v>
      </c>
      <c r="O1639" s="1" t="s">
        <v>998</v>
      </c>
      <c r="P1639" s="1">
        <v>0</v>
      </c>
    </row>
    <row r="1640" spans="1:16" x14ac:dyDescent="0.25">
      <c r="A1640" s="3">
        <v>45978</v>
      </c>
      <c r="B1640" s="4">
        <v>8010</v>
      </c>
      <c r="C1640" s="5">
        <v>1300</v>
      </c>
      <c r="D1640" s="1" t="s">
        <v>2990</v>
      </c>
      <c r="E1640" s="1" t="s">
        <v>2985</v>
      </c>
      <c r="F1640" s="1" t="s">
        <v>222</v>
      </c>
      <c r="G1640" s="1" t="s">
        <v>1260</v>
      </c>
      <c r="H1640" s="3">
        <v>46006</v>
      </c>
      <c r="I1640" s="1" t="s">
        <v>933</v>
      </c>
      <c r="J1640" s="1" t="s">
        <v>66</v>
      </c>
      <c r="K1640" s="1" t="s">
        <v>308</v>
      </c>
      <c r="L1640" s="1" t="s">
        <v>2991</v>
      </c>
      <c r="M1640" s="1"/>
      <c r="N1640" s="1" t="s">
        <v>93</v>
      </c>
      <c r="O1640" s="1" t="s">
        <v>936</v>
      </c>
      <c r="P1640" s="1" t="s">
        <v>937</v>
      </c>
    </row>
    <row r="1641" spans="1:16" x14ac:dyDescent="0.25">
      <c r="A1641" s="3">
        <v>45978</v>
      </c>
      <c r="B1641" s="4">
        <v>1121</v>
      </c>
      <c r="C1641" s="5">
        <v>230</v>
      </c>
      <c r="D1641" s="1" t="s">
        <v>1074</v>
      </c>
      <c r="E1641" s="1" t="s">
        <v>1075</v>
      </c>
      <c r="F1641" s="1" t="s">
        <v>775</v>
      </c>
      <c r="G1641" s="1" t="s">
        <v>1058</v>
      </c>
      <c r="H1641" s="3">
        <v>45993</v>
      </c>
      <c r="I1641" s="1" t="s">
        <v>933</v>
      </c>
      <c r="J1641" s="1" t="s">
        <v>66</v>
      </c>
      <c r="K1641" s="1" t="s">
        <v>340</v>
      </c>
      <c r="L1641" s="1" t="s">
        <v>2992</v>
      </c>
      <c r="M1641" s="3">
        <v>45980</v>
      </c>
      <c r="N1641" s="1" t="s">
        <v>580</v>
      </c>
      <c r="O1641" s="1" t="s">
        <v>936</v>
      </c>
      <c r="P1641" s="1">
        <v>1</v>
      </c>
    </row>
    <row r="1642" spans="1:16" x14ac:dyDescent="0.25">
      <c r="A1642" s="3">
        <v>45979</v>
      </c>
      <c r="B1642" s="4">
        <v>1120</v>
      </c>
      <c r="C1642" s="5">
        <v>410</v>
      </c>
      <c r="D1642" s="1" t="s">
        <v>1074</v>
      </c>
      <c r="E1642" s="1" t="s">
        <v>1075</v>
      </c>
      <c r="F1642" s="1" t="s">
        <v>753</v>
      </c>
      <c r="G1642" s="1" t="s">
        <v>940</v>
      </c>
      <c r="H1642" s="3">
        <v>45994</v>
      </c>
      <c r="I1642" s="1" t="s">
        <v>933</v>
      </c>
      <c r="J1642" s="1" t="s">
        <v>66</v>
      </c>
      <c r="K1642" s="1" t="s">
        <v>66</v>
      </c>
      <c r="L1642" s="1" t="s">
        <v>2993</v>
      </c>
      <c r="M1642" s="3">
        <v>45986</v>
      </c>
      <c r="N1642" s="1" t="s">
        <v>57</v>
      </c>
      <c r="O1642" s="1" t="s">
        <v>936</v>
      </c>
      <c r="P1642" s="1" t="e">
        <v>#REF!</v>
      </c>
    </row>
    <row r="1643" spans="1:16" x14ac:dyDescent="0.25">
      <c r="A1643" s="3">
        <v>45979</v>
      </c>
      <c r="B1643" s="4">
        <v>1120</v>
      </c>
      <c r="C1643" s="5">
        <v>35</v>
      </c>
      <c r="D1643" s="1" t="s">
        <v>1074</v>
      </c>
      <c r="E1643" s="1" t="s">
        <v>1075</v>
      </c>
      <c r="F1643" s="1" t="s">
        <v>453</v>
      </c>
      <c r="G1643" s="1" t="s">
        <v>940</v>
      </c>
      <c r="H1643" s="3">
        <v>45994</v>
      </c>
      <c r="I1643" s="1" t="s">
        <v>933</v>
      </c>
      <c r="J1643" s="1" t="s">
        <v>66</v>
      </c>
      <c r="K1643" s="1" t="s">
        <v>934</v>
      </c>
      <c r="L1643" s="1" t="s">
        <v>2994</v>
      </c>
      <c r="M1643" s="3">
        <v>45986</v>
      </c>
      <c r="N1643" s="1" t="s">
        <v>455</v>
      </c>
      <c r="O1643" s="1" t="s">
        <v>936</v>
      </c>
      <c r="P1643" s="1">
        <v>2</v>
      </c>
    </row>
    <row r="1644" spans="1:16" x14ac:dyDescent="0.25">
      <c r="A1644" s="3">
        <v>45979</v>
      </c>
      <c r="B1644" s="4">
        <v>1120</v>
      </c>
      <c r="C1644" s="5">
        <v>80</v>
      </c>
      <c r="D1644" s="1" t="s">
        <v>1074</v>
      </c>
      <c r="E1644" s="1" t="s">
        <v>1075</v>
      </c>
      <c r="F1644" s="1" t="s">
        <v>639</v>
      </c>
      <c r="G1644" s="1" t="s">
        <v>940</v>
      </c>
      <c r="H1644" s="3">
        <v>45994</v>
      </c>
      <c r="I1644" s="1" t="s">
        <v>933</v>
      </c>
      <c r="J1644" s="1" t="s">
        <v>66</v>
      </c>
      <c r="K1644" s="1" t="s">
        <v>2085</v>
      </c>
      <c r="L1644" s="1" t="s">
        <v>2995</v>
      </c>
      <c r="M1644" s="3">
        <v>45981</v>
      </c>
      <c r="N1644" s="1" t="s">
        <v>98</v>
      </c>
      <c r="O1644" s="1" t="s">
        <v>936</v>
      </c>
      <c r="P1644" s="1">
        <v>2</v>
      </c>
    </row>
    <row r="1645" spans="1:16" x14ac:dyDescent="0.25">
      <c r="A1645" s="3">
        <v>45979</v>
      </c>
      <c r="B1645" s="1">
        <v>144</v>
      </c>
      <c r="C1645" s="5">
        <v>6000</v>
      </c>
      <c r="D1645" s="1" t="s">
        <v>2996</v>
      </c>
      <c r="E1645" s="1" t="s">
        <v>2997</v>
      </c>
      <c r="F1645" s="1" t="s">
        <v>2998</v>
      </c>
      <c r="G1645" s="1" t="s">
        <v>932</v>
      </c>
      <c r="H1645" s="3">
        <v>46006</v>
      </c>
      <c r="I1645" s="1" t="s">
        <v>933</v>
      </c>
      <c r="J1645" s="1" t="s">
        <v>937</v>
      </c>
      <c r="K1645" s="1" t="s">
        <v>659</v>
      </c>
      <c r="L1645" s="1" t="s">
        <v>2999</v>
      </c>
      <c r="M1645" s="3">
        <v>45986</v>
      </c>
      <c r="N1645" s="1" t="s">
        <v>937</v>
      </c>
      <c r="O1645" s="1" t="s">
        <v>936</v>
      </c>
      <c r="P1645" s="1">
        <v>1</v>
      </c>
    </row>
    <row r="1646" spans="1:16" x14ac:dyDescent="0.25">
      <c r="A1646" s="3">
        <v>45979</v>
      </c>
      <c r="B1646" s="1">
        <v>4</v>
      </c>
      <c r="C1646" s="5">
        <v>18040</v>
      </c>
      <c r="D1646" s="1" t="s">
        <v>3000</v>
      </c>
      <c r="E1646" s="1" t="s">
        <v>3001</v>
      </c>
      <c r="F1646" s="1" t="s">
        <v>955</v>
      </c>
      <c r="G1646" s="1" t="s">
        <v>940</v>
      </c>
      <c r="H1646" s="3">
        <v>45994</v>
      </c>
      <c r="I1646" s="1" t="s">
        <v>933</v>
      </c>
      <c r="J1646" s="1" t="s">
        <v>951</v>
      </c>
      <c r="K1646" s="1" t="s">
        <v>20</v>
      </c>
      <c r="L1646" s="1" t="s">
        <v>3002</v>
      </c>
      <c r="M1646" s="3">
        <v>45986</v>
      </c>
      <c r="N1646" s="1" t="s">
        <v>821</v>
      </c>
      <c r="O1646" s="1" t="s">
        <v>937</v>
      </c>
      <c r="P1646" s="1" t="s">
        <v>937</v>
      </c>
    </row>
    <row r="1647" spans="1:16" x14ac:dyDescent="0.25">
      <c r="A1647" s="3">
        <v>45979</v>
      </c>
      <c r="B1647" s="4">
        <v>3072</v>
      </c>
      <c r="C1647" s="5">
        <v>5145</v>
      </c>
      <c r="D1647" s="1" t="s">
        <v>1206</v>
      </c>
      <c r="E1647" s="1" t="s">
        <v>1207</v>
      </c>
      <c r="F1647" s="1" t="s">
        <v>955</v>
      </c>
      <c r="G1647" s="1" t="s">
        <v>940</v>
      </c>
      <c r="H1647" s="3">
        <v>45994</v>
      </c>
      <c r="I1647" s="1" t="s">
        <v>933</v>
      </c>
      <c r="J1647" s="1" t="s">
        <v>951</v>
      </c>
      <c r="K1647" s="1" t="s">
        <v>20</v>
      </c>
      <c r="L1647" s="1" t="s">
        <v>3003</v>
      </c>
      <c r="M1647" s="1"/>
      <c r="N1647" s="1" t="s">
        <v>821</v>
      </c>
      <c r="O1647" s="1" t="s">
        <v>936</v>
      </c>
      <c r="P1647" s="1" t="s">
        <v>2962</v>
      </c>
    </row>
    <row r="1648" spans="1:16" x14ac:dyDescent="0.25">
      <c r="A1648" s="3">
        <v>45979</v>
      </c>
      <c r="B1648" s="4">
        <v>2757</v>
      </c>
      <c r="C1648" s="5">
        <v>931</v>
      </c>
      <c r="D1648" s="1" t="s">
        <v>3004</v>
      </c>
      <c r="E1648" s="1" t="s">
        <v>3005</v>
      </c>
      <c r="F1648" s="1" t="s">
        <v>966</v>
      </c>
      <c r="G1648" s="1" t="s">
        <v>950</v>
      </c>
      <c r="H1648" s="3">
        <v>45999</v>
      </c>
      <c r="I1648" s="1" t="s">
        <v>933</v>
      </c>
      <c r="J1648" s="1" t="s">
        <v>951</v>
      </c>
      <c r="K1648" s="1" t="s">
        <v>817</v>
      </c>
      <c r="L1648" s="1" t="s">
        <v>3006</v>
      </c>
      <c r="M1648" s="3">
        <v>45986</v>
      </c>
      <c r="N1648" s="1" t="s">
        <v>821</v>
      </c>
      <c r="O1648" s="1" t="s">
        <v>937</v>
      </c>
      <c r="P1648" s="1">
        <v>1</v>
      </c>
    </row>
    <row r="1649" spans="1:16" x14ac:dyDescent="0.25">
      <c r="A1649" s="3">
        <v>45979</v>
      </c>
      <c r="B1649" s="4">
        <v>3074</v>
      </c>
      <c r="C1649" s="5">
        <v>3216</v>
      </c>
      <c r="D1649" s="1" t="s">
        <v>1206</v>
      </c>
      <c r="E1649" s="1" t="s">
        <v>1207</v>
      </c>
      <c r="F1649" s="1" t="s">
        <v>955</v>
      </c>
      <c r="G1649" s="1" t="s">
        <v>940</v>
      </c>
      <c r="H1649" s="3">
        <v>46003</v>
      </c>
      <c r="I1649" s="1" t="s">
        <v>933</v>
      </c>
      <c r="J1649" s="1" t="s">
        <v>951</v>
      </c>
      <c r="K1649" s="1" t="s">
        <v>20</v>
      </c>
      <c r="L1649" s="1" t="s">
        <v>3007</v>
      </c>
      <c r="M1649" s="3">
        <v>45989</v>
      </c>
      <c r="N1649" s="1" t="s">
        <v>821</v>
      </c>
      <c r="O1649" s="1" t="s">
        <v>936</v>
      </c>
      <c r="P1649" s="1"/>
    </row>
    <row r="1650" spans="1:16" x14ac:dyDescent="0.25">
      <c r="A1650" s="3">
        <v>45979</v>
      </c>
      <c r="B1650" s="4">
        <v>7454851</v>
      </c>
      <c r="C1650" s="5">
        <v>2754</v>
      </c>
      <c r="D1650" s="1" t="s">
        <v>1224</v>
      </c>
      <c r="E1650" s="1" t="s">
        <v>1225</v>
      </c>
      <c r="F1650" s="1" t="s">
        <v>955</v>
      </c>
      <c r="G1650" s="1" t="s">
        <v>940</v>
      </c>
      <c r="H1650" s="3">
        <v>46001</v>
      </c>
      <c r="I1650" s="1" t="s">
        <v>933</v>
      </c>
      <c r="J1650" s="1" t="s">
        <v>951</v>
      </c>
      <c r="K1650" s="1" t="s">
        <v>659</v>
      </c>
      <c r="L1650" s="1" t="s">
        <v>3008</v>
      </c>
      <c r="M1650" s="3">
        <v>45989</v>
      </c>
      <c r="N1650" s="1" t="s">
        <v>821</v>
      </c>
      <c r="O1650" s="1" t="s">
        <v>936</v>
      </c>
      <c r="P1650" s="1"/>
    </row>
    <row r="1651" spans="1:16" x14ac:dyDescent="0.25">
      <c r="A1651" s="3">
        <v>45980</v>
      </c>
      <c r="B1651" s="4">
        <v>71888</v>
      </c>
      <c r="C1651" s="5">
        <v>2489</v>
      </c>
      <c r="D1651" s="1" t="s">
        <v>1253</v>
      </c>
      <c r="E1651" s="1" t="s">
        <v>1487</v>
      </c>
      <c r="F1651" s="1" t="s">
        <v>483</v>
      </c>
      <c r="G1651" s="1" t="s">
        <v>940</v>
      </c>
      <c r="H1651" s="3">
        <v>46010</v>
      </c>
      <c r="I1651" s="1" t="s">
        <v>933</v>
      </c>
      <c r="J1651" s="1" t="s">
        <v>66</v>
      </c>
      <c r="K1651" s="1" t="s">
        <v>308</v>
      </c>
      <c r="L1651" s="1" t="s">
        <v>3009</v>
      </c>
      <c r="M1651" s="3">
        <v>45980</v>
      </c>
      <c r="N1651" s="1" t="s">
        <v>383</v>
      </c>
      <c r="O1651" s="1" t="s">
        <v>936</v>
      </c>
      <c r="P1651" s="1"/>
    </row>
    <row r="1652" spans="1:16" x14ac:dyDescent="0.25">
      <c r="A1652" s="3">
        <v>45980</v>
      </c>
      <c r="B1652" s="4">
        <v>2445</v>
      </c>
      <c r="C1652" s="5">
        <v>1795</v>
      </c>
      <c r="D1652" s="1" t="s">
        <v>1745</v>
      </c>
      <c r="E1652" s="1" t="s">
        <v>1746</v>
      </c>
      <c r="F1652" s="1" t="s">
        <v>955</v>
      </c>
      <c r="G1652" s="1" t="s">
        <v>940</v>
      </c>
      <c r="H1652" s="3">
        <v>45995</v>
      </c>
      <c r="I1652" s="1" t="s">
        <v>933</v>
      </c>
      <c r="J1652" s="1" t="s">
        <v>951</v>
      </c>
      <c r="K1652" s="1" t="s">
        <v>52</v>
      </c>
      <c r="L1652" s="1" t="s">
        <v>2961</v>
      </c>
      <c r="M1652" s="3">
        <v>45980</v>
      </c>
      <c r="N1652" s="1" t="s">
        <v>821</v>
      </c>
      <c r="O1652" s="1" t="s">
        <v>936</v>
      </c>
      <c r="P1652" s="1"/>
    </row>
    <row r="1653" spans="1:16" x14ac:dyDescent="0.25">
      <c r="A1653" s="3">
        <v>45980</v>
      </c>
      <c r="B1653" s="4">
        <v>264456</v>
      </c>
      <c r="C1653" s="5">
        <v>1499.98</v>
      </c>
      <c r="D1653" s="1" t="s">
        <v>1920</v>
      </c>
      <c r="E1653" s="1" t="s">
        <v>1921</v>
      </c>
      <c r="F1653" s="1" t="s">
        <v>955</v>
      </c>
      <c r="G1653" s="1" t="s">
        <v>1260</v>
      </c>
      <c r="H1653" s="3">
        <v>46008</v>
      </c>
      <c r="I1653" s="1" t="s">
        <v>933</v>
      </c>
      <c r="J1653" s="1" t="s">
        <v>951</v>
      </c>
      <c r="K1653" s="1" t="s">
        <v>340</v>
      </c>
      <c r="L1653" s="1" t="s">
        <v>3010</v>
      </c>
      <c r="M1653" s="3">
        <v>45980</v>
      </c>
      <c r="N1653" s="1" t="s">
        <v>821</v>
      </c>
      <c r="O1653" s="1" t="s">
        <v>936</v>
      </c>
      <c r="P1653" s="1"/>
    </row>
    <row r="1654" spans="1:16" x14ac:dyDescent="0.25">
      <c r="A1654" s="3">
        <v>45980</v>
      </c>
      <c r="B1654" s="4">
        <v>9369</v>
      </c>
      <c r="C1654" s="5">
        <v>8712.61</v>
      </c>
      <c r="D1654" s="1" t="s">
        <v>973</v>
      </c>
      <c r="E1654" s="1" t="s">
        <v>1068</v>
      </c>
      <c r="F1654" s="1" t="s">
        <v>1814</v>
      </c>
      <c r="G1654" s="1" t="s">
        <v>998</v>
      </c>
      <c r="H1654" s="3">
        <v>45995</v>
      </c>
      <c r="I1654" s="1" t="s">
        <v>1814</v>
      </c>
      <c r="J1654" s="1" t="s">
        <v>66</v>
      </c>
      <c r="K1654" s="1" t="s">
        <v>340</v>
      </c>
      <c r="L1654" s="1" t="s">
        <v>3011</v>
      </c>
      <c r="M1654" s="3">
        <v>45980</v>
      </c>
      <c r="N1654" s="1" t="s">
        <v>1814</v>
      </c>
      <c r="O1654" s="1" t="s">
        <v>998</v>
      </c>
      <c r="P1654" s="1"/>
    </row>
    <row r="1655" spans="1:16" x14ac:dyDescent="0.25">
      <c r="A1655" s="3">
        <v>45980</v>
      </c>
      <c r="B1655" s="4">
        <v>215607</v>
      </c>
      <c r="C1655" s="5">
        <v>6176.82</v>
      </c>
      <c r="D1655" s="1" t="s">
        <v>2368</v>
      </c>
      <c r="E1655" s="1" t="s">
        <v>2371</v>
      </c>
      <c r="F1655" s="1" t="s">
        <v>670</v>
      </c>
      <c r="G1655" s="1" t="s">
        <v>940</v>
      </c>
      <c r="H1655" s="3">
        <v>46010</v>
      </c>
      <c r="I1655" s="1" t="s">
        <v>933</v>
      </c>
      <c r="J1655" s="1" t="s">
        <v>66</v>
      </c>
      <c r="K1655" s="1" t="s">
        <v>659</v>
      </c>
      <c r="L1655" s="1" t="s">
        <v>3012</v>
      </c>
      <c r="M1655" s="3">
        <v>45981</v>
      </c>
      <c r="N1655" s="1" t="s">
        <v>57</v>
      </c>
      <c r="O1655" s="1" t="s">
        <v>936</v>
      </c>
      <c r="P1655" s="1"/>
    </row>
    <row r="1656" spans="1:16" x14ac:dyDescent="0.25">
      <c r="A1656" s="3">
        <v>45980</v>
      </c>
      <c r="B1656" s="4">
        <v>1861</v>
      </c>
      <c r="C1656" s="5">
        <v>399</v>
      </c>
      <c r="D1656" s="1" t="s">
        <v>953</v>
      </c>
      <c r="E1656" s="1" t="s">
        <v>954</v>
      </c>
      <c r="F1656" s="1" t="s">
        <v>955</v>
      </c>
      <c r="G1656" s="1" t="s">
        <v>940</v>
      </c>
      <c r="H1656" s="3">
        <v>45994</v>
      </c>
      <c r="I1656" s="1" t="s">
        <v>933</v>
      </c>
      <c r="J1656" s="1" t="s">
        <v>951</v>
      </c>
      <c r="K1656" s="1" t="s">
        <v>20</v>
      </c>
      <c r="L1656" s="1" t="s">
        <v>3013</v>
      </c>
      <c r="M1656" s="3">
        <v>45980</v>
      </c>
      <c r="N1656" s="1" t="s">
        <v>821</v>
      </c>
      <c r="O1656" s="1" t="s">
        <v>936</v>
      </c>
      <c r="P1656" s="1"/>
    </row>
    <row r="1657" spans="1:16" x14ac:dyDescent="0.25">
      <c r="A1657" s="3">
        <v>45980</v>
      </c>
      <c r="B1657" s="4">
        <v>264456</v>
      </c>
      <c r="C1657" s="5">
        <v>1499.98</v>
      </c>
      <c r="D1657" s="1" t="s">
        <v>1920</v>
      </c>
      <c r="E1657" s="1" t="s">
        <v>1921</v>
      </c>
      <c r="F1657" s="1" t="s">
        <v>1814</v>
      </c>
      <c r="G1657" s="1" t="s">
        <v>1260</v>
      </c>
      <c r="H1657" s="3">
        <v>46008</v>
      </c>
      <c r="I1657" s="1" t="s">
        <v>933</v>
      </c>
      <c r="J1657" s="1" t="s">
        <v>66</v>
      </c>
      <c r="K1657" s="1" t="s">
        <v>340</v>
      </c>
      <c r="L1657" s="1" t="s">
        <v>3014</v>
      </c>
      <c r="M1657" s="3">
        <v>45983</v>
      </c>
      <c r="N1657" s="1" t="s">
        <v>1814</v>
      </c>
      <c r="O1657" s="1" t="s">
        <v>936</v>
      </c>
      <c r="P1657" s="1">
        <v>2</v>
      </c>
    </row>
    <row r="1658" spans="1:16" x14ac:dyDescent="0.25">
      <c r="A1658" s="3">
        <v>45980</v>
      </c>
      <c r="B1658" s="1">
        <v>48</v>
      </c>
      <c r="C1658" s="5">
        <v>1100</v>
      </c>
      <c r="D1658" s="1" t="s">
        <v>930</v>
      </c>
      <c r="E1658" s="1" t="s">
        <v>931</v>
      </c>
      <c r="F1658" s="1" t="s">
        <v>949</v>
      </c>
      <c r="G1658" s="1" t="s">
        <v>950</v>
      </c>
      <c r="H1658" s="3">
        <v>46000</v>
      </c>
      <c r="I1658" s="1" t="s">
        <v>933</v>
      </c>
      <c r="J1658" s="1" t="s">
        <v>951</v>
      </c>
      <c r="K1658" s="1" t="s">
        <v>817</v>
      </c>
      <c r="L1658" s="1" t="s">
        <v>3015</v>
      </c>
      <c r="M1658" s="3">
        <v>45984</v>
      </c>
      <c r="N1658" s="1" t="s">
        <v>821</v>
      </c>
      <c r="O1658" s="1" t="s">
        <v>936</v>
      </c>
      <c r="P1658" s="1" t="s">
        <v>937</v>
      </c>
    </row>
    <row r="1659" spans="1:16" x14ac:dyDescent="0.25">
      <c r="A1659" s="3">
        <v>45980</v>
      </c>
      <c r="B1659" s="1" t="s">
        <v>3016</v>
      </c>
      <c r="C1659" s="5">
        <v>7533</v>
      </c>
      <c r="D1659" s="1" t="s">
        <v>2237</v>
      </c>
      <c r="E1659" s="1" t="s">
        <v>2238</v>
      </c>
      <c r="F1659" s="1" t="s">
        <v>757</v>
      </c>
      <c r="G1659" s="1" t="s">
        <v>932</v>
      </c>
      <c r="H1659" s="3">
        <v>46013</v>
      </c>
      <c r="I1659" s="1" t="s">
        <v>933</v>
      </c>
      <c r="J1659" s="1" t="s">
        <v>66</v>
      </c>
      <c r="K1659" s="1" t="s">
        <v>858</v>
      </c>
      <c r="L1659" s="1" t="s">
        <v>3017</v>
      </c>
      <c r="M1659" s="3">
        <v>46001</v>
      </c>
      <c r="N1659" s="1" t="s">
        <v>646</v>
      </c>
      <c r="O1659" s="1" t="s">
        <v>932</v>
      </c>
      <c r="P1659" s="1">
        <v>1</v>
      </c>
    </row>
    <row r="1660" spans="1:16" x14ac:dyDescent="0.25">
      <c r="A1660" s="3">
        <v>45980</v>
      </c>
      <c r="B1660" s="7">
        <v>45689</v>
      </c>
      <c r="C1660" s="5">
        <v>4000</v>
      </c>
      <c r="D1660" s="1" t="s">
        <v>2237</v>
      </c>
      <c r="E1660" s="1" t="s">
        <v>2238</v>
      </c>
      <c r="F1660" s="1" t="s">
        <v>955</v>
      </c>
      <c r="G1660" s="1" t="s">
        <v>932</v>
      </c>
      <c r="H1660" s="3">
        <v>46034</v>
      </c>
      <c r="I1660" s="1" t="s">
        <v>933</v>
      </c>
      <c r="J1660" s="1" t="s">
        <v>951</v>
      </c>
      <c r="K1660" s="1" t="s">
        <v>340</v>
      </c>
      <c r="L1660" s="1" t="s">
        <v>3018</v>
      </c>
      <c r="M1660" s="3">
        <v>46009</v>
      </c>
      <c r="N1660" s="1" t="s">
        <v>821</v>
      </c>
      <c r="O1660" s="1" t="s">
        <v>932</v>
      </c>
      <c r="P1660" s="1">
        <v>1</v>
      </c>
    </row>
    <row r="1661" spans="1:16" x14ac:dyDescent="0.25">
      <c r="A1661" s="3">
        <v>45982</v>
      </c>
      <c r="B1661" s="4">
        <v>1314</v>
      </c>
      <c r="C1661" s="5">
        <v>55950</v>
      </c>
      <c r="D1661" s="1" t="s">
        <v>3019</v>
      </c>
      <c r="E1661" s="1" t="s">
        <v>3020</v>
      </c>
      <c r="F1661" s="1" t="s">
        <v>955</v>
      </c>
      <c r="G1661" s="1" t="s">
        <v>950</v>
      </c>
      <c r="H1661" s="3">
        <v>45988</v>
      </c>
      <c r="I1661" s="1" t="s">
        <v>933</v>
      </c>
      <c r="J1661" s="1" t="s">
        <v>951</v>
      </c>
      <c r="K1661" s="1" t="s">
        <v>20</v>
      </c>
      <c r="L1661" s="1" t="s">
        <v>3021</v>
      </c>
      <c r="M1661" s="3">
        <v>45980</v>
      </c>
      <c r="N1661" s="1" t="s">
        <v>821</v>
      </c>
      <c r="O1661" s="1" t="s">
        <v>936</v>
      </c>
      <c r="P1661" s="1"/>
    </row>
    <row r="1662" spans="1:16" x14ac:dyDescent="0.25">
      <c r="A1662" s="3">
        <v>45982</v>
      </c>
      <c r="B1662" s="1">
        <v>122</v>
      </c>
      <c r="C1662" s="5">
        <v>700</v>
      </c>
      <c r="D1662" s="1" t="s">
        <v>1867</v>
      </c>
      <c r="E1662" s="1" t="s">
        <v>1971</v>
      </c>
      <c r="F1662" s="1" t="s">
        <v>955</v>
      </c>
      <c r="G1662" s="1" t="s">
        <v>3022</v>
      </c>
      <c r="H1662" s="3">
        <v>45985</v>
      </c>
      <c r="I1662" s="1" t="s">
        <v>933</v>
      </c>
      <c r="J1662" s="1" t="s">
        <v>951</v>
      </c>
      <c r="K1662" s="1" t="s">
        <v>20</v>
      </c>
      <c r="L1662" s="1" t="s">
        <v>3023</v>
      </c>
      <c r="M1662" s="3">
        <v>45983</v>
      </c>
      <c r="N1662" s="1" t="s">
        <v>821</v>
      </c>
      <c r="O1662" s="1" t="s">
        <v>936</v>
      </c>
      <c r="P1662" s="1">
        <v>1</v>
      </c>
    </row>
    <row r="1663" spans="1:16" x14ac:dyDescent="0.25">
      <c r="A1663" s="3">
        <v>45982</v>
      </c>
      <c r="B1663" s="1">
        <v>213</v>
      </c>
      <c r="C1663" s="5">
        <v>8445</v>
      </c>
      <c r="D1663" s="1" t="s">
        <v>1358</v>
      </c>
      <c r="E1663" s="1" t="s">
        <v>1618</v>
      </c>
      <c r="F1663" s="1" t="s">
        <v>757</v>
      </c>
      <c r="G1663" s="1" t="s">
        <v>1029</v>
      </c>
      <c r="H1663" s="3">
        <v>46009</v>
      </c>
      <c r="I1663" s="1" t="s">
        <v>933</v>
      </c>
      <c r="J1663" s="1" t="s">
        <v>66</v>
      </c>
      <c r="K1663" s="1" t="s">
        <v>858</v>
      </c>
      <c r="L1663" s="1" t="s">
        <v>3024</v>
      </c>
      <c r="M1663" s="3">
        <v>45983</v>
      </c>
      <c r="N1663" s="1" t="s">
        <v>646</v>
      </c>
      <c r="O1663" s="1" t="s">
        <v>932</v>
      </c>
      <c r="P1663" s="1">
        <v>1</v>
      </c>
    </row>
    <row r="1664" spans="1:16" x14ac:dyDescent="0.25">
      <c r="A1664" s="3">
        <v>45982</v>
      </c>
      <c r="B1664" s="4">
        <v>1535</v>
      </c>
      <c r="C1664" s="5">
        <v>8263.98</v>
      </c>
      <c r="D1664" s="1" t="s">
        <v>1901</v>
      </c>
      <c r="E1664" s="1" t="s">
        <v>1902</v>
      </c>
      <c r="F1664" s="1" t="s">
        <v>955</v>
      </c>
      <c r="G1664" s="1" t="s">
        <v>20</v>
      </c>
      <c r="H1664" s="3">
        <v>46006</v>
      </c>
      <c r="I1664" s="1" t="s">
        <v>933</v>
      </c>
      <c r="J1664" s="1" t="s">
        <v>951</v>
      </c>
      <c r="K1664" s="1" t="s">
        <v>20</v>
      </c>
      <c r="L1664" s="1" t="s">
        <v>3025</v>
      </c>
      <c r="M1664" s="3">
        <v>45983</v>
      </c>
      <c r="N1664" s="1" t="s">
        <v>821</v>
      </c>
      <c r="O1664" s="1" t="s">
        <v>936</v>
      </c>
      <c r="P1664" s="1">
        <v>1</v>
      </c>
    </row>
    <row r="1665" spans="1:16" x14ac:dyDescent="0.25">
      <c r="A1665" s="3">
        <v>45982</v>
      </c>
      <c r="B1665" s="4">
        <v>94921</v>
      </c>
      <c r="C1665" s="5">
        <v>1725</v>
      </c>
      <c r="D1665" s="1" t="s">
        <v>1094</v>
      </c>
      <c r="E1665" s="1" t="s">
        <v>1095</v>
      </c>
      <c r="F1665" s="1" t="s">
        <v>66</v>
      </c>
      <c r="G1665" s="1" t="s">
        <v>1010</v>
      </c>
      <c r="H1665" s="3">
        <v>46013</v>
      </c>
      <c r="I1665" s="1" t="s">
        <v>933</v>
      </c>
      <c r="J1665" s="1" t="s">
        <v>66</v>
      </c>
      <c r="K1665" s="1" t="s">
        <v>340</v>
      </c>
      <c r="L1665" s="1" t="s">
        <v>3026</v>
      </c>
      <c r="M1665" s="3">
        <v>45983</v>
      </c>
      <c r="N1665" s="1" t="s">
        <v>821</v>
      </c>
      <c r="O1665" s="1" t="s">
        <v>998</v>
      </c>
      <c r="P1665" s="1">
        <v>1</v>
      </c>
    </row>
    <row r="1666" spans="1:16" x14ac:dyDescent="0.25">
      <c r="A1666" s="3">
        <v>45982</v>
      </c>
      <c r="B1666" s="4">
        <v>3793</v>
      </c>
      <c r="C1666" s="5">
        <v>46</v>
      </c>
      <c r="D1666" s="1" t="s">
        <v>1179</v>
      </c>
      <c r="E1666" s="1" t="s">
        <v>1180</v>
      </c>
      <c r="F1666" s="1" t="s">
        <v>437</v>
      </c>
      <c r="G1666" s="1" t="s">
        <v>940</v>
      </c>
      <c r="H1666" s="3">
        <v>46003</v>
      </c>
      <c r="I1666" s="1" t="s">
        <v>933</v>
      </c>
      <c r="J1666" s="1" t="s">
        <v>66</v>
      </c>
      <c r="K1666" s="1" t="s">
        <v>308</v>
      </c>
      <c r="L1666" s="1" t="s">
        <v>3027</v>
      </c>
      <c r="M1666" s="3">
        <v>45983</v>
      </c>
      <c r="N1666" s="1" t="s">
        <v>440</v>
      </c>
      <c r="O1666" s="1" t="s">
        <v>936</v>
      </c>
      <c r="P1666" s="1">
        <v>1</v>
      </c>
    </row>
    <row r="1667" spans="1:16" x14ac:dyDescent="0.25">
      <c r="A1667" s="3">
        <v>45982</v>
      </c>
      <c r="B1667" s="4">
        <v>3375</v>
      </c>
      <c r="C1667" s="5">
        <v>500</v>
      </c>
      <c r="D1667" s="1" t="s">
        <v>1179</v>
      </c>
      <c r="E1667" s="1" t="s">
        <v>1180</v>
      </c>
      <c r="F1667" s="1" t="s">
        <v>437</v>
      </c>
      <c r="G1667" s="1" t="s">
        <v>940</v>
      </c>
      <c r="H1667" s="3">
        <v>46003</v>
      </c>
      <c r="I1667" s="1" t="s">
        <v>933</v>
      </c>
      <c r="J1667" s="1" t="s">
        <v>66</v>
      </c>
      <c r="K1667" s="1" t="s">
        <v>308</v>
      </c>
      <c r="L1667" s="1" t="s">
        <v>3028</v>
      </c>
      <c r="M1667" s="3">
        <v>45983</v>
      </c>
      <c r="N1667" s="1" t="s">
        <v>440</v>
      </c>
      <c r="O1667" s="1" t="s">
        <v>936</v>
      </c>
      <c r="P1667" s="1">
        <v>1</v>
      </c>
    </row>
    <row r="1668" spans="1:16" x14ac:dyDescent="0.25">
      <c r="A1668" s="3">
        <v>45982</v>
      </c>
      <c r="B1668" s="4">
        <v>3796</v>
      </c>
      <c r="C1668" s="5">
        <v>290</v>
      </c>
      <c r="D1668" s="1" t="s">
        <v>1179</v>
      </c>
      <c r="E1668" s="1" t="s">
        <v>1180</v>
      </c>
      <c r="F1668" s="1" t="s">
        <v>745</v>
      </c>
      <c r="G1668" s="1" t="s">
        <v>940</v>
      </c>
      <c r="H1668" s="3">
        <v>46003</v>
      </c>
      <c r="I1668" s="1" t="s">
        <v>933</v>
      </c>
      <c r="J1668" s="1" t="s">
        <v>66</v>
      </c>
      <c r="K1668" s="1" t="s">
        <v>340</v>
      </c>
      <c r="L1668" s="1" t="s">
        <v>3029</v>
      </c>
      <c r="M1668" s="3">
        <v>45983</v>
      </c>
      <c r="N1668" s="1" t="s">
        <v>50</v>
      </c>
      <c r="O1668" s="1" t="s">
        <v>936</v>
      </c>
      <c r="P1668" s="1">
        <v>1</v>
      </c>
    </row>
    <row r="1669" spans="1:16" x14ac:dyDescent="0.25">
      <c r="A1669" s="3">
        <v>45982</v>
      </c>
      <c r="B1669" s="4">
        <v>3794</v>
      </c>
      <c r="C1669" s="5">
        <v>1015</v>
      </c>
      <c r="D1669" s="1" t="s">
        <v>1179</v>
      </c>
      <c r="E1669" s="1" t="s">
        <v>1180</v>
      </c>
      <c r="F1669" s="1" t="s">
        <v>639</v>
      </c>
      <c r="G1669" s="1" t="s">
        <v>1667</v>
      </c>
      <c r="H1669" s="3">
        <v>46003</v>
      </c>
      <c r="I1669" s="1" t="s">
        <v>994</v>
      </c>
      <c r="J1669" s="1" t="s">
        <v>66</v>
      </c>
      <c r="K1669" s="1" t="s">
        <v>340</v>
      </c>
      <c r="L1669" s="1" t="s">
        <v>3030</v>
      </c>
      <c r="M1669" s="3">
        <v>45983</v>
      </c>
      <c r="N1669" s="1" t="s">
        <v>98</v>
      </c>
      <c r="O1669" s="1" t="s">
        <v>936</v>
      </c>
      <c r="P1669" s="1">
        <v>1</v>
      </c>
    </row>
    <row r="1670" spans="1:16" x14ac:dyDescent="0.25">
      <c r="A1670" s="3">
        <v>45982</v>
      </c>
      <c r="B1670" s="4">
        <v>3374</v>
      </c>
      <c r="C1670" s="5">
        <v>450</v>
      </c>
      <c r="D1670" s="1" t="s">
        <v>1179</v>
      </c>
      <c r="E1670" s="1" t="s">
        <v>1180</v>
      </c>
      <c r="F1670" s="1" t="s">
        <v>639</v>
      </c>
      <c r="G1670" s="1" t="s">
        <v>1667</v>
      </c>
      <c r="H1670" s="3">
        <v>46003</v>
      </c>
      <c r="I1670" s="1" t="s">
        <v>994</v>
      </c>
      <c r="J1670" s="1" t="s">
        <v>66</v>
      </c>
      <c r="K1670" s="1" t="s">
        <v>340</v>
      </c>
      <c r="L1670" s="1" t="s">
        <v>3031</v>
      </c>
      <c r="M1670" s="3">
        <v>45983</v>
      </c>
      <c r="N1670" s="1" t="s">
        <v>98</v>
      </c>
      <c r="O1670" s="1" t="s">
        <v>936</v>
      </c>
      <c r="P1670" s="1">
        <v>1</v>
      </c>
    </row>
    <row r="1671" spans="1:16" x14ac:dyDescent="0.25">
      <c r="A1671" s="3">
        <v>45982</v>
      </c>
      <c r="B1671" s="4">
        <v>3795</v>
      </c>
      <c r="C1671" s="5">
        <v>4400</v>
      </c>
      <c r="D1671" s="1" t="s">
        <v>1179</v>
      </c>
      <c r="E1671" s="1" t="s">
        <v>1180</v>
      </c>
      <c r="F1671" s="1" t="s">
        <v>339</v>
      </c>
      <c r="G1671" s="1" t="s">
        <v>1667</v>
      </c>
      <c r="H1671" s="3">
        <v>46003</v>
      </c>
      <c r="I1671" s="1" t="s">
        <v>1100</v>
      </c>
      <c r="J1671" s="1" t="s">
        <v>66</v>
      </c>
      <c r="K1671" s="1" t="s">
        <v>340</v>
      </c>
      <c r="L1671" s="1" t="s">
        <v>3032</v>
      </c>
      <c r="M1671" s="3">
        <v>45983</v>
      </c>
      <c r="N1671" s="1" t="s">
        <v>57</v>
      </c>
      <c r="O1671" s="1" t="s">
        <v>936</v>
      </c>
      <c r="P1671" s="1">
        <v>1</v>
      </c>
    </row>
    <row r="1672" spans="1:16" x14ac:dyDescent="0.25">
      <c r="A1672" s="3">
        <v>45982</v>
      </c>
      <c r="B1672" s="4">
        <v>3373</v>
      </c>
      <c r="C1672" s="5">
        <v>500</v>
      </c>
      <c r="D1672" s="1" t="s">
        <v>1179</v>
      </c>
      <c r="E1672" s="1" t="s">
        <v>1180</v>
      </c>
      <c r="F1672" s="1" t="s">
        <v>339</v>
      </c>
      <c r="G1672" s="1" t="s">
        <v>1667</v>
      </c>
      <c r="H1672" s="3">
        <v>46003</v>
      </c>
      <c r="I1672" s="1" t="s">
        <v>1100</v>
      </c>
      <c r="J1672" s="1" t="s">
        <v>66</v>
      </c>
      <c r="K1672" s="1" t="s">
        <v>340</v>
      </c>
      <c r="L1672" s="1" t="s">
        <v>3033</v>
      </c>
      <c r="M1672" s="3">
        <v>45983</v>
      </c>
      <c r="N1672" s="1" t="s">
        <v>57</v>
      </c>
      <c r="O1672" s="1" t="s">
        <v>936</v>
      </c>
      <c r="P1672" s="1">
        <v>1</v>
      </c>
    </row>
    <row r="1673" spans="1:16" x14ac:dyDescent="0.25">
      <c r="A1673" s="3">
        <v>45982</v>
      </c>
      <c r="B1673" s="4">
        <v>264562</v>
      </c>
      <c r="C1673" s="5">
        <v>1099.97</v>
      </c>
      <c r="D1673" s="1" t="s">
        <v>1920</v>
      </c>
      <c r="E1673" s="1" t="s">
        <v>1921</v>
      </c>
      <c r="F1673" s="1" t="s">
        <v>1814</v>
      </c>
      <c r="G1673" s="1" t="s">
        <v>1260</v>
      </c>
      <c r="H1673" s="3">
        <v>46010</v>
      </c>
      <c r="I1673" s="1" t="s">
        <v>933</v>
      </c>
      <c r="J1673" s="1" t="s">
        <v>66</v>
      </c>
      <c r="K1673" s="1" t="s">
        <v>308</v>
      </c>
      <c r="L1673" s="1" t="s">
        <v>3034</v>
      </c>
      <c r="M1673" s="3">
        <v>45983</v>
      </c>
      <c r="N1673" s="1" t="s">
        <v>1814</v>
      </c>
      <c r="O1673" s="1" t="s">
        <v>936</v>
      </c>
      <c r="P1673" s="1">
        <v>1</v>
      </c>
    </row>
    <row r="1674" spans="1:16" x14ac:dyDescent="0.25">
      <c r="A1674" s="3">
        <v>45982</v>
      </c>
      <c r="B1674" s="1">
        <v>163</v>
      </c>
      <c r="C1674" s="5">
        <v>600</v>
      </c>
      <c r="D1674" s="1" t="s">
        <v>930</v>
      </c>
      <c r="E1674" s="1" t="s">
        <v>931</v>
      </c>
      <c r="F1674" s="1" t="s">
        <v>955</v>
      </c>
      <c r="G1674" s="1" t="s">
        <v>932</v>
      </c>
      <c r="H1674" s="3">
        <v>46009</v>
      </c>
      <c r="I1674" s="1" t="s">
        <v>933</v>
      </c>
      <c r="J1674" s="1" t="s">
        <v>951</v>
      </c>
      <c r="K1674" s="1" t="s">
        <v>20</v>
      </c>
      <c r="L1674" s="1" t="s">
        <v>935</v>
      </c>
      <c r="M1674" s="3">
        <v>45984</v>
      </c>
      <c r="N1674" s="1" t="s">
        <v>821</v>
      </c>
      <c r="O1674" s="1" t="s">
        <v>936</v>
      </c>
      <c r="P1674" s="1" t="s">
        <v>937</v>
      </c>
    </row>
    <row r="1675" spans="1:16" x14ac:dyDescent="0.25">
      <c r="A1675" s="3">
        <v>45982</v>
      </c>
      <c r="B1675" s="1">
        <v>162</v>
      </c>
      <c r="C1675" s="5">
        <v>1500</v>
      </c>
      <c r="D1675" s="1" t="s">
        <v>930</v>
      </c>
      <c r="E1675" s="1" t="s">
        <v>931</v>
      </c>
      <c r="F1675" s="1" t="s">
        <v>949</v>
      </c>
      <c r="G1675" s="1" t="s">
        <v>950</v>
      </c>
      <c r="H1675" s="3">
        <v>46009</v>
      </c>
      <c r="I1675" s="1" t="s">
        <v>933</v>
      </c>
      <c r="J1675" s="1" t="s">
        <v>951</v>
      </c>
      <c r="K1675" s="1" t="s">
        <v>817</v>
      </c>
      <c r="L1675" s="1" t="s">
        <v>3035</v>
      </c>
      <c r="M1675" s="3">
        <v>45984</v>
      </c>
      <c r="N1675" s="1" t="s">
        <v>821</v>
      </c>
      <c r="O1675" s="1" t="s">
        <v>936</v>
      </c>
      <c r="P1675" s="1" t="s">
        <v>937</v>
      </c>
    </row>
    <row r="1676" spans="1:16" x14ac:dyDescent="0.25">
      <c r="A1676" s="3">
        <v>45982</v>
      </c>
      <c r="B1676" s="4">
        <v>8044</v>
      </c>
      <c r="C1676" s="5">
        <v>3000</v>
      </c>
      <c r="D1676" s="1" t="s">
        <v>2990</v>
      </c>
      <c r="E1676" s="1" t="s">
        <v>2985</v>
      </c>
      <c r="F1676" s="1" t="s">
        <v>392</v>
      </c>
      <c r="G1676" s="1" t="s">
        <v>1260</v>
      </c>
      <c r="H1676" s="3">
        <v>46003</v>
      </c>
      <c r="I1676" s="1" t="s">
        <v>933</v>
      </c>
      <c r="J1676" s="1" t="s">
        <v>66</v>
      </c>
      <c r="K1676" s="1" t="s">
        <v>52</v>
      </c>
      <c r="L1676" s="1" t="s">
        <v>3036</v>
      </c>
      <c r="M1676" s="3">
        <v>45984</v>
      </c>
      <c r="N1676" s="1" t="s">
        <v>93</v>
      </c>
      <c r="O1676" s="1" t="s">
        <v>936</v>
      </c>
      <c r="P1676" s="1" t="s">
        <v>937</v>
      </c>
    </row>
    <row r="1677" spans="1:16" x14ac:dyDescent="0.25">
      <c r="A1677" s="3">
        <v>45982</v>
      </c>
      <c r="B1677" s="1">
        <v>991</v>
      </c>
      <c r="C1677" s="5">
        <v>907.8</v>
      </c>
      <c r="D1677" s="1" t="s">
        <v>3037</v>
      </c>
      <c r="E1677" s="1" t="s">
        <v>3038</v>
      </c>
      <c r="F1677" s="1" t="s">
        <v>713</v>
      </c>
      <c r="G1677" s="1" t="s">
        <v>998</v>
      </c>
      <c r="H1677" s="3">
        <v>46006</v>
      </c>
      <c r="I1677" s="1" t="s">
        <v>933</v>
      </c>
      <c r="J1677" s="1" t="s">
        <v>66</v>
      </c>
      <c r="K1677" s="1" t="s">
        <v>340</v>
      </c>
      <c r="L1677" s="1" t="s">
        <v>3039</v>
      </c>
      <c r="M1677" s="3">
        <v>45985</v>
      </c>
      <c r="N1677" s="1" t="s">
        <v>712</v>
      </c>
      <c r="O1677" s="1" t="s">
        <v>998</v>
      </c>
      <c r="P1677" s="1">
        <v>1</v>
      </c>
    </row>
    <row r="1678" spans="1:16" x14ac:dyDescent="0.25">
      <c r="A1678" s="3">
        <v>45982</v>
      </c>
      <c r="B1678" s="1">
        <v>992</v>
      </c>
      <c r="C1678" s="5">
        <v>999.43</v>
      </c>
      <c r="D1678" s="1" t="s">
        <v>3037</v>
      </c>
      <c r="E1678" s="1" t="s">
        <v>3038</v>
      </c>
      <c r="F1678" s="1" t="s">
        <v>719</v>
      </c>
      <c r="G1678" s="1" t="s">
        <v>998</v>
      </c>
      <c r="H1678" s="3">
        <v>46006</v>
      </c>
      <c r="I1678" s="1" t="s">
        <v>933</v>
      </c>
      <c r="J1678" s="1" t="s">
        <v>66</v>
      </c>
      <c r="K1678" s="1" t="s">
        <v>340</v>
      </c>
      <c r="L1678" s="1" t="s">
        <v>3040</v>
      </c>
      <c r="M1678" s="3">
        <v>45985</v>
      </c>
      <c r="N1678" s="1" t="s">
        <v>712</v>
      </c>
      <c r="O1678" s="1" t="s">
        <v>998</v>
      </c>
      <c r="P1678" s="1">
        <v>1</v>
      </c>
    </row>
    <row r="1679" spans="1:16" x14ac:dyDescent="0.25">
      <c r="A1679" s="3">
        <v>45983</v>
      </c>
      <c r="B1679" s="4">
        <v>9410</v>
      </c>
      <c r="C1679" s="5">
        <v>30042.37</v>
      </c>
      <c r="D1679" s="1" t="s">
        <v>973</v>
      </c>
      <c r="E1679" s="1" t="s">
        <v>1068</v>
      </c>
      <c r="F1679" s="1" t="s">
        <v>1814</v>
      </c>
      <c r="G1679" s="1" t="s">
        <v>998</v>
      </c>
      <c r="H1679" s="3">
        <v>45998</v>
      </c>
      <c r="I1679" s="1" t="s">
        <v>933</v>
      </c>
      <c r="J1679" s="1" t="s">
        <v>66</v>
      </c>
      <c r="K1679" s="1" t="s">
        <v>1814</v>
      </c>
      <c r="L1679" s="1" t="s">
        <v>3041</v>
      </c>
      <c r="M1679" s="3">
        <v>45983</v>
      </c>
      <c r="N1679" s="1" t="s">
        <v>1814</v>
      </c>
      <c r="O1679" s="1" t="s">
        <v>998</v>
      </c>
      <c r="P1679" s="1">
        <v>1</v>
      </c>
    </row>
    <row r="1680" spans="1:16" x14ac:dyDescent="0.25">
      <c r="A1680" s="3">
        <v>45983</v>
      </c>
      <c r="B1680" s="4">
        <v>4694</v>
      </c>
      <c r="C1680" s="5">
        <v>620.22</v>
      </c>
      <c r="D1680" s="1" t="s">
        <v>938</v>
      </c>
      <c r="E1680" s="1" t="s">
        <v>939</v>
      </c>
      <c r="F1680" s="1" t="s">
        <v>949</v>
      </c>
      <c r="G1680" s="1" t="s">
        <v>950</v>
      </c>
      <c r="H1680" s="3">
        <v>46013</v>
      </c>
      <c r="I1680" s="1" t="s">
        <v>933</v>
      </c>
      <c r="J1680" s="1" t="s">
        <v>951</v>
      </c>
      <c r="K1680" s="1" t="s">
        <v>20</v>
      </c>
      <c r="L1680" s="1" t="s">
        <v>3042</v>
      </c>
      <c r="M1680" s="3">
        <v>45984</v>
      </c>
      <c r="N1680" s="1" t="s">
        <v>821</v>
      </c>
      <c r="O1680" s="1" t="s">
        <v>936</v>
      </c>
      <c r="P1680" s="1">
        <v>1</v>
      </c>
    </row>
    <row r="1681" spans="1:16" x14ac:dyDescent="0.25">
      <c r="A1681" s="3">
        <v>45983</v>
      </c>
      <c r="B1681" s="4">
        <v>94948</v>
      </c>
      <c r="C1681" s="5">
        <v>69000</v>
      </c>
      <c r="D1681" s="1" t="s">
        <v>1094</v>
      </c>
      <c r="E1681" s="1" t="s">
        <v>1095</v>
      </c>
      <c r="F1681" s="1" t="s">
        <v>955</v>
      </c>
      <c r="G1681" s="1" t="s">
        <v>998</v>
      </c>
      <c r="H1681" s="3">
        <v>46015</v>
      </c>
      <c r="I1681" s="1" t="s">
        <v>933</v>
      </c>
      <c r="J1681" s="1" t="s">
        <v>951</v>
      </c>
      <c r="K1681" s="1" t="s">
        <v>340</v>
      </c>
      <c r="L1681" s="1" t="s">
        <v>3043</v>
      </c>
      <c r="M1681" s="1"/>
      <c r="N1681" s="1" t="s">
        <v>821</v>
      </c>
      <c r="O1681" s="1" t="s">
        <v>998</v>
      </c>
      <c r="P1681" s="1">
        <v>0</v>
      </c>
    </row>
    <row r="1682" spans="1:16" x14ac:dyDescent="0.25">
      <c r="A1682" s="3">
        <v>45985</v>
      </c>
      <c r="B1682" s="4">
        <v>1865</v>
      </c>
      <c r="C1682" s="5">
        <v>2519</v>
      </c>
      <c r="D1682" s="1" t="s">
        <v>953</v>
      </c>
      <c r="E1682" s="1" t="s">
        <v>954</v>
      </c>
      <c r="F1682" s="1" t="s">
        <v>955</v>
      </c>
      <c r="G1682" s="1" t="s">
        <v>940</v>
      </c>
      <c r="H1682" s="3">
        <v>46013</v>
      </c>
      <c r="I1682" s="1" t="s">
        <v>933</v>
      </c>
      <c r="J1682" s="1" t="s">
        <v>951</v>
      </c>
      <c r="K1682" s="1" t="s">
        <v>20</v>
      </c>
      <c r="L1682" s="1" t="s">
        <v>3044</v>
      </c>
      <c r="M1682" s="3">
        <v>45991</v>
      </c>
      <c r="N1682" s="1" t="s">
        <v>821</v>
      </c>
      <c r="O1682" s="1" t="s">
        <v>936</v>
      </c>
      <c r="P1682" s="1">
        <v>1</v>
      </c>
    </row>
    <row r="1683" spans="1:16" x14ac:dyDescent="0.25">
      <c r="A1683" s="3">
        <v>45985</v>
      </c>
      <c r="B1683" s="1">
        <v>37</v>
      </c>
      <c r="C1683" s="5">
        <v>910</v>
      </c>
      <c r="D1683" s="1" t="s">
        <v>1950</v>
      </c>
      <c r="E1683" s="1" t="s">
        <v>1951</v>
      </c>
      <c r="F1683" s="1" t="s">
        <v>955</v>
      </c>
      <c r="G1683" s="1" t="s">
        <v>1058</v>
      </c>
      <c r="H1683" s="3">
        <v>46012</v>
      </c>
      <c r="I1683" s="1" t="s">
        <v>933</v>
      </c>
      <c r="J1683" s="1" t="s">
        <v>951</v>
      </c>
      <c r="K1683" s="1" t="s">
        <v>934</v>
      </c>
      <c r="L1683" s="1" t="s">
        <v>3045</v>
      </c>
      <c r="M1683" s="3">
        <v>45991</v>
      </c>
      <c r="N1683" s="1" t="s">
        <v>821</v>
      </c>
      <c r="O1683" s="1" t="s">
        <v>936</v>
      </c>
      <c r="P1683" s="1" t="s">
        <v>937</v>
      </c>
    </row>
    <row r="1684" spans="1:16" x14ac:dyDescent="0.25">
      <c r="A1684" s="3">
        <v>45985</v>
      </c>
      <c r="B1684" s="4">
        <v>1603</v>
      </c>
      <c r="C1684" s="5">
        <v>1800</v>
      </c>
      <c r="D1684" s="1" t="s">
        <v>1080</v>
      </c>
      <c r="E1684" s="1" t="s">
        <v>3046</v>
      </c>
      <c r="F1684" s="1" t="s">
        <v>955</v>
      </c>
      <c r="G1684" s="1" t="s">
        <v>1082</v>
      </c>
      <c r="H1684" s="3">
        <v>46013</v>
      </c>
      <c r="I1684" s="1" t="s">
        <v>933</v>
      </c>
      <c r="J1684" s="1" t="s">
        <v>951</v>
      </c>
      <c r="K1684" s="1" t="s">
        <v>817</v>
      </c>
      <c r="L1684" s="1" t="s">
        <v>3047</v>
      </c>
      <c r="M1684" s="3">
        <v>45987</v>
      </c>
      <c r="N1684" s="1" t="s">
        <v>821</v>
      </c>
      <c r="O1684" s="1" t="s">
        <v>936</v>
      </c>
      <c r="P1684" s="1">
        <v>4</v>
      </c>
    </row>
    <row r="1685" spans="1:16" x14ac:dyDescent="0.25">
      <c r="A1685" s="3">
        <v>45985</v>
      </c>
      <c r="B1685" s="4">
        <v>1603</v>
      </c>
      <c r="C1685" s="5">
        <v>1800</v>
      </c>
      <c r="D1685" s="1" t="s">
        <v>1080</v>
      </c>
      <c r="E1685" s="1" t="s">
        <v>3046</v>
      </c>
      <c r="F1685" s="1" t="s">
        <v>955</v>
      </c>
      <c r="G1685" s="1" t="s">
        <v>1082</v>
      </c>
      <c r="H1685" s="3">
        <v>46013</v>
      </c>
      <c r="I1685" s="1" t="s">
        <v>933</v>
      </c>
      <c r="J1685" s="1" t="s">
        <v>951</v>
      </c>
      <c r="K1685" s="1" t="s">
        <v>817</v>
      </c>
      <c r="L1685" s="1" t="s">
        <v>3048</v>
      </c>
      <c r="M1685" s="3">
        <v>46017</v>
      </c>
      <c r="N1685" s="1" t="s">
        <v>821</v>
      </c>
      <c r="O1685" s="1" t="s">
        <v>936</v>
      </c>
      <c r="P1685" s="1">
        <v>4</v>
      </c>
    </row>
    <row r="1686" spans="1:16" x14ac:dyDescent="0.25">
      <c r="A1686" s="3">
        <v>45985</v>
      </c>
      <c r="B1686" s="4">
        <v>1603</v>
      </c>
      <c r="C1686" s="5">
        <v>1800</v>
      </c>
      <c r="D1686" s="1" t="s">
        <v>1080</v>
      </c>
      <c r="E1686" s="1" t="s">
        <v>3046</v>
      </c>
      <c r="F1686" s="1" t="s">
        <v>955</v>
      </c>
      <c r="G1686" s="1" t="s">
        <v>1082</v>
      </c>
      <c r="H1686" s="3">
        <v>46013</v>
      </c>
      <c r="I1686" s="1" t="s">
        <v>933</v>
      </c>
      <c r="J1686" s="1" t="s">
        <v>951</v>
      </c>
      <c r="K1686" s="1" t="s">
        <v>817</v>
      </c>
      <c r="L1686" s="1" t="s">
        <v>3049</v>
      </c>
      <c r="M1686" s="3">
        <v>46014</v>
      </c>
      <c r="N1686" s="1" t="s">
        <v>821</v>
      </c>
      <c r="O1686" s="1" t="s">
        <v>936</v>
      </c>
      <c r="P1686" s="1">
        <v>4</v>
      </c>
    </row>
    <row r="1687" spans="1:16" x14ac:dyDescent="0.25">
      <c r="A1687" s="3">
        <v>45985</v>
      </c>
      <c r="B1687" s="4">
        <v>1603</v>
      </c>
      <c r="C1687" s="5">
        <v>7000</v>
      </c>
      <c r="D1687" s="1" t="s">
        <v>1080</v>
      </c>
      <c r="E1687" s="1" t="s">
        <v>3046</v>
      </c>
      <c r="F1687" s="1" t="s">
        <v>153</v>
      </c>
      <c r="G1687" s="1" t="s">
        <v>1082</v>
      </c>
      <c r="H1687" s="3">
        <v>46013</v>
      </c>
      <c r="I1687" s="1" t="s">
        <v>933</v>
      </c>
      <c r="J1687" s="1" t="s">
        <v>66</v>
      </c>
      <c r="K1687" s="1" t="s">
        <v>52</v>
      </c>
      <c r="L1687" s="1" t="s">
        <v>3050</v>
      </c>
      <c r="M1687" s="3">
        <v>46014</v>
      </c>
      <c r="N1687" s="1" t="s">
        <v>82</v>
      </c>
      <c r="O1687" s="1" t="s">
        <v>936</v>
      </c>
      <c r="P1687" s="1">
        <v>4</v>
      </c>
    </row>
    <row r="1688" spans="1:16" x14ac:dyDescent="0.25">
      <c r="A1688" s="3">
        <v>45985</v>
      </c>
      <c r="B1688" s="4">
        <v>1603</v>
      </c>
      <c r="C1688" s="5">
        <v>1400</v>
      </c>
      <c r="D1688" s="1" t="s">
        <v>1080</v>
      </c>
      <c r="E1688" s="1" t="s">
        <v>3046</v>
      </c>
      <c r="F1688" s="1" t="s">
        <v>465</v>
      </c>
      <c r="G1688" s="1" t="s">
        <v>1082</v>
      </c>
      <c r="H1688" s="3">
        <v>46013</v>
      </c>
      <c r="I1688" s="1" t="s">
        <v>933</v>
      </c>
      <c r="J1688" s="1"/>
      <c r="K1688" s="1" t="s">
        <v>308</v>
      </c>
      <c r="L1688" s="1" t="s">
        <v>3051</v>
      </c>
      <c r="M1688" s="1" t="s">
        <v>3052</v>
      </c>
      <c r="N1688" s="1" t="s">
        <v>57</v>
      </c>
      <c r="O1688" s="1" t="s">
        <v>936</v>
      </c>
      <c r="P1688" s="1">
        <v>4</v>
      </c>
    </row>
    <row r="1689" spans="1:16" x14ac:dyDescent="0.25">
      <c r="A1689" s="3">
        <v>45985</v>
      </c>
      <c r="B1689" s="4">
        <v>1603</v>
      </c>
      <c r="C1689" s="5">
        <v>3960</v>
      </c>
      <c r="D1689" s="1" t="s">
        <v>1080</v>
      </c>
      <c r="E1689" s="1" t="s">
        <v>3046</v>
      </c>
      <c r="F1689" s="1" t="s">
        <v>185</v>
      </c>
      <c r="G1689" s="1" t="s">
        <v>1082</v>
      </c>
      <c r="H1689" s="3">
        <v>46013</v>
      </c>
      <c r="I1689" s="1" t="s">
        <v>933</v>
      </c>
      <c r="J1689" s="1" t="s">
        <v>66</v>
      </c>
      <c r="K1689" s="1" t="s">
        <v>308</v>
      </c>
      <c r="L1689" s="1" t="s">
        <v>3053</v>
      </c>
      <c r="M1689" s="1"/>
      <c r="N1689" s="1" t="s">
        <v>190</v>
      </c>
      <c r="O1689" s="1" t="s">
        <v>936</v>
      </c>
      <c r="P1689" s="1">
        <v>4</v>
      </c>
    </row>
    <row r="1690" spans="1:16" x14ac:dyDescent="0.25">
      <c r="A1690" s="3">
        <v>45985</v>
      </c>
      <c r="B1690" s="4">
        <v>1599</v>
      </c>
      <c r="C1690" s="5">
        <v>4742</v>
      </c>
      <c r="D1690" s="1" t="s">
        <v>1080</v>
      </c>
      <c r="E1690" s="1" t="s">
        <v>3046</v>
      </c>
      <c r="F1690" s="1" t="s">
        <v>955</v>
      </c>
      <c r="G1690" s="1" t="s">
        <v>940</v>
      </c>
      <c r="H1690" s="3">
        <v>46013</v>
      </c>
      <c r="I1690" s="1" t="s">
        <v>933</v>
      </c>
      <c r="J1690" s="1" t="s">
        <v>951</v>
      </c>
      <c r="K1690" s="1" t="s">
        <v>934</v>
      </c>
      <c r="L1690" s="1" t="s">
        <v>3054</v>
      </c>
      <c r="M1690" s="3">
        <v>45991</v>
      </c>
      <c r="N1690" s="1" t="s">
        <v>821</v>
      </c>
      <c r="O1690" s="1" t="s">
        <v>936</v>
      </c>
      <c r="P1690" s="1">
        <v>1</v>
      </c>
    </row>
    <row r="1691" spans="1:16" x14ac:dyDescent="0.25">
      <c r="A1691" s="3">
        <v>45985</v>
      </c>
      <c r="B1691" s="1">
        <v>48</v>
      </c>
      <c r="C1691" s="5">
        <v>1100</v>
      </c>
      <c r="D1691" s="1" t="s">
        <v>1197</v>
      </c>
      <c r="E1691" s="1" t="s">
        <v>1198</v>
      </c>
      <c r="F1691" s="1" t="s">
        <v>955</v>
      </c>
      <c r="G1691" s="1" t="s">
        <v>940</v>
      </c>
      <c r="H1691" s="3">
        <v>46000</v>
      </c>
      <c r="I1691" s="1" t="s">
        <v>933</v>
      </c>
      <c r="J1691" s="1" t="s">
        <v>951</v>
      </c>
      <c r="K1691" s="1" t="s">
        <v>817</v>
      </c>
      <c r="L1691" s="1" t="s">
        <v>3055</v>
      </c>
      <c r="M1691" s="3">
        <v>45991</v>
      </c>
      <c r="N1691" s="1" t="s">
        <v>821</v>
      </c>
      <c r="O1691" s="1" t="s">
        <v>936</v>
      </c>
      <c r="P1691" s="1">
        <v>1</v>
      </c>
    </row>
    <row r="1692" spans="1:16" x14ac:dyDescent="0.25">
      <c r="A1692" s="3">
        <v>45985</v>
      </c>
      <c r="B1692" s="4">
        <v>8060</v>
      </c>
      <c r="C1692" s="5">
        <v>1600</v>
      </c>
      <c r="D1692" s="1" t="s">
        <v>2990</v>
      </c>
      <c r="E1692" s="1" t="s">
        <v>2985</v>
      </c>
      <c r="F1692" s="1" t="s">
        <v>460</v>
      </c>
      <c r="G1692" s="1" t="s">
        <v>940</v>
      </c>
      <c r="H1692" s="3">
        <v>46013</v>
      </c>
      <c r="I1692" s="1" t="s">
        <v>933</v>
      </c>
      <c r="J1692" s="1" t="s">
        <v>66</v>
      </c>
      <c r="K1692" s="1" t="s">
        <v>659</v>
      </c>
      <c r="L1692" s="1" t="s">
        <v>3056</v>
      </c>
      <c r="M1692" s="3">
        <v>45991</v>
      </c>
      <c r="N1692" s="1" t="s">
        <v>440</v>
      </c>
      <c r="O1692" s="1" t="s">
        <v>936</v>
      </c>
      <c r="P1692" s="1" t="s">
        <v>937</v>
      </c>
    </row>
    <row r="1693" spans="1:16" x14ac:dyDescent="0.25">
      <c r="A1693" s="3">
        <v>45985</v>
      </c>
      <c r="B1693" s="4">
        <v>14352</v>
      </c>
      <c r="C1693" s="5">
        <v>3000</v>
      </c>
      <c r="D1693" s="1" t="s">
        <v>2349</v>
      </c>
      <c r="E1693" s="1" t="s">
        <v>2350</v>
      </c>
      <c r="F1693" s="1" t="s">
        <v>955</v>
      </c>
      <c r="G1693" s="1" t="s">
        <v>981</v>
      </c>
      <c r="H1693" s="3">
        <v>46003</v>
      </c>
      <c r="I1693" s="1" t="s">
        <v>933</v>
      </c>
      <c r="J1693" s="1" t="s">
        <v>951</v>
      </c>
      <c r="K1693" s="1" t="s">
        <v>52</v>
      </c>
      <c r="L1693" s="1" t="s">
        <v>3057</v>
      </c>
      <c r="M1693" s="3">
        <v>45991</v>
      </c>
      <c r="N1693" s="1" t="s">
        <v>821</v>
      </c>
      <c r="O1693" s="1" t="s">
        <v>2101</v>
      </c>
      <c r="P1693" s="1">
        <v>1</v>
      </c>
    </row>
    <row r="1694" spans="1:16" x14ac:dyDescent="0.25">
      <c r="A1694" s="3">
        <v>45985</v>
      </c>
      <c r="B1694" s="1">
        <v>11</v>
      </c>
      <c r="C1694" s="5">
        <v>16700</v>
      </c>
      <c r="D1694" s="1" t="s">
        <v>1262</v>
      </c>
      <c r="E1694" s="1" t="s">
        <v>1507</v>
      </c>
      <c r="F1694" s="1" t="s">
        <v>955</v>
      </c>
      <c r="G1694" s="1" t="s">
        <v>990</v>
      </c>
      <c r="H1694" s="3">
        <v>46001</v>
      </c>
      <c r="I1694" s="1" t="s">
        <v>933</v>
      </c>
      <c r="J1694" s="1" t="s">
        <v>951</v>
      </c>
      <c r="K1694" s="1" t="s">
        <v>20</v>
      </c>
      <c r="L1694" s="1" t="s">
        <v>3058</v>
      </c>
      <c r="M1694" s="1"/>
      <c r="N1694" s="1" t="s">
        <v>821</v>
      </c>
      <c r="O1694" s="1" t="s">
        <v>936</v>
      </c>
      <c r="P1694" s="1" t="s">
        <v>937</v>
      </c>
    </row>
    <row r="1695" spans="1:16" x14ac:dyDescent="0.25">
      <c r="A1695" s="3">
        <v>45985</v>
      </c>
      <c r="B1695" s="4">
        <v>10005</v>
      </c>
      <c r="C1695" s="5">
        <v>993.3</v>
      </c>
      <c r="D1695" s="1" t="s">
        <v>1573</v>
      </c>
      <c r="E1695" s="1" t="s">
        <v>2130</v>
      </c>
      <c r="F1695" s="1" t="s">
        <v>643</v>
      </c>
      <c r="G1695" s="1" t="s">
        <v>940</v>
      </c>
      <c r="H1695" s="3">
        <v>46015</v>
      </c>
      <c r="I1695" s="1" t="s">
        <v>933</v>
      </c>
      <c r="J1695" s="1" t="s">
        <v>66</v>
      </c>
      <c r="K1695" s="1" t="s">
        <v>340</v>
      </c>
      <c r="L1695" s="1" t="s">
        <v>3059</v>
      </c>
      <c r="M1695" s="3">
        <v>45985</v>
      </c>
      <c r="N1695" s="1" t="s">
        <v>646</v>
      </c>
      <c r="O1695" s="1" t="s">
        <v>936</v>
      </c>
      <c r="P1695" s="1">
        <v>1</v>
      </c>
    </row>
    <row r="1696" spans="1:16" x14ac:dyDescent="0.25">
      <c r="A1696" s="3">
        <v>45985</v>
      </c>
      <c r="B1696" s="1">
        <v>81</v>
      </c>
      <c r="C1696" s="5">
        <v>800</v>
      </c>
      <c r="D1696" s="1" t="s">
        <v>1060</v>
      </c>
      <c r="E1696" s="1" t="s">
        <v>1061</v>
      </c>
      <c r="F1696" s="1" t="s">
        <v>437</v>
      </c>
      <c r="G1696" s="1" t="s">
        <v>940</v>
      </c>
      <c r="H1696" s="3">
        <v>46000</v>
      </c>
      <c r="I1696" s="1" t="s">
        <v>933</v>
      </c>
      <c r="J1696" s="1" t="s">
        <v>66</v>
      </c>
      <c r="K1696" s="1" t="s">
        <v>340</v>
      </c>
      <c r="L1696" s="1" t="s">
        <v>3060</v>
      </c>
      <c r="M1696" s="3">
        <v>45985</v>
      </c>
      <c r="N1696" s="1" t="s">
        <v>440</v>
      </c>
      <c r="O1696" s="1" t="s">
        <v>936</v>
      </c>
      <c r="P1696" s="1">
        <v>1</v>
      </c>
    </row>
    <row r="1697" spans="1:16" x14ac:dyDescent="0.25">
      <c r="A1697" s="3">
        <v>45985</v>
      </c>
      <c r="B1697" s="4">
        <v>48302</v>
      </c>
      <c r="C1697" s="5">
        <v>1033</v>
      </c>
      <c r="D1697" s="1" t="s">
        <v>1489</v>
      </c>
      <c r="E1697" s="1" t="s">
        <v>1490</v>
      </c>
      <c r="F1697" s="1" t="s">
        <v>949</v>
      </c>
      <c r="G1697" s="1" t="s">
        <v>2508</v>
      </c>
      <c r="H1697" s="3">
        <v>46015</v>
      </c>
      <c r="I1697" s="1" t="s">
        <v>933</v>
      </c>
      <c r="J1697" s="1" t="s">
        <v>951</v>
      </c>
      <c r="K1697" s="1" t="s">
        <v>817</v>
      </c>
      <c r="L1697" s="1" t="s">
        <v>3061</v>
      </c>
      <c r="M1697" s="3">
        <v>45981</v>
      </c>
      <c r="N1697" s="1" t="s">
        <v>821</v>
      </c>
      <c r="O1697" s="1" t="s">
        <v>936</v>
      </c>
      <c r="P1697" s="1">
        <v>1</v>
      </c>
    </row>
    <row r="1698" spans="1:16" x14ac:dyDescent="0.25">
      <c r="A1698" s="3">
        <v>45985</v>
      </c>
      <c r="B1698" s="4">
        <v>9418</v>
      </c>
      <c r="C1698" s="5">
        <v>15292.01</v>
      </c>
      <c r="D1698" s="1" t="s">
        <v>973</v>
      </c>
      <c r="E1698" s="1" t="s">
        <v>1068</v>
      </c>
      <c r="F1698" s="1" t="s">
        <v>1814</v>
      </c>
      <c r="G1698" s="1" t="s">
        <v>998</v>
      </c>
      <c r="H1698" s="3">
        <v>46000</v>
      </c>
      <c r="I1698" s="1" t="s">
        <v>933</v>
      </c>
      <c r="J1698" s="1" t="s">
        <v>66</v>
      </c>
      <c r="K1698" s="1" t="s">
        <v>308</v>
      </c>
      <c r="L1698" s="1" t="s">
        <v>3062</v>
      </c>
      <c r="M1698" s="3">
        <v>45981</v>
      </c>
      <c r="N1698" s="1" t="s">
        <v>1814</v>
      </c>
      <c r="O1698" s="1" t="s">
        <v>998</v>
      </c>
      <c r="P1698" s="1">
        <v>1</v>
      </c>
    </row>
    <row r="1699" spans="1:16" x14ac:dyDescent="0.25">
      <c r="A1699" s="3">
        <v>45985</v>
      </c>
      <c r="B1699" s="4">
        <v>1486</v>
      </c>
      <c r="C1699" s="5">
        <v>1506</v>
      </c>
      <c r="D1699" s="1" t="s">
        <v>2504</v>
      </c>
      <c r="E1699" s="1" t="s">
        <v>2505</v>
      </c>
      <c r="F1699" s="1" t="s">
        <v>955</v>
      </c>
      <c r="G1699" s="1" t="s">
        <v>940</v>
      </c>
      <c r="H1699" s="3">
        <v>46003</v>
      </c>
      <c r="I1699" s="1" t="s">
        <v>933</v>
      </c>
      <c r="J1699" s="1" t="s">
        <v>951</v>
      </c>
      <c r="K1699" s="1" t="s">
        <v>52</v>
      </c>
      <c r="L1699" s="1" t="s">
        <v>3063</v>
      </c>
      <c r="M1699" s="3">
        <v>45981</v>
      </c>
      <c r="N1699" s="1" t="s">
        <v>821</v>
      </c>
      <c r="O1699" s="1" t="s">
        <v>936</v>
      </c>
      <c r="P1699" s="1">
        <v>1</v>
      </c>
    </row>
    <row r="1700" spans="1:16" x14ac:dyDescent="0.25">
      <c r="A1700" s="3">
        <v>45985</v>
      </c>
      <c r="B1700" s="1">
        <v>5</v>
      </c>
      <c r="C1700" s="5">
        <v>11300</v>
      </c>
      <c r="D1700" s="1" t="s">
        <v>3000</v>
      </c>
      <c r="E1700" s="1" t="s">
        <v>3001</v>
      </c>
      <c r="F1700" s="1" t="s">
        <v>955</v>
      </c>
      <c r="G1700" s="1" t="s">
        <v>940</v>
      </c>
      <c r="H1700" s="3">
        <v>46003</v>
      </c>
      <c r="I1700" s="1" t="s">
        <v>933</v>
      </c>
      <c r="J1700" s="1" t="s">
        <v>951</v>
      </c>
      <c r="K1700" s="1" t="s">
        <v>20</v>
      </c>
      <c r="L1700" s="1" t="s">
        <v>3064</v>
      </c>
      <c r="M1700" s="3">
        <v>45981</v>
      </c>
      <c r="N1700" s="1" t="s">
        <v>821</v>
      </c>
      <c r="O1700" s="1" t="s">
        <v>936</v>
      </c>
      <c r="P1700" s="1" t="s">
        <v>937</v>
      </c>
    </row>
    <row r="1701" spans="1:16" x14ac:dyDescent="0.25">
      <c r="A1701" s="3">
        <v>45985</v>
      </c>
      <c r="B1701" s="4">
        <v>264639</v>
      </c>
      <c r="C1701" s="5">
        <v>228.99</v>
      </c>
      <c r="D1701" s="1" t="s">
        <v>1920</v>
      </c>
      <c r="E1701" s="1" t="s">
        <v>1921</v>
      </c>
      <c r="F1701" s="1" t="s">
        <v>623</v>
      </c>
      <c r="G1701" s="1" t="s">
        <v>1131</v>
      </c>
      <c r="H1701" s="3">
        <v>46013</v>
      </c>
      <c r="I1701" s="1" t="s">
        <v>933</v>
      </c>
      <c r="J1701" s="1" t="s">
        <v>66</v>
      </c>
      <c r="K1701" s="1" t="s">
        <v>340</v>
      </c>
      <c r="L1701" s="1" t="s">
        <v>3065</v>
      </c>
      <c r="M1701" s="3">
        <v>45981</v>
      </c>
      <c r="N1701" s="1" t="s">
        <v>383</v>
      </c>
      <c r="O1701" s="1" t="s">
        <v>936</v>
      </c>
      <c r="P1701" s="1">
        <v>2</v>
      </c>
    </row>
    <row r="1702" spans="1:16" x14ac:dyDescent="0.25">
      <c r="A1702" s="3">
        <v>45985</v>
      </c>
      <c r="B1702" s="1">
        <v>144</v>
      </c>
      <c r="C1702" s="5">
        <v>319</v>
      </c>
      <c r="D1702" s="1" t="s">
        <v>1229</v>
      </c>
      <c r="E1702" s="1" t="s">
        <v>1230</v>
      </c>
      <c r="F1702" s="1" t="s">
        <v>955</v>
      </c>
      <c r="G1702" s="1" t="s">
        <v>990</v>
      </c>
      <c r="H1702" s="3">
        <v>46003</v>
      </c>
      <c r="I1702" s="1" t="s">
        <v>933</v>
      </c>
      <c r="J1702" s="1" t="s">
        <v>951</v>
      </c>
      <c r="K1702" s="1" t="s">
        <v>2085</v>
      </c>
      <c r="L1702" s="1" t="s">
        <v>3066</v>
      </c>
      <c r="M1702" s="3">
        <v>45987</v>
      </c>
      <c r="N1702" s="1" t="s">
        <v>821</v>
      </c>
      <c r="O1702" s="1" t="s">
        <v>990</v>
      </c>
      <c r="P1702" s="1">
        <v>1</v>
      </c>
    </row>
    <row r="1703" spans="1:16" x14ac:dyDescent="0.25">
      <c r="A1703" s="3">
        <v>45985</v>
      </c>
      <c r="B1703" s="1">
        <v>145</v>
      </c>
      <c r="C1703" s="5">
        <v>430</v>
      </c>
      <c r="D1703" s="1" t="s">
        <v>1229</v>
      </c>
      <c r="E1703" s="1" t="s">
        <v>1230</v>
      </c>
      <c r="F1703" s="1" t="s">
        <v>750</v>
      </c>
      <c r="G1703" s="1" t="s">
        <v>990</v>
      </c>
      <c r="H1703" s="3">
        <v>46003</v>
      </c>
      <c r="I1703" s="1" t="s">
        <v>933</v>
      </c>
      <c r="J1703" s="1" t="s">
        <v>66</v>
      </c>
      <c r="K1703" s="1" t="s">
        <v>340</v>
      </c>
      <c r="L1703" s="1" t="s">
        <v>3067</v>
      </c>
      <c r="M1703" s="3">
        <v>45987</v>
      </c>
      <c r="N1703" s="1" t="s">
        <v>752</v>
      </c>
      <c r="O1703" s="1" t="s">
        <v>990</v>
      </c>
      <c r="P1703" s="1">
        <v>1</v>
      </c>
    </row>
    <row r="1704" spans="1:16" x14ac:dyDescent="0.25">
      <c r="A1704" s="3">
        <v>45985</v>
      </c>
      <c r="B1704" s="1">
        <v>146</v>
      </c>
      <c r="C1704" s="5">
        <v>245</v>
      </c>
      <c r="D1704" s="1" t="s">
        <v>1229</v>
      </c>
      <c r="E1704" s="1" t="s">
        <v>1230</v>
      </c>
      <c r="F1704" s="1" t="s">
        <v>955</v>
      </c>
      <c r="G1704" s="1" t="s">
        <v>990</v>
      </c>
      <c r="H1704" s="3">
        <v>46003</v>
      </c>
      <c r="I1704" s="1" t="s">
        <v>933</v>
      </c>
      <c r="J1704" s="1" t="s">
        <v>951</v>
      </c>
      <c r="K1704" s="1" t="s">
        <v>340</v>
      </c>
      <c r="L1704" s="1" t="s">
        <v>3068</v>
      </c>
      <c r="M1704" s="3">
        <v>45987</v>
      </c>
      <c r="N1704" s="1" t="s">
        <v>821</v>
      </c>
      <c r="O1704" s="1" t="s">
        <v>990</v>
      </c>
      <c r="P1704" s="1">
        <v>1</v>
      </c>
    </row>
    <row r="1705" spans="1:16" x14ac:dyDescent="0.25">
      <c r="A1705" s="3">
        <v>45985</v>
      </c>
      <c r="B1705" s="1">
        <v>147</v>
      </c>
      <c r="C1705" s="5">
        <v>245</v>
      </c>
      <c r="D1705" s="1" t="s">
        <v>1229</v>
      </c>
      <c r="E1705" s="1" t="s">
        <v>1230</v>
      </c>
      <c r="F1705" s="1" t="s">
        <v>955</v>
      </c>
      <c r="G1705" s="1" t="s">
        <v>990</v>
      </c>
      <c r="H1705" s="3">
        <v>46003</v>
      </c>
      <c r="I1705" s="1" t="s">
        <v>933</v>
      </c>
      <c r="J1705" s="1" t="s">
        <v>951</v>
      </c>
      <c r="K1705" s="1" t="s">
        <v>340</v>
      </c>
      <c r="L1705" s="1" t="s">
        <v>3069</v>
      </c>
      <c r="M1705" s="3">
        <v>45987</v>
      </c>
      <c r="N1705" s="1" t="s">
        <v>821</v>
      </c>
      <c r="O1705" s="1" t="s">
        <v>990</v>
      </c>
      <c r="P1705" s="1">
        <v>1</v>
      </c>
    </row>
    <row r="1706" spans="1:16" x14ac:dyDescent="0.25">
      <c r="A1706" s="3">
        <v>45985</v>
      </c>
      <c r="B1706" s="1">
        <v>148</v>
      </c>
      <c r="C1706" s="5">
        <v>641</v>
      </c>
      <c r="D1706" s="1" t="s">
        <v>1229</v>
      </c>
      <c r="E1706" s="1" t="s">
        <v>1230</v>
      </c>
      <c r="F1706" s="1" t="s">
        <v>955</v>
      </c>
      <c r="G1706" s="1" t="s">
        <v>990</v>
      </c>
      <c r="H1706" s="3">
        <v>46003</v>
      </c>
      <c r="I1706" s="1" t="s">
        <v>933</v>
      </c>
      <c r="J1706" s="1" t="s">
        <v>951</v>
      </c>
      <c r="K1706" s="1" t="s">
        <v>2085</v>
      </c>
      <c r="L1706" s="1" t="s">
        <v>3070</v>
      </c>
      <c r="M1706" s="3">
        <v>45987</v>
      </c>
      <c r="N1706" s="1" t="s">
        <v>821</v>
      </c>
      <c r="O1706" s="1" t="s">
        <v>990</v>
      </c>
      <c r="P1706" s="1">
        <v>1</v>
      </c>
    </row>
    <row r="1707" spans="1:16" x14ac:dyDescent="0.25">
      <c r="A1707" s="3">
        <v>45985</v>
      </c>
      <c r="B1707" s="1">
        <v>149</v>
      </c>
      <c r="C1707" s="5">
        <v>150</v>
      </c>
      <c r="D1707" s="1" t="s">
        <v>1229</v>
      </c>
      <c r="E1707" s="1" t="s">
        <v>1230</v>
      </c>
      <c r="F1707" s="1" t="s">
        <v>955</v>
      </c>
      <c r="G1707" s="1" t="s">
        <v>990</v>
      </c>
      <c r="H1707" s="3">
        <v>46003</v>
      </c>
      <c r="I1707" s="1" t="s">
        <v>933</v>
      </c>
      <c r="J1707" s="1" t="s">
        <v>951</v>
      </c>
      <c r="K1707" s="1" t="s">
        <v>2085</v>
      </c>
      <c r="L1707" s="1" t="s">
        <v>3071</v>
      </c>
      <c r="M1707" s="3">
        <v>45987</v>
      </c>
      <c r="N1707" s="1" t="s">
        <v>821</v>
      </c>
      <c r="O1707" s="1" t="s">
        <v>990</v>
      </c>
      <c r="P1707" s="1">
        <v>1</v>
      </c>
    </row>
    <row r="1708" spans="1:16" x14ac:dyDescent="0.25">
      <c r="A1708" s="3">
        <v>45985</v>
      </c>
      <c r="B1708" s="1">
        <v>150</v>
      </c>
      <c r="C1708" s="5">
        <v>641</v>
      </c>
      <c r="D1708" s="1" t="s">
        <v>1229</v>
      </c>
      <c r="E1708" s="1" t="s">
        <v>1230</v>
      </c>
      <c r="F1708" s="1" t="s">
        <v>955</v>
      </c>
      <c r="G1708" s="1" t="s">
        <v>990</v>
      </c>
      <c r="H1708" s="3">
        <v>46003</v>
      </c>
      <c r="I1708" s="1" t="s">
        <v>933</v>
      </c>
      <c r="J1708" s="1" t="s">
        <v>951</v>
      </c>
      <c r="K1708" s="1" t="s">
        <v>2085</v>
      </c>
      <c r="L1708" s="1" t="s">
        <v>3072</v>
      </c>
      <c r="M1708" s="3">
        <v>45987</v>
      </c>
      <c r="N1708" s="1" t="s">
        <v>821</v>
      </c>
      <c r="O1708" s="1" t="s">
        <v>990</v>
      </c>
      <c r="P1708" s="1">
        <v>1</v>
      </c>
    </row>
    <row r="1709" spans="1:16" x14ac:dyDescent="0.25">
      <c r="A1709" s="3">
        <v>45985</v>
      </c>
      <c r="B1709" s="4">
        <v>1596</v>
      </c>
      <c r="C1709" s="5">
        <v>532</v>
      </c>
      <c r="D1709" s="1" t="s">
        <v>1080</v>
      </c>
      <c r="E1709" s="1" t="s">
        <v>3046</v>
      </c>
      <c r="F1709" s="1" t="s">
        <v>966</v>
      </c>
      <c r="G1709" s="1" t="s">
        <v>940</v>
      </c>
      <c r="H1709" s="3">
        <v>46006</v>
      </c>
      <c r="I1709" s="1" t="s">
        <v>933</v>
      </c>
      <c r="J1709" s="1" t="s">
        <v>951</v>
      </c>
      <c r="K1709" s="1" t="s">
        <v>20</v>
      </c>
      <c r="L1709" s="1" t="s">
        <v>3073</v>
      </c>
      <c r="M1709" s="3">
        <v>45987</v>
      </c>
      <c r="N1709" s="1" t="s">
        <v>821</v>
      </c>
      <c r="O1709" s="1" t="s">
        <v>936</v>
      </c>
      <c r="P1709" s="1">
        <v>1</v>
      </c>
    </row>
    <row r="1710" spans="1:16" x14ac:dyDescent="0.25">
      <c r="A1710" s="3">
        <v>45985</v>
      </c>
      <c r="B1710" s="1">
        <v>387</v>
      </c>
      <c r="C1710" s="5">
        <v>340</v>
      </c>
      <c r="D1710" s="1" t="s">
        <v>1953</v>
      </c>
      <c r="E1710" s="1" t="s">
        <v>1954</v>
      </c>
      <c r="F1710" s="1" t="s">
        <v>750</v>
      </c>
      <c r="G1710" s="1" t="s">
        <v>990</v>
      </c>
      <c r="H1710" s="3">
        <v>46007</v>
      </c>
      <c r="I1710" s="1" t="s">
        <v>933</v>
      </c>
      <c r="J1710" s="1" t="s">
        <v>66</v>
      </c>
      <c r="K1710" s="1" t="s">
        <v>858</v>
      </c>
      <c r="L1710" s="1" t="s">
        <v>3074</v>
      </c>
      <c r="M1710" s="3">
        <v>45987</v>
      </c>
      <c r="N1710" s="1" t="s">
        <v>752</v>
      </c>
      <c r="O1710" s="1" t="s">
        <v>936</v>
      </c>
      <c r="P1710" s="1">
        <v>1</v>
      </c>
    </row>
    <row r="1711" spans="1:16" x14ac:dyDescent="0.25">
      <c r="A1711" s="3">
        <v>45985</v>
      </c>
      <c r="B1711" s="1">
        <v>388</v>
      </c>
      <c r="C1711" s="5">
        <v>430</v>
      </c>
      <c r="D1711" s="1" t="s">
        <v>1953</v>
      </c>
      <c r="E1711" s="1" t="s">
        <v>1954</v>
      </c>
      <c r="F1711" s="1" t="s">
        <v>451</v>
      </c>
      <c r="G1711" s="1" t="s">
        <v>990</v>
      </c>
      <c r="H1711" s="3">
        <v>46007</v>
      </c>
      <c r="I1711" s="1" t="s">
        <v>933</v>
      </c>
      <c r="J1711" s="1" t="s">
        <v>66</v>
      </c>
      <c r="K1711" s="1" t="s">
        <v>1654</v>
      </c>
      <c r="L1711" s="1" t="s">
        <v>3075</v>
      </c>
      <c r="M1711" s="3">
        <v>45987</v>
      </c>
      <c r="N1711" s="1" t="s">
        <v>212</v>
      </c>
      <c r="O1711" s="1" t="s">
        <v>936</v>
      </c>
      <c r="P1711" s="1">
        <v>1</v>
      </c>
    </row>
    <row r="1712" spans="1:16" x14ac:dyDescent="0.25">
      <c r="A1712" s="3">
        <v>45985</v>
      </c>
      <c r="B1712" s="1">
        <v>389</v>
      </c>
      <c r="C1712" s="5">
        <v>240</v>
      </c>
      <c r="D1712" s="1" t="s">
        <v>1953</v>
      </c>
      <c r="E1712" s="1" t="s">
        <v>1954</v>
      </c>
      <c r="F1712" s="1" t="s">
        <v>759</v>
      </c>
      <c r="G1712" s="1" t="s">
        <v>990</v>
      </c>
      <c r="H1712" s="3">
        <v>46007</v>
      </c>
      <c r="I1712" s="1" t="s">
        <v>933</v>
      </c>
      <c r="J1712" s="1" t="s">
        <v>66</v>
      </c>
      <c r="K1712" s="1" t="s">
        <v>340</v>
      </c>
      <c r="L1712" s="1" t="s">
        <v>3076</v>
      </c>
      <c r="M1712" s="3">
        <v>45987</v>
      </c>
      <c r="N1712" s="1" t="s">
        <v>75</v>
      </c>
      <c r="O1712" s="1" t="s">
        <v>936</v>
      </c>
      <c r="P1712" s="1">
        <v>1</v>
      </c>
    </row>
    <row r="1713" spans="1:16" x14ac:dyDescent="0.25">
      <c r="A1713" s="3">
        <v>45985</v>
      </c>
      <c r="B1713" s="1">
        <v>390</v>
      </c>
      <c r="C1713" s="5">
        <v>55</v>
      </c>
      <c r="D1713" s="1" t="s">
        <v>1953</v>
      </c>
      <c r="E1713" s="1" t="s">
        <v>1954</v>
      </c>
      <c r="F1713" s="1" t="s">
        <v>955</v>
      </c>
      <c r="G1713" s="1" t="s">
        <v>990</v>
      </c>
      <c r="H1713" s="3">
        <v>46007</v>
      </c>
      <c r="I1713" s="1" t="s">
        <v>933</v>
      </c>
      <c r="J1713" s="1" t="s">
        <v>951</v>
      </c>
      <c r="K1713" s="1" t="s">
        <v>1654</v>
      </c>
      <c r="L1713" s="1" t="s">
        <v>3077</v>
      </c>
      <c r="M1713" s="3">
        <v>45987</v>
      </c>
      <c r="N1713" s="1" t="s">
        <v>821</v>
      </c>
      <c r="O1713" s="1" t="s">
        <v>936</v>
      </c>
      <c r="P1713" s="1">
        <v>1</v>
      </c>
    </row>
    <row r="1714" spans="1:16" x14ac:dyDescent="0.25">
      <c r="A1714" s="3">
        <v>45985</v>
      </c>
      <c r="B1714" s="1">
        <v>391</v>
      </c>
      <c r="C1714" s="5">
        <v>85</v>
      </c>
      <c r="D1714" s="1" t="s">
        <v>1953</v>
      </c>
      <c r="E1714" s="1" t="s">
        <v>1954</v>
      </c>
      <c r="F1714" s="1" t="s">
        <v>441</v>
      </c>
      <c r="G1714" s="1" t="s">
        <v>990</v>
      </c>
      <c r="H1714" s="3">
        <v>46007</v>
      </c>
      <c r="I1714" s="1" t="s">
        <v>933</v>
      </c>
      <c r="J1714" s="1" t="s">
        <v>66</v>
      </c>
      <c r="K1714" s="1" t="s">
        <v>640</v>
      </c>
      <c r="L1714" s="1" t="s">
        <v>3078</v>
      </c>
      <c r="M1714" s="3">
        <v>45987</v>
      </c>
      <c r="N1714" s="1" t="s">
        <v>57</v>
      </c>
      <c r="O1714" s="1" t="s">
        <v>936</v>
      </c>
      <c r="P1714" s="1">
        <v>1</v>
      </c>
    </row>
    <row r="1715" spans="1:16" x14ac:dyDescent="0.25">
      <c r="A1715" s="3">
        <v>45985</v>
      </c>
      <c r="B1715" s="1">
        <v>392</v>
      </c>
      <c r="C1715" s="5">
        <v>65</v>
      </c>
      <c r="D1715" s="1" t="s">
        <v>1953</v>
      </c>
      <c r="E1715" s="1" t="s">
        <v>1954</v>
      </c>
      <c r="F1715" s="1" t="s">
        <v>437</v>
      </c>
      <c r="G1715" s="1" t="s">
        <v>990</v>
      </c>
      <c r="H1715" s="3">
        <v>46007</v>
      </c>
      <c r="I1715" s="1" t="s">
        <v>933</v>
      </c>
      <c r="J1715" s="1" t="s">
        <v>66</v>
      </c>
      <c r="K1715" s="1" t="s">
        <v>308</v>
      </c>
      <c r="L1715" s="1" t="s">
        <v>3079</v>
      </c>
      <c r="M1715" s="3">
        <v>45987</v>
      </c>
      <c r="N1715" s="1" t="s">
        <v>440</v>
      </c>
      <c r="O1715" s="1" t="s">
        <v>936</v>
      </c>
      <c r="P1715" s="1">
        <v>1</v>
      </c>
    </row>
    <row r="1716" spans="1:16" x14ac:dyDescent="0.25">
      <c r="A1716" s="3">
        <v>45985</v>
      </c>
      <c r="B1716" s="1">
        <v>393</v>
      </c>
      <c r="C1716" s="5">
        <v>130</v>
      </c>
      <c r="D1716" s="1" t="s">
        <v>1953</v>
      </c>
      <c r="E1716" s="1" t="s">
        <v>1954</v>
      </c>
      <c r="F1716" s="1" t="s">
        <v>483</v>
      </c>
      <c r="G1716" s="1" t="s">
        <v>990</v>
      </c>
      <c r="H1716" s="3">
        <v>46007</v>
      </c>
      <c r="I1716" s="1" t="s">
        <v>933</v>
      </c>
      <c r="J1716" s="1" t="s">
        <v>66</v>
      </c>
      <c r="K1716" s="1" t="s">
        <v>308</v>
      </c>
      <c r="L1716" s="1" t="s">
        <v>3080</v>
      </c>
      <c r="M1716" s="3">
        <v>45987</v>
      </c>
      <c r="N1716" s="1" t="s">
        <v>383</v>
      </c>
      <c r="O1716" s="1" t="s">
        <v>936</v>
      </c>
      <c r="P1716" s="1">
        <v>1</v>
      </c>
    </row>
    <row r="1717" spans="1:16" x14ac:dyDescent="0.25">
      <c r="A1717" s="3">
        <v>45985</v>
      </c>
      <c r="B1717" s="1">
        <v>394</v>
      </c>
      <c r="C1717" s="5">
        <v>255</v>
      </c>
      <c r="D1717" s="1" t="s">
        <v>1953</v>
      </c>
      <c r="E1717" s="1" t="s">
        <v>1954</v>
      </c>
      <c r="F1717" s="1" t="s">
        <v>955</v>
      </c>
      <c r="G1717" s="1" t="s">
        <v>990</v>
      </c>
      <c r="H1717" s="3">
        <v>46007</v>
      </c>
      <c r="I1717" s="1" t="s">
        <v>933</v>
      </c>
      <c r="J1717" s="1" t="s">
        <v>951</v>
      </c>
      <c r="K1717" s="1" t="s">
        <v>340</v>
      </c>
      <c r="L1717" s="1" t="s">
        <v>3081</v>
      </c>
      <c r="M1717" s="3">
        <v>45987</v>
      </c>
      <c r="N1717" s="1" t="s">
        <v>821</v>
      </c>
      <c r="O1717" s="1" t="s">
        <v>936</v>
      </c>
      <c r="P1717" s="1">
        <v>1</v>
      </c>
    </row>
    <row r="1718" spans="1:16" x14ac:dyDescent="0.25">
      <c r="A1718" s="3">
        <v>45985</v>
      </c>
      <c r="B1718" s="1">
        <v>395</v>
      </c>
      <c r="C1718" s="5">
        <v>330</v>
      </c>
      <c r="D1718" s="1" t="s">
        <v>1953</v>
      </c>
      <c r="E1718" s="1" t="s">
        <v>1954</v>
      </c>
      <c r="F1718" s="1" t="s">
        <v>110</v>
      </c>
      <c r="G1718" s="1" t="s">
        <v>990</v>
      </c>
      <c r="H1718" s="3">
        <v>46007</v>
      </c>
      <c r="I1718" s="1" t="s">
        <v>933</v>
      </c>
      <c r="J1718" s="1" t="s">
        <v>66</v>
      </c>
      <c r="K1718" s="1" t="s">
        <v>1654</v>
      </c>
      <c r="L1718" s="1" t="s">
        <v>3082</v>
      </c>
      <c r="M1718" s="3">
        <v>45987</v>
      </c>
      <c r="N1718" s="1" t="s">
        <v>115</v>
      </c>
      <c r="O1718" s="1" t="s">
        <v>936</v>
      </c>
      <c r="P1718" s="1">
        <v>1</v>
      </c>
    </row>
    <row r="1719" spans="1:16" x14ac:dyDescent="0.25">
      <c r="A1719" s="3">
        <v>45985</v>
      </c>
      <c r="B1719" s="1">
        <v>396</v>
      </c>
      <c r="C1719" s="5">
        <v>100</v>
      </c>
      <c r="D1719" s="1" t="s">
        <v>1953</v>
      </c>
      <c r="E1719" s="1" t="s">
        <v>1954</v>
      </c>
      <c r="F1719" s="1" t="s">
        <v>906</v>
      </c>
      <c r="G1719" s="1" t="s">
        <v>990</v>
      </c>
      <c r="H1719" s="3">
        <v>46007</v>
      </c>
      <c r="I1719" s="1" t="s">
        <v>933</v>
      </c>
      <c r="J1719" s="1" t="s">
        <v>66</v>
      </c>
      <c r="K1719" s="1" t="s">
        <v>308</v>
      </c>
      <c r="L1719" s="1" t="s">
        <v>3083</v>
      </c>
      <c r="M1719" s="3">
        <v>45987</v>
      </c>
      <c r="N1719" s="1" t="s">
        <v>57</v>
      </c>
      <c r="O1719" s="1" t="s">
        <v>936</v>
      </c>
      <c r="P1719" s="1">
        <v>1</v>
      </c>
    </row>
    <row r="1720" spans="1:16" x14ac:dyDescent="0.25">
      <c r="A1720" s="3">
        <v>45985</v>
      </c>
      <c r="B1720" s="1">
        <v>397</v>
      </c>
      <c r="C1720" s="5">
        <v>340</v>
      </c>
      <c r="D1720" s="1" t="s">
        <v>1953</v>
      </c>
      <c r="E1720" s="1" t="s">
        <v>1954</v>
      </c>
      <c r="F1720" s="1" t="s">
        <v>639</v>
      </c>
      <c r="G1720" s="1" t="s">
        <v>990</v>
      </c>
      <c r="H1720" s="3">
        <v>46007</v>
      </c>
      <c r="I1720" s="1" t="s">
        <v>933</v>
      </c>
      <c r="J1720" s="1" t="s">
        <v>66</v>
      </c>
      <c r="K1720" s="1" t="s">
        <v>308</v>
      </c>
      <c r="L1720" s="1" t="s">
        <v>3084</v>
      </c>
      <c r="M1720" s="3">
        <v>45987</v>
      </c>
      <c r="N1720" s="1" t="s">
        <v>98</v>
      </c>
      <c r="O1720" s="1" t="s">
        <v>936</v>
      </c>
      <c r="P1720" s="1">
        <v>1</v>
      </c>
    </row>
    <row r="1721" spans="1:16" x14ac:dyDescent="0.25">
      <c r="A1721" s="3">
        <v>45985</v>
      </c>
      <c r="B1721" s="1">
        <v>398</v>
      </c>
      <c r="C1721" s="5">
        <v>100</v>
      </c>
      <c r="D1721" s="1" t="s">
        <v>1953</v>
      </c>
      <c r="E1721" s="1" t="s">
        <v>1954</v>
      </c>
      <c r="F1721" s="1" t="s">
        <v>430</v>
      </c>
      <c r="G1721" s="1" t="s">
        <v>990</v>
      </c>
      <c r="H1721" s="3">
        <v>46007</v>
      </c>
      <c r="I1721" s="1" t="s">
        <v>933</v>
      </c>
      <c r="J1721" s="1" t="s">
        <v>66</v>
      </c>
      <c r="K1721" s="1" t="s">
        <v>1654</v>
      </c>
      <c r="L1721" s="1" t="s">
        <v>3085</v>
      </c>
      <c r="M1721" s="3">
        <v>45987</v>
      </c>
      <c r="N1721" s="1" t="s">
        <v>57</v>
      </c>
      <c r="O1721" s="1" t="s">
        <v>936</v>
      </c>
      <c r="P1721" s="1">
        <v>1</v>
      </c>
    </row>
    <row r="1722" spans="1:16" x14ac:dyDescent="0.25">
      <c r="A1722" s="3">
        <v>45985</v>
      </c>
      <c r="B1722" s="1">
        <v>399</v>
      </c>
      <c r="C1722" s="5">
        <v>100</v>
      </c>
      <c r="D1722" s="1" t="s">
        <v>1953</v>
      </c>
      <c r="E1722" s="1" t="s">
        <v>1954</v>
      </c>
      <c r="F1722" s="1" t="s">
        <v>753</v>
      </c>
      <c r="G1722" s="1" t="s">
        <v>990</v>
      </c>
      <c r="H1722" s="3">
        <v>46007</v>
      </c>
      <c r="I1722" s="1" t="s">
        <v>933</v>
      </c>
      <c r="J1722" s="1" t="s">
        <v>66</v>
      </c>
      <c r="K1722" s="1" t="s">
        <v>340</v>
      </c>
      <c r="L1722" s="1" t="s">
        <v>3086</v>
      </c>
      <c r="M1722" s="3">
        <v>45987</v>
      </c>
      <c r="N1722" s="1" t="s">
        <v>57</v>
      </c>
      <c r="O1722" s="1" t="s">
        <v>936</v>
      </c>
      <c r="P1722" s="1">
        <v>1</v>
      </c>
    </row>
    <row r="1723" spans="1:16" x14ac:dyDescent="0.25">
      <c r="A1723" s="3">
        <v>45985</v>
      </c>
      <c r="B1723" s="1">
        <v>400</v>
      </c>
      <c r="C1723" s="5">
        <v>172</v>
      </c>
      <c r="D1723" s="1" t="s">
        <v>1953</v>
      </c>
      <c r="E1723" s="1" t="s">
        <v>1954</v>
      </c>
      <c r="F1723" s="1" t="s">
        <v>955</v>
      </c>
      <c r="G1723" s="1" t="s">
        <v>990</v>
      </c>
      <c r="H1723" s="3">
        <v>46007</v>
      </c>
      <c r="I1723" s="1" t="s">
        <v>933</v>
      </c>
      <c r="J1723" s="1" t="s">
        <v>951</v>
      </c>
      <c r="K1723" s="1" t="s">
        <v>340</v>
      </c>
      <c r="L1723" s="1" t="s">
        <v>3087</v>
      </c>
      <c r="M1723" s="3">
        <v>45987</v>
      </c>
      <c r="N1723" s="1" t="s">
        <v>821</v>
      </c>
      <c r="O1723" s="1" t="s">
        <v>936</v>
      </c>
      <c r="P1723" s="1">
        <v>1</v>
      </c>
    </row>
    <row r="1724" spans="1:16" x14ac:dyDescent="0.25">
      <c r="A1724" s="3">
        <v>45985</v>
      </c>
      <c r="B1724" s="1">
        <v>401</v>
      </c>
      <c r="C1724" s="5">
        <v>460</v>
      </c>
      <c r="D1724" s="1" t="s">
        <v>1953</v>
      </c>
      <c r="E1724" s="1" t="s">
        <v>1954</v>
      </c>
      <c r="F1724" s="1" t="s">
        <v>721</v>
      </c>
      <c r="G1724" s="1" t="s">
        <v>990</v>
      </c>
      <c r="H1724" s="3">
        <v>46007</v>
      </c>
      <c r="I1724" s="1" t="s">
        <v>933</v>
      </c>
      <c r="J1724" s="1" t="s">
        <v>66</v>
      </c>
      <c r="K1724" s="1" t="s">
        <v>340</v>
      </c>
      <c r="L1724" s="1" t="s">
        <v>3088</v>
      </c>
      <c r="M1724" s="3">
        <v>45987</v>
      </c>
      <c r="N1724" s="1" t="s">
        <v>712</v>
      </c>
      <c r="O1724" s="1" t="s">
        <v>936</v>
      </c>
      <c r="P1724" s="1">
        <v>1</v>
      </c>
    </row>
    <row r="1725" spans="1:16" x14ac:dyDescent="0.25">
      <c r="A1725" s="3">
        <v>45985</v>
      </c>
      <c r="B1725" s="1">
        <v>402</v>
      </c>
      <c r="C1725" s="5">
        <v>380</v>
      </c>
      <c r="D1725" s="1" t="s">
        <v>1953</v>
      </c>
      <c r="E1725" s="1" t="s">
        <v>1954</v>
      </c>
      <c r="F1725" s="1" t="s">
        <v>719</v>
      </c>
      <c r="G1725" s="1" t="s">
        <v>990</v>
      </c>
      <c r="H1725" s="3">
        <v>46007</v>
      </c>
      <c r="I1725" s="1" t="s">
        <v>933</v>
      </c>
      <c r="J1725" s="1" t="s">
        <v>66</v>
      </c>
      <c r="K1725" s="1" t="s">
        <v>340</v>
      </c>
      <c r="L1725" s="1" t="s">
        <v>3089</v>
      </c>
      <c r="M1725" s="3">
        <v>45987</v>
      </c>
      <c r="N1725" s="1" t="s">
        <v>712</v>
      </c>
      <c r="O1725" s="1" t="s">
        <v>936</v>
      </c>
      <c r="P1725" s="1">
        <v>1</v>
      </c>
    </row>
    <row r="1726" spans="1:16" x14ac:dyDescent="0.25">
      <c r="A1726" s="3">
        <v>45985</v>
      </c>
      <c r="B1726" s="1">
        <v>403</v>
      </c>
      <c r="C1726" s="5">
        <v>320</v>
      </c>
      <c r="D1726" s="1" t="s">
        <v>1953</v>
      </c>
      <c r="E1726" s="1" t="s">
        <v>1954</v>
      </c>
      <c r="F1726" s="1" t="s">
        <v>715</v>
      </c>
      <c r="G1726" s="1" t="s">
        <v>990</v>
      </c>
      <c r="H1726" s="3">
        <v>46007</v>
      </c>
      <c r="I1726" s="1" t="s">
        <v>933</v>
      </c>
      <c r="J1726" s="1" t="s">
        <v>66</v>
      </c>
      <c r="K1726" s="1" t="s">
        <v>340</v>
      </c>
      <c r="L1726" s="1" t="s">
        <v>3090</v>
      </c>
      <c r="M1726" s="3">
        <v>45987</v>
      </c>
      <c r="N1726" s="1" t="s">
        <v>712</v>
      </c>
      <c r="O1726" s="1" t="s">
        <v>936</v>
      </c>
      <c r="P1726" s="1">
        <v>1</v>
      </c>
    </row>
    <row r="1727" spans="1:16" x14ac:dyDescent="0.25">
      <c r="A1727" s="3">
        <v>45985</v>
      </c>
      <c r="B1727" s="1">
        <v>404</v>
      </c>
      <c r="C1727" s="5">
        <v>640</v>
      </c>
      <c r="D1727" s="1" t="s">
        <v>1953</v>
      </c>
      <c r="E1727" s="1" t="s">
        <v>1954</v>
      </c>
      <c r="F1727" s="1" t="s">
        <v>717</v>
      </c>
      <c r="G1727" s="1" t="s">
        <v>990</v>
      </c>
      <c r="H1727" s="3">
        <v>46007</v>
      </c>
      <c r="I1727" s="1" t="s">
        <v>933</v>
      </c>
      <c r="J1727" s="1" t="s">
        <v>66</v>
      </c>
      <c r="K1727" s="1" t="s">
        <v>340</v>
      </c>
      <c r="L1727" s="1" t="s">
        <v>3091</v>
      </c>
      <c r="M1727" s="3">
        <v>45987</v>
      </c>
      <c r="N1727" s="1" t="s">
        <v>712</v>
      </c>
      <c r="O1727" s="1" t="s">
        <v>936</v>
      </c>
      <c r="P1727" s="1">
        <v>1</v>
      </c>
    </row>
    <row r="1728" spans="1:16" x14ac:dyDescent="0.25">
      <c r="A1728" s="3">
        <v>45985</v>
      </c>
      <c r="B1728" s="1">
        <v>405</v>
      </c>
      <c r="C1728" s="5">
        <v>360</v>
      </c>
      <c r="D1728" s="1" t="s">
        <v>1953</v>
      </c>
      <c r="E1728" s="1" t="s">
        <v>1954</v>
      </c>
      <c r="F1728" s="1" t="s">
        <v>955</v>
      </c>
      <c r="G1728" s="1" t="s">
        <v>990</v>
      </c>
      <c r="H1728" s="3">
        <v>46007</v>
      </c>
      <c r="I1728" s="1" t="s">
        <v>933</v>
      </c>
      <c r="J1728" s="1" t="s">
        <v>951</v>
      </c>
      <c r="K1728" s="1" t="s">
        <v>340</v>
      </c>
      <c r="L1728" s="1" t="s">
        <v>3092</v>
      </c>
      <c r="M1728" s="3">
        <v>45987</v>
      </c>
      <c r="N1728" s="1" t="s">
        <v>821</v>
      </c>
      <c r="O1728" s="1" t="s">
        <v>936</v>
      </c>
      <c r="P1728" s="1">
        <v>1</v>
      </c>
    </row>
    <row r="1729" spans="1:16" x14ac:dyDescent="0.25">
      <c r="A1729" s="3">
        <v>45985</v>
      </c>
      <c r="B1729" s="1">
        <v>406</v>
      </c>
      <c r="C1729" s="5">
        <v>420</v>
      </c>
      <c r="D1729" s="1" t="s">
        <v>1953</v>
      </c>
      <c r="E1729" s="1" t="s">
        <v>1954</v>
      </c>
      <c r="F1729" s="1" t="s">
        <v>955</v>
      </c>
      <c r="G1729" s="1" t="s">
        <v>990</v>
      </c>
      <c r="H1729" s="3">
        <v>46007</v>
      </c>
      <c r="I1729" s="1" t="s">
        <v>933</v>
      </c>
      <c r="J1729" s="1" t="s">
        <v>951</v>
      </c>
      <c r="K1729" s="1" t="s">
        <v>1654</v>
      </c>
      <c r="L1729" s="1" t="s">
        <v>3093</v>
      </c>
      <c r="M1729" s="3">
        <v>45987</v>
      </c>
      <c r="N1729" s="1" t="s">
        <v>821</v>
      </c>
      <c r="O1729" s="1" t="s">
        <v>936</v>
      </c>
      <c r="P1729" s="1">
        <v>1</v>
      </c>
    </row>
    <row r="1730" spans="1:16" x14ac:dyDescent="0.25">
      <c r="A1730" s="3">
        <v>45985</v>
      </c>
      <c r="B1730" s="1">
        <v>29</v>
      </c>
      <c r="C1730" s="5">
        <v>60611</v>
      </c>
      <c r="D1730" s="1" t="s">
        <v>1354</v>
      </c>
      <c r="E1730" s="1" t="s">
        <v>1355</v>
      </c>
      <c r="F1730" s="1" t="s">
        <v>955</v>
      </c>
      <c r="G1730" s="1" t="s">
        <v>940</v>
      </c>
      <c r="H1730" s="3">
        <v>45999</v>
      </c>
      <c r="I1730" s="1" t="s">
        <v>933</v>
      </c>
      <c r="J1730" s="1" t="s">
        <v>951</v>
      </c>
      <c r="K1730" s="1" t="s">
        <v>20</v>
      </c>
      <c r="L1730" s="1" t="s">
        <v>3094</v>
      </c>
      <c r="M1730" s="3">
        <v>45987</v>
      </c>
      <c r="N1730" s="1" t="s">
        <v>821</v>
      </c>
      <c r="O1730" s="1" t="s">
        <v>936</v>
      </c>
      <c r="P1730" s="1" t="s">
        <v>937</v>
      </c>
    </row>
    <row r="1731" spans="1:16" x14ac:dyDescent="0.25">
      <c r="A1731" s="3">
        <v>45985</v>
      </c>
      <c r="B1731" s="4">
        <v>264639</v>
      </c>
      <c r="C1731" s="5">
        <v>228.99</v>
      </c>
      <c r="D1731" s="1" t="s">
        <v>1920</v>
      </c>
      <c r="E1731" s="1" t="s">
        <v>1921</v>
      </c>
      <c r="F1731" s="1" t="s">
        <v>619</v>
      </c>
      <c r="G1731" s="1" t="s">
        <v>940</v>
      </c>
      <c r="H1731" s="3">
        <v>46013</v>
      </c>
      <c r="I1731" s="1" t="s">
        <v>933</v>
      </c>
      <c r="J1731" s="1" t="s">
        <v>66</v>
      </c>
      <c r="K1731" s="1" t="s">
        <v>340</v>
      </c>
      <c r="L1731" s="1" t="s">
        <v>3095</v>
      </c>
      <c r="M1731" s="3">
        <v>45987</v>
      </c>
      <c r="N1731" s="1" t="s">
        <v>383</v>
      </c>
      <c r="O1731" s="1" t="s">
        <v>936</v>
      </c>
      <c r="P1731" s="1">
        <v>2</v>
      </c>
    </row>
    <row r="1732" spans="1:16" x14ac:dyDescent="0.25">
      <c r="A1732" s="3">
        <v>45985</v>
      </c>
      <c r="B1732" s="4">
        <v>44756</v>
      </c>
      <c r="C1732" s="5">
        <v>6580</v>
      </c>
      <c r="D1732" s="1" t="s">
        <v>2345</v>
      </c>
      <c r="E1732" s="1" t="s">
        <v>2346</v>
      </c>
      <c r="F1732" s="1" t="s">
        <v>871</v>
      </c>
      <c r="G1732" s="1" t="s">
        <v>1667</v>
      </c>
      <c r="H1732" s="3">
        <v>46015</v>
      </c>
      <c r="I1732" s="1" t="s">
        <v>933</v>
      </c>
      <c r="J1732" s="1" t="s">
        <v>66</v>
      </c>
      <c r="K1732" s="1" t="s">
        <v>659</v>
      </c>
      <c r="L1732" s="1" t="s">
        <v>3096</v>
      </c>
      <c r="M1732" s="3">
        <v>46008</v>
      </c>
      <c r="N1732" s="1" t="s">
        <v>767</v>
      </c>
      <c r="O1732" s="1" t="s">
        <v>936</v>
      </c>
      <c r="P1732" s="1" t="s">
        <v>937</v>
      </c>
    </row>
    <row r="1733" spans="1:16" x14ac:dyDescent="0.25">
      <c r="A1733" s="3">
        <v>45986</v>
      </c>
      <c r="B1733" s="1">
        <v>227</v>
      </c>
      <c r="C1733" s="5">
        <v>5196.46</v>
      </c>
      <c r="D1733" s="1" t="s">
        <v>3097</v>
      </c>
      <c r="E1733" s="1" t="s">
        <v>3098</v>
      </c>
      <c r="F1733" s="1" t="s">
        <v>955</v>
      </c>
      <c r="G1733" s="1" t="s">
        <v>932</v>
      </c>
      <c r="H1733" s="3">
        <v>45993</v>
      </c>
      <c r="I1733" s="1" t="s">
        <v>933</v>
      </c>
      <c r="J1733" s="1" t="s">
        <v>951</v>
      </c>
      <c r="K1733" s="1" t="s">
        <v>340</v>
      </c>
      <c r="L1733" s="1" t="s">
        <v>3099</v>
      </c>
      <c r="M1733" s="3">
        <v>45983</v>
      </c>
      <c r="N1733" s="1" t="s">
        <v>821</v>
      </c>
      <c r="O1733" s="1" t="s">
        <v>932</v>
      </c>
      <c r="P1733" s="1">
        <v>1</v>
      </c>
    </row>
    <row r="1734" spans="1:16" x14ac:dyDescent="0.25">
      <c r="A1734" s="3">
        <v>45986</v>
      </c>
      <c r="B1734" s="4">
        <v>153876</v>
      </c>
      <c r="C1734" s="5">
        <v>3275</v>
      </c>
      <c r="D1734" s="1" t="s">
        <v>2670</v>
      </c>
      <c r="E1734" s="1" t="s">
        <v>2873</v>
      </c>
      <c r="F1734" s="1" t="s">
        <v>51</v>
      </c>
      <c r="G1734" s="1" t="s">
        <v>1667</v>
      </c>
      <c r="H1734" s="3">
        <v>46016</v>
      </c>
      <c r="I1734" s="1" t="s">
        <v>1100</v>
      </c>
      <c r="J1734" s="1" t="s">
        <v>66</v>
      </c>
      <c r="K1734" s="1" t="s">
        <v>52</v>
      </c>
      <c r="L1734" s="1" t="s">
        <v>3100</v>
      </c>
      <c r="M1734" s="1"/>
      <c r="N1734" s="1" t="s">
        <v>57</v>
      </c>
      <c r="O1734" s="1" t="s">
        <v>936</v>
      </c>
      <c r="P1734" s="1">
        <v>1</v>
      </c>
    </row>
    <row r="1735" spans="1:16" x14ac:dyDescent="0.25">
      <c r="A1735" s="3">
        <v>45986</v>
      </c>
      <c r="B1735" s="4">
        <v>4710</v>
      </c>
      <c r="C1735" s="5">
        <v>613.36</v>
      </c>
      <c r="D1735" s="1" t="s">
        <v>938</v>
      </c>
      <c r="E1735" s="1" t="s">
        <v>939</v>
      </c>
      <c r="F1735" s="1" t="s">
        <v>955</v>
      </c>
      <c r="G1735" s="1" t="s">
        <v>940</v>
      </c>
      <c r="H1735" s="3">
        <v>46013</v>
      </c>
      <c r="I1735" s="1" t="s">
        <v>933</v>
      </c>
      <c r="J1735" s="1" t="s">
        <v>951</v>
      </c>
      <c r="K1735" s="1" t="s">
        <v>858</v>
      </c>
      <c r="L1735" s="1" t="s">
        <v>3101</v>
      </c>
      <c r="M1735" s="3">
        <v>45987</v>
      </c>
      <c r="N1735" s="1" t="s">
        <v>821</v>
      </c>
      <c r="O1735" s="1" t="s">
        <v>936</v>
      </c>
      <c r="P1735" s="1">
        <v>1</v>
      </c>
    </row>
    <row r="1736" spans="1:16" x14ac:dyDescent="0.25">
      <c r="A1736" s="3">
        <v>45986</v>
      </c>
      <c r="B1736" s="4">
        <v>48345</v>
      </c>
      <c r="C1736" s="5">
        <v>2300</v>
      </c>
      <c r="D1736" s="1" t="s">
        <v>1489</v>
      </c>
      <c r="E1736" s="1" t="s">
        <v>1490</v>
      </c>
      <c r="F1736" s="1" t="s">
        <v>339</v>
      </c>
      <c r="G1736" s="1" t="s">
        <v>940</v>
      </c>
      <c r="H1736" s="3">
        <v>46016</v>
      </c>
      <c r="I1736" s="1" t="s">
        <v>933</v>
      </c>
      <c r="J1736" s="1" t="s">
        <v>66</v>
      </c>
      <c r="K1736" s="1" t="s">
        <v>308</v>
      </c>
      <c r="L1736" s="1" t="s">
        <v>3102</v>
      </c>
      <c r="M1736" s="3">
        <v>45987</v>
      </c>
      <c r="N1736" s="1" t="s">
        <v>57</v>
      </c>
      <c r="O1736" s="1" t="s">
        <v>936</v>
      </c>
      <c r="P1736" s="1">
        <v>1</v>
      </c>
    </row>
    <row r="1737" spans="1:16" x14ac:dyDescent="0.25">
      <c r="A1737" s="3">
        <v>45986</v>
      </c>
      <c r="B1737" s="4">
        <v>48344</v>
      </c>
      <c r="C1737" s="5">
        <v>1298</v>
      </c>
      <c r="D1737" s="1" t="s">
        <v>1489</v>
      </c>
      <c r="E1737" s="1" t="s">
        <v>1490</v>
      </c>
      <c r="F1737" s="1" t="s">
        <v>966</v>
      </c>
      <c r="G1737" s="1" t="s">
        <v>2508</v>
      </c>
      <c r="H1737" s="3">
        <v>46016</v>
      </c>
      <c r="I1737" s="1" t="s">
        <v>933</v>
      </c>
      <c r="J1737" s="1" t="s">
        <v>951</v>
      </c>
      <c r="K1737" s="1" t="s">
        <v>817</v>
      </c>
      <c r="L1737" s="1" t="s">
        <v>3103</v>
      </c>
      <c r="M1737" s="3">
        <v>45987</v>
      </c>
      <c r="N1737" s="1" t="s">
        <v>821</v>
      </c>
      <c r="O1737" s="1" t="s">
        <v>936</v>
      </c>
      <c r="P1737" s="1">
        <v>1</v>
      </c>
    </row>
    <row r="1738" spans="1:16" x14ac:dyDescent="0.25">
      <c r="A1738" s="3">
        <v>45986</v>
      </c>
      <c r="B1738" s="4">
        <v>71946</v>
      </c>
      <c r="C1738" s="5">
        <v>600.72</v>
      </c>
      <c r="D1738" s="1" t="s">
        <v>1253</v>
      </c>
      <c r="E1738" s="1" t="s">
        <v>1487</v>
      </c>
      <c r="F1738" s="1" t="s">
        <v>460</v>
      </c>
      <c r="G1738" s="1" t="s">
        <v>940</v>
      </c>
      <c r="H1738" s="3">
        <v>46016</v>
      </c>
      <c r="I1738" s="1" t="s">
        <v>933</v>
      </c>
      <c r="J1738" s="1" t="s">
        <v>66</v>
      </c>
      <c r="K1738" s="1" t="s">
        <v>858</v>
      </c>
      <c r="L1738" s="1" t="s">
        <v>3104</v>
      </c>
      <c r="M1738" s="3">
        <v>45987</v>
      </c>
      <c r="N1738" s="1" t="s">
        <v>440</v>
      </c>
      <c r="O1738" s="1" t="s">
        <v>936</v>
      </c>
      <c r="P1738" s="1">
        <v>1</v>
      </c>
    </row>
    <row r="1739" spans="1:16" x14ac:dyDescent="0.25">
      <c r="A1739" s="3">
        <v>45986</v>
      </c>
      <c r="B1739" s="4">
        <v>9444</v>
      </c>
      <c r="C1739" s="5">
        <v>37550.43</v>
      </c>
      <c r="D1739" s="1" t="s">
        <v>973</v>
      </c>
      <c r="E1739" s="1" t="s">
        <v>1068</v>
      </c>
      <c r="F1739" s="1" t="s">
        <v>1814</v>
      </c>
      <c r="G1739" s="1" t="s">
        <v>998</v>
      </c>
      <c r="H1739" s="3">
        <v>46001</v>
      </c>
      <c r="I1739" s="1" t="s">
        <v>933</v>
      </c>
      <c r="J1739" s="1" t="s">
        <v>66</v>
      </c>
      <c r="K1739" s="1" t="s">
        <v>1814</v>
      </c>
      <c r="L1739" s="1" t="s">
        <v>3105</v>
      </c>
      <c r="M1739" s="3">
        <v>45987</v>
      </c>
      <c r="N1739" s="1" t="s">
        <v>1814</v>
      </c>
      <c r="O1739" s="1" t="s">
        <v>998</v>
      </c>
      <c r="P1739" s="1">
        <v>1</v>
      </c>
    </row>
    <row r="1740" spans="1:16" x14ac:dyDescent="0.25">
      <c r="A1740" s="3">
        <v>45986</v>
      </c>
      <c r="B1740" s="4">
        <v>71940</v>
      </c>
      <c r="C1740" s="5">
        <v>1269.4000000000001</v>
      </c>
      <c r="D1740" s="1" t="s">
        <v>1253</v>
      </c>
      <c r="E1740" s="1" t="s">
        <v>1487</v>
      </c>
      <c r="F1740" s="1" t="s">
        <v>88</v>
      </c>
      <c r="G1740" s="1" t="s">
        <v>1254</v>
      </c>
      <c r="H1740" s="3">
        <v>46016</v>
      </c>
      <c r="I1740" s="1" t="s">
        <v>933</v>
      </c>
      <c r="J1740" s="1" t="s">
        <v>66</v>
      </c>
      <c r="K1740" s="1" t="s">
        <v>1654</v>
      </c>
      <c r="L1740" s="1" t="s">
        <v>3106</v>
      </c>
      <c r="M1740" s="3">
        <v>45987</v>
      </c>
      <c r="N1740" s="1" t="s">
        <v>93</v>
      </c>
      <c r="O1740" s="1" t="s">
        <v>936</v>
      </c>
      <c r="P1740" s="1">
        <v>1</v>
      </c>
    </row>
    <row r="1741" spans="1:16" x14ac:dyDescent="0.25">
      <c r="A1741" s="3">
        <v>45986</v>
      </c>
      <c r="B1741" s="4">
        <v>71935</v>
      </c>
      <c r="C1741" s="5">
        <v>2277.64</v>
      </c>
      <c r="D1741" s="1" t="s">
        <v>1253</v>
      </c>
      <c r="E1741" s="1" t="s">
        <v>1487</v>
      </c>
      <c r="F1741" s="1" t="s">
        <v>222</v>
      </c>
      <c r="G1741" s="1" t="s">
        <v>1254</v>
      </c>
      <c r="H1741" s="3">
        <v>46016</v>
      </c>
      <c r="I1741" s="1" t="s">
        <v>933</v>
      </c>
      <c r="J1741" s="1" t="s">
        <v>66</v>
      </c>
      <c r="K1741" s="1" t="s">
        <v>1654</v>
      </c>
      <c r="L1741" s="1" t="s">
        <v>3107</v>
      </c>
      <c r="M1741" s="3">
        <v>45987</v>
      </c>
      <c r="N1741" s="1" t="s">
        <v>93</v>
      </c>
      <c r="O1741" s="1" t="s">
        <v>936</v>
      </c>
      <c r="P1741" s="1">
        <v>1</v>
      </c>
    </row>
    <row r="1742" spans="1:16" x14ac:dyDescent="0.25">
      <c r="A1742" s="3">
        <v>45986</v>
      </c>
      <c r="B1742" s="4">
        <v>144831</v>
      </c>
      <c r="C1742" s="5">
        <v>10230.31</v>
      </c>
      <c r="D1742" s="1" t="s">
        <v>3108</v>
      </c>
      <c r="E1742" s="1" t="s">
        <v>3109</v>
      </c>
      <c r="F1742" s="1" t="s">
        <v>949</v>
      </c>
      <c r="G1742" s="1" t="s">
        <v>2860</v>
      </c>
      <c r="H1742" s="3">
        <v>46014</v>
      </c>
      <c r="I1742" s="1" t="s">
        <v>933</v>
      </c>
      <c r="J1742" s="1" t="s">
        <v>951</v>
      </c>
      <c r="K1742" s="1" t="s">
        <v>817</v>
      </c>
      <c r="L1742" s="1" t="s">
        <v>3110</v>
      </c>
      <c r="M1742" s="3">
        <v>45987</v>
      </c>
      <c r="N1742" s="1" t="s">
        <v>821</v>
      </c>
      <c r="O1742" s="1" t="s">
        <v>936</v>
      </c>
      <c r="P1742" s="1">
        <v>1</v>
      </c>
    </row>
    <row r="1743" spans="1:16" x14ac:dyDescent="0.25">
      <c r="A1743" s="3">
        <v>45986</v>
      </c>
      <c r="B1743" s="1">
        <v>364</v>
      </c>
      <c r="C1743" s="5">
        <v>619.4</v>
      </c>
      <c r="D1743" s="1" t="s">
        <v>1810</v>
      </c>
      <c r="E1743" s="1" t="s">
        <v>1811</v>
      </c>
      <c r="F1743" s="1" t="s">
        <v>955</v>
      </c>
      <c r="G1743" s="1" t="s">
        <v>20</v>
      </c>
      <c r="H1743" s="3">
        <v>46006</v>
      </c>
      <c r="I1743" s="1" t="s">
        <v>933</v>
      </c>
      <c r="J1743" s="1" t="s">
        <v>951</v>
      </c>
      <c r="K1743" s="1" t="s">
        <v>20</v>
      </c>
      <c r="L1743" s="1" t="s">
        <v>3111</v>
      </c>
      <c r="M1743" s="3">
        <v>45987</v>
      </c>
      <c r="N1743" s="1" t="s">
        <v>821</v>
      </c>
      <c r="O1743" s="1" t="s">
        <v>936</v>
      </c>
      <c r="P1743" s="1">
        <v>1</v>
      </c>
    </row>
    <row r="1744" spans="1:16" x14ac:dyDescent="0.25">
      <c r="A1744" s="3">
        <v>45986</v>
      </c>
      <c r="B1744" s="4">
        <v>1060337</v>
      </c>
      <c r="C1744" s="5">
        <v>1862</v>
      </c>
      <c r="D1744" s="1" t="s">
        <v>2670</v>
      </c>
      <c r="E1744" s="1" t="s">
        <v>2873</v>
      </c>
      <c r="F1744" s="1" t="s">
        <v>51</v>
      </c>
      <c r="G1744" s="1" t="s">
        <v>1667</v>
      </c>
      <c r="H1744" s="3">
        <v>46016</v>
      </c>
      <c r="I1744" s="1" t="s">
        <v>1100</v>
      </c>
      <c r="J1744" s="1" t="s">
        <v>66</v>
      </c>
      <c r="K1744" s="1" t="s">
        <v>52</v>
      </c>
      <c r="L1744" s="1" t="s">
        <v>3112</v>
      </c>
      <c r="M1744" s="3">
        <v>45987</v>
      </c>
      <c r="N1744" s="1" t="s">
        <v>57</v>
      </c>
      <c r="O1744" s="1" t="s">
        <v>936</v>
      </c>
      <c r="P1744" s="1">
        <v>1</v>
      </c>
    </row>
    <row r="1745" spans="1:16" x14ac:dyDescent="0.25">
      <c r="A1745" s="3">
        <v>45986</v>
      </c>
      <c r="B1745" s="4">
        <v>153876</v>
      </c>
      <c r="C1745" s="5">
        <v>3275</v>
      </c>
      <c r="D1745" s="1" t="s">
        <v>2670</v>
      </c>
      <c r="E1745" s="1" t="s">
        <v>2873</v>
      </c>
      <c r="F1745" s="1" t="s">
        <v>51</v>
      </c>
      <c r="G1745" s="1" t="s">
        <v>1667</v>
      </c>
      <c r="H1745" s="3">
        <v>46016</v>
      </c>
      <c r="I1745" s="1" t="s">
        <v>1100</v>
      </c>
      <c r="J1745" s="1" t="s">
        <v>66</v>
      </c>
      <c r="K1745" s="1" t="s">
        <v>52</v>
      </c>
      <c r="L1745" s="1" t="s">
        <v>3113</v>
      </c>
      <c r="M1745" s="3">
        <v>45987</v>
      </c>
      <c r="N1745" s="1" t="s">
        <v>57</v>
      </c>
      <c r="O1745" s="1" t="s">
        <v>936</v>
      </c>
      <c r="P1745" s="1">
        <v>1</v>
      </c>
    </row>
    <row r="1746" spans="1:16" x14ac:dyDescent="0.25">
      <c r="A1746" s="3">
        <v>45987</v>
      </c>
      <c r="B1746" s="4">
        <v>1060337</v>
      </c>
      <c r="C1746" s="5">
        <v>1862</v>
      </c>
      <c r="D1746" s="1" t="s">
        <v>2670</v>
      </c>
      <c r="E1746" s="1" t="s">
        <v>2873</v>
      </c>
      <c r="F1746" s="1" t="s">
        <v>51</v>
      </c>
      <c r="G1746" s="1" t="s">
        <v>1667</v>
      </c>
      <c r="H1746" s="3">
        <v>46016</v>
      </c>
      <c r="I1746" s="1" t="s">
        <v>1100</v>
      </c>
      <c r="J1746" s="1" t="s">
        <v>66</v>
      </c>
      <c r="K1746" s="1" t="s">
        <v>52</v>
      </c>
      <c r="L1746" s="1" t="s">
        <v>3114</v>
      </c>
      <c r="M1746" s="1"/>
      <c r="N1746" s="1" t="s">
        <v>57</v>
      </c>
      <c r="O1746" s="1" t="s">
        <v>936</v>
      </c>
      <c r="P1746" s="1">
        <v>1</v>
      </c>
    </row>
    <row r="1747" spans="1:16" x14ac:dyDescent="0.25">
      <c r="A1747" s="3">
        <v>45987</v>
      </c>
      <c r="B1747" s="1">
        <v>357</v>
      </c>
      <c r="C1747" s="5">
        <v>3100</v>
      </c>
      <c r="D1747" s="1" t="s">
        <v>1376</v>
      </c>
      <c r="E1747" s="1" t="s">
        <v>1377</v>
      </c>
      <c r="F1747" s="1" t="s">
        <v>833</v>
      </c>
      <c r="G1747" s="1" t="s">
        <v>1029</v>
      </c>
      <c r="H1747" s="3">
        <v>46003</v>
      </c>
      <c r="I1747" s="1" t="s">
        <v>933</v>
      </c>
      <c r="J1747" s="1" t="s">
        <v>66</v>
      </c>
      <c r="K1747" s="1" t="s">
        <v>340</v>
      </c>
      <c r="L1747" s="1" t="s">
        <v>3115</v>
      </c>
      <c r="M1747" s="3">
        <v>45987</v>
      </c>
      <c r="N1747" s="1" t="s">
        <v>836</v>
      </c>
      <c r="O1747" s="1" t="s">
        <v>936</v>
      </c>
      <c r="P1747" s="1" t="s">
        <v>937</v>
      </c>
    </row>
    <row r="1748" spans="1:16" x14ac:dyDescent="0.25">
      <c r="A1748" s="3">
        <v>45987</v>
      </c>
      <c r="B1748" s="4">
        <v>94986</v>
      </c>
      <c r="C1748" s="5">
        <v>69000</v>
      </c>
      <c r="D1748" s="1" t="s">
        <v>1094</v>
      </c>
      <c r="E1748" s="1" t="s">
        <v>1095</v>
      </c>
      <c r="F1748" s="1" t="s">
        <v>818</v>
      </c>
      <c r="G1748" s="1" t="s">
        <v>998</v>
      </c>
      <c r="H1748" s="3">
        <v>46017</v>
      </c>
      <c r="I1748" s="1" t="s">
        <v>933</v>
      </c>
      <c r="J1748" s="1" t="s">
        <v>951</v>
      </c>
      <c r="K1748" s="1" t="s">
        <v>998</v>
      </c>
      <c r="L1748" s="4">
        <v>12000</v>
      </c>
      <c r="M1748" s="3">
        <v>45987</v>
      </c>
      <c r="N1748" s="1"/>
      <c r="O1748" s="1" t="s">
        <v>998</v>
      </c>
      <c r="P1748" s="1">
        <v>1</v>
      </c>
    </row>
    <row r="1749" spans="1:16" x14ac:dyDescent="0.25">
      <c r="A1749" s="3">
        <v>45987</v>
      </c>
      <c r="B1749" s="4">
        <v>9451</v>
      </c>
      <c r="C1749" s="5">
        <v>4266.3</v>
      </c>
      <c r="D1749" s="1" t="s">
        <v>973</v>
      </c>
      <c r="E1749" s="1" t="s">
        <v>1068</v>
      </c>
      <c r="F1749" s="1" t="s">
        <v>1814</v>
      </c>
      <c r="G1749" s="1" t="s">
        <v>998</v>
      </c>
      <c r="H1749" s="3">
        <v>46002</v>
      </c>
      <c r="I1749" s="1" t="s">
        <v>933</v>
      </c>
      <c r="J1749" s="1" t="s">
        <v>66</v>
      </c>
      <c r="K1749" s="1" t="s">
        <v>20</v>
      </c>
      <c r="L1749" s="1" t="s">
        <v>3116</v>
      </c>
      <c r="M1749" s="3">
        <v>45987</v>
      </c>
      <c r="N1749" s="1" t="s">
        <v>1814</v>
      </c>
      <c r="O1749" s="1" t="s">
        <v>998</v>
      </c>
      <c r="P1749" s="1">
        <v>1</v>
      </c>
    </row>
    <row r="1750" spans="1:16" x14ac:dyDescent="0.25">
      <c r="A1750" s="3">
        <v>45987</v>
      </c>
      <c r="B1750" s="4">
        <v>27181</v>
      </c>
      <c r="C1750" s="5">
        <v>4400</v>
      </c>
      <c r="D1750" s="1" t="s">
        <v>2028</v>
      </c>
      <c r="E1750" s="1" t="s">
        <v>2029</v>
      </c>
      <c r="F1750" s="1" t="s">
        <v>128</v>
      </c>
      <c r="G1750" s="1" t="s">
        <v>981</v>
      </c>
      <c r="H1750" s="3">
        <v>46017</v>
      </c>
      <c r="I1750" s="1" t="s">
        <v>933</v>
      </c>
      <c r="J1750" s="1" t="s">
        <v>66</v>
      </c>
      <c r="K1750" s="1" t="s">
        <v>52</v>
      </c>
      <c r="L1750" s="1" t="s">
        <v>3117</v>
      </c>
      <c r="M1750" s="3">
        <v>45987</v>
      </c>
      <c r="N1750" s="1" t="s">
        <v>93</v>
      </c>
      <c r="O1750" s="1" t="s">
        <v>936</v>
      </c>
      <c r="P1750" s="1" t="s">
        <v>937</v>
      </c>
    </row>
    <row r="1751" spans="1:16" x14ac:dyDescent="0.25">
      <c r="A1751" s="3">
        <v>45987</v>
      </c>
      <c r="B1751" s="4">
        <v>109995</v>
      </c>
      <c r="C1751" s="5">
        <v>1916.8</v>
      </c>
      <c r="D1751" s="1" t="s">
        <v>3118</v>
      </c>
      <c r="E1751" s="1" t="s">
        <v>3119</v>
      </c>
      <c r="F1751" s="1" t="s">
        <v>553</v>
      </c>
      <c r="G1751" s="1" t="s">
        <v>1667</v>
      </c>
      <c r="H1751" s="3">
        <v>45987</v>
      </c>
      <c r="I1751" s="1" t="s">
        <v>1100</v>
      </c>
      <c r="J1751" s="1" t="s">
        <v>66</v>
      </c>
      <c r="K1751" s="1" t="s">
        <v>340</v>
      </c>
      <c r="L1751" s="1" t="s">
        <v>3120</v>
      </c>
      <c r="M1751" s="3">
        <v>45987</v>
      </c>
      <c r="N1751" s="1" t="s">
        <v>57</v>
      </c>
      <c r="O1751" s="1" t="s">
        <v>936</v>
      </c>
      <c r="P1751" s="1">
        <v>1</v>
      </c>
    </row>
    <row r="1752" spans="1:16" x14ac:dyDescent="0.25">
      <c r="A1752" s="3">
        <v>45987</v>
      </c>
      <c r="B1752" s="4">
        <v>11718</v>
      </c>
      <c r="C1752" s="5">
        <v>1386.95</v>
      </c>
      <c r="D1752" s="1" t="s">
        <v>1801</v>
      </c>
      <c r="E1752" s="1" t="s">
        <v>1802</v>
      </c>
      <c r="F1752" s="1" t="s">
        <v>955</v>
      </c>
      <c r="G1752" s="1" t="s">
        <v>998</v>
      </c>
      <c r="H1752" s="3">
        <v>46011</v>
      </c>
      <c r="I1752" s="1" t="s">
        <v>933</v>
      </c>
      <c r="J1752" s="1" t="s">
        <v>951</v>
      </c>
      <c r="K1752" s="1" t="s">
        <v>1814</v>
      </c>
      <c r="L1752" s="1" t="s">
        <v>3121</v>
      </c>
      <c r="M1752" s="3">
        <v>45988</v>
      </c>
      <c r="N1752" s="1" t="s">
        <v>821</v>
      </c>
      <c r="O1752" s="1" t="s">
        <v>998</v>
      </c>
      <c r="P1752" s="1">
        <v>1</v>
      </c>
    </row>
    <row r="1753" spans="1:16" x14ac:dyDescent="0.25">
      <c r="A1753" s="3">
        <v>45987</v>
      </c>
      <c r="B1753" s="1">
        <v>748</v>
      </c>
      <c r="C1753" s="5">
        <v>5700</v>
      </c>
      <c r="D1753" s="1" t="s">
        <v>3122</v>
      </c>
      <c r="E1753" s="1" t="s">
        <v>3123</v>
      </c>
      <c r="F1753" s="1" t="s">
        <v>880</v>
      </c>
      <c r="G1753" s="1" t="s">
        <v>3022</v>
      </c>
      <c r="H1753" s="3">
        <v>46008</v>
      </c>
      <c r="I1753" s="1" t="s">
        <v>933</v>
      </c>
      <c r="J1753" s="1" t="s">
        <v>66</v>
      </c>
      <c r="K1753" s="1" t="s">
        <v>659</v>
      </c>
      <c r="L1753" s="1" t="s">
        <v>3124</v>
      </c>
      <c r="M1753" s="3">
        <v>45993</v>
      </c>
      <c r="N1753" s="1" t="s">
        <v>57</v>
      </c>
      <c r="O1753" s="1" t="s">
        <v>936</v>
      </c>
      <c r="P1753" s="1">
        <v>1</v>
      </c>
    </row>
    <row r="1754" spans="1:16" x14ac:dyDescent="0.25">
      <c r="A1754" s="3">
        <v>45987</v>
      </c>
      <c r="B1754" s="1">
        <v>54</v>
      </c>
      <c r="C1754" s="5">
        <v>268.04000000000002</v>
      </c>
      <c r="D1754" s="1" t="s">
        <v>3125</v>
      </c>
      <c r="E1754" s="1" t="s">
        <v>3126</v>
      </c>
      <c r="F1754" s="1" t="s">
        <v>955</v>
      </c>
      <c r="G1754" s="1" t="s">
        <v>950</v>
      </c>
      <c r="H1754" s="3">
        <v>46002</v>
      </c>
      <c r="I1754" s="1" t="s">
        <v>933</v>
      </c>
      <c r="J1754" s="1" t="s">
        <v>951</v>
      </c>
      <c r="K1754" s="1" t="s">
        <v>20</v>
      </c>
      <c r="L1754" s="1" t="s">
        <v>3127</v>
      </c>
      <c r="M1754" s="3">
        <v>45991</v>
      </c>
      <c r="N1754" s="1" t="s">
        <v>821</v>
      </c>
      <c r="O1754" s="1" t="s">
        <v>936</v>
      </c>
      <c r="P1754" s="1">
        <v>1</v>
      </c>
    </row>
    <row r="1755" spans="1:16" x14ac:dyDescent="0.25">
      <c r="A1755" s="3">
        <v>45987</v>
      </c>
      <c r="B1755" s="1">
        <v>452</v>
      </c>
      <c r="C1755" s="5">
        <v>760</v>
      </c>
      <c r="D1755" s="1" t="s">
        <v>1588</v>
      </c>
      <c r="E1755" s="1" t="s">
        <v>1589</v>
      </c>
      <c r="F1755" s="1" t="s">
        <v>955</v>
      </c>
      <c r="G1755" s="1" t="s">
        <v>940</v>
      </c>
      <c r="H1755" s="3">
        <v>46001</v>
      </c>
      <c r="I1755" s="1" t="s">
        <v>933</v>
      </c>
      <c r="J1755" s="1" t="s">
        <v>951</v>
      </c>
      <c r="K1755" s="1" t="s">
        <v>20</v>
      </c>
      <c r="L1755" s="1" t="s">
        <v>3128</v>
      </c>
      <c r="M1755" s="3">
        <v>45991</v>
      </c>
      <c r="N1755" s="1" t="s">
        <v>821</v>
      </c>
      <c r="O1755" s="1" t="s">
        <v>990</v>
      </c>
      <c r="P1755" s="1">
        <v>1</v>
      </c>
    </row>
    <row r="1756" spans="1:16" x14ac:dyDescent="0.25">
      <c r="A1756" s="3">
        <v>45987</v>
      </c>
      <c r="B1756" s="1">
        <v>13</v>
      </c>
      <c r="C1756" s="5">
        <v>3000</v>
      </c>
      <c r="D1756" s="1" t="s">
        <v>1623</v>
      </c>
      <c r="E1756" s="1" t="s">
        <v>1377</v>
      </c>
      <c r="F1756" s="1" t="s">
        <v>955</v>
      </c>
      <c r="G1756" s="1" t="s">
        <v>20</v>
      </c>
      <c r="H1756" s="3">
        <v>46020</v>
      </c>
      <c r="I1756" s="1" t="s">
        <v>933</v>
      </c>
      <c r="J1756" s="1" t="s">
        <v>951</v>
      </c>
      <c r="K1756" s="1" t="s">
        <v>20</v>
      </c>
      <c r="L1756" s="1" t="s">
        <v>3129</v>
      </c>
      <c r="M1756" s="3">
        <v>45992</v>
      </c>
      <c r="N1756" s="1" t="s">
        <v>821</v>
      </c>
      <c r="O1756" s="1" t="s">
        <v>936</v>
      </c>
      <c r="P1756" s="1">
        <v>1</v>
      </c>
    </row>
    <row r="1757" spans="1:16" x14ac:dyDescent="0.25">
      <c r="A1757" s="3">
        <v>45988</v>
      </c>
      <c r="B1757" s="4">
        <v>4431</v>
      </c>
      <c r="C1757" s="5">
        <v>432</v>
      </c>
      <c r="D1757" s="1" t="s">
        <v>3130</v>
      </c>
      <c r="E1757" s="1" t="s">
        <v>3131</v>
      </c>
      <c r="F1757" s="1" t="s">
        <v>715</v>
      </c>
      <c r="G1757" s="1" t="s">
        <v>981</v>
      </c>
      <c r="H1757" s="3">
        <v>46018</v>
      </c>
      <c r="I1757" s="1" t="s">
        <v>933</v>
      </c>
      <c r="J1757" s="1" t="s">
        <v>66</v>
      </c>
      <c r="K1757" s="1" t="s">
        <v>340</v>
      </c>
      <c r="L1757" s="1" t="s">
        <v>3132</v>
      </c>
      <c r="M1757" s="3">
        <v>45987</v>
      </c>
      <c r="N1757" s="1" t="s">
        <v>712</v>
      </c>
      <c r="O1757" s="1" t="s">
        <v>936</v>
      </c>
      <c r="P1757" s="1" t="s">
        <v>937</v>
      </c>
    </row>
    <row r="1758" spans="1:16" x14ac:dyDescent="0.25">
      <c r="A1758" s="3">
        <v>45988</v>
      </c>
      <c r="B1758" s="4">
        <v>4431</v>
      </c>
      <c r="C1758" s="5">
        <v>50</v>
      </c>
      <c r="D1758" s="1" t="s">
        <v>3130</v>
      </c>
      <c r="E1758" s="1" t="s">
        <v>3131</v>
      </c>
      <c r="F1758" s="1" t="s">
        <v>457</v>
      </c>
      <c r="G1758" s="1" t="s">
        <v>981</v>
      </c>
      <c r="H1758" s="3">
        <v>46018</v>
      </c>
      <c r="I1758" s="1" t="s">
        <v>933</v>
      </c>
      <c r="J1758" s="1" t="s">
        <v>66</v>
      </c>
      <c r="K1758" s="1" t="s">
        <v>308</v>
      </c>
      <c r="L1758" s="1" t="s">
        <v>3133</v>
      </c>
      <c r="M1758" s="3">
        <v>45987</v>
      </c>
      <c r="N1758" s="1" t="s">
        <v>358</v>
      </c>
      <c r="O1758" s="1" t="s">
        <v>936</v>
      </c>
      <c r="P1758" s="1" t="s">
        <v>937</v>
      </c>
    </row>
    <row r="1759" spans="1:16" x14ac:dyDescent="0.25">
      <c r="A1759" s="3">
        <v>45988</v>
      </c>
      <c r="B1759" s="4">
        <v>4431</v>
      </c>
      <c r="C1759" s="5">
        <v>273.60000000000002</v>
      </c>
      <c r="D1759" s="1" t="s">
        <v>3130</v>
      </c>
      <c r="E1759" s="1" t="s">
        <v>3131</v>
      </c>
      <c r="F1759" s="1" t="s">
        <v>717</v>
      </c>
      <c r="G1759" s="1" t="s">
        <v>981</v>
      </c>
      <c r="H1759" s="3">
        <v>46018</v>
      </c>
      <c r="I1759" s="1" t="s">
        <v>933</v>
      </c>
      <c r="J1759" s="1" t="s">
        <v>66</v>
      </c>
      <c r="K1759" s="1" t="s">
        <v>340</v>
      </c>
      <c r="L1759" s="1" t="s">
        <v>3134</v>
      </c>
      <c r="M1759" s="3">
        <v>45987</v>
      </c>
      <c r="N1759" s="1" t="s">
        <v>712</v>
      </c>
      <c r="O1759" s="1" t="s">
        <v>936</v>
      </c>
      <c r="P1759" s="1" t="s">
        <v>937</v>
      </c>
    </row>
    <row r="1760" spans="1:16" x14ac:dyDescent="0.25">
      <c r="A1760" s="3">
        <v>45988</v>
      </c>
      <c r="B1760" s="4">
        <v>4431</v>
      </c>
      <c r="C1760" s="5">
        <v>1126</v>
      </c>
      <c r="D1760" s="1" t="s">
        <v>3130</v>
      </c>
      <c r="E1760" s="1" t="s">
        <v>3131</v>
      </c>
      <c r="F1760" s="1" t="s">
        <v>717</v>
      </c>
      <c r="G1760" s="1" t="s">
        <v>981</v>
      </c>
      <c r="H1760" s="3">
        <v>46018</v>
      </c>
      <c r="I1760" s="1" t="s">
        <v>933</v>
      </c>
      <c r="J1760" s="1" t="s">
        <v>66</v>
      </c>
      <c r="K1760" s="1" t="s">
        <v>340</v>
      </c>
      <c r="L1760" s="1" t="s">
        <v>3135</v>
      </c>
      <c r="M1760" s="3">
        <v>45987</v>
      </c>
      <c r="N1760" s="1" t="s">
        <v>712</v>
      </c>
      <c r="O1760" s="1" t="s">
        <v>936</v>
      </c>
      <c r="P1760" s="1" t="s">
        <v>937</v>
      </c>
    </row>
    <row r="1761" spans="1:16" x14ac:dyDescent="0.25">
      <c r="A1761" s="3">
        <v>45988</v>
      </c>
      <c r="B1761" s="4">
        <v>4431</v>
      </c>
      <c r="C1761" s="5">
        <v>80</v>
      </c>
      <c r="D1761" s="1" t="s">
        <v>3130</v>
      </c>
      <c r="E1761" s="1" t="s">
        <v>3131</v>
      </c>
      <c r="F1761" s="1" t="s">
        <v>721</v>
      </c>
      <c r="G1761" s="1" t="s">
        <v>981</v>
      </c>
      <c r="H1761" s="3">
        <v>46018</v>
      </c>
      <c r="I1761" s="1" t="s">
        <v>933</v>
      </c>
      <c r="J1761" s="1" t="s">
        <v>66</v>
      </c>
      <c r="K1761" s="1" t="s">
        <v>858</v>
      </c>
      <c r="L1761" s="1" t="s">
        <v>3136</v>
      </c>
      <c r="M1761" s="3">
        <v>45987</v>
      </c>
      <c r="N1761" s="1" t="s">
        <v>712</v>
      </c>
      <c r="O1761" s="1" t="s">
        <v>936</v>
      </c>
      <c r="P1761" s="1" t="s">
        <v>937</v>
      </c>
    </row>
    <row r="1762" spans="1:16" x14ac:dyDescent="0.25">
      <c r="A1762" s="3">
        <v>45988</v>
      </c>
      <c r="B1762" s="4">
        <v>71973</v>
      </c>
      <c r="C1762" s="5">
        <v>1339.6</v>
      </c>
      <c r="D1762" s="1" t="s">
        <v>1253</v>
      </c>
      <c r="E1762" s="1" t="s">
        <v>1487</v>
      </c>
      <c r="F1762" s="1" t="s">
        <v>837</v>
      </c>
      <c r="G1762" s="1" t="s">
        <v>940</v>
      </c>
      <c r="H1762" s="3">
        <v>46020</v>
      </c>
      <c r="I1762" s="1" t="s">
        <v>933</v>
      </c>
      <c r="J1762" s="1" t="s">
        <v>66</v>
      </c>
      <c r="K1762" s="1" t="s">
        <v>340</v>
      </c>
      <c r="L1762" s="1" t="s">
        <v>3137</v>
      </c>
      <c r="M1762" s="3">
        <v>45987</v>
      </c>
      <c r="N1762" s="1" t="s">
        <v>50</v>
      </c>
      <c r="O1762" s="1" t="s">
        <v>936</v>
      </c>
      <c r="P1762" s="1">
        <v>1</v>
      </c>
    </row>
    <row r="1763" spans="1:16" x14ac:dyDescent="0.25">
      <c r="A1763" s="3">
        <v>45988</v>
      </c>
      <c r="B1763" s="4">
        <v>3863</v>
      </c>
      <c r="C1763" s="5">
        <v>10924</v>
      </c>
      <c r="D1763" s="1" t="s">
        <v>3138</v>
      </c>
      <c r="E1763" s="1" t="s">
        <v>3139</v>
      </c>
      <c r="F1763" s="1" t="s">
        <v>1131</v>
      </c>
      <c r="G1763" s="1" t="s">
        <v>1254</v>
      </c>
      <c r="H1763" s="3">
        <v>46018</v>
      </c>
      <c r="I1763" s="1" t="s">
        <v>933</v>
      </c>
      <c r="J1763" s="1" t="s">
        <v>1131</v>
      </c>
      <c r="K1763" s="1" t="s">
        <v>52</v>
      </c>
      <c r="L1763" s="1" t="s">
        <v>3140</v>
      </c>
      <c r="M1763" s="3">
        <v>45994</v>
      </c>
      <c r="N1763" s="1" t="s">
        <v>821</v>
      </c>
      <c r="O1763" s="1" t="s">
        <v>936</v>
      </c>
      <c r="P1763" s="1">
        <v>1</v>
      </c>
    </row>
    <row r="1764" spans="1:16" x14ac:dyDescent="0.25">
      <c r="A1764" s="3">
        <v>45988</v>
      </c>
      <c r="B1764" s="1">
        <v>50</v>
      </c>
      <c r="C1764" s="5">
        <v>750</v>
      </c>
      <c r="D1764" s="1" t="s">
        <v>1607</v>
      </c>
      <c r="E1764" s="1" t="s">
        <v>1608</v>
      </c>
      <c r="F1764" s="1" t="s">
        <v>66</v>
      </c>
      <c r="G1764" s="1" t="s">
        <v>932</v>
      </c>
      <c r="H1764" s="3">
        <v>46011</v>
      </c>
      <c r="I1764" s="1" t="s">
        <v>933</v>
      </c>
      <c r="J1764" s="1" t="s">
        <v>66</v>
      </c>
      <c r="K1764" s="1" t="s">
        <v>20</v>
      </c>
      <c r="L1764" s="1" t="s">
        <v>3141</v>
      </c>
      <c r="M1764" s="3">
        <v>45987</v>
      </c>
      <c r="N1764" s="1" t="s">
        <v>821</v>
      </c>
      <c r="O1764" s="1" t="s">
        <v>1497</v>
      </c>
      <c r="P1764" s="1" t="s">
        <v>937</v>
      </c>
    </row>
    <row r="1765" spans="1:16" x14ac:dyDescent="0.25">
      <c r="A1765" s="3">
        <v>45988</v>
      </c>
      <c r="B1765" s="4">
        <v>48426</v>
      </c>
      <c r="C1765" s="5">
        <v>790</v>
      </c>
      <c r="D1765" s="1" t="s">
        <v>1489</v>
      </c>
      <c r="E1765" s="1" t="s">
        <v>1490</v>
      </c>
      <c r="F1765" s="1" t="s">
        <v>339</v>
      </c>
      <c r="G1765" s="1" t="s">
        <v>940</v>
      </c>
      <c r="H1765" s="3">
        <v>46018</v>
      </c>
      <c r="I1765" s="1" t="s">
        <v>933</v>
      </c>
      <c r="J1765" s="1" t="s">
        <v>66</v>
      </c>
      <c r="K1765" s="1" t="s">
        <v>308</v>
      </c>
      <c r="L1765" s="1" t="s">
        <v>3142</v>
      </c>
      <c r="M1765" s="3">
        <v>45987</v>
      </c>
      <c r="N1765" s="1" t="s">
        <v>57</v>
      </c>
      <c r="O1765" s="1" t="s">
        <v>936</v>
      </c>
      <c r="P1765" s="1">
        <v>1</v>
      </c>
    </row>
    <row r="1766" spans="1:16" x14ac:dyDescent="0.25">
      <c r="A1766" s="3">
        <v>45988</v>
      </c>
      <c r="B1766" s="4">
        <v>3361</v>
      </c>
      <c r="C1766" s="5">
        <v>13766.1</v>
      </c>
      <c r="D1766" s="1" t="s">
        <v>1134</v>
      </c>
      <c r="E1766" s="1" t="s">
        <v>1282</v>
      </c>
      <c r="F1766" s="1" t="s">
        <v>955</v>
      </c>
      <c r="G1766" s="1" t="s">
        <v>940</v>
      </c>
      <c r="H1766" s="3">
        <v>46017</v>
      </c>
      <c r="I1766" s="1" t="s">
        <v>933</v>
      </c>
      <c r="J1766" s="1" t="s">
        <v>951</v>
      </c>
      <c r="K1766" s="1" t="s">
        <v>20</v>
      </c>
      <c r="L1766" s="1" t="s">
        <v>3143</v>
      </c>
      <c r="M1766" s="3">
        <v>45987</v>
      </c>
      <c r="N1766" s="1" t="s">
        <v>821</v>
      </c>
      <c r="O1766" s="1" t="s">
        <v>936</v>
      </c>
      <c r="P1766" s="1">
        <v>1</v>
      </c>
    </row>
    <row r="1767" spans="1:16" x14ac:dyDescent="0.25">
      <c r="A1767" s="3">
        <v>45988</v>
      </c>
      <c r="B1767" s="4">
        <v>12086</v>
      </c>
      <c r="C1767" s="5">
        <v>9902.5</v>
      </c>
      <c r="D1767" s="1" t="s">
        <v>1964</v>
      </c>
      <c r="E1767" s="1" t="s">
        <v>1965</v>
      </c>
      <c r="F1767" s="1" t="s">
        <v>66</v>
      </c>
      <c r="G1767" s="1" t="s">
        <v>932</v>
      </c>
      <c r="H1767" s="3">
        <v>46011</v>
      </c>
      <c r="I1767" s="1" t="s">
        <v>933</v>
      </c>
      <c r="J1767" s="1" t="s">
        <v>66</v>
      </c>
      <c r="K1767" s="1" t="s">
        <v>308</v>
      </c>
      <c r="L1767" s="1" t="s">
        <v>3144</v>
      </c>
      <c r="M1767" s="3">
        <v>45988</v>
      </c>
      <c r="N1767" s="1" t="s">
        <v>821</v>
      </c>
      <c r="O1767" s="1" t="s">
        <v>932</v>
      </c>
      <c r="P1767" s="1">
        <v>1</v>
      </c>
    </row>
    <row r="1768" spans="1:16" x14ac:dyDescent="0.25">
      <c r="A1768" s="3">
        <v>45988</v>
      </c>
      <c r="B1768" s="1">
        <v>44</v>
      </c>
      <c r="C1768" s="5">
        <v>7220</v>
      </c>
      <c r="D1768" s="1" t="s">
        <v>3145</v>
      </c>
      <c r="E1768" s="1" t="s">
        <v>3146</v>
      </c>
      <c r="F1768" s="1" t="s">
        <v>955</v>
      </c>
      <c r="G1768" s="1" t="s">
        <v>950</v>
      </c>
      <c r="H1768" s="3">
        <v>46009</v>
      </c>
      <c r="I1768" s="1" t="s">
        <v>933</v>
      </c>
      <c r="J1768" s="1" t="s">
        <v>951</v>
      </c>
      <c r="K1768" s="1" t="s">
        <v>20</v>
      </c>
      <c r="L1768" s="1" t="s">
        <v>3147</v>
      </c>
      <c r="M1768" s="3">
        <v>45993</v>
      </c>
      <c r="N1768" s="1" t="s">
        <v>821</v>
      </c>
      <c r="O1768" s="1" t="s">
        <v>936</v>
      </c>
      <c r="P1768" s="1">
        <v>1</v>
      </c>
    </row>
    <row r="1769" spans="1:16" x14ac:dyDescent="0.25">
      <c r="A1769" s="3">
        <v>45988</v>
      </c>
      <c r="B1769" s="4">
        <v>129086</v>
      </c>
      <c r="C1769" s="5">
        <v>9902.5</v>
      </c>
      <c r="D1769" s="1" t="s">
        <v>1964</v>
      </c>
      <c r="E1769" s="1" t="s">
        <v>1965</v>
      </c>
      <c r="F1769" s="1" t="s">
        <v>445</v>
      </c>
      <c r="G1769" s="1" t="s">
        <v>932</v>
      </c>
      <c r="H1769" s="3">
        <v>46011</v>
      </c>
      <c r="I1769" s="1" t="s">
        <v>933</v>
      </c>
      <c r="J1769" s="1" t="s">
        <v>66</v>
      </c>
      <c r="K1769" s="1" t="s">
        <v>308</v>
      </c>
      <c r="L1769" s="1" t="s">
        <v>3148</v>
      </c>
      <c r="M1769" s="3">
        <v>45993</v>
      </c>
      <c r="N1769" s="1" t="s">
        <v>338</v>
      </c>
      <c r="O1769" s="1" t="s">
        <v>932</v>
      </c>
      <c r="P1769" s="1">
        <v>1</v>
      </c>
    </row>
    <row r="1770" spans="1:16" x14ac:dyDescent="0.25">
      <c r="A1770" s="3">
        <v>45988</v>
      </c>
      <c r="B1770" s="4">
        <v>3657</v>
      </c>
      <c r="C1770" s="5">
        <v>12000</v>
      </c>
      <c r="D1770" s="1" t="s">
        <v>1596</v>
      </c>
      <c r="E1770" s="1" t="s">
        <v>1597</v>
      </c>
      <c r="F1770" s="1" t="s">
        <v>955</v>
      </c>
      <c r="G1770" s="1" t="s">
        <v>1029</v>
      </c>
      <c r="H1770" s="3">
        <v>46008</v>
      </c>
      <c r="I1770" s="1" t="s">
        <v>933</v>
      </c>
      <c r="J1770" s="1" t="s">
        <v>951</v>
      </c>
      <c r="K1770" s="1" t="s">
        <v>659</v>
      </c>
      <c r="L1770" s="1" t="s">
        <v>3149</v>
      </c>
      <c r="M1770" s="3">
        <v>45993</v>
      </c>
      <c r="N1770" s="1" t="s">
        <v>821</v>
      </c>
      <c r="O1770" s="1" t="s">
        <v>1031</v>
      </c>
      <c r="P1770" s="1">
        <v>1</v>
      </c>
    </row>
    <row r="1771" spans="1:16" x14ac:dyDescent="0.25">
      <c r="A1771" s="3">
        <v>45988</v>
      </c>
      <c r="B1771" s="4">
        <v>215826</v>
      </c>
      <c r="C1771" s="5">
        <v>966.38</v>
      </c>
      <c r="D1771" s="1"/>
      <c r="E1771" s="1" t="e">
        <v>#REF!</v>
      </c>
      <c r="F1771" s="1" t="s">
        <v>670</v>
      </c>
      <c r="G1771" s="1" t="s">
        <v>990</v>
      </c>
      <c r="H1771" s="3">
        <v>46016</v>
      </c>
      <c r="I1771" s="1" t="s">
        <v>933</v>
      </c>
      <c r="J1771" s="1" t="s">
        <v>66</v>
      </c>
      <c r="K1771" s="1" t="s">
        <v>659</v>
      </c>
      <c r="L1771" s="1" t="s">
        <v>3150</v>
      </c>
      <c r="M1771" s="3">
        <v>45994</v>
      </c>
      <c r="N1771" s="1" t="s">
        <v>57</v>
      </c>
      <c r="O1771" s="1" t="e">
        <v>#REF!</v>
      </c>
      <c r="P1771" s="1">
        <v>1</v>
      </c>
    </row>
    <row r="1772" spans="1:16" x14ac:dyDescent="0.25">
      <c r="A1772" s="3">
        <v>45989</v>
      </c>
      <c r="B1772" s="4">
        <v>1537</v>
      </c>
      <c r="C1772" s="5">
        <v>5228.38</v>
      </c>
      <c r="D1772" s="1" t="s">
        <v>1901</v>
      </c>
      <c r="E1772" s="1" t="s">
        <v>1902</v>
      </c>
      <c r="F1772" s="1" t="s">
        <v>955</v>
      </c>
      <c r="G1772" s="1" t="s">
        <v>940</v>
      </c>
      <c r="H1772" s="3">
        <v>46020</v>
      </c>
      <c r="I1772" s="1" t="s">
        <v>933</v>
      </c>
      <c r="J1772" s="1" t="s">
        <v>951</v>
      </c>
      <c r="K1772" s="1" t="s">
        <v>20</v>
      </c>
      <c r="L1772" s="1" t="s">
        <v>3151</v>
      </c>
      <c r="M1772" s="3">
        <v>45981</v>
      </c>
      <c r="N1772" s="1" t="s">
        <v>821</v>
      </c>
      <c r="O1772" s="1" t="s">
        <v>936</v>
      </c>
      <c r="P1772" s="1">
        <v>1</v>
      </c>
    </row>
    <row r="1773" spans="1:16" x14ac:dyDescent="0.25">
      <c r="A1773" s="3">
        <v>45989</v>
      </c>
      <c r="B1773" s="4">
        <v>5522</v>
      </c>
      <c r="C1773" s="5">
        <v>3900</v>
      </c>
      <c r="D1773" s="1" t="s">
        <v>2048</v>
      </c>
      <c r="E1773" s="1" t="s">
        <v>2049</v>
      </c>
      <c r="F1773" s="1" t="s">
        <v>875</v>
      </c>
      <c r="G1773" s="1" t="s">
        <v>932</v>
      </c>
      <c r="H1773" s="3">
        <v>46011</v>
      </c>
      <c r="I1773" s="1" t="s">
        <v>933</v>
      </c>
      <c r="J1773" s="1" t="s">
        <v>66</v>
      </c>
      <c r="K1773" s="1" t="s">
        <v>659</v>
      </c>
      <c r="L1773" s="1" t="s">
        <v>3152</v>
      </c>
      <c r="M1773" s="3">
        <v>45988</v>
      </c>
      <c r="N1773" s="1" t="s">
        <v>879</v>
      </c>
      <c r="O1773" s="1" t="s">
        <v>936</v>
      </c>
      <c r="P1773" s="1">
        <v>1</v>
      </c>
    </row>
    <row r="1774" spans="1:16" x14ac:dyDescent="0.25">
      <c r="A1774" s="3">
        <v>45989</v>
      </c>
      <c r="B1774" s="4">
        <v>11882</v>
      </c>
      <c r="C1774" s="5">
        <v>1295.3800000000001</v>
      </c>
      <c r="D1774" s="1" t="s">
        <v>1801</v>
      </c>
      <c r="E1774" s="1" t="s">
        <v>1802</v>
      </c>
      <c r="F1774" s="1" t="s">
        <v>955</v>
      </c>
      <c r="G1774" s="1" t="s">
        <v>998</v>
      </c>
      <c r="H1774" s="3">
        <v>46011</v>
      </c>
      <c r="I1774" s="1" t="s">
        <v>933</v>
      </c>
      <c r="J1774" s="1" t="s">
        <v>951</v>
      </c>
      <c r="K1774" s="1" t="s">
        <v>1814</v>
      </c>
      <c r="L1774" s="1" t="s">
        <v>3153</v>
      </c>
      <c r="M1774" s="3">
        <v>45988</v>
      </c>
      <c r="N1774" s="1" t="s">
        <v>821</v>
      </c>
      <c r="O1774" s="1" t="s">
        <v>998</v>
      </c>
      <c r="P1774" s="1">
        <v>1</v>
      </c>
    </row>
    <row r="1775" spans="1:16" x14ac:dyDescent="0.25">
      <c r="A1775" s="3">
        <v>45989</v>
      </c>
      <c r="B1775" s="4">
        <v>48465</v>
      </c>
      <c r="C1775" s="5">
        <v>1660</v>
      </c>
      <c r="D1775" s="1" t="s">
        <v>1489</v>
      </c>
      <c r="E1775" s="1" t="s">
        <v>1490</v>
      </c>
      <c r="F1775" s="1" t="s">
        <v>553</v>
      </c>
      <c r="G1775" s="1" t="s">
        <v>940</v>
      </c>
      <c r="H1775" s="3">
        <v>46019</v>
      </c>
      <c r="I1775" s="1" t="s">
        <v>933</v>
      </c>
      <c r="J1775" s="1" t="s">
        <v>66</v>
      </c>
      <c r="K1775" s="1" t="s">
        <v>636</v>
      </c>
      <c r="L1775" s="1" t="s">
        <v>3154</v>
      </c>
      <c r="M1775" s="3">
        <v>45988</v>
      </c>
      <c r="N1775" s="1" t="s">
        <v>57</v>
      </c>
      <c r="O1775" s="1" t="s">
        <v>936</v>
      </c>
      <c r="P1775" s="1">
        <v>1</v>
      </c>
    </row>
    <row r="1776" spans="1:16" x14ac:dyDescent="0.25">
      <c r="A1776" s="3">
        <v>45989</v>
      </c>
      <c r="B1776" s="4">
        <v>546821</v>
      </c>
      <c r="C1776" s="5">
        <v>4428.1499999999996</v>
      </c>
      <c r="D1776" s="1" t="s">
        <v>3155</v>
      </c>
      <c r="E1776" s="1" t="s">
        <v>3156</v>
      </c>
      <c r="F1776" s="1" t="s">
        <v>599</v>
      </c>
      <c r="G1776" s="1" t="s">
        <v>940</v>
      </c>
      <c r="H1776" s="3">
        <v>46019</v>
      </c>
      <c r="I1776" s="1" t="s">
        <v>1100</v>
      </c>
      <c r="J1776" s="1" t="s">
        <v>66</v>
      </c>
      <c r="K1776" s="1" t="s">
        <v>340</v>
      </c>
      <c r="L1776" s="1" t="s">
        <v>3157</v>
      </c>
      <c r="M1776" s="3">
        <v>45988</v>
      </c>
      <c r="N1776" s="1"/>
      <c r="O1776" s="1"/>
      <c r="P1776" s="1"/>
    </row>
    <row r="1777" spans="1:16" x14ac:dyDescent="0.25">
      <c r="A1777" s="3">
        <v>45989</v>
      </c>
      <c r="B1777" s="1">
        <v>126</v>
      </c>
      <c r="C1777" s="5">
        <v>700</v>
      </c>
      <c r="D1777" s="1" t="s">
        <v>1867</v>
      </c>
      <c r="E1777" s="1" t="s">
        <v>1971</v>
      </c>
      <c r="F1777" s="1" t="s">
        <v>955</v>
      </c>
      <c r="G1777" s="1" t="s">
        <v>940</v>
      </c>
      <c r="H1777" s="3">
        <v>45997</v>
      </c>
      <c r="I1777" s="1" t="s">
        <v>933</v>
      </c>
      <c r="J1777" s="1" t="s">
        <v>951</v>
      </c>
      <c r="K1777" s="1" t="s">
        <v>659</v>
      </c>
      <c r="L1777" s="1" t="s">
        <v>3158</v>
      </c>
      <c r="M1777" s="3">
        <v>45990</v>
      </c>
      <c r="N1777" s="1" t="s">
        <v>821</v>
      </c>
      <c r="O1777" s="1" t="s">
        <v>936</v>
      </c>
      <c r="P1777" s="1">
        <v>1</v>
      </c>
    </row>
    <row r="1778" spans="1:16" x14ac:dyDescent="0.25">
      <c r="A1778" s="3">
        <v>45989</v>
      </c>
      <c r="B1778" s="4">
        <v>1659414</v>
      </c>
      <c r="C1778" s="5">
        <v>84.63</v>
      </c>
      <c r="D1778" s="1" t="s">
        <v>1855</v>
      </c>
      <c r="E1778" s="1" t="s">
        <v>1856</v>
      </c>
      <c r="F1778" s="1" t="s">
        <v>599</v>
      </c>
      <c r="G1778" s="1" t="s">
        <v>1667</v>
      </c>
      <c r="H1778" s="3">
        <v>45998</v>
      </c>
      <c r="I1778" s="1" t="s">
        <v>933</v>
      </c>
      <c r="J1778" s="1" t="s">
        <v>66</v>
      </c>
      <c r="K1778" s="1" t="s">
        <v>340</v>
      </c>
      <c r="L1778" s="1" t="s">
        <v>3159</v>
      </c>
      <c r="M1778" s="3">
        <v>45991</v>
      </c>
      <c r="N1778" s="1" t="s">
        <v>57</v>
      </c>
      <c r="O1778" s="1" t="s">
        <v>1031</v>
      </c>
      <c r="P1778" s="1">
        <v>1</v>
      </c>
    </row>
    <row r="1779" spans="1:16" x14ac:dyDescent="0.25">
      <c r="A1779" s="3">
        <v>45989</v>
      </c>
      <c r="B1779" s="4">
        <v>1539</v>
      </c>
      <c r="C1779" s="5">
        <v>7036.08</v>
      </c>
      <c r="D1779" s="1" t="s">
        <v>1901</v>
      </c>
      <c r="E1779" s="1" t="s">
        <v>1902</v>
      </c>
      <c r="F1779" s="1" t="s">
        <v>955</v>
      </c>
      <c r="G1779" s="1" t="s">
        <v>940</v>
      </c>
      <c r="H1779" s="3">
        <v>46020</v>
      </c>
      <c r="I1779" s="1" t="s">
        <v>933</v>
      </c>
      <c r="J1779" s="1" t="s">
        <v>951</v>
      </c>
      <c r="K1779" s="1" t="s">
        <v>20</v>
      </c>
      <c r="L1779" s="1" t="s">
        <v>3160</v>
      </c>
      <c r="M1779" s="3">
        <v>45991</v>
      </c>
      <c r="N1779" s="1" t="s">
        <v>821</v>
      </c>
      <c r="O1779" s="1" t="s">
        <v>936</v>
      </c>
      <c r="P1779" s="1">
        <v>1</v>
      </c>
    </row>
    <row r="1780" spans="1:16" x14ac:dyDescent="0.25">
      <c r="A1780" s="3">
        <v>45989</v>
      </c>
      <c r="B1780" s="1">
        <v>73</v>
      </c>
      <c r="C1780" s="5">
        <v>2100</v>
      </c>
      <c r="D1780" s="1" t="s">
        <v>3161</v>
      </c>
      <c r="E1780" s="1" t="s">
        <v>3162</v>
      </c>
      <c r="F1780" s="1" t="s">
        <v>906</v>
      </c>
      <c r="G1780" s="1" t="s">
        <v>1029</v>
      </c>
      <c r="H1780" s="3">
        <v>46006</v>
      </c>
      <c r="I1780" s="1" t="s">
        <v>933</v>
      </c>
      <c r="J1780" s="1" t="s">
        <v>66</v>
      </c>
      <c r="K1780" s="1" t="s">
        <v>308</v>
      </c>
      <c r="L1780" s="1" t="s">
        <v>3163</v>
      </c>
      <c r="M1780" s="3">
        <v>45993</v>
      </c>
      <c r="N1780" s="1" t="s">
        <v>57</v>
      </c>
      <c r="O1780" s="1" t="s">
        <v>936</v>
      </c>
      <c r="P1780" s="1" t="s">
        <v>937</v>
      </c>
    </row>
    <row r="1781" spans="1:16" x14ac:dyDescent="0.25">
      <c r="A1781" s="3">
        <v>45989</v>
      </c>
      <c r="B1781" s="1">
        <v>167</v>
      </c>
      <c r="C1781" s="5">
        <v>360</v>
      </c>
      <c r="D1781" s="1" t="s">
        <v>930</v>
      </c>
      <c r="E1781" s="1" t="s">
        <v>931</v>
      </c>
      <c r="F1781" s="1" t="s">
        <v>955</v>
      </c>
      <c r="G1781" s="1" t="s">
        <v>932</v>
      </c>
      <c r="H1781" s="3">
        <v>46018</v>
      </c>
      <c r="I1781" s="1" t="s">
        <v>933</v>
      </c>
      <c r="J1781" s="1" t="s">
        <v>951</v>
      </c>
      <c r="K1781" s="1" t="s">
        <v>308</v>
      </c>
      <c r="L1781" s="1" t="s">
        <v>3164</v>
      </c>
      <c r="M1781" s="3">
        <v>45993</v>
      </c>
      <c r="N1781" s="1" t="s">
        <v>821</v>
      </c>
      <c r="O1781" s="1" t="s">
        <v>936</v>
      </c>
      <c r="P1781" s="1" t="s">
        <v>937</v>
      </c>
    </row>
    <row r="1782" spans="1:16" x14ac:dyDescent="0.25">
      <c r="A1782" s="3">
        <v>45989</v>
      </c>
      <c r="B1782" s="4">
        <v>8397</v>
      </c>
      <c r="C1782" s="5">
        <v>20000</v>
      </c>
      <c r="D1782" s="1" t="s">
        <v>3165</v>
      </c>
      <c r="E1782" s="1" t="s">
        <v>3166</v>
      </c>
      <c r="F1782" s="1" t="s">
        <v>906</v>
      </c>
      <c r="G1782" s="1" t="s">
        <v>940</v>
      </c>
      <c r="H1782" s="3">
        <v>46019</v>
      </c>
      <c r="I1782" s="1" t="s">
        <v>1100</v>
      </c>
      <c r="J1782" s="1" t="s">
        <v>66</v>
      </c>
      <c r="K1782" s="1" t="s">
        <v>308</v>
      </c>
      <c r="L1782" s="1" t="s">
        <v>3167</v>
      </c>
      <c r="M1782" s="3">
        <v>45996</v>
      </c>
      <c r="N1782" s="1" t="s">
        <v>57</v>
      </c>
      <c r="O1782" s="1" t="s">
        <v>936</v>
      </c>
      <c r="P1782" s="1">
        <v>1</v>
      </c>
    </row>
    <row r="1783" spans="1:16" x14ac:dyDescent="0.25">
      <c r="A1783" s="3">
        <v>45990</v>
      </c>
      <c r="B1783" s="4">
        <v>90774</v>
      </c>
      <c r="C1783" s="5">
        <v>246.77</v>
      </c>
      <c r="D1783" s="1" t="s">
        <v>3168</v>
      </c>
      <c r="E1783" s="1" t="s">
        <v>3169</v>
      </c>
      <c r="F1783" s="1" t="s">
        <v>66</v>
      </c>
      <c r="G1783" s="1" t="s">
        <v>1029</v>
      </c>
      <c r="H1783" s="3">
        <v>46001</v>
      </c>
      <c r="I1783" s="1" t="s">
        <v>933</v>
      </c>
      <c r="J1783" s="1" t="s">
        <v>66</v>
      </c>
      <c r="K1783" s="1" t="s">
        <v>308</v>
      </c>
      <c r="L1783" s="1" t="s">
        <v>3170</v>
      </c>
      <c r="M1783" s="3">
        <v>45991</v>
      </c>
      <c r="N1783" s="1" t="s">
        <v>821</v>
      </c>
      <c r="O1783" s="1" t="s">
        <v>937</v>
      </c>
      <c r="P1783" s="1">
        <v>1</v>
      </c>
    </row>
    <row r="1784" spans="1:16" x14ac:dyDescent="0.25">
      <c r="A1784" s="3">
        <v>45990</v>
      </c>
      <c r="B1784" s="4">
        <v>9486</v>
      </c>
      <c r="C1784" s="5">
        <v>23595.24</v>
      </c>
      <c r="D1784" s="1" t="s">
        <v>973</v>
      </c>
      <c r="E1784" s="1" t="s">
        <v>1068</v>
      </c>
      <c r="F1784" s="1" t="s">
        <v>1814</v>
      </c>
      <c r="G1784" s="1" t="s">
        <v>998</v>
      </c>
      <c r="H1784" s="3">
        <v>46005</v>
      </c>
      <c r="I1784" s="1" t="s">
        <v>933</v>
      </c>
      <c r="J1784" s="1" t="s">
        <v>66</v>
      </c>
      <c r="K1784" s="1" t="s">
        <v>1814</v>
      </c>
      <c r="L1784" s="1" t="s">
        <v>3171</v>
      </c>
      <c r="M1784" s="3">
        <v>45991</v>
      </c>
      <c r="N1784" s="1" t="s">
        <v>1814</v>
      </c>
      <c r="O1784" s="1" t="s">
        <v>998</v>
      </c>
      <c r="P1784" s="1">
        <v>1</v>
      </c>
    </row>
    <row r="1785" spans="1:16" x14ac:dyDescent="0.25">
      <c r="A1785" s="3">
        <v>45990</v>
      </c>
      <c r="B1785" s="4">
        <v>11943</v>
      </c>
      <c r="C1785" s="5">
        <v>1348.36</v>
      </c>
      <c r="D1785" s="1" t="s">
        <v>1801</v>
      </c>
      <c r="E1785" s="1" t="s">
        <v>1802</v>
      </c>
      <c r="F1785" s="1" t="s">
        <v>166</v>
      </c>
      <c r="G1785" s="1" t="s">
        <v>1814</v>
      </c>
      <c r="H1785" s="3">
        <v>46011</v>
      </c>
      <c r="I1785" s="1" t="s">
        <v>933</v>
      </c>
      <c r="J1785" s="1" t="s">
        <v>66</v>
      </c>
      <c r="K1785" s="1" t="s">
        <v>1814</v>
      </c>
      <c r="L1785" s="1" t="s">
        <v>169</v>
      </c>
      <c r="M1785" s="3">
        <v>45993</v>
      </c>
      <c r="N1785" s="1" t="s">
        <v>170</v>
      </c>
      <c r="O1785" s="1" t="s">
        <v>998</v>
      </c>
      <c r="P1785" s="1">
        <v>1</v>
      </c>
    </row>
    <row r="1786" spans="1:16" x14ac:dyDescent="0.25">
      <c r="A1786" s="3">
        <v>45991</v>
      </c>
      <c r="B1786" s="4">
        <v>51479351</v>
      </c>
      <c r="C1786" s="5">
        <v>25116.79</v>
      </c>
      <c r="D1786" s="1" t="s">
        <v>1604</v>
      </c>
      <c r="E1786" s="1" t="s">
        <v>1605</v>
      </c>
      <c r="F1786" s="1" t="s">
        <v>955</v>
      </c>
      <c r="G1786" s="1" t="s">
        <v>950</v>
      </c>
      <c r="H1786" s="3">
        <v>46006</v>
      </c>
      <c r="I1786" s="1" t="s">
        <v>933</v>
      </c>
      <c r="J1786" s="1" t="s">
        <v>951</v>
      </c>
      <c r="K1786" s="1" t="s">
        <v>934</v>
      </c>
      <c r="L1786" s="1" t="s">
        <v>3172</v>
      </c>
      <c r="M1786" s="3">
        <v>45993</v>
      </c>
      <c r="N1786" s="1" t="s">
        <v>821</v>
      </c>
      <c r="O1786" s="1" t="s">
        <v>932</v>
      </c>
      <c r="P1786" s="1">
        <v>1</v>
      </c>
    </row>
    <row r="1787" spans="1:16" x14ac:dyDescent="0.25">
      <c r="A1787" s="3">
        <v>45991</v>
      </c>
      <c r="B1787" s="4">
        <v>1586086</v>
      </c>
      <c r="C1787" s="5">
        <v>18736.439999999999</v>
      </c>
      <c r="D1787" s="1" t="s">
        <v>57</v>
      </c>
      <c r="E1787" s="1" t="s">
        <v>57</v>
      </c>
      <c r="F1787" s="1" t="s">
        <v>1131</v>
      </c>
      <c r="G1787" s="1" t="s">
        <v>950</v>
      </c>
      <c r="H1787" s="1" t="s">
        <v>24</v>
      </c>
      <c r="I1787" s="1" t="s">
        <v>933</v>
      </c>
      <c r="J1787" s="1" t="s">
        <v>1131</v>
      </c>
      <c r="K1787" s="1" t="s">
        <v>308</v>
      </c>
      <c r="L1787" s="1" t="s">
        <v>3173</v>
      </c>
      <c r="M1787" s="3">
        <v>46029</v>
      </c>
      <c r="N1787" s="1" t="s">
        <v>821</v>
      </c>
      <c r="O1787" s="1" t="s">
        <v>937</v>
      </c>
      <c r="P1787" s="1" t="s">
        <v>937</v>
      </c>
    </row>
    <row r="1788" spans="1:16" x14ac:dyDescent="0.25">
      <c r="A1788" s="3">
        <v>45992</v>
      </c>
      <c r="B1788" s="4">
        <v>1126</v>
      </c>
      <c r="C1788" s="5">
        <v>3700</v>
      </c>
      <c r="D1788" s="1" t="s">
        <v>1074</v>
      </c>
      <c r="E1788" s="1" t="s">
        <v>1075</v>
      </c>
      <c r="F1788" s="1" t="s">
        <v>430</v>
      </c>
      <c r="G1788" s="1" t="s">
        <v>1260</v>
      </c>
      <c r="H1788" s="3">
        <v>46011</v>
      </c>
      <c r="I1788" s="1" t="s">
        <v>933</v>
      </c>
      <c r="J1788" s="1" t="s">
        <v>66</v>
      </c>
      <c r="K1788" s="1" t="s">
        <v>1654</v>
      </c>
      <c r="L1788" s="1" t="s">
        <v>3174</v>
      </c>
      <c r="M1788" s="3">
        <v>45992</v>
      </c>
      <c r="N1788" s="1" t="s">
        <v>57</v>
      </c>
      <c r="O1788" s="1" t="s">
        <v>936</v>
      </c>
      <c r="P1788" s="1">
        <v>1</v>
      </c>
    </row>
    <row r="1789" spans="1:16" x14ac:dyDescent="0.25">
      <c r="A1789" s="3">
        <v>45992</v>
      </c>
      <c r="B1789" s="4">
        <v>1127</v>
      </c>
      <c r="C1789" s="5">
        <v>280</v>
      </c>
      <c r="D1789" s="1" t="s">
        <v>1074</v>
      </c>
      <c r="E1789" s="1" t="s">
        <v>1075</v>
      </c>
      <c r="F1789" s="1" t="s">
        <v>430</v>
      </c>
      <c r="G1789" s="1" t="s">
        <v>1058</v>
      </c>
      <c r="H1789" s="3">
        <v>46025</v>
      </c>
      <c r="I1789" s="1" t="s">
        <v>933</v>
      </c>
      <c r="J1789" s="1" t="s">
        <v>66</v>
      </c>
      <c r="K1789" s="1" t="s">
        <v>308</v>
      </c>
      <c r="L1789" s="1" t="s">
        <v>2742</v>
      </c>
      <c r="M1789" s="3">
        <v>45996</v>
      </c>
      <c r="N1789" s="1" t="s">
        <v>57</v>
      </c>
      <c r="O1789" s="1" t="s">
        <v>936</v>
      </c>
      <c r="P1789" s="1">
        <v>1</v>
      </c>
    </row>
    <row r="1790" spans="1:16" x14ac:dyDescent="0.25">
      <c r="A1790" s="3">
        <v>45992</v>
      </c>
      <c r="B1790" s="4">
        <v>150929</v>
      </c>
      <c r="C1790" s="5">
        <v>928.75</v>
      </c>
      <c r="D1790" s="1" t="s">
        <v>1492</v>
      </c>
      <c r="E1790" s="1" t="s">
        <v>1493</v>
      </c>
      <c r="F1790" s="1" t="s">
        <v>721</v>
      </c>
      <c r="G1790" s="1" t="s">
        <v>940</v>
      </c>
      <c r="H1790" s="3">
        <v>46022</v>
      </c>
      <c r="I1790" s="1" t="s">
        <v>933</v>
      </c>
      <c r="J1790" s="1" t="s">
        <v>66</v>
      </c>
      <c r="K1790" s="1" t="s">
        <v>340</v>
      </c>
      <c r="L1790" s="1" t="s">
        <v>3175</v>
      </c>
      <c r="M1790" s="3">
        <v>45994</v>
      </c>
      <c r="N1790" s="1" t="s">
        <v>712</v>
      </c>
      <c r="O1790" s="1" t="s">
        <v>936</v>
      </c>
      <c r="P1790" s="1">
        <v>1</v>
      </c>
    </row>
    <row r="1791" spans="1:16" x14ac:dyDescent="0.25">
      <c r="A1791" s="3">
        <v>45992</v>
      </c>
      <c r="B1791" s="1">
        <v>26</v>
      </c>
      <c r="C1791" s="5">
        <v>6000</v>
      </c>
      <c r="D1791" s="1" t="s">
        <v>2803</v>
      </c>
      <c r="E1791" s="1" t="s">
        <v>2804</v>
      </c>
      <c r="F1791" s="1" t="s">
        <v>955</v>
      </c>
      <c r="G1791" s="1" t="s">
        <v>990</v>
      </c>
      <c r="H1791" s="3">
        <v>46013</v>
      </c>
      <c r="I1791" s="1" t="s">
        <v>933</v>
      </c>
      <c r="J1791" s="1" t="s">
        <v>951</v>
      </c>
      <c r="K1791" s="1" t="s">
        <v>20</v>
      </c>
      <c r="L1791" s="1" t="s">
        <v>3176</v>
      </c>
      <c r="M1791" s="3">
        <v>45994</v>
      </c>
      <c r="N1791" s="1" t="s">
        <v>821</v>
      </c>
      <c r="O1791" s="1" t="s">
        <v>936</v>
      </c>
      <c r="P1791" s="1">
        <v>1</v>
      </c>
    </row>
    <row r="1792" spans="1:16" x14ac:dyDescent="0.25">
      <c r="A1792" s="3">
        <v>45992</v>
      </c>
      <c r="B1792" s="1">
        <v>13</v>
      </c>
      <c r="C1792" s="5">
        <v>7950</v>
      </c>
      <c r="D1792" s="1" t="s">
        <v>1262</v>
      </c>
      <c r="E1792" s="1" t="s">
        <v>1507</v>
      </c>
      <c r="F1792" s="1" t="s">
        <v>955</v>
      </c>
      <c r="G1792" s="1" t="s">
        <v>990</v>
      </c>
      <c r="H1792" s="3">
        <v>46011</v>
      </c>
      <c r="I1792" s="1" t="s">
        <v>933</v>
      </c>
      <c r="J1792" s="1" t="s">
        <v>951</v>
      </c>
      <c r="K1792" s="1" t="s">
        <v>20</v>
      </c>
      <c r="L1792" s="1" t="s">
        <v>3177</v>
      </c>
      <c r="M1792" s="3">
        <v>45994</v>
      </c>
      <c r="N1792" s="1" t="s">
        <v>821</v>
      </c>
      <c r="O1792" s="1" t="s">
        <v>936</v>
      </c>
      <c r="P1792" s="1" t="s">
        <v>937</v>
      </c>
    </row>
    <row r="1793" spans="1:16" x14ac:dyDescent="0.25">
      <c r="A1793" s="3">
        <v>45992</v>
      </c>
      <c r="B1793" s="4">
        <v>246982</v>
      </c>
      <c r="C1793" s="5">
        <v>3516.18</v>
      </c>
      <c r="D1793" s="1" t="s">
        <v>3155</v>
      </c>
      <c r="E1793" s="1" t="s">
        <v>3156</v>
      </c>
      <c r="F1793" s="1" t="s">
        <v>599</v>
      </c>
      <c r="G1793" s="1" t="s">
        <v>940</v>
      </c>
      <c r="H1793" s="1"/>
      <c r="I1793" s="1" t="s">
        <v>1100</v>
      </c>
      <c r="J1793" s="1" t="s">
        <v>66</v>
      </c>
      <c r="K1793" s="1" t="s">
        <v>340</v>
      </c>
      <c r="L1793" s="1" t="s">
        <v>3178</v>
      </c>
      <c r="M1793" s="3">
        <v>45994</v>
      </c>
      <c r="N1793" s="1" t="s">
        <v>57</v>
      </c>
      <c r="O1793" s="1" t="s">
        <v>998</v>
      </c>
      <c r="P1793" s="1">
        <v>1</v>
      </c>
    </row>
    <row r="1794" spans="1:16" x14ac:dyDescent="0.25">
      <c r="A1794" s="3">
        <v>45992</v>
      </c>
      <c r="B1794" s="1">
        <v>53</v>
      </c>
      <c r="C1794" s="5">
        <v>1961</v>
      </c>
      <c r="D1794" s="1" t="s">
        <v>1200</v>
      </c>
      <c r="E1794" s="1" t="s">
        <v>1201</v>
      </c>
      <c r="F1794" s="1" t="s">
        <v>966</v>
      </c>
      <c r="G1794" s="1" t="s">
        <v>940</v>
      </c>
      <c r="H1794" s="3">
        <v>46011</v>
      </c>
      <c r="I1794" s="1" t="s">
        <v>933</v>
      </c>
      <c r="J1794" s="1" t="s">
        <v>951</v>
      </c>
      <c r="K1794" s="1" t="s">
        <v>817</v>
      </c>
      <c r="L1794" s="1" t="s">
        <v>3179</v>
      </c>
      <c r="M1794" s="3">
        <v>45994</v>
      </c>
      <c r="N1794" s="1" t="s">
        <v>821</v>
      </c>
      <c r="O1794" s="1" t="s">
        <v>936</v>
      </c>
      <c r="P1794" s="1" t="s">
        <v>937</v>
      </c>
    </row>
    <row r="1795" spans="1:16" x14ac:dyDescent="0.25">
      <c r="A1795" s="3">
        <v>45992</v>
      </c>
      <c r="B1795" s="1">
        <v>14</v>
      </c>
      <c r="C1795" s="5">
        <v>7000</v>
      </c>
      <c r="D1795" s="1" t="s">
        <v>1623</v>
      </c>
      <c r="E1795" s="1" t="s">
        <v>1377</v>
      </c>
      <c r="F1795" s="1" t="s">
        <v>955</v>
      </c>
      <c r="G1795" s="1" t="s">
        <v>20</v>
      </c>
      <c r="H1795" s="3">
        <v>46020</v>
      </c>
      <c r="I1795" s="1" t="s">
        <v>933</v>
      </c>
      <c r="J1795" s="1" t="s">
        <v>951</v>
      </c>
      <c r="K1795" s="1" t="s">
        <v>20</v>
      </c>
      <c r="L1795" s="1" t="s">
        <v>3180</v>
      </c>
      <c r="M1795" s="3">
        <v>45994</v>
      </c>
      <c r="N1795" s="1" t="s">
        <v>821</v>
      </c>
      <c r="O1795" s="1" t="s">
        <v>936</v>
      </c>
      <c r="P1795" s="1">
        <v>1</v>
      </c>
    </row>
    <row r="1796" spans="1:16" x14ac:dyDescent="0.25">
      <c r="A1796" s="3">
        <v>45992</v>
      </c>
      <c r="B1796" s="4">
        <v>9501</v>
      </c>
      <c r="C1796" s="5">
        <v>3456.44</v>
      </c>
      <c r="D1796" s="1" t="s">
        <v>973</v>
      </c>
      <c r="E1796" s="1" t="s">
        <v>1068</v>
      </c>
      <c r="F1796" s="1" t="s">
        <v>1814</v>
      </c>
      <c r="G1796" s="1" t="s">
        <v>998</v>
      </c>
      <c r="H1796" s="3">
        <v>46007</v>
      </c>
      <c r="I1796" s="1" t="s">
        <v>933</v>
      </c>
      <c r="J1796" s="1" t="s">
        <v>66</v>
      </c>
      <c r="K1796" s="1" t="s">
        <v>817</v>
      </c>
      <c r="L1796" s="1" t="s">
        <v>3181</v>
      </c>
      <c r="M1796" s="3">
        <v>45994</v>
      </c>
      <c r="N1796" s="1" t="s">
        <v>1814</v>
      </c>
      <c r="O1796" s="1" t="s">
        <v>998</v>
      </c>
      <c r="P1796" s="1">
        <v>1</v>
      </c>
    </row>
    <row r="1797" spans="1:16" x14ac:dyDescent="0.25">
      <c r="A1797" s="3">
        <v>45992</v>
      </c>
      <c r="B1797" s="4">
        <v>1877</v>
      </c>
      <c r="C1797" s="5">
        <v>928.75</v>
      </c>
      <c r="D1797" s="1" t="s">
        <v>1492</v>
      </c>
      <c r="E1797" s="1" t="s">
        <v>3182</v>
      </c>
      <c r="F1797" s="1" t="s">
        <v>721</v>
      </c>
      <c r="G1797" s="1" t="s">
        <v>940</v>
      </c>
      <c r="H1797" s="3">
        <v>46022</v>
      </c>
      <c r="I1797" s="1" t="s">
        <v>933</v>
      </c>
      <c r="J1797" s="1" t="s">
        <v>66</v>
      </c>
      <c r="K1797" s="1" t="s">
        <v>340</v>
      </c>
      <c r="L1797" s="1" t="s">
        <v>3183</v>
      </c>
      <c r="M1797" s="3">
        <v>45994</v>
      </c>
      <c r="N1797" s="1" t="s">
        <v>712</v>
      </c>
      <c r="O1797" s="1" t="s">
        <v>936</v>
      </c>
      <c r="P1797" s="1">
        <v>1</v>
      </c>
    </row>
    <row r="1798" spans="1:16" x14ac:dyDescent="0.25">
      <c r="A1798" s="3">
        <v>45992</v>
      </c>
      <c r="B1798" s="4">
        <v>3799</v>
      </c>
      <c r="C1798" s="5">
        <v>1543</v>
      </c>
      <c r="D1798" s="1" t="s">
        <v>1179</v>
      </c>
      <c r="E1798" s="1" t="s">
        <v>1180</v>
      </c>
      <c r="F1798" s="1" t="s">
        <v>430</v>
      </c>
      <c r="G1798" s="1" t="s">
        <v>1667</v>
      </c>
      <c r="H1798" s="3">
        <v>46013</v>
      </c>
      <c r="I1798" s="1" t="s">
        <v>1100</v>
      </c>
      <c r="J1798" s="1" t="s">
        <v>66</v>
      </c>
      <c r="K1798" s="1" t="s">
        <v>1654</v>
      </c>
      <c r="L1798" s="1" t="s">
        <v>3096</v>
      </c>
      <c r="M1798" s="3">
        <v>45994</v>
      </c>
      <c r="N1798" s="1" t="s">
        <v>57</v>
      </c>
      <c r="O1798" s="1" t="s">
        <v>936</v>
      </c>
      <c r="P1798" s="1">
        <v>1</v>
      </c>
    </row>
    <row r="1799" spans="1:16" x14ac:dyDescent="0.25">
      <c r="A1799" s="3">
        <v>45992</v>
      </c>
      <c r="B1799" s="4">
        <v>3377</v>
      </c>
      <c r="C1799" s="5">
        <v>550</v>
      </c>
      <c r="D1799" s="1" t="s">
        <v>1179</v>
      </c>
      <c r="E1799" s="1" t="s">
        <v>1180</v>
      </c>
      <c r="F1799" s="1" t="s">
        <v>430</v>
      </c>
      <c r="G1799" s="1" t="s">
        <v>1667</v>
      </c>
      <c r="H1799" s="3">
        <v>46013</v>
      </c>
      <c r="I1799" s="1" t="s">
        <v>1100</v>
      </c>
      <c r="J1799" s="1" t="s">
        <v>66</v>
      </c>
      <c r="K1799" s="1" t="s">
        <v>1654</v>
      </c>
      <c r="L1799" s="1" t="s">
        <v>3184</v>
      </c>
      <c r="M1799" s="3">
        <v>45994</v>
      </c>
      <c r="N1799" s="1" t="s">
        <v>57</v>
      </c>
      <c r="O1799" s="1" t="s">
        <v>936</v>
      </c>
      <c r="P1799" s="1">
        <v>1</v>
      </c>
    </row>
    <row r="1800" spans="1:16" x14ac:dyDescent="0.25">
      <c r="A1800" s="3">
        <v>45992</v>
      </c>
      <c r="B1800" s="4">
        <v>3797</v>
      </c>
      <c r="C1800" s="5">
        <v>410</v>
      </c>
      <c r="D1800" s="1" t="s">
        <v>1179</v>
      </c>
      <c r="E1800" s="1" t="s">
        <v>1180</v>
      </c>
      <c r="F1800" s="1" t="s">
        <v>639</v>
      </c>
      <c r="G1800" s="1" t="s">
        <v>940</v>
      </c>
      <c r="H1800" s="3">
        <v>46013</v>
      </c>
      <c r="I1800" s="1" t="s">
        <v>933</v>
      </c>
      <c r="J1800" s="1" t="s">
        <v>66</v>
      </c>
      <c r="K1800" s="1" t="s">
        <v>340</v>
      </c>
      <c r="L1800" s="1" t="s">
        <v>3185</v>
      </c>
      <c r="M1800" s="3">
        <v>45994</v>
      </c>
      <c r="N1800" s="1" t="s">
        <v>98</v>
      </c>
      <c r="O1800" s="1" t="s">
        <v>936</v>
      </c>
      <c r="P1800" s="1">
        <v>1</v>
      </c>
    </row>
    <row r="1801" spans="1:16" x14ac:dyDescent="0.25">
      <c r="A1801" s="3">
        <v>45992</v>
      </c>
      <c r="B1801" s="4">
        <v>3798</v>
      </c>
      <c r="C1801" s="5">
        <v>361</v>
      </c>
      <c r="D1801" s="1" t="s">
        <v>1179</v>
      </c>
      <c r="E1801" s="1" t="s">
        <v>1180</v>
      </c>
      <c r="F1801" s="1" t="s">
        <v>201</v>
      </c>
      <c r="G1801" s="1" t="s">
        <v>940</v>
      </c>
      <c r="H1801" s="3">
        <v>46013</v>
      </c>
      <c r="I1801" s="1" t="s">
        <v>933</v>
      </c>
      <c r="J1801" s="1" t="s">
        <v>66</v>
      </c>
      <c r="K1801" s="1" t="s">
        <v>340</v>
      </c>
      <c r="L1801" s="1" t="s">
        <v>3186</v>
      </c>
      <c r="M1801" s="3">
        <v>45994</v>
      </c>
      <c r="N1801" s="1" t="s">
        <v>57</v>
      </c>
      <c r="O1801" s="1" t="s">
        <v>936</v>
      </c>
      <c r="P1801" s="1">
        <v>1</v>
      </c>
    </row>
    <row r="1802" spans="1:16" x14ac:dyDescent="0.25">
      <c r="A1802" s="3">
        <v>45992</v>
      </c>
      <c r="B1802" s="4">
        <v>3378</v>
      </c>
      <c r="C1802" s="5">
        <v>650</v>
      </c>
      <c r="D1802" s="1" t="s">
        <v>1179</v>
      </c>
      <c r="E1802" s="1" t="s">
        <v>1180</v>
      </c>
      <c r="F1802" s="1" t="s">
        <v>201</v>
      </c>
      <c r="G1802" s="1" t="s">
        <v>940</v>
      </c>
      <c r="H1802" s="3">
        <v>46013</v>
      </c>
      <c r="I1802" s="1" t="s">
        <v>933</v>
      </c>
      <c r="J1802" s="1" t="s">
        <v>66</v>
      </c>
      <c r="K1802" s="1" t="s">
        <v>340</v>
      </c>
      <c r="L1802" s="1" t="s">
        <v>3187</v>
      </c>
      <c r="M1802" s="3">
        <v>45994</v>
      </c>
      <c r="N1802" s="1" t="s">
        <v>57</v>
      </c>
      <c r="O1802" s="1" t="s">
        <v>936</v>
      </c>
      <c r="P1802" s="1">
        <v>1</v>
      </c>
    </row>
    <row r="1803" spans="1:16" x14ac:dyDescent="0.25">
      <c r="A1803" s="3">
        <v>45992</v>
      </c>
      <c r="B1803" s="4">
        <v>1048</v>
      </c>
      <c r="C1803" s="5">
        <v>5883.93</v>
      </c>
      <c r="D1803" s="1" t="s">
        <v>1179</v>
      </c>
      <c r="E1803" s="1" t="s">
        <v>1180</v>
      </c>
      <c r="F1803" s="1" t="s">
        <v>1814</v>
      </c>
      <c r="G1803" s="1" t="s">
        <v>998</v>
      </c>
      <c r="H1803" s="3">
        <v>46012</v>
      </c>
      <c r="I1803" s="1" t="s">
        <v>933</v>
      </c>
      <c r="J1803" s="1" t="s">
        <v>66</v>
      </c>
      <c r="K1803" s="1" t="s">
        <v>308</v>
      </c>
      <c r="L1803" s="1" t="s">
        <v>3188</v>
      </c>
      <c r="M1803" s="3">
        <v>45994</v>
      </c>
      <c r="N1803" s="1" t="s">
        <v>1814</v>
      </c>
      <c r="O1803" s="1" t="s">
        <v>936</v>
      </c>
      <c r="P1803" s="1">
        <v>1</v>
      </c>
    </row>
    <row r="1804" spans="1:16" x14ac:dyDescent="0.25">
      <c r="A1804" s="3">
        <v>45992</v>
      </c>
      <c r="B1804" s="4">
        <v>1511</v>
      </c>
      <c r="C1804" s="5">
        <v>2600</v>
      </c>
      <c r="D1804" s="1" t="s">
        <v>3189</v>
      </c>
      <c r="E1804" s="1" t="s">
        <v>3190</v>
      </c>
      <c r="F1804" s="1" t="s">
        <v>955</v>
      </c>
      <c r="G1804" s="1" t="s">
        <v>3022</v>
      </c>
      <c r="H1804" s="3">
        <v>46006</v>
      </c>
      <c r="I1804" s="1" t="s">
        <v>933</v>
      </c>
      <c r="J1804" s="1" t="s">
        <v>951</v>
      </c>
      <c r="K1804" s="1" t="s">
        <v>858</v>
      </c>
      <c r="L1804" s="1" t="s">
        <v>3191</v>
      </c>
      <c r="M1804" s="3">
        <v>45994</v>
      </c>
      <c r="N1804" s="1" t="s">
        <v>821</v>
      </c>
      <c r="O1804" s="1" t="s">
        <v>937</v>
      </c>
      <c r="P1804" s="1">
        <v>1</v>
      </c>
    </row>
    <row r="1805" spans="1:16" x14ac:dyDescent="0.25">
      <c r="A1805" s="3">
        <v>45992</v>
      </c>
      <c r="B1805" s="4">
        <v>1127</v>
      </c>
      <c r="C1805" s="5">
        <v>80</v>
      </c>
      <c r="D1805" s="1" t="s">
        <v>1074</v>
      </c>
      <c r="E1805" s="1" t="s">
        <v>1075</v>
      </c>
      <c r="F1805" s="1" t="s">
        <v>955</v>
      </c>
      <c r="G1805" s="1" t="s">
        <v>1058</v>
      </c>
      <c r="H1805" s="3">
        <v>46025</v>
      </c>
      <c r="I1805" s="1" t="s">
        <v>933</v>
      </c>
      <c r="J1805" s="1" t="s">
        <v>951</v>
      </c>
      <c r="K1805" s="1" t="s">
        <v>934</v>
      </c>
      <c r="L1805" s="1" t="s">
        <v>2742</v>
      </c>
      <c r="M1805" s="3">
        <v>45996</v>
      </c>
      <c r="N1805" s="1" t="s">
        <v>821</v>
      </c>
      <c r="O1805" s="1" t="s">
        <v>936</v>
      </c>
      <c r="P1805" s="1">
        <v>1</v>
      </c>
    </row>
    <row r="1806" spans="1:16" x14ac:dyDescent="0.25">
      <c r="A1806" s="3">
        <v>45992</v>
      </c>
      <c r="B1806" s="4">
        <v>1127</v>
      </c>
      <c r="C1806" s="5">
        <v>280</v>
      </c>
      <c r="D1806" s="1" t="s">
        <v>1074</v>
      </c>
      <c r="E1806" s="1" t="s">
        <v>1075</v>
      </c>
      <c r="F1806" s="1" t="s">
        <v>422</v>
      </c>
      <c r="G1806" s="1" t="s">
        <v>1058</v>
      </c>
      <c r="H1806" s="3">
        <v>46025</v>
      </c>
      <c r="I1806" s="1" t="s">
        <v>933</v>
      </c>
      <c r="J1806" s="1" t="s">
        <v>66</v>
      </c>
      <c r="K1806" s="1" t="s">
        <v>308</v>
      </c>
      <c r="L1806" s="1" t="s">
        <v>2742</v>
      </c>
      <c r="M1806" s="3">
        <v>45996</v>
      </c>
      <c r="N1806" s="1" t="s">
        <v>75</v>
      </c>
      <c r="O1806" s="1" t="s">
        <v>936</v>
      </c>
      <c r="P1806" s="1">
        <v>1</v>
      </c>
    </row>
    <row r="1807" spans="1:16" x14ac:dyDescent="0.25">
      <c r="A1807" s="3">
        <v>45992</v>
      </c>
      <c r="B1807" s="4">
        <v>1127</v>
      </c>
      <c r="C1807" s="5">
        <v>80</v>
      </c>
      <c r="D1807" s="1" t="s">
        <v>1074</v>
      </c>
      <c r="E1807" s="1" t="s">
        <v>1075</v>
      </c>
      <c r="F1807" s="1" t="s">
        <v>955</v>
      </c>
      <c r="G1807" s="1" t="s">
        <v>1058</v>
      </c>
      <c r="H1807" s="3">
        <v>46025</v>
      </c>
      <c r="I1807" s="1" t="s">
        <v>933</v>
      </c>
      <c r="J1807" s="1" t="s">
        <v>951</v>
      </c>
      <c r="K1807" s="1" t="s">
        <v>934</v>
      </c>
      <c r="L1807" s="1" t="s">
        <v>2742</v>
      </c>
      <c r="M1807" s="3">
        <v>45996</v>
      </c>
      <c r="N1807" s="1" t="s">
        <v>821</v>
      </c>
      <c r="O1807" s="1" t="s">
        <v>936</v>
      </c>
      <c r="P1807" s="1">
        <v>1</v>
      </c>
    </row>
    <row r="1808" spans="1:16" x14ac:dyDescent="0.25">
      <c r="A1808" s="3">
        <v>45992</v>
      </c>
      <c r="B1808" s="4">
        <v>1127</v>
      </c>
      <c r="C1808" s="5">
        <v>80</v>
      </c>
      <c r="D1808" s="1" t="s">
        <v>1074</v>
      </c>
      <c r="E1808" s="1" t="s">
        <v>1075</v>
      </c>
      <c r="F1808" s="1" t="s">
        <v>955</v>
      </c>
      <c r="G1808" s="1" t="s">
        <v>1058</v>
      </c>
      <c r="H1808" s="3">
        <v>46025</v>
      </c>
      <c r="I1808" s="1" t="s">
        <v>933</v>
      </c>
      <c r="J1808" s="1" t="s">
        <v>951</v>
      </c>
      <c r="K1808" s="1" t="s">
        <v>934</v>
      </c>
      <c r="L1808" s="1" t="s">
        <v>2742</v>
      </c>
      <c r="M1808" s="3">
        <v>45996</v>
      </c>
      <c r="N1808" s="1" t="s">
        <v>821</v>
      </c>
      <c r="O1808" s="1" t="s">
        <v>936</v>
      </c>
      <c r="P1808" s="1">
        <v>1</v>
      </c>
    </row>
    <row r="1809" spans="1:16" x14ac:dyDescent="0.25">
      <c r="A1809" s="3">
        <v>45992</v>
      </c>
      <c r="B1809" s="4">
        <v>1127</v>
      </c>
      <c r="C1809" s="5">
        <v>80</v>
      </c>
      <c r="D1809" s="1" t="s">
        <v>1074</v>
      </c>
      <c r="E1809" s="1" t="s">
        <v>1075</v>
      </c>
      <c r="F1809" s="1" t="s">
        <v>955</v>
      </c>
      <c r="G1809" s="1" t="s">
        <v>1058</v>
      </c>
      <c r="H1809" s="3">
        <v>46025</v>
      </c>
      <c r="I1809" s="1" t="s">
        <v>933</v>
      </c>
      <c r="J1809" s="1" t="s">
        <v>951</v>
      </c>
      <c r="K1809" s="1" t="s">
        <v>934</v>
      </c>
      <c r="L1809" s="1" t="s">
        <v>2742</v>
      </c>
      <c r="M1809" s="3">
        <v>45996</v>
      </c>
      <c r="N1809" s="1" t="s">
        <v>821</v>
      </c>
      <c r="O1809" s="1" t="s">
        <v>936</v>
      </c>
      <c r="P1809" s="1">
        <v>1</v>
      </c>
    </row>
    <row r="1810" spans="1:16" x14ac:dyDescent="0.25">
      <c r="A1810" s="3">
        <v>45992</v>
      </c>
      <c r="B1810" s="4">
        <v>1127</v>
      </c>
      <c r="C1810" s="5">
        <v>400</v>
      </c>
      <c r="D1810" s="1" t="s">
        <v>1074</v>
      </c>
      <c r="E1810" s="1" t="s">
        <v>1075</v>
      </c>
      <c r="F1810" s="1" t="s">
        <v>599</v>
      </c>
      <c r="G1810" s="1" t="s">
        <v>1058</v>
      </c>
      <c r="H1810" s="3">
        <v>46025</v>
      </c>
      <c r="I1810" s="1" t="s">
        <v>933</v>
      </c>
      <c r="J1810" s="1" t="s">
        <v>66</v>
      </c>
      <c r="K1810" s="1" t="s">
        <v>308</v>
      </c>
      <c r="L1810" s="1" t="s">
        <v>2742</v>
      </c>
      <c r="M1810" s="3">
        <v>45996</v>
      </c>
      <c r="N1810" s="1" t="s">
        <v>57</v>
      </c>
      <c r="O1810" s="1" t="s">
        <v>936</v>
      </c>
      <c r="P1810" s="1">
        <v>1</v>
      </c>
    </row>
    <row r="1811" spans="1:16" x14ac:dyDescent="0.25">
      <c r="A1811" s="3">
        <v>45992</v>
      </c>
      <c r="B1811" s="4">
        <v>1127</v>
      </c>
      <c r="C1811" s="5">
        <v>80</v>
      </c>
      <c r="D1811" s="1" t="s">
        <v>1074</v>
      </c>
      <c r="E1811" s="1" t="s">
        <v>1075</v>
      </c>
      <c r="F1811" s="1" t="s">
        <v>955</v>
      </c>
      <c r="G1811" s="1" t="s">
        <v>1058</v>
      </c>
      <c r="H1811" s="3">
        <v>46025</v>
      </c>
      <c r="I1811" s="1" t="s">
        <v>933</v>
      </c>
      <c r="J1811" s="1" t="s">
        <v>951</v>
      </c>
      <c r="K1811" s="1" t="s">
        <v>934</v>
      </c>
      <c r="L1811" s="1" t="s">
        <v>2742</v>
      </c>
      <c r="M1811" s="3">
        <v>45996</v>
      </c>
      <c r="N1811" s="1" t="s">
        <v>821</v>
      </c>
      <c r="O1811" s="1" t="s">
        <v>936</v>
      </c>
      <c r="P1811" s="1">
        <v>1</v>
      </c>
    </row>
    <row r="1812" spans="1:16" x14ac:dyDescent="0.25">
      <c r="A1812" s="3">
        <v>45992</v>
      </c>
      <c r="B1812" s="4">
        <v>1127</v>
      </c>
      <c r="C1812" s="5">
        <v>280</v>
      </c>
      <c r="D1812" s="1" t="s">
        <v>1074</v>
      </c>
      <c r="E1812" s="1" t="s">
        <v>1075</v>
      </c>
      <c r="F1812" s="1" t="s">
        <v>426</v>
      </c>
      <c r="G1812" s="1" t="s">
        <v>1058</v>
      </c>
      <c r="H1812" s="3">
        <v>46025</v>
      </c>
      <c r="I1812" s="1" t="s">
        <v>933</v>
      </c>
      <c r="J1812" s="1" t="s">
        <v>66</v>
      </c>
      <c r="K1812" s="1" t="s">
        <v>308</v>
      </c>
      <c r="L1812" s="1" t="s">
        <v>2742</v>
      </c>
      <c r="M1812" s="3">
        <v>45996</v>
      </c>
      <c r="N1812" s="1" t="s">
        <v>429</v>
      </c>
      <c r="O1812" s="1" t="s">
        <v>936</v>
      </c>
      <c r="P1812" s="1">
        <v>1</v>
      </c>
    </row>
    <row r="1813" spans="1:16" x14ac:dyDescent="0.25">
      <c r="A1813" s="3">
        <v>45992</v>
      </c>
      <c r="B1813" s="4">
        <v>1127</v>
      </c>
      <c r="C1813" s="5">
        <v>80</v>
      </c>
      <c r="D1813" s="1" t="s">
        <v>1074</v>
      </c>
      <c r="E1813" s="1" t="s">
        <v>1075</v>
      </c>
      <c r="F1813" s="1" t="s">
        <v>955</v>
      </c>
      <c r="G1813" s="1" t="s">
        <v>1058</v>
      </c>
      <c r="H1813" s="3">
        <v>46025</v>
      </c>
      <c r="I1813" s="1" t="s">
        <v>933</v>
      </c>
      <c r="J1813" s="1" t="s">
        <v>951</v>
      </c>
      <c r="K1813" s="1" t="s">
        <v>934</v>
      </c>
      <c r="L1813" s="1" t="s">
        <v>2742</v>
      </c>
      <c r="M1813" s="3">
        <v>45996</v>
      </c>
      <c r="N1813" s="1" t="s">
        <v>821</v>
      </c>
      <c r="O1813" s="1" t="s">
        <v>936</v>
      </c>
      <c r="P1813" s="1">
        <v>1</v>
      </c>
    </row>
    <row r="1814" spans="1:16" x14ac:dyDescent="0.25">
      <c r="A1814" s="3">
        <v>45992</v>
      </c>
      <c r="B1814" s="4">
        <v>1127</v>
      </c>
      <c r="C1814" s="5">
        <v>80</v>
      </c>
      <c r="D1814" s="1" t="s">
        <v>1074</v>
      </c>
      <c r="E1814" s="1" t="s">
        <v>1075</v>
      </c>
      <c r="F1814" s="1" t="s">
        <v>955</v>
      </c>
      <c r="G1814" s="1" t="s">
        <v>1058</v>
      </c>
      <c r="H1814" s="3">
        <v>46025</v>
      </c>
      <c r="I1814" s="1" t="s">
        <v>933</v>
      </c>
      <c r="J1814" s="1" t="s">
        <v>951</v>
      </c>
      <c r="K1814" s="1" t="s">
        <v>934</v>
      </c>
      <c r="L1814" s="1" t="s">
        <v>2742</v>
      </c>
      <c r="M1814" s="3">
        <v>45996</v>
      </c>
      <c r="N1814" s="1" t="s">
        <v>821</v>
      </c>
      <c r="O1814" s="1" t="s">
        <v>936</v>
      </c>
      <c r="P1814" s="1">
        <v>1</v>
      </c>
    </row>
    <row r="1815" spans="1:16" x14ac:dyDescent="0.25">
      <c r="A1815" s="3">
        <v>45992</v>
      </c>
      <c r="B1815" s="4">
        <v>1127</v>
      </c>
      <c r="C1815" s="5">
        <v>280</v>
      </c>
      <c r="D1815" s="1" t="s">
        <v>1074</v>
      </c>
      <c r="E1815" s="1" t="s">
        <v>1075</v>
      </c>
      <c r="F1815" s="1" t="s">
        <v>88</v>
      </c>
      <c r="G1815" s="1" t="s">
        <v>1058</v>
      </c>
      <c r="H1815" s="3">
        <v>46025</v>
      </c>
      <c r="I1815" s="1" t="s">
        <v>933</v>
      </c>
      <c r="J1815" s="1" t="s">
        <v>66</v>
      </c>
      <c r="K1815" s="1" t="s">
        <v>308</v>
      </c>
      <c r="L1815" s="1" t="s">
        <v>2742</v>
      </c>
      <c r="M1815" s="3">
        <v>45996</v>
      </c>
      <c r="N1815" s="1" t="s">
        <v>93</v>
      </c>
      <c r="O1815" s="1" t="s">
        <v>936</v>
      </c>
      <c r="P1815" s="1">
        <v>1</v>
      </c>
    </row>
    <row r="1816" spans="1:16" x14ac:dyDescent="0.25">
      <c r="A1816" s="3">
        <v>45992</v>
      </c>
      <c r="B1816" s="4">
        <v>1127</v>
      </c>
      <c r="C1816" s="5">
        <v>230</v>
      </c>
      <c r="D1816" s="1" t="s">
        <v>1074</v>
      </c>
      <c r="E1816" s="1" t="s">
        <v>1075</v>
      </c>
      <c r="F1816" s="1" t="s">
        <v>218</v>
      </c>
      <c r="G1816" s="1" t="s">
        <v>1058</v>
      </c>
      <c r="H1816" s="3">
        <v>46025</v>
      </c>
      <c r="I1816" s="1" t="s">
        <v>933</v>
      </c>
      <c r="J1816" s="1" t="s">
        <v>66</v>
      </c>
      <c r="K1816" s="1" t="s">
        <v>340</v>
      </c>
      <c r="L1816" s="1" t="s">
        <v>2742</v>
      </c>
      <c r="M1816" s="3">
        <v>45996</v>
      </c>
      <c r="N1816" s="1" t="s">
        <v>221</v>
      </c>
      <c r="O1816" s="1" t="s">
        <v>936</v>
      </c>
      <c r="P1816" s="1">
        <v>1</v>
      </c>
    </row>
    <row r="1817" spans="1:16" x14ac:dyDescent="0.25">
      <c r="A1817" s="3">
        <v>45992</v>
      </c>
      <c r="B1817" s="4">
        <v>1127</v>
      </c>
      <c r="C1817" s="5">
        <v>80</v>
      </c>
      <c r="D1817" s="1" t="s">
        <v>1074</v>
      </c>
      <c r="E1817" s="1" t="s">
        <v>1075</v>
      </c>
      <c r="F1817" s="1" t="s">
        <v>955</v>
      </c>
      <c r="G1817" s="1" t="s">
        <v>1058</v>
      </c>
      <c r="H1817" s="3">
        <v>46025</v>
      </c>
      <c r="I1817" s="1" t="s">
        <v>933</v>
      </c>
      <c r="J1817" s="1" t="s">
        <v>951</v>
      </c>
      <c r="K1817" s="1" t="s">
        <v>308</v>
      </c>
      <c r="L1817" s="1" t="s">
        <v>2742</v>
      </c>
      <c r="M1817" s="3">
        <v>45996</v>
      </c>
      <c r="N1817" s="1" t="s">
        <v>821</v>
      </c>
      <c r="O1817" s="1" t="s">
        <v>936</v>
      </c>
      <c r="P1817" s="1">
        <v>1</v>
      </c>
    </row>
    <row r="1818" spans="1:16" x14ac:dyDescent="0.25">
      <c r="A1818" s="3">
        <v>45992</v>
      </c>
      <c r="B1818" s="4">
        <v>1127</v>
      </c>
      <c r="C1818" s="5">
        <v>280</v>
      </c>
      <c r="D1818" s="1" t="s">
        <v>1074</v>
      </c>
      <c r="E1818" s="1" t="s">
        <v>1075</v>
      </c>
      <c r="F1818" s="1" t="s">
        <v>955</v>
      </c>
      <c r="G1818" s="1" t="s">
        <v>1058</v>
      </c>
      <c r="H1818" s="3">
        <v>46025</v>
      </c>
      <c r="I1818" s="1" t="s">
        <v>933</v>
      </c>
      <c r="J1818" s="1" t="s">
        <v>951</v>
      </c>
      <c r="K1818" s="1" t="s">
        <v>308</v>
      </c>
      <c r="L1818" s="1" t="s">
        <v>2742</v>
      </c>
      <c r="M1818" s="3">
        <v>45996</v>
      </c>
      <c r="N1818" s="1" t="s">
        <v>821</v>
      </c>
      <c r="O1818" s="1" t="s">
        <v>936</v>
      </c>
      <c r="P1818" s="1">
        <v>1</v>
      </c>
    </row>
    <row r="1819" spans="1:16" x14ac:dyDescent="0.25">
      <c r="A1819" s="3">
        <v>45992</v>
      </c>
      <c r="B1819" s="4">
        <v>1127</v>
      </c>
      <c r="C1819" s="5">
        <v>230</v>
      </c>
      <c r="D1819" s="1" t="s">
        <v>1074</v>
      </c>
      <c r="E1819" s="1" t="s">
        <v>1075</v>
      </c>
      <c r="F1819" s="1" t="s">
        <v>451</v>
      </c>
      <c r="G1819" s="1" t="s">
        <v>1058</v>
      </c>
      <c r="H1819" s="3">
        <v>46025</v>
      </c>
      <c r="I1819" s="1" t="s">
        <v>933</v>
      </c>
      <c r="J1819" s="1" t="s">
        <v>66</v>
      </c>
      <c r="K1819" s="1" t="s">
        <v>308</v>
      </c>
      <c r="L1819" s="1" t="s">
        <v>2742</v>
      </c>
      <c r="M1819" s="3">
        <v>45996</v>
      </c>
      <c r="N1819" s="1" t="s">
        <v>212</v>
      </c>
      <c r="O1819" s="1" t="s">
        <v>936</v>
      </c>
      <c r="P1819" s="1">
        <v>1</v>
      </c>
    </row>
    <row r="1820" spans="1:16" x14ac:dyDescent="0.25">
      <c r="A1820" s="3">
        <v>45992</v>
      </c>
      <c r="B1820" s="4">
        <v>1127</v>
      </c>
      <c r="C1820" s="5">
        <v>80</v>
      </c>
      <c r="D1820" s="1" t="s">
        <v>1074</v>
      </c>
      <c r="E1820" s="1" t="s">
        <v>1075</v>
      </c>
      <c r="F1820" s="1" t="s">
        <v>955</v>
      </c>
      <c r="G1820" s="1" t="s">
        <v>1058</v>
      </c>
      <c r="H1820" s="3">
        <v>46025</v>
      </c>
      <c r="I1820" s="1" t="s">
        <v>933</v>
      </c>
      <c r="J1820" s="1" t="s">
        <v>951</v>
      </c>
      <c r="K1820" s="1" t="s">
        <v>934</v>
      </c>
      <c r="L1820" s="1" t="s">
        <v>2742</v>
      </c>
      <c r="M1820" s="3">
        <v>45996</v>
      </c>
      <c r="N1820" s="1" t="s">
        <v>821</v>
      </c>
      <c r="O1820" s="1" t="s">
        <v>936</v>
      </c>
      <c r="P1820" s="1">
        <v>1</v>
      </c>
    </row>
    <row r="1821" spans="1:16" x14ac:dyDescent="0.25">
      <c r="A1821" s="3">
        <v>45992</v>
      </c>
      <c r="B1821" s="4">
        <v>1127</v>
      </c>
      <c r="C1821" s="5">
        <v>230</v>
      </c>
      <c r="D1821" s="1" t="s">
        <v>1074</v>
      </c>
      <c r="E1821" s="1" t="s">
        <v>1075</v>
      </c>
      <c r="F1821" s="1" t="s">
        <v>222</v>
      </c>
      <c r="G1821" s="1" t="s">
        <v>1058</v>
      </c>
      <c r="H1821" s="3">
        <v>46025</v>
      </c>
      <c r="I1821" s="1" t="s">
        <v>933</v>
      </c>
      <c r="J1821" s="1" t="s">
        <v>66</v>
      </c>
      <c r="K1821" s="1" t="s">
        <v>340</v>
      </c>
      <c r="L1821" s="1" t="s">
        <v>2742</v>
      </c>
      <c r="M1821" s="3">
        <v>45996</v>
      </c>
      <c r="N1821" s="1" t="s">
        <v>93</v>
      </c>
      <c r="O1821" s="1" t="s">
        <v>936</v>
      </c>
      <c r="P1821" s="1">
        <v>1</v>
      </c>
    </row>
    <row r="1822" spans="1:16" x14ac:dyDescent="0.25">
      <c r="A1822" s="3">
        <v>45992</v>
      </c>
      <c r="B1822" s="4">
        <v>1127</v>
      </c>
      <c r="C1822" s="5">
        <v>230</v>
      </c>
      <c r="D1822" s="1" t="s">
        <v>1074</v>
      </c>
      <c r="E1822" s="1" t="s">
        <v>1075</v>
      </c>
      <c r="F1822" s="1" t="s">
        <v>683</v>
      </c>
      <c r="G1822" s="1" t="s">
        <v>1058</v>
      </c>
      <c r="H1822" s="3">
        <v>46025</v>
      </c>
      <c r="I1822" s="1" t="s">
        <v>933</v>
      </c>
      <c r="J1822" s="1" t="s">
        <v>66</v>
      </c>
      <c r="K1822" s="1" t="s">
        <v>1654</v>
      </c>
      <c r="L1822" s="1" t="s">
        <v>2742</v>
      </c>
      <c r="M1822" s="3">
        <v>45996</v>
      </c>
      <c r="N1822" s="1" t="s">
        <v>75</v>
      </c>
      <c r="O1822" s="1" t="s">
        <v>936</v>
      </c>
      <c r="P1822" s="1">
        <v>1</v>
      </c>
    </row>
    <row r="1823" spans="1:16" x14ac:dyDescent="0.25">
      <c r="A1823" s="3">
        <v>45992</v>
      </c>
      <c r="B1823" s="4">
        <v>1127</v>
      </c>
      <c r="C1823" s="5">
        <v>380</v>
      </c>
      <c r="D1823" s="1" t="s">
        <v>1074</v>
      </c>
      <c r="E1823" s="1" t="s">
        <v>1075</v>
      </c>
      <c r="F1823" s="1" t="s">
        <v>460</v>
      </c>
      <c r="G1823" s="1" t="s">
        <v>1058</v>
      </c>
      <c r="H1823" s="3">
        <v>46025</v>
      </c>
      <c r="I1823" s="1" t="s">
        <v>933</v>
      </c>
      <c r="J1823" s="1" t="s">
        <v>66</v>
      </c>
      <c r="K1823" s="1" t="s">
        <v>1654</v>
      </c>
      <c r="L1823" s="1" t="s">
        <v>2742</v>
      </c>
      <c r="M1823" s="3">
        <v>45996</v>
      </c>
      <c r="N1823" s="1" t="s">
        <v>440</v>
      </c>
      <c r="O1823" s="1" t="s">
        <v>936</v>
      </c>
      <c r="P1823" s="1">
        <v>1</v>
      </c>
    </row>
    <row r="1824" spans="1:16" x14ac:dyDescent="0.25">
      <c r="A1824" s="3">
        <v>45992</v>
      </c>
      <c r="B1824" s="4">
        <v>1127</v>
      </c>
      <c r="C1824" s="5">
        <v>80</v>
      </c>
      <c r="D1824" s="1" t="s">
        <v>1074</v>
      </c>
      <c r="E1824" s="1" t="s">
        <v>1075</v>
      </c>
      <c r="F1824" s="1" t="s">
        <v>955</v>
      </c>
      <c r="G1824" s="1" t="s">
        <v>1058</v>
      </c>
      <c r="H1824" s="3">
        <v>46025</v>
      </c>
      <c r="I1824" s="1" t="s">
        <v>933</v>
      </c>
      <c r="J1824" s="1" t="s">
        <v>951</v>
      </c>
      <c r="K1824" s="1" t="s">
        <v>934</v>
      </c>
      <c r="L1824" s="1" t="s">
        <v>2742</v>
      </c>
      <c r="M1824" s="3">
        <v>45996</v>
      </c>
      <c r="N1824" s="1" t="s">
        <v>821</v>
      </c>
      <c r="O1824" s="1" t="s">
        <v>936</v>
      </c>
      <c r="P1824" s="1">
        <v>1</v>
      </c>
    </row>
    <row r="1825" spans="1:16" x14ac:dyDescent="0.25">
      <c r="A1825" s="3">
        <v>45992</v>
      </c>
      <c r="B1825" s="4">
        <v>1127</v>
      </c>
      <c r="C1825" s="5">
        <v>80</v>
      </c>
      <c r="D1825" s="1" t="s">
        <v>1074</v>
      </c>
      <c r="E1825" s="1" t="s">
        <v>1075</v>
      </c>
      <c r="F1825" s="1" t="s">
        <v>955</v>
      </c>
      <c r="G1825" s="1" t="s">
        <v>1058</v>
      </c>
      <c r="H1825" s="3">
        <v>46025</v>
      </c>
      <c r="I1825" s="1" t="s">
        <v>933</v>
      </c>
      <c r="J1825" s="1" t="s">
        <v>951</v>
      </c>
      <c r="K1825" s="1" t="s">
        <v>934</v>
      </c>
      <c r="L1825" s="1" t="s">
        <v>2742</v>
      </c>
      <c r="M1825" s="3">
        <v>45996</v>
      </c>
      <c r="N1825" s="1" t="s">
        <v>821</v>
      </c>
      <c r="O1825" s="1" t="s">
        <v>936</v>
      </c>
      <c r="P1825" s="1">
        <v>1</v>
      </c>
    </row>
    <row r="1826" spans="1:16" x14ac:dyDescent="0.25">
      <c r="A1826" s="3">
        <v>45992</v>
      </c>
      <c r="B1826" s="4">
        <v>1128</v>
      </c>
      <c r="C1826" s="5">
        <v>7500</v>
      </c>
      <c r="D1826" s="1" t="s">
        <v>1074</v>
      </c>
      <c r="E1826" s="1" t="s">
        <v>1075</v>
      </c>
      <c r="F1826" s="1" t="s">
        <v>721</v>
      </c>
      <c r="G1826" s="1" t="s">
        <v>1260</v>
      </c>
      <c r="H1826" s="3">
        <v>46007</v>
      </c>
      <c r="I1826" s="1" t="s">
        <v>933</v>
      </c>
      <c r="J1826" s="1" t="s">
        <v>66</v>
      </c>
      <c r="K1826" s="1" t="s">
        <v>340</v>
      </c>
      <c r="L1826" s="1" t="s">
        <v>3192</v>
      </c>
      <c r="M1826" s="3">
        <v>45993</v>
      </c>
      <c r="N1826" s="1" t="s">
        <v>712</v>
      </c>
      <c r="O1826" s="1" t="s">
        <v>936</v>
      </c>
      <c r="P1826" s="1">
        <v>1</v>
      </c>
    </row>
    <row r="1827" spans="1:16" x14ac:dyDescent="0.25">
      <c r="A1827" s="3">
        <v>45992</v>
      </c>
      <c r="B1827" s="4">
        <v>1128</v>
      </c>
      <c r="C1827" s="5">
        <v>6280</v>
      </c>
      <c r="D1827" s="1" t="s">
        <v>1074</v>
      </c>
      <c r="E1827" s="1" t="s">
        <v>1075</v>
      </c>
      <c r="F1827" s="1" t="s">
        <v>721</v>
      </c>
      <c r="G1827" s="1" t="s">
        <v>1260</v>
      </c>
      <c r="H1827" s="3">
        <v>46007</v>
      </c>
      <c r="I1827" s="1" t="s">
        <v>933</v>
      </c>
      <c r="J1827" s="1" t="s">
        <v>66</v>
      </c>
      <c r="K1827" s="1" t="s">
        <v>340</v>
      </c>
      <c r="L1827" s="1" t="s">
        <v>3192</v>
      </c>
      <c r="M1827" s="3">
        <v>45993</v>
      </c>
      <c r="N1827" s="1" t="s">
        <v>712</v>
      </c>
      <c r="O1827" s="1" t="s">
        <v>936</v>
      </c>
      <c r="P1827" s="1">
        <v>1</v>
      </c>
    </row>
    <row r="1828" spans="1:16" x14ac:dyDescent="0.25">
      <c r="A1828" s="3">
        <v>45992</v>
      </c>
      <c r="B1828" s="4">
        <v>1128</v>
      </c>
      <c r="C1828" s="5">
        <v>280</v>
      </c>
      <c r="D1828" s="1" t="s">
        <v>1074</v>
      </c>
      <c r="E1828" s="1" t="s">
        <v>1075</v>
      </c>
      <c r="F1828" s="1" t="s">
        <v>721</v>
      </c>
      <c r="G1828" s="1" t="s">
        <v>1260</v>
      </c>
      <c r="H1828" s="3">
        <v>46007</v>
      </c>
      <c r="I1828" s="1" t="s">
        <v>933</v>
      </c>
      <c r="J1828" s="1" t="s">
        <v>66</v>
      </c>
      <c r="K1828" s="1" t="s">
        <v>340</v>
      </c>
      <c r="L1828" s="1" t="s">
        <v>3193</v>
      </c>
      <c r="M1828" s="3">
        <v>45993</v>
      </c>
      <c r="N1828" s="1" t="s">
        <v>712</v>
      </c>
      <c r="O1828" s="1" t="s">
        <v>936</v>
      </c>
      <c r="P1828" s="1">
        <v>1</v>
      </c>
    </row>
    <row r="1829" spans="1:16" x14ac:dyDescent="0.25">
      <c r="A1829" s="3">
        <v>45992</v>
      </c>
      <c r="B1829" s="4">
        <v>1128</v>
      </c>
      <c r="C1829" s="5">
        <v>2940</v>
      </c>
      <c r="D1829" s="1" t="s">
        <v>1074</v>
      </c>
      <c r="E1829" s="1" t="s">
        <v>1075</v>
      </c>
      <c r="F1829" s="1" t="s">
        <v>1814</v>
      </c>
      <c r="G1829" s="1" t="s">
        <v>1260</v>
      </c>
      <c r="H1829" s="3">
        <v>46007</v>
      </c>
      <c r="I1829" s="1" t="s">
        <v>933</v>
      </c>
      <c r="J1829" s="1" t="s">
        <v>66</v>
      </c>
      <c r="K1829" s="1" t="s">
        <v>52</v>
      </c>
      <c r="L1829" s="1" t="s">
        <v>3194</v>
      </c>
      <c r="M1829" s="3">
        <v>45993</v>
      </c>
      <c r="N1829" s="1" t="s">
        <v>1814</v>
      </c>
      <c r="O1829" s="1" t="s">
        <v>936</v>
      </c>
      <c r="P1829" s="1">
        <v>1</v>
      </c>
    </row>
    <row r="1830" spans="1:16" x14ac:dyDescent="0.25">
      <c r="A1830" s="3">
        <v>45992</v>
      </c>
      <c r="B1830" s="4">
        <v>1129</v>
      </c>
      <c r="C1830" s="5">
        <v>280</v>
      </c>
      <c r="D1830" s="1" t="s">
        <v>1074</v>
      </c>
      <c r="E1830" s="1" t="s">
        <v>1075</v>
      </c>
      <c r="F1830" s="1" t="s">
        <v>339</v>
      </c>
      <c r="G1830" s="1" t="s">
        <v>981</v>
      </c>
      <c r="H1830" s="3">
        <v>46025</v>
      </c>
      <c r="I1830" s="1" t="s">
        <v>933</v>
      </c>
      <c r="J1830" s="1" t="s">
        <v>66</v>
      </c>
      <c r="K1830" s="1" t="s">
        <v>308</v>
      </c>
      <c r="L1830" s="1" t="s">
        <v>3195</v>
      </c>
      <c r="M1830" s="3">
        <v>45993</v>
      </c>
      <c r="N1830" s="1" t="s">
        <v>57</v>
      </c>
      <c r="O1830" s="1" t="s">
        <v>936</v>
      </c>
      <c r="P1830" s="1">
        <v>1</v>
      </c>
    </row>
    <row r="1831" spans="1:16" x14ac:dyDescent="0.25">
      <c r="A1831" s="3">
        <v>45992</v>
      </c>
      <c r="B1831" s="4">
        <v>1129</v>
      </c>
      <c r="C1831" s="5">
        <v>200</v>
      </c>
      <c r="D1831" s="1" t="s">
        <v>1074</v>
      </c>
      <c r="E1831" s="1" t="s">
        <v>1075</v>
      </c>
      <c r="F1831" s="1" t="s">
        <v>753</v>
      </c>
      <c r="G1831" s="1" t="s">
        <v>981</v>
      </c>
      <c r="H1831" s="3">
        <v>46025</v>
      </c>
      <c r="I1831" s="1" t="s">
        <v>933</v>
      </c>
      <c r="J1831" s="1" t="s">
        <v>66</v>
      </c>
      <c r="K1831" s="1" t="s">
        <v>308</v>
      </c>
      <c r="L1831" s="1" t="s">
        <v>3196</v>
      </c>
      <c r="M1831" s="3">
        <v>45993</v>
      </c>
      <c r="N1831" s="1" t="s">
        <v>57</v>
      </c>
      <c r="O1831" s="1" t="s">
        <v>936</v>
      </c>
      <c r="P1831" s="1">
        <v>1</v>
      </c>
    </row>
    <row r="1832" spans="1:16" x14ac:dyDescent="0.25">
      <c r="A1832" s="3">
        <v>45992</v>
      </c>
      <c r="B1832" s="4">
        <v>1129</v>
      </c>
      <c r="C1832" s="5">
        <v>200</v>
      </c>
      <c r="D1832" s="1" t="s">
        <v>1074</v>
      </c>
      <c r="E1832" s="1" t="s">
        <v>1075</v>
      </c>
      <c r="F1832" s="1" t="s">
        <v>460</v>
      </c>
      <c r="G1832" s="1" t="s">
        <v>981</v>
      </c>
      <c r="H1832" s="3">
        <v>46025</v>
      </c>
      <c r="I1832" s="1" t="s">
        <v>933</v>
      </c>
      <c r="J1832" s="1" t="s">
        <v>66</v>
      </c>
      <c r="K1832" s="1" t="s">
        <v>1654</v>
      </c>
      <c r="L1832" s="1" t="s">
        <v>3197</v>
      </c>
      <c r="M1832" s="3">
        <v>45993</v>
      </c>
      <c r="N1832" s="1" t="s">
        <v>440</v>
      </c>
      <c r="O1832" s="1" t="s">
        <v>936</v>
      </c>
      <c r="P1832" s="1">
        <v>1</v>
      </c>
    </row>
    <row r="1833" spans="1:16" x14ac:dyDescent="0.25">
      <c r="A1833" s="3">
        <v>45992</v>
      </c>
      <c r="B1833" s="4">
        <v>1129</v>
      </c>
      <c r="C1833" s="5">
        <v>80</v>
      </c>
      <c r="D1833" s="1" t="s">
        <v>1074</v>
      </c>
      <c r="E1833" s="1" t="s">
        <v>1075</v>
      </c>
      <c r="F1833" s="1" t="s">
        <v>715</v>
      </c>
      <c r="G1833" s="1" t="s">
        <v>981</v>
      </c>
      <c r="H1833" s="3">
        <v>46025</v>
      </c>
      <c r="I1833" s="1" t="s">
        <v>933</v>
      </c>
      <c r="J1833" s="1" t="s">
        <v>66</v>
      </c>
      <c r="K1833" s="1" t="s">
        <v>340</v>
      </c>
      <c r="L1833" s="1" t="s">
        <v>3198</v>
      </c>
      <c r="M1833" s="3">
        <v>45993</v>
      </c>
      <c r="N1833" s="1" t="s">
        <v>712</v>
      </c>
      <c r="O1833" s="1" t="s">
        <v>936</v>
      </c>
      <c r="P1833" s="1">
        <v>1</v>
      </c>
    </row>
    <row r="1834" spans="1:16" x14ac:dyDescent="0.25">
      <c r="A1834" s="3">
        <v>45992</v>
      </c>
      <c r="B1834" s="4">
        <v>1129</v>
      </c>
      <c r="C1834" s="5">
        <v>25</v>
      </c>
      <c r="D1834" s="1" t="s">
        <v>1074</v>
      </c>
      <c r="E1834" s="1" t="s">
        <v>1075</v>
      </c>
      <c r="F1834" s="1" t="s">
        <v>955</v>
      </c>
      <c r="G1834" s="1" t="s">
        <v>981</v>
      </c>
      <c r="H1834" s="3">
        <v>46025</v>
      </c>
      <c r="I1834" s="1" t="s">
        <v>933</v>
      </c>
      <c r="J1834" s="1" t="s">
        <v>951</v>
      </c>
      <c r="K1834" s="1" t="s">
        <v>934</v>
      </c>
      <c r="L1834" s="1" t="s">
        <v>3199</v>
      </c>
      <c r="M1834" s="3">
        <v>45993</v>
      </c>
      <c r="N1834" s="1" t="s">
        <v>821</v>
      </c>
      <c r="O1834" s="1" t="s">
        <v>936</v>
      </c>
      <c r="P1834" s="1">
        <v>1</v>
      </c>
    </row>
    <row r="1835" spans="1:16" x14ac:dyDescent="0.25">
      <c r="A1835" s="3">
        <v>45992</v>
      </c>
      <c r="B1835" s="4">
        <v>1129</v>
      </c>
      <c r="C1835" s="5">
        <v>130</v>
      </c>
      <c r="D1835" s="1" t="s">
        <v>1074</v>
      </c>
      <c r="E1835" s="1" t="s">
        <v>1075</v>
      </c>
      <c r="F1835" s="1" t="s">
        <v>717</v>
      </c>
      <c r="G1835" s="1" t="s">
        <v>981</v>
      </c>
      <c r="H1835" s="3">
        <v>46025</v>
      </c>
      <c r="I1835" s="1" t="s">
        <v>933</v>
      </c>
      <c r="J1835" s="1" t="s">
        <v>66</v>
      </c>
      <c r="K1835" s="1" t="s">
        <v>934</v>
      </c>
      <c r="L1835" s="1" t="s">
        <v>3200</v>
      </c>
      <c r="M1835" s="3">
        <v>45993</v>
      </c>
      <c r="N1835" s="1" t="s">
        <v>712</v>
      </c>
      <c r="O1835" s="1" t="s">
        <v>936</v>
      </c>
      <c r="P1835" s="1">
        <v>1</v>
      </c>
    </row>
    <row r="1836" spans="1:16" x14ac:dyDescent="0.25">
      <c r="A1836" s="3">
        <v>45992</v>
      </c>
      <c r="B1836" s="4">
        <v>1129</v>
      </c>
      <c r="C1836" s="5">
        <v>330</v>
      </c>
      <c r="D1836" s="1" t="s">
        <v>1074</v>
      </c>
      <c r="E1836" s="1" t="s">
        <v>1075</v>
      </c>
      <c r="F1836" s="1" t="s">
        <v>245</v>
      </c>
      <c r="G1836" s="1" t="s">
        <v>981</v>
      </c>
      <c r="H1836" s="3">
        <v>46025</v>
      </c>
      <c r="I1836" s="1" t="s">
        <v>933</v>
      </c>
      <c r="J1836" s="1" t="s">
        <v>66</v>
      </c>
      <c r="K1836" s="1" t="s">
        <v>308</v>
      </c>
      <c r="L1836" s="1" t="s">
        <v>3201</v>
      </c>
      <c r="M1836" s="3">
        <v>45993</v>
      </c>
      <c r="N1836" s="1" t="s">
        <v>57</v>
      </c>
      <c r="O1836" s="1" t="s">
        <v>936</v>
      </c>
      <c r="P1836" s="1">
        <v>1</v>
      </c>
    </row>
    <row r="1837" spans="1:16" x14ac:dyDescent="0.25">
      <c r="A1837" s="3">
        <v>45992</v>
      </c>
      <c r="B1837" s="4">
        <v>1129</v>
      </c>
      <c r="C1837" s="5">
        <v>310</v>
      </c>
      <c r="D1837" s="1" t="s">
        <v>1074</v>
      </c>
      <c r="E1837" s="1" t="s">
        <v>1075</v>
      </c>
      <c r="F1837" s="1" t="s">
        <v>478</v>
      </c>
      <c r="G1837" s="1" t="s">
        <v>981</v>
      </c>
      <c r="H1837" s="3">
        <v>46025</v>
      </c>
      <c r="I1837" s="1" t="s">
        <v>933</v>
      </c>
      <c r="J1837" s="1" t="s">
        <v>66</v>
      </c>
      <c r="K1837" s="1" t="s">
        <v>308</v>
      </c>
      <c r="L1837" s="1" t="s">
        <v>3202</v>
      </c>
      <c r="M1837" s="3">
        <v>45993</v>
      </c>
      <c r="N1837" s="1" t="s">
        <v>440</v>
      </c>
      <c r="O1837" s="1" t="s">
        <v>936</v>
      </c>
      <c r="P1837" s="1">
        <v>1</v>
      </c>
    </row>
    <row r="1838" spans="1:16" x14ac:dyDescent="0.25">
      <c r="A1838" s="3">
        <v>45992</v>
      </c>
      <c r="B1838" s="4">
        <v>1098</v>
      </c>
      <c r="C1838" s="5">
        <v>785</v>
      </c>
      <c r="D1838" s="1" t="s">
        <v>1126</v>
      </c>
      <c r="E1838" s="1" t="s">
        <v>1620</v>
      </c>
      <c r="F1838" s="1" t="s">
        <v>430</v>
      </c>
      <c r="G1838" s="1" t="s">
        <v>940</v>
      </c>
      <c r="H1838" s="3">
        <v>46017</v>
      </c>
      <c r="I1838" s="1" t="s">
        <v>933</v>
      </c>
      <c r="J1838" s="1" t="s">
        <v>66</v>
      </c>
      <c r="K1838" s="1" t="s">
        <v>1654</v>
      </c>
      <c r="L1838" s="1" t="s">
        <v>3203</v>
      </c>
      <c r="M1838" s="3">
        <v>45993</v>
      </c>
      <c r="N1838" s="1" t="s">
        <v>57</v>
      </c>
      <c r="O1838" s="1" t="s">
        <v>936</v>
      </c>
      <c r="P1838" s="1">
        <v>1</v>
      </c>
    </row>
    <row r="1839" spans="1:16" x14ac:dyDescent="0.25">
      <c r="A1839" s="3">
        <v>45992</v>
      </c>
      <c r="B1839" s="4">
        <v>1099</v>
      </c>
      <c r="C1839" s="5">
        <v>4180</v>
      </c>
      <c r="D1839" s="1" t="s">
        <v>1126</v>
      </c>
      <c r="E1839" s="1" t="s">
        <v>1620</v>
      </c>
      <c r="F1839" s="1" t="s">
        <v>955</v>
      </c>
      <c r="G1839" s="1" t="s">
        <v>940</v>
      </c>
      <c r="H1839" s="3">
        <v>46017</v>
      </c>
      <c r="I1839" s="1" t="s">
        <v>933</v>
      </c>
      <c r="J1839" s="1" t="s">
        <v>951</v>
      </c>
      <c r="K1839" s="1" t="s">
        <v>340</v>
      </c>
      <c r="L1839" s="1" t="s">
        <v>3204</v>
      </c>
      <c r="M1839" s="3">
        <v>45993</v>
      </c>
      <c r="N1839" s="1" t="s">
        <v>821</v>
      </c>
      <c r="O1839" s="1" t="s">
        <v>936</v>
      </c>
      <c r="P1839" s="1">
        <v>1</v>
      </c>
    </row>
    <row r="1840" spans="1:16" x14ac:dyDescent="0.25">
      <c r="A1840" s="3">
        <v>45992</v>
      </c>
      <c r="B1840" s="4">
        <v>1100</v>
      </c>
      <c r="C1840" s="5">
        <v>250</v>
      </c>
      <c r="D1840" s="1" t="s">
        <v>1126</v>
      </c>
      <c r="E1840" s="1" t="s">
        <v>1620</v>
      </c>
      <c r="F1840" s="1" t="s">
        <v>245</v>
      </c>
      <c r="G1840" s="1" t="s">
        <v>940</v>
      </c>
      <c r="H1840" s="3">
        <v>46017</v>
      </c>
      <c r="I1840" s="1" t="s">
        <v>933</v>
      </c>
      <c r="J1840" s="1" t="s">
        <v>66</v>
      </c>
      <c r="K1840" s="1" t="s">
        <v>308</v>
      </c>
      <c r="L1840" s="1" t="s">
        <v>3205</v>
      </c>
      <c r="M1840" s="3">
        <v>45993</v>
      </c>
      <c r="N1840" s="1" t="s">
        <v>57</v>
      </c>
      <c r="O1840" s="1" t="s">
        <v>936</v>
      </c>
      <c r="P1840" s="1">
        <v>1</v>
      </c>
    </row>
    <row r="1841" spans="1:16" x14ac:dyDescent="0.25">
      <c r="A1841" s="3">
        <v>45992</v>
      </c>
      <c r="B1841" s="4">
        <v>1101</v>
      </c>
      <c r="C1841" s="5">
        <v>2320</v>
      </c>
      <c r="D1841" s="1" t="s">
        <v>1126</v>
      </c>
      <c r="E1841" s="1" t="s">
        <v>1620</v>
      </c>
      <c r="F1841" s="1" t="s">
        <v>419</v>
      </c>
      <c r="G1841" s="1" t="s">
        <v>940</v>
      </c>
      <c r="H1841" s="3">
        <v>46017</v>
      </c>
      <c r="I1841" s="1" t="s">
        <v>933</v>
      </c>
      <c r="J1841" s="1" t="s">
        <v>66</v>
      </c>
      <c r="K1841" s="1" t="s">
        <v>340</v>
      </c>
      <c r="L1841" s="1" t="s">
        <v>3206</v>
      </c>
      <c r="M1841" s="3">
        <v>45993</v>
      </c>
      <c r="N1841" s="1" t="s">
        <v>98</v>
      </c>
      <c r="O1841" s="1" t="s">
        <v>936</v>
      </c>
      <c r="P1841" s="1">
        <v>1</v>
      </c>
    </row>
    <row r="1842" spans="1:16" x14ac:dyDescent="0.25">
      <c r="A1842" s="3">
        <v>45992</v>
      </c>
      <c r="B1842" s="4">
        <v>1102</v>
      </c>
      <c r="C1842" s="5">
        <v>3650</v>
      </c>
      <c r="D1842" s="1" t="s">
        <v>1126</v>
      </c>
      <c r="E1842" s="1" t="s">
        <v>1620</v>
      </c>
      <c r="F1842" s="1" t="s">
        <v>955</v>
      </c>
      <c r="G1842" s="1" t="s">
        <v>940</v>
      </c>
      <c r="H1842" s="3">
        <v>46017</v>
      </c>
      <c r="I1842" s="1" t="s">
        <v>933</v>
      </c>
      <c r="J1842" s="1" t="s">
        <v>951</v>
      </c>
      <c r="K1842" s="1" t="s">
        <v>340</v>
      </c>
      <c r="L1842" s="1" t="s">
        <v>3207</v>
      </c>
      <c r="M1842" s="3">
        <v>45993</v>
      </c>
      <c r="N1842" s="1" t="s">
        <v>821</v>
      </c>
      <c r="O1842" s="1" t="s">
        <v>936</v>
      </c>
      <c r="P1842" s="1">
        <v>1</v>
      </c>
    </row>
    <row r="1843" spans="1:16" x14ac:dyDescent="0.25">
      <c r="A1843" s="3">
        <v>45992</v>
      </c>
      <c r="B1843" s="4">
        <v>1103</v>
      </c>
      <c r="C1843" s="5">
        <v>480</v>
      </c>
      <c r="D1843" s="1" t="s">
        <v>1126</v>
      </c>
      <c r="E1843" s="1" t="s">
        <v>1620</v>
      </c>
      <c r="F1843" s="1" t="s">
        <v>88</v>
      </c>
      <c r="G1843" s="1" t="s">
        <v>940</v>
      </c>
      <c r="H1843" s="3">
        <v>46017</v>
      </c>
      <c r="I1843" s="1" t="s">
        <v>933</v>
      </c>
      <c r="J1843" s="1" t="s">
        <v>66</v>
      </c>
      <c r="K1843" s="1" t="s">
        <v>1654</v>
      </c>
      <c r="L1843" s="1" t="s">
        <v>3208</v>
      </c>
      <c r="M1843" s="3">
        <v>45993</v>
      </c>
      <c r="N1843" s="1" t="s">
        <v>93</v>
      </c>
      <c r="O1843" s="1" t="s">
        <v>936</v>
      </c>
      <c r="P1843" s="1">
        <v>1</v>
      </c>
    </row>
    <row r="1844" spans="1:16" x14ac:dyDescent="0.25">
      <c r="A1844" s="3">
        <v>45992</v>
      </c>
      <c r="B1844" s="4">
        <v>1104</v>
      </c>
      <c r="C1844" s="5">
        <v>350</v>
      </c>
      <c r="D1844" s="1" t="s">
        <v>1126</v>
      </c>
      <c r="E1844" s="1" t="s">
        <v>1620</v>
      </c>
      <c r="F1844" s="1" t="s">
        <v>857</v>
      </c>
      <c r="G1844" s="1" t="s">
        <v>940</v>
      </c>
      <c r="H1844" s="3">
        <v>46017</v>
      </c>
      <c r="I1844" s="1" t="s">
        <v>933</v>
      </c>
      <c r="J1844" s="1" t="s">
        <v>66</v>
      </c>
      <c r="K1844" s="1" t="s">
        <v>308</v>
      </c>
      <c r="L1844" s="1" t="s">
        <v>3209</v>
      </c>
      <c r="M1844" s="3">
        <v>45993</v>
      </c>
      <c r="N1844" s="1" t="s">
        <v>506</v>
      </c>
      <c r="O1844" s="1" t="s">
        <v>936</v>
      </c>
      <c r="P1844" s="1">
        <v>1</v>
      </c>
    </row>
    <row r="1845" spans="1:16" x14ac:dyDescent="0.25">
      <c r="A1845" s="3">
        <v>45992</v>
      </c>
      <c r="B1845" s="4">
        <v>1105</v>
      </c>
      <c r="C1845" s="5">
        <v>280</v>
      </c>
      <c r="D1845" s="1" t="s">
        <v>1126</v>
      </c>
      <c r="E1845" s="1" t="s">
        <v>1620</v>
      </c>
      <c r="F1845" s="1" t="s">
        <v>639</v>
      </c>
      <c r="G1845" s="1" t="s">
        <v>940</v>
      </c>
      <c r="H1845" s="3">
        <v>46017</v>
      </c>
      <c r="I1845" s="1" t="s">
        <v>933</v>
      </c>
      <c r="J1845" s="1" t="s">
        <v>66</v>
      </c>
      <c r="K1845" s="1" t="s">
        <v>858</v>
      </c>
      <c r="L1845" s="1" t="s">
        <v>3210</v>
      </c>
      <c r="M1845" s="3">
        <v>45993</v>
      </c>
      <c r="N1845" s="1" t="s">
        <v>98</v>
      </c>
      <c r="O1845" s="1" t="s">
        <v>936</v>
      </c>
      <c r="P1845" s="1">
        <v>1</v>
      </c>
    </row>
    <row r="1846" spans="1:16" x14ac:dyDescent="0.25">
      <c r="A1846" s="3">
        <v>45992</v>
      </c>
      <c r="B1846" s="4">
        <v>1106</v>
      </c>
      <c r="C1846" s="5">
        <v>435</v>
      </c>
      <c r="D1846" s="1" t="s">
        <v>1126</v>
      </c>
      <c r="E1846" s="1" t="s">
        <v>1620</v>
      </c>
      <c r="F1846" s="1" t="s">
        <v>727</v>
      </c>
      <c r="G1846" s="1" t="s">
        <v>940</v>
      </c>
      <c r="H1846" s="3">
        <v>46017</v>
      </c>
      <c r="I1846" s="1" t="s">
        <v>933</v>
      </c>
      <c r="J1846" s="1" t="s">
        <v>66</v>
      </c>
      <c r="K1846" s="1" t="s">
        <v>308</v>
      </c>
      <c r="L1846" s="1" t="s">
        <v>3211</v>
      </c>
      <c r="M1846" s="3">
        <v>45993</v>
      </c>
      <c r="N1846" s="1" t="s">
        <v>57</v>
      </c>
      <c r="O1846" s="1" t="s">
        <v>936</v>
      </c>
      <c r="P1846" s="1">
        <v>1</v>
      </c>
    </row>
    <row r="1847" spans="1:16" x14ac:dyDescent="0.25">
      <c r="A1847" s="3">
        <v>45992</v>
      </c>
      <c r="B1847" s="4">
        <v>1107</v>
      </c>
      <c r="C1847" s="5">
        <v>3950</v>
      </c>
      <c r="D1847" s="1" t="s">
        <v>1126</v>
      </c>
      <c r="E1847" s="1" t="s">
        <v>1620</v>
      </c>
      <c r="F1847" s="1" t="s">
        <v>809</v>
      </c>
      <c r="G1847" s="1" t="s">
        <v>940</v>
      </c>
      <c r="H1847" s="3">
        <v>46017</v>
      </c>
      <c r="I1847" s="1" t="s">
        <v>933</v>
      </c>
      <c r="J1847" s="1" t="s">
        <v>66</v>
      </c>
      <c r="K1847" s="1" t="s">
        <v>340</v>
      </c>
      <c r="L1847" s="1" t="s">
        <v>3212</v>
      </c>
      <c r="M1847" s="3">
        <v>45993</v>
      </c>
      <c r="N1847" s="1" t="s">
        <v>212</v>
      </c>
      <c r="O1847" s="1" t="s">
        <v>936</v>
      </c>
      <c r="P1847" s="1">
        <v>1</v>
      </c>
    </row>
    <row r="1848" spans="1:16" x14ac:dyDescent="0.25">
      <c r="A1848" s="3">
        <v>45992</v>
      </c>
      <c r="B1848" s="4">
        <v>1108</v>
      </c>
      <c r="C1848" s="5">
        <v>420</v>
      </c>
      <c r="D1848" s="1" t="s">
        <v>1126</v>
      </c>
      <c r="E1848" s="1" t="s">
        <v>1620</v>
      </c>
      <c r="F1848" s="1" t="s">
        <v>753</v>
      </c>
      <c r="G1848" s="1" t="s">
        <v>940</v>
      </c>
      <c r="H1848" s="3">
        <v>46017</v>
      </c>
      <c r="I1848" s="1" t="s">
        <v>933</v>
      </c>
      <c r="J1848" s="1" t="s">
        <v>66</v>
      </c>
      <c r="K1848" s="1" t="s">
        <v>308</v>
      </c>
      <c r="L1848" s="1" t="s">
        <v>3213</v>
      </c>
      <c r="M1848" s="3">
        <v>45993</v>
      </c>
      <c r="N1848" s="1" t="s">
        <v>57</v>
      </c>
      <c r="O1848" s="1" t="s">
        <v>936</v>
      </c>
      <c r="P1848" s="1">
        <v>1</v>
      </c>
    </row>
    <row r="1849" spans="1:16" x14ac:dyDescent="0.25">
      <c r="A1849" s="3">
        <v>45992</v>
      </c>
      <c r="B1849" s="4">
        <v>1109</v>
      </c>
      <c r="C1849" s="5">
        <v>550</v>
      </c>
      <c r="D1849" s="1" t="s">
        <v>1126</v>
      </c>
      <c r="E1849" s="1" t="s">
        <v>1620</v>
      </c>
      <c r="F1849" s="1" t="s">
        <v>955</v>
      </c>
      <c r="G1849" s="1" t="s">
        <v>940</v>
      </c>
      <c r="H1849" s="3">
        <v>46017</v>
      </c>
      <c r="I1849" s="1" t="s">
        <v>933</v>
      </c>
      <c r="J1849" s="1" t="s">
        <v>951</v>
      </c>
      <c r="K1849" s="1" t="s">
        <v>308</v>
      </c>
      <c r="L1849" s="1" t="s">
        <v>3214</v>
      </c>
      <c r="M1849" s="3">
        <v>45993</v>
      </c>
      <c r="N1849" s="1" t="s">
        <v>821</v>
      </c>
      <c r="O1849" s="1" t="s">
        <v>936</v>
      </c>
      <c r="P1849" s="1">
        <v>1</v>
      </c>
    </row>
    <row r="1850" spans="1:16" x14ac:dyDescent="0.25">
      <c r="A1850" s="3">
        <v>45992</v>
      </c>
      <c r="B1850" s="4">
        <v>1110</v>
      </c>
      <c r="C1850" s="5">
        <v>735</v>
      </c>
      <c r="D1850" s="1" t="s">
        <v>1126</v>
      </c>
      <c r="E1850" s="1" t="s">
        <v>1620</v>
      </c>
      <c r="F1850" s="1" t="s">
        <v>955</v>
      </c>
      <c r="G1850" s="1" t="s">
        <v>940</v>
      </c>
      <c r="H1850" s="3">
        <v>46017</v>
      </c>
      <c r="I1850" s="1" t="s">
        <v>933</v>
      </c>
      <c r="J1850" s="1" t="s">
        <v>951</v>
      </c>
      <c r="K1850" s="1" t="s">
        <v>308</v>
      </c>
      <c r="L1850" s="1" t="s">
        <v>3215</v>
      </c>
      <c r="M1850" s="3">
        <v>45993</v>
      </c>
      <c r="N1850" s="1" t="s">
        <v>821</v>
      </c>
      <c r="O1850" s="1" t="s">
        <v>936</v>
      </c>
      <c r="P1850" s="1">
        <v>1</v>
      </c>
    </row>
    <row r="1851" spans="1:16" x14ac:dyDescent="0.25">
      <c r="A1851" s="3">
        <v>45992</v>
      </c>
      <c r="B1851" s="4">
        <v>1111</v>
      </c>
      <c r="C1851" s="5">
        <v>250</v>
      </c>
      <c r="D1851" s="1" t="s">
        <v>1126</v>
      </c>
      <c r="E1851" s="1" t="s">
        <v>1620</v>
      </c>
      <c r="F1851" s="1" t="s">
        <v>955</v>
      </c>
      <c r="G1851" s="1" t="s">
        <v>940</v>
      </c>
      <c r="H1851" s="3">
        <v>46017</v>
      </c>
      <c r="I1851" s="1" t="s">
        <v>933</v>
      </c>
      <c r="J1851" s="1" t="s">
        <v>951</v>
      </c>
      <c r="K1851" s="1" t="s">
        <v>340</v>
      </c>
      <c r="L1851" s="1" t="s">
        <v>3216</v>
      </c>
      <c r="M1851" s="3">
        <v>45993</v>
      </c>
      <c r="N1851" s="1" t="s">
        <v>821</v>
      </c>
      <c r="O1851" s="1" t="s">
        <v>936</v>
      </c>
      <c r="P1851" s="1">
        <v>1</v>
      </c>
    </row>
    <row r="1852" spans="1:16" x14ac:dyDescent="0.25">
      <c r="A1852" s="3">
        <v>45992</v>
      </c>
      <c r="B1852" s="4">
        <v>1112</v>
      </c>
      <c r="C1852" s="5">
        <v>2355</v>
      </c>
      <c r="D1852" s="1" t="s">
        <v>1126</v>
      </c>
      <c r="E1852" s="1" t="s">
        <v>1620</v>
      </c>
      <c r="F1852" s="1" t="s">
        <v>229</v>
      </c>
      <c r="G1852" s="1" t="s">
        <v>940</v>
      </c>
      <c r="H1852" s="3">
        <v>46017</v>
      </c>
      <c r="I1852" s="1" t="s">
        <v>933</v>
      </c>
      <c r="J1852" s="1" t="s">
        <v>66</v>
      </c>
      <c r="K1852" s="1" t="s">
        <v>308</v>
      </c>
      <c r="L1852" s="1" t="s">
        <v>3217</v>
      </c>
      <c r="M1852" s="3">
        <v>45993</v>
      </c>
      <c r="N1852" s="1" t="s">
        <v>233</v>
      </c>
      <c r="O1852" s="1" t="s">
        <v>936</v>
      </c>
      <c r="P1852" s="1">
        <v>1</v>
      </c>
    </row>
    <row r="1853" spans="1:16" x14ac:dyDescent="0.25">
      <c r="A1853" s="3">
        <v>45992</v>
      </c>
      <c r="B1853" s="4">
        <v>1113</v>
      </c>
      <c r="C1853" s="5">
        <v>1850</v>
      </c>
      <c r="D1853" s="1" t="s">
        <v>1126</v>
      </c>
      <c r="E1853" s="1" t="s">
        <v>1620</v>
      </c>
      <c r="F1853" s="1" t="s">
        <v>955</v>
      </c>
      <c r="G1853" s="1" t="s">
        <v>940</v>
      </c>
      <c r="H1853" s="3">
        <v>46017</v>
      </c>
      <c r="I1853" s="1" t="s">
        <v>933</v>
      </c>
      <c r="J1853" s="1" t="s">
        <v>951</v>
      </c>
      <c r="K1853" s="1" t="s">
        <v>934</v>
      </c>
      <c r="L1853" s="1" t="s">
        <v>3218</v>
      </c>
      <c r="M1853" s="3">
        <v>45993</v>
      </c>
      <c r="N1853" s="1" t="s">
        <v>821</v>
      </c>
      <c r="O1853" s="1" t="s">
        <v>936</v>
      </c>
      <c r="P1853" s="1">
        <v>1</v>
      </c>
    </row>
    <row r="1854" spans="1:16" x14ac:dyDescent="0.25">
      <c r="A1854" s="3">
        <v>45992</v>
      </c>
      <c r="B1854" s="4">
        <v>1114</v>
      </c>
      <c r="C1854" s="5">
        <v>150</v>
      </c>
      <c r="D1854" s="1" t="s">
        <v>1126</v>
      </c>
      <c r="E1854" s="1" t="s">
        <v>1620</v>
      </c>
      <c r="F1854" s="1" t="s">
        <v>736</v>
      </c>
      <c r="G1854" s="1" t="s">
        <v>940</v>
      </c>
      <c r="H1854" s="3">
        <v>46017</v>
      </c>
      <c r="I1854" s="1" t="s">
        <v>933</v>
      </c>
      <c r="J1854" s="1" t="s">
        <v>66</v>
      </c>
      <c r="K1854" s="1" t="s">
        <v>308</v>
      </c>
      <c r="L1854" s="1" t="s">
        <v>3219</v>
      </c>
      <c r="M1854" s="3">
        <v>45993</v>
      </c>
      <c r="N1854" s="1" t="s">
        <v>57</v>
      </c>
      <c r="O1854" s="1" t="s">
        <v>936</v>
      </c>
      <c r="P1854" s="1">
        <v>1</v>
      </c>
    </row>
    <row r="1855" spans="1:16" x14ac:dyDescent="0.25">
      <c r="A1855" s="3">
        <v>45992</v>
      </c>
      <c r="B1855" s="4">
        <v>1115</v>
      </c>
      <c r="C1855" s="5">
        <v>440</v>
      </c>
      <c r="D1855" s="1" t="s">
        <v>1126</v>
      </c>
      <c r="E1855" s="1" t="s">
        <v>1620</v>
      </c>
      <c r="F1855" s="1" t="s">
        <v>339</v>
      </c>
      <c r="G1855" s="1" t="s">
        <v>940</v>
      </c>
      <c r="H1855" s="3">
        <v>46017</v>
      </c>
      <c r="I1855" s="1" t="s">
        <v>933</v>
      </c>
      <c r="J1855" s="1" t="s">
        <v>66</v>
      </c>
      <c r="K1855" s="1" t="s">
        <v>308</v>
      </c>
      <c r="L1855" s="1" t="s">
        <v>3220</v>
      </c>
      <c r="M1855" s="3">
        <v>45993</v>
      </c>
      <c r="N1855" s="1" t="s">
        <v>57</v>
      </c>
      <c r="O1855" s="1" t="s">
        <v>936</v>
      </c>
      <c r="P1855" s="1">
        <v>1</v>
      </c>
    </row>
    <row r="1856" spans="1:16" x14ac:dyDescent="0.25">
      <c r="A1856" s="3">
        <v>45992</v>
      </c>
      <c r="B1856" s="4">
        <v>1116</v>
      </c>
      <c r="C1856" s="5">
        <v>1100</v>
      </c>
      <c r="D1856" s="1" t="s">
        <v>1126</v>
      </c>
      <c r="E1856" s="1" t="s">
        <v>1620</v>
      </c>
      <c r="F1856" s="1" t="s">
        <v>955</v>
      </c>
      <c r="G1856" s="1" t="s">
        <v>940</v>
      </c>
      <c r="H1856" s="3">
        <v>46017</v>
      </c>
      <c r="I1856" s="1" t="s">
        <v>933</v>
      </c>
      <c r="J1856" s="1" t="s">
        <v>951</v>
      </c>
      <c r="K1856" s="1" t="s">
        <v>817</v>
      </c>
      <c r="L1856" s="1" t="s">
        <v>3221</v>
      </c>
      <c r="M1856" s="3">
        <v>45993</v>
      </c>
      <c r="N1856" s="1" t="s">
        <v>821</v>
      </c>
      <c r="O1856" s="1" t="s">
        <v>936</v>
      </c>
      <c r="P1856" s="1">
        <v>1</v>
      </c>
    </row>
    <row r="1857" spans="1:16" x14ac:dyDescent="0.25">
      <c r="A1857" s="3">
        <v>45992</v>
      </c>
      <c r="B1857" s="4">
        <v>1117</v>
      </c>
      <c r="C1857" s="5">
        <v>320</v>
      </c>
      <c r="D1857" s="1" t="s">
        <v>1126</v>
      </c>
      <c r="E1857" s="1" t="s">
        <v>1620</v>
      </c>
      <c r="F1857" s="1" t="s">
        <v>955</v>
      </c>
      <c r="G1857" s="1" t="s">
        <v>940</v>
      </c>
      <c r="H1857" s="3">
        <v>46017</v>
      </c>
      <c r="I1857" s="1" t="s">
        <v>933</v>
      </c>
      <c r="J1857" s="1" t="s">
        <v>951</v>
      </c>
      <c r="K1857" s="1" t="s">
        <v>308</v>
      </c>
      <c r="L1857" s="1" t="s">
        <v>3222</v>
      </c>
      <c r="M1857" s="3">
        <v>45993</v>
      </c>
      <c r="N1857" s="1" t="s">
        <v>821</v>
      </c>
      <c r="O1857" s="1" t="s">
        <v>936</v>
      </c>
      <c r="P1857" s="1">
        <v>1</v>
      </c>
    </row>
    <row r="1858" spans="1:16" x14ac:dyDescent="0.25">
      <c r="A1858" s="3">
        <v>45992</v>
      </c>
      <c r="B1858" s="4">
        <v>1118</v>
      </c>
      <c r="C1858" s="5">
        <v>255</v>
      </c>
      <c r="D1858" s="1" t="s">
        <v>1126</v>
      </c>
      <c r="E1858" s="1" t="s">
        <v>1620</v>
      </c>
      <c r="F1858" s="1" t="s">
        <v>723</v>
      </c>
      <c r="G1858" s="1" t="s">
        <v>940</v>
      </c>
      <c r="H1858" s="3">
        <v>46017</v>
      </c>
      <c r="I1858" s="1" t="s">
        <v>933</v>
      </c>
      <c r="J1858" s="1" t="s">
        <v>66</v>
      </c>
      <c r="K1858" s="1" t="s">
        <v>659</v>
      </c>
      <c r="L1858" s="1" t="s">
        <v>3223</v>
      </c>
      <c r="M1858" s="3">
        <v>45993</v>
      </c>
      <c r="N1858" s="1" t="s">
        <v>726</v>
      </c>
      <c r="O1858" s="1" t="s">
        <v>936</v>
      </c>
      <c r="P1858" s="1">
        <v>1</v>
      </c>
    </row>
    <row r="1859" spans="1:16" x14ac:dyDescent="0.25">
      <c r="A1859" s="3">
        <v>45992</v>
      </c>
      <c r="B1859" s="4">
        <v>1119</v>
      </c>
      <c r="C1859" s="5">
        <v>285</v>
      </c>
      <c r="D1859" s="1" t="s">
        <v>1126</v>
      </c>
      <c r="E1859" s="1" t="s">
        <v>1620</v>
      </c>
      <c r="F1859" s="1" t="s">
        <v>906</v>
      </c>
      <c r="G1859" s="1" t="s">
        <v>940</v>
      </c>
      <c r="H1859" s="3">
        <v>46017</v>
      </c>
      <c r="I1859" s="1" t="s">
        <v>933</v>
      </c>
      <c r="J1859" s="1" t="s">
        <v>66</v>
      </c>
      <c r="K1859" s="1" t="s">
        <v>308</v>
      </c>
      <c r="L1859" s="1" t="s">
        <v>3224</v>
      </c>
      <c r="M1859" s="3">
        <v>45993</v>
      </c>
      <c r="N1859" s="1" t="s">
        <v>57</v>
      </c>
      <c r="O1859" s="1" t="s">
        <v>936</v>
      </c>
      <c r="P1859" s="1">
        <v>1</v>
      </c>
    </row>
    <row r="1860" spans="1:16" x14ac:dyDescent="0.25">
      <c r="A1860" s="3">
        <v>45992</v>
      </c>
      <c r="B1860" s="4">
        <v>1120</v>
      </c>
      <c r="C1860" s="5">
        <v>435</v>
      </c>
      <c r="D1860" s="1" t="s">
        <v>1126</v>
      </c>
      <c r="E1860" s="1" t="s">
        <v>1620</v>
      </c>
      <c r="F1860" s="1" t="s">
        <v>719</v>
      </c>
      <c r="G1860" s="1" t="s">
        <v>940</v>
      </c>
      <c r="H1860" s="3">
        <v>46017</v>
      </c>
      <c r="I1860" s="1" t="s">
        <v>933</v>
      </c>
      <c r="J1860" s="1" t="s">
        <v>66</v>
      </c>
      <c r="K1860" s="1" t="s">
        <v>340</v>
      </c>
      <c r="L1860" s="1" t="s">
        <v>3225</v>
      </c>
      <c r="M1860" s="3">
        <v>45993</v>
      </c>
      <c r="N1860" s="1" t="s">
        <v>712</v>
      </c>
      <c r="O1860" s="1" t="s">
        <v>936</v>
      </c>
      <c r="P1860" s="1">
        <v>1</v>
      </c>
    </row>
    <row r="1861" spans="1:16" x14ac:dyDescent="0.25">
      <c r="A1861" s="3">
        <v>45992</v>
      </c>
      <c r="B1861" s="4">
        <v>1122</v>
      </c>
      <c r="C1861" s="5">
        <v>300</v>
      </c>
      <c r="D1861" s="1" t="s">
        <v>1126</v>
      </c>
      <c r="E1861" s="1" t="s">
        <v>1620</v>
      </c>
      <c r="F1861" s="1" t="s">
        <v>715</v>
      </c>
      <c r="G1861" s="1" t="s">
        <v>940</v>
      </c>
      <c r="H1861" s="3">
        <v>46017</v>
      </c>
      <c r="I1861" s="1" t="s">
        <v>933</v>
      </c>
      <c r="J1861" s="1" t="s">
        <v>66</v>
      </c>
      <c r="K1861" s="1" t="s">
        <v>340</v>
      </c>
      <c r="L1861" s="1" t="s">
        <v>3226</v>
      </c>
      <c r="M1861" s="3">
        <v>45993</v>
      </c>
      <c r="N1861" s="1" t="s">
        <v>712</v>
      </c>
      <c r="O1861" s="1" t="s">
        <v>936</v>
      </c>
      <c r="P1861" s="1">
        <v>1</v>
      </c>
    </row>
    <row r="1862" spans="1:16" x14ac:dyDescent="0.25">
      <c r="A1862" s="3">
        <v>45992</v>
      </c>
      <c r="B1862" s="4">
        <v>1129</v>
      </c>
      <c r="C1862" s="5">
        <v>100</v>
      </c>
      <c r="D1862" s="1" t="s">
        <v>1074</v>
      </c>
      <c r="E1862" s="1" t="s">
        <v>1075</v>
      </c>
      <c r="F1862" s="1" t="s">
        <v>339</v>
      </c>
      <c r="G1862" s="1" t="s">
        <v>981</v>
      </c>
      <c r="H1862" s="3">
        <v>46025</v>
      </c>
      <c r="I1862" s="1" t="s">
        <v>933</v>
      </c>
      <c r="J1862" s="1" t="s">
        <v>66</v>
      </c>
      <c r="K1862" s="1" t="s">
        <v>858</v>
      </c>
      <c r="L1862" s="1" t="s">
        <v>3227</v>
      </c>
      <c r="M1862" s="3">
        <v>45993</v>
      </c>
      <c r="N1862" s="1" t="s">
        <v>57</v>
      </c>
      <c r="O1862" s="1" t="s">
        <v>936</v>
      </c>
      <c r="P1862" s="1">
        <v>1</v>
      </c>
    </row>
    <row r="1863" spans="1:16" x14ac:dyDescent="0.25">
      <c r="A1863" s="3">
        <v>45992</v>
      </c>
      <c r="B1863" s="4">
        <v>1129</v>
      </c>
      <c r="C1863" s="5">
        <v>80</v>
      </c>
      <c r="D1863" s="1" t="s">
        <v>1074</v>
      </c>
      <c r="E1863" s="1" t="s">
        <v>1075</v>
      </c>
      <c r="F1863" s="1" t="s">
        <v>478</v>
      </c>
      <c r="G1863" s="1" t="s">
        <v>981</v>
      </c>
      <c r="H1863" s="3">
        <v>46025</v>
      </c>
      <c r="I1863" s="1" t="s">
        <v>933</v>
      </c>
      <c r="J1863" s="1" t="s">
        <v>66</v>
      </c>
      <c r="K1863" s="1" t="s">
        <v>308</v>
      </c>
      <c r="L1863" s="1" t="s">
        <v>3228</v>
      </c>
      <c r="M1863" s="3">
        <v>45993</v>
      </c>
      <c r="N1863" s="1" t="s">
        <v>440</v>
      </c>
      <c r="O1863" s="1" t="s">
        <v>936</v>
      </c>
      <c r="P1863" s="1">
        <v>1</v>
      </c>
    </row>
    <row r="1864" spans="1:16" x14ac:dyDescent="0.25">
      <c r="A1864" s="3">
        <v>45992</v>
      </c>
      <c r="B1864" s="4">
        <v>1129</v>
      </c>
      <c r="C1864" s="5">
        <v>440</v>
      </c>
      <c r="D1864" s="1" t="s">
        <v>1074</v>
      </c>
      <c r="E1864" s="1" t="s">
        <v>1075</v>
      </c>
      <c r="F1864" s="1" t="s">
        <v>715</v>
      </c>
      <c r="G1864" s="1" t="s">
        <v>981</v>
      </c>
      <c r="H1864" s="3">
        <v>46025</v>
      </c>
      <c r="I1864" s="1" t="s">
        <v>933</v>
      </c>
      <c r="J1864" s="1" t="s">
        <v>66</v>
      </c>
      <c r="K1864" s="1" t="s">
        <v>340</v>
      </c>
      <c r="L1864" s="1" t="s">
        <v>3229</v>
      </c>
      <c r="M1864" s="3">
        <v>45993</v>
      </c>
      <c r="N1864" s="1" t="s">
        <v>712</v>
      </c>
      <c r="O1864" s="1" t="s">
        <v>936</v>
      </c>
      <c r="P1864" s="1">
        <v>1</v>
      </c>
    </row>
    <row r="1865" spans="1:16" x14ac:dyDescent="0.25">
      <c r="A1865" s="3">
        <v>45992</v>
      </c>
      <c r="B1865" s="1">
        <v>9</v>
      </c>
      <c r="C1865" s="5">
        <v>6000</v>
      </c>
      <c r="D1865" s="1" t="s">
        <v>3230</v>
      </c>
      <c r="E1865" s="1" t="s">
        <v>3231</v>
      </c>
      <c r="F1865" s="1" t="s">
        <v>955</v>
      </c>
      <c r="G1865" s="1" t="s">
        <v>990</v>
      </c>
      <c r="H1865" s="3">
        <v>46019</v>
      </c>
      <c r="I1865" s="1" t="s">
        <v>933</v>
      </c>
      <c r="J1865" s="1" t="s">
        <v>951</v>
      </c>
      <c r="K1865" s="1" t="s">
        <v>20</v>
      </c>
      <c r="L1865" s="1" t="s">
        <v>3232</v>
      </c>
      <c r="M1865" s="3">
        <v>45993</v>
      </c>
      <c r="N1865" s="1" t="s">
        <v>821</v>
      </c>
      <c r="O1865" s="1" t="s">
        <v>937</v>
      </c>
      <c r="P1865" s="1" t="s">
        <v>937</v>
      </c>
    </row>
    <row r="1866" spans="1:16" x14ac:dyDescent="0.25">
      <c r="A1866" s="3">
        <v>45992</v>
      </c>
      <c r="B1866" s="1">
        <v>763</v>
      </c>
      <c r="C1866" s="5">
        <v>5700</v>
      </c>
      <c r="D1866" s="1" t="s">
        <v>3122</v>
      </c>
      <c r="E1866" s="1" t="s">
        <v>3123</v>
      </c>
      <c r="F1866" s="1" t="s">
        <v>880</v>
      </c>
      <c r="G1866" s="1" t="s">
        <v>3022</v>
      </c>
      <c r="H1866" s="3">
        <v>46013</v>
      </c>
      <c r="I1866" s="1" t="s">
        <v>933</v>
      </c>
      <c r="J1866" s="1" t="s">
        <v>66</v>
      </c>
      <c r="K1866" s="1" t="s">
        <v>659</v>
      </c>
      <c r="L1866" s="1" t="s">
        <v>1869</v>
      </c>
      <c r="M1866" s="3">
        <v>45995</v>
      </c>
      <c r="N1866" s="1" t="s">
        <v>57</v>
      </c>
      <c r="O1866" s="1" t="s">
        <v>936</v>
      </c>
      <c r="P1866" s="1">
        <v>1</v>
      </c>
    </row>
    <row r="1867" spans="1:16" x14ac:dyDescent="0.25">
      <c r="A1867" s="3">
        <v>45992</v>
      </c>
      <c r="B1867" s="4">
        <v>6001660499</v>
      </c>
      <c r="C1867" s="5">
        <v>153.54</v>
      </c>
      <c r="D1867" s="1" t="s">
        <v>1855</v>
      </c>
      <c r="E1867" s="1" t="s">
        <v>2116</v>
      </c>
      <c r="F1867" s="1" t="s">
        <v>430</v>
      </c>
      <c r="G1867" s="1" t="s">
        <v>1029</v>
      </c>
      <c r="H1867" s="3">
        <v>46016</v>
      </c>
      <c r="I1867" s="1" t="s">
        <v>933</v>
      </c>
      <c r="J1867" s="1" t="s">
        <v>66</v>
      </c>
      <c r="K1867" s="1" t="s">
        <v>1654</v>
      </c>
      <c r="L1867" s="1" t="s">
        <v>3233</v>
      </c>
      <c r="M1867" s="3">
        <v>46008</v>
      </c>
      <c r="N1867" s="1" t="s">
        <v>57</v>
      </c>
      <c r="O1867" s="1" t="s">
        <v>1031</v>
      </c>
      <c r="P1867" s="1">
        <v>1</v>
      </c>
    </row>
    <row r="1868" spans="1:16" x14ac:dyDescent="0.25">
      <c r="A1868" s="3">
        <v>45992</v>
      </c>
      <c r="B1868" s="4">
        <v>6001660638</v>
      </c>
      <c r="C1868" s="5">
        <v>69.89</v>
      </c>
      <c r="D1868" s="1" t="s">
        <v>1855</v>
      </c>
      <c r="E1868" s="1" t="s">
        <v>2116</v>
      </c>
      <c r="F1868" s="1" t="s">
        <v>650</v>
      </c>
      <c r="G1868" s="1" t="s">
        <v>1029</v>
      </c>
      <c r="H1868" s="3">
        <v>46016</v>
      </c>
      <c r="I1868" s="1" t="s">
        <v>933</v>
      </c>
      <c r="J1868" s="1" t="s">
        <v>66</v>
      </c>
      <c r="K1868" s="1" t="s">
        <v>340</v>
      </c>
      <c r="L1868" s="1" t="s">
        <v>3233</v>
      </c>
      <c r="M1868" s="3">
        <v>46008</v>
      </c>
      <c r="N1868" s="1" t="s">
        <v>57</v>
      </c>
      <c r="O1868" s="1" t="s">
        <v>1031</v>
      </c>
      <c r="P1868" s="1">
        <v>1</v>
      </c>
    </row>
    <row r="1869" spans="1:16" x14ac:dyDescent="0.25">
      <c r="A1869" s="3">
        <v>45993</v>
      </c>
      <c r="B1869" s="4">
        <v>10026</v>
      </c>
      <c r="C1869" s="5">
        <v>564</v>
      </c>
      <c r="D1869" s="1" t="s">
        <v>1573</v>
      </c>
      <c r="E1869" s="1" t="s">
        <v>2130</v>
      </c>
      <c r="F1869" s="1" t="s">
        <v>255</v>
      </c>
      <c r="G1869" s="1" t="s">
        <v>940</v>
      </c>
      <c r="H1869" s="3">
        <v>46023</v>
      </c>
      <c r="I1869" s="1" t="s">
        <v>933</v>
      </c>
      <c r="J1869" s="1" t="s">
        <v>66</v>
      </c>
      <c r="K1869" s="1" t="s">
        <v>308</v>
      </c>
      <c r="L1869" s="1" t="s">
        <v>3234</v>
      </c>
      <c r="M1869" s="3">
        <v>45994</v>
      </c>
      <c r="N1869" s="1" t="s">
        <v>57</v>
      </c>
      <c r="O1869" s="1" t="s">
        <v>936</v>
      </c>
      <c r="P1869" s="1">
        <v>1</v>
      </c>
    </row>
    <row r="1870" spans="1:16" x14ac:dyDescent="0.25">
      <c r="A1870" s="3">
        <v>45993</v>
      </c>
      <c r="B1870" s="4">
        <v>48601</v>
      </c>
      <c r="C1870" s="5">
        <v>450</v>
      </c>
      <c r="D1870" s="1" t="s">
        <v>1489</v>
      </c>
      <c r="E1870" s="1" t="s">
        <v>1490</v>
      </c>
      <c r="F1870" s="1" t="s">
        <v>255</v>
      </c>
      <c r="G1870" s="1" t="s">
        <v>940</v>
      </c>
      <c r="H1870" s="3">
        <v>46008</v>
      </c>
      <c r="I1870" s="1" t="s">
        <v>933</v>
      </c>
      <c r="J1870" s="1" t="s">
        <v>66</v>
      </c>
      <c r="K1870" s="1" t="s">
        <v>308</v>
      </c>
      <c r="L1870" s="1" t="s">
        <v>3235</v>
      </c>
      <c r="M1870" s="3">
        <v>45993</v>
      </c>
      <c r="N1870" s="1" t="s">
        <v>57</v>
      </c>
      <c r="O1870" s="1" t="s">
        <v>936</v>
      </c>
      <c r="P1870" s="1">
        <v>1</v>
      </c>
    </row>
    <row r="1871" spans="1:16" x14ac:dyDescent="0.25">
      <c r="A1871" s="3">
        <v>45993</v>
      </c>
      <c r="B1871" s="4">
        <v>1541</v>
      </c>
      <c r="C1871" s="5">
        <v>11447.42</v>
      </c>
      <c r="D1871" s="1" t="s">
        <v>1901</v>
      </c>
      <c r="E1871" s="1" t="s">
        <v>1902</v>
      </c>
      <c r="F1871" s="1" t="s">
        <v>955</v>
      </c>
      <c r="G1871" s="1" t="s">
        <v>20</v>
      </c>
      <c r="H1871" s="3">
        <v>46020</v>
      </c>
      <c r="I1871" s="1" t="s">
        <v>933</v>
      </c>
      <c r="J1871" s="1" t="s">
        <v>951</v>
      </c>
      <c r="K1871" s="1" t="s">
        <v>20</v>
      </c>
      <c r="L1871" s="1" t="s">
        <v>3236</v>
      </c>
      <c r="M1871" s="3">
        <v>45993</v>
      </c>
      <c r="N1871" s="1" t="s">
        <v>821</v>
      </c>
      <c r="O1871" s="1" t="s">
        <v>936</v>
      </c>
      <c r="P1871" s="1">
        <v>1</v>
      </c>
    </row>
    <row r="1872" spans="1:16" x14ac:dyDescent="0.25">
      <c r="A1872" s="3">
        <v>45993</v>
      </c>
      <c r="B1872" s="4">
        <v>9549</v>
      </c>
      <c r="C1872" s="5">
        <v>32553.93</v>
      </c>
      <c r="D1872" s="1" t="s">
        <v>973</v>
      </c>
      <c r="E1872" s="1" t="s">
        <v>1068</v>
      </c>
      <c r="F1872" s="1" t="s">
        <v>1814</v>
      </c>
      <c r="G1872" s="1" t="s">
        <v>998</v>
      </c>
      <c r="H1872" s="3">
        <v>46008</v>
      </c>
      <c r="I1872" s="1" t="s">
        <v>933</v>
      </c>
      <c r="J1872" s="1" t="s">
        <v>66</v>
      </c>
      <c r="K1872" s="1" t="s">
        <v>1814</v>
      </c>
      <c r="L1872" s="1" t="s">
        <v>3237</v>
      </c>
      <c r="M1872" s="3">
        <v>45993</v>
      </c>
      <c r="N1872" s="1" t="s">
        <v>1814</v>
      </c>
      <c r="O1872" s="1" t="s">
        <v>998</v>
      </c>
      <c r="P1872" s="1">
        <v>1</v>
      </c>
    </row>
    <row r="1873" spans="1:16" x14ac:dyDescent="0.25">
      <c r="A1873" s="3">
        <v>45993</v>
      </c>
      <c r="B1873" s="4">
        <v>72031</v>
      </c>
      <c r="C1873" s="5">
        <v>311.45999999999998</v>
      </c>
      <c r="D1873" s="1" t="s">
        <v>1098</v>
      </c>
      <c r="E1873" s="1" t="s">
        <v>1099</v>
      </c>
      <c r="F1873" s="1" t="s">
        <v>745</v>
      </c>
      <c r="G1873" s="1" t="s">
        <v>940</v>
      </c>
      <c r="H1873" s="3">
        <v>46023</v>
      </c>
      <c r="I1873" s="1" t="s">
        <v>933</v>
      </c>
      <c r="J1873" s="1" t="s">
        <v>66</v>
      </c>
      <c r="K1873" s="1" t="s">
        <v>340</v>
      </c>
      <c r="L1873" s="1" t="s">
        <v>3238</v>
      </c>
      <c r="M1873" s="3">
        <v>45993</v>
      </c>
      <c r="N1873" s="1" t="s">
        <v>50</v>
      </c>
      <c r="O1873" s="1" t="s">
        <v>936</v>
      </c>
      <c r="P1873" s="1">
        <v>1</v>
      </c>
    </row>
    <row r="1874" spans="1:16" x14ac:dyDescent="0.25">
      <c r="A1874" s="3">
        <v>45993</v>
      </c>
      <c r="B1874" s="4">
        <v>5077</v>
      </c>
      <c r="C1874" s="5">
        <v>1354</v>
      </c>
      <c r="D1874" s="1" t="s">
        <v>2001</v>
      </c>
      <c r="E1874" s="1" t="s">
        <v>2002</v>
      </c>
      <c r="F1874" s="1" t="s">
        <v>949</v>
      </c>
      <c r="G1874" s="1" t="s">
        <v>2508</v>
      </c>
      <c r="H1874" s="3">
        <v>46022</v>
      </c>
      <c r="I1874" s="1" t="s">
        <v>933</v>
      </c>
      <c r="J1874" s="1" t="s">
        <v>951</v>
      </c>
      <c r="K1874" s="1" t="s">
        <v>340</v>
      </c>
      <c r="L1874" s="1" t="s">
        <v>3239</v>
      </c>
      <c r="M1874" s="3">
        <v>45993</v>
      </c>
      <c r="N1874" s="1" t="s">
        <v>821</v>
      </c>
      <c r="O1874" s="1" t="s">
        <v>936</v>
      </c>
      <c r="P1874" s="1">
        <v>1</v>
      </c>
    </row>
    <row r="1875" spans="1:16" x14ac:dyDescent="0.25">
      <c r="A1875" s="3">
        <v>45993</v>
      </c>
      <c r="B1875" s="4">
        <v>1608</v>
      </c>
      <c r="C1875" s="5">
        <v>1800</v>
      </c>
      <c r="D1875" s="1" t="s">
        <v>1080</v>
      </c>
      <c r="E1875" s="1" t="s">
        <v>3046</v>
      </c>
      <c r="F1875" s="1" t="s">
        <v>955</v>
      </c>
      <c r="G1875" s="1" t="s">
        <v>1082</v>
      </c>
      <c r="H1875" s="3">
        <v>46025</v>
      </c>
      <c r="I1875" s="1" t="s">
        <v>933</v>
      </c>
      <c r="J1875" s="1" t="s">
        <v>951</v>
      </c>
      <c r="K1875" s="1" t="s">
        <v>934</v>
      </c>
      <c r="L1875" s="1" t="s">
        <v>3240</v>
      </c>
      <c r="M1875" s="3">
        <v>45995</v>
      </c>
      <c r="N1875" s="1" t="s">
        <v>821</v>
      </c>
      <c r="O1875" s="1" t="s">
        <v>936</v>
      </c>
      <c r="P1875" s="1">
        <v>1</v>
      </c>
    </row>
    <row r="1876" spans="1:16" x14ac:dyDescent="0.25">
      <c r="A1876" s="3">
        <v>45993</v>
      </c>
      <c r="B1876" s="4">
        <v>1608</v>
      </c>
      <c r="C1876" s="5">
        <v>1800</v>
      </c>
      <c r="D1876" s="1" t="s">
        <v>1080</v>
      </c>
      <c r="E1876" s="1" t="s">
        <v>3046</v>
      </c>
      <c r="F1876" s="1" t="s">
        <v>955</v>
      </c>
      <c r="G1876" s="1" t="s">
        <v>1082</v>
      </c>
      <c r="H1876" s="3">
        <v>46025</v>
      </c>
      <c r="I1876" s="1" t="s">
        <v>933</v>
      </c>
      <c r="J1876" s="1" t="s">
        <v>951</v>
      </c>
      <c r="K1876" s="1" t="s">
        <v>934</v>
      </c>
      <c r="L1876" s="1" t="s">
        <v>3241</v>
      </c>
      <c r="M1876" s="3">
        <v>45995</v>
      </c>
      <c r="N1876" s="1" t="s">
        <v>821</v>
      </c>
      <c r="O1876" s="1" t="s">
        <v>936</v>
      </c>
      <c r="P1876" s="1">
        <v>1</v>
      </c>
    </row>
    <row r="1877" spans="1:16" x14ac:dyDescent="0.25">
      <c r="A1877" s="3">
        <v>45993</v>
      </c>
      <c r="B1877" s="4">
        <v>1608</v>
      </c>
      <c r="C1877" s="5">
        <v>9000</v>
      </c>
      <c r="D1877" s="1" t="s">
        <v>1080</v>
      </c>
      <c r="E1877" s="1" t="s">
        <v>3046</v>
      </c>
      <c r="F1877" s="1" t="s">
        <v>330</v>
      </c>
      <c r="G1877" s="1" t="s">
        <v>1082</v>
      </c>
      <c r="H1877" s="3">
        <v>46025</v>
      </c>
      <c r="I1877" s="1" t="s">
        <v>933</v>
      </c>
      <c r="J1877" s="1" t="s">
        <v>66</v>
      </c>
      <c r="K1877" s="1" t="s">
        <v>340</v>
      </c>
      <c r="L1877" s="1" t="s">
        <v>3244</v>
      </c>
      <c r="M1877" s="3">
        <v>45995</v>
      </c>
      <c r="N1877" s="1" t="s">
        <v>57</v>
      </c>
      <c r="O1877" s="1" t="s">
        <v>936</v>
      </c>
      <c r="P1877" s="1">
        <v>1</v>
      </c>
    </row>
    <row r="1878" spans="1:16" x14ac:dyDescent="0.25">
      <c r="A1878" s="3">
        <v>45993</v>
      </c>
      <c r="B1878" s="4">
        <v>1608</v>
      </c>
      <c r="C1878" s="5">
        <v>7000</v>
      </c>
      <c r="D1878" s="1" t="s">
        <v>1080</v>
      </c>
      <c r="E1878" s="1" t="s">
        <v>3046</v>
      </c>
      <c r="F1878" s="1" t="s">
        <v>201</v>
      </c>
      <c r="G1878" s="1" t="s">
        <v>940</v>
      </c>
      <c r="H1878" s="3">
        <v>46025</v>
      </c>
      <c r="I1878" s="1" t="s">
        <v>933</v>
      </c>
      <c r="J1878" s="1" t="s">
        <v>66</v>
      </c>
      <c r="K1878" s="1" t="s">
        <v>340</v>
      </c>
      <c r="L1878" s="1" t="s">
        <v>3244</v>
      </c>
      <c r="M1878" s="3">
        <v>45995</v>
      </c>
      <c r="N1878" s="1" t="s">
        <v>57</v>
      </c>
      <c r="O1878" s="1" t="s">
        <v>936</v>
      </c>
      <c r="P1878" s="1">
        <v>1</v>
      </c>
    </row>
    <row r="1879" spans="1:16" x14ac:dyDescent="0.25">
      <c r="A1879" s="3">
        <v>45993</v>
      </c>
      <c r="B1879" s="1">
        <v>421</v>
      </c>
      <c r="C1879" s="5">
        <v>420</v>
      </c>
      <c r="D1879" s="1" t="s">
        <v>1953</v>
      </c>
      <c r="E1879" s="1" t="s">
        <v>1954</v>
      </c>
      <c r="F1879" s="1" t="s">
        <v>719</v>
      </c>
      <c r="G1879" s="1" t="s">
        <v>990</v>
      </c>
      <c r="H1879" s="3">
        <v>46021</v>
      </c>
      <c r="I1879" s="1" t="s">
        <v>933</v>
      </c>
      <c r="J1879" s="1" t="s">
        <v>66</v>
      </c>
      <c r="K1879" s="1" t="s">
        <v>340</v>
      </c>
      <c r="L1879" s="1" t="s">
        <v>3246</v>
      </c>
      <c r="M1879" s="3">
        <v>45995</v>
      </c>
      <c r="N1879" s="1" t="s">
        <v>712</v>
      </c>
      <c r="O1879" s="1" t="s">
        <v>936</v>
      </c>
      <c r="P1879" s="1">
        <v>1</v>
      </c>
    </row>
    <row r="1880" spans="1:16" x14ac:dyDescent="0.25">
      <c r="A1880" s="3">
        <v>45993</v>
      </c>
      <c r="B1880" s="1">
        <v>422</v>
      </c>
      <c r="C1880" s="5">
        <v>320</v>
      </c>
      <c r="D1880" s="1" t="s">
        <v>1953</v>
      </c>
      <c r="E1880" s="1" t="s">
        <v>1954</v>
      </c>
      <c r="F1880" s="1" t="s">
        <v>955</v>
      </c>
      <c r="G1880" s="1" t="s">
        <v>990</v>
      </c>
      <c r="H1880" s="3">
        <v>46021</v>
      </c>
      <c r="I1880" s="1" t="s">
        <v>933</v>
      </c>
      <c r="J1880" s="1" t="s">
        <v>951</v>
      </c>
      <c r="K1880" s="1" t="s">
        <v>934</v>
      </c>
      <c r="L1880" s="1" t="s">
        <v>3247</v>
      </c>
      <c r="M1880" s="3">
        <v>45995</v>
      </c>
      <c r="N1880" s="1" t="s">
        <v>821</v>
      </c>
      <c r="O1880" s="1" t="s">
        <v>936</v>
      </c>
      <c r="P1880" s="1">
        <v>1</v>
      </c>
    </row>
    <row r="1881" spans="1:16" x14ac:dyDescent="0.25">
      <c r="A1881" s="3">
        <v>45993</v>
      </c>
      <c r="B1881" s="1">
        <v>423</v>
      </c>
      <c r="C1881" s="5">
        <v>190</v>
      </c>
      <c r="D1881" s="1" t="s">
        <v>1953</v>
      </c>
      <c r="E1881" s="1" t="s">
        <v>1954</v>
      </c>
      <c r="F1881" s="1" t="s">
        <v>745</v>
      </c>
      <c r="G1881" s="1" t="s">
        <v>990</v>
      </c>
      <c r="H1881" s="3">
        <v>46021</v>
      </c>
      <c r="I1881" s="1" t="s">
        <v>933</v>
      </c>
      <c r="J1881" s="1" t="s">
        <v>66</v>
      </c>
      <c r="K1881" s="1" t="s">
        <v>340</v>
      </c>
      <c r="L1881" s="1" t="s">
        <v>3248</v>
      </c>
      <c r="M1881" s="3">
        <v>45995</v>
      </c>
      <c r="N1881" s="1" t="s">
        <v>50</v>
      </c>
      <c r="O1881" s="1" t="s">
        <v>936</v>
      </c>
      <c r="P1881" s="1">
        <v>1</v>
      </c>
    </row>
    <row r="1882" spans="1:16" x14ac:dyDescent="0.25">
      <c r="A1882" s="3">
        <v>45993</v>
      </c>
      <c r="B1882" s="1">
        <v>424</v>
      </c>
      <c r="C1882" s="5">
        <v>250</v>
      </c>
      <c r="D1882" s="1" t="s">
        <v>1953</v>
      </c>
      <c r="E1882" s="1" t="s">
        <v>1954</v>
      </c>
      <c r="F1882" s="1" t="s">
        <v>750</v>
      </c>
      <c r="G1882" s="1" t="s">
        <v>990</v>
      </c>
      <c r="H1882" s="3">
        <v>46021</v>
      </c>
      <c r="I1882" s="1" t="s">
        <v>933</v>
      </c>
      <c r="J1882" s="1" t="s">
        <v>66</v>
      </c>
      <c r="K1882" s="1" t="s">
        <v>340</v>
      </c>
      <c r="L1882" s="1" t="s">
        <v>3249</v>
      </c>
      <c r="M1882" s="3">
        <v>45995</v>
      </c>
      <c r="N1882" s="1" t="s">
        <v>752</v>
      </c>
      <c r="O1882" s="1" t="s">
        <v>936</v>
      </c>
      <c r="P1882" s="1">
        <v>1</v>
      </c>
    </row>
    <row r="1883" spans="1:16" x14ac:dyDescent="0.25">
      <c r="A1883" s="3">
        <v>45993</v>
      </c>
      <c r="B1883" s="1">
        <v>425</v>
      </c>
      <c r="C1883" s="5">
        <v>70</v>
      </c>
      <c r="D1883" s="1" t="s">
        <v>1953</v>
      </c>
      <c r="E1883" s="1" t="s">
        <v>1954</v>
      </c>
      <c r="F1883" s="1" t="s">
        <v>949</v>
      </c>
      <c r="G1883" s="1" t="s">
        <v>990</v>
      </c>
      <c r="H1883" s="3">
        <v>46021</v>
      </c>
      <c r="I1883" s="1" t="s">
        <v>933</v>
      </c>
      <c r="J1883" s="1" t="s">
        <v>951</v>
      </c>
      <c r="K1883" s="1" t="s">
        <v>934</v>
      </c>
      <c r="L1883" s="1" t="s">
        <v>3250</v>
      </c>
      <c r="M1883" s="3">
        <v>45995</v>
      </c>
      <c r="N1883" s="1" t="s">
        <v>821</v>
      </c>
      <c r="O1883" s="1" t="s">
        <v>936</v>
      </c>
      <c r="P1883" s="1">
        <v>1</v>
      </c>
    </row>
    <row r="1884" spans="1:16" x14ac:dyDescent="0.25">
      <c r="A1884" s="3">
        <v>45993</v>
      </c>
      <c r="B1884" s="1">
        <v>426</v>
      </c>
      <c r="C1884" s="5">
        <v>260</v>
      </c>
      <c r="D1884" s="1" t="s">
        <v>1953</v>
      </c>
      <c r="E1884" s="1" t="s">
        <v>1954</v>
      </c>
      <c r="F1884" s="1" t="s">
        <v>426</v>
      </c>
      <c r="G1884" s="1" t="s">
        <v>990</v>
      </c>
      <c r="H1884" s="3">
        <v>46021</v>
      </c>
      <c r="I1884" s="1" t="s">
        <v>933</v>
      </c>
      <c r="J1884" s="1" t="s">
        <v>66</v>
      </c>
      <c r="K1884" s="1" t="s">
        <v>340</v>
      </c>
      <c r="L1884" s="1" t="s">
        <v>3251</v>
      </c>
      <c r="M1884" s="3">
        <v>45995</v>
      </c>
      <c r="N1884" s="1" t="s">
        <v>429</v>
      </c>
      <c r="O1884" s="1" t="s">
        <v>936</v>
      </c>
      <c r="P1884" s="1">
        <v>1</v>
      </c>
    </row>
    <row r="1885" spans="1:16" x14ac:dyDescent="0.25">
      <c r="A1885" s="3">
        <v>45993</v>
      </c>
      <c r="B1885" s="1">
        <v>427</v>
      </c>
      <c r="C1885" s="5">
        <v>140</v>
      </c>
      <c r="D1885" s="1" t="s">
        <v>1953</v>
      </c>
      <c r="E1885" s="1" t="s">
        <v>1954</v>
      </c>
      <c r="F1885" s="1" t="s">
        <v>715</v>
      </c>
      <c r="G1885" s="1" t="s">
        <v>990</v>
      </c>
      <c r="H1885" s="3">
        <v>46021</v>
      </c>
      <c r="I1885" s="1" t="s">
        <v>933</v>
      </c>
      <c r="J1885" s="1" t="s">
        <v>66</v>
      </c>
      <c r="K1885" s="1" t="s">
        <v>340</v>
      </c>
      <c r="L1885" s="1" t="s">
        <v>3252</v>
      </c>
      <c r="M1885" s="3">
        <v>45995</v>
      </c>
      <c r="N1885" s="1" t="s">
        <v>712</v>
      </c>
      <c r="O1885" s="1" t="s">
        <v>936</v>
      </c>
      <c r="P1885" s="1">
        <v>1</v>
      </c>
    </row>
    <row r="1886" spans="1:16" x14ac:dyDescent="0.25">
      <c r="A1886" s="3">
        <v>45993</v>
      </c>
      <c r="B1886" s="1">
        <v>428</v>
      </c>
      <c r="C1886" s="5">
        <v>55</v>
      </c>
      <c r="D1886" s="1" t="s">
        <v>1953</v>
      </c>
      <c r="E1886" s="1" t="s">
        <v>1954</v>
      </c>
      <c r="F1886" s="1" t="s">
        <v>955</v>
      </c>
      <c r="G1886" s="1" t="s">
        <v>990</v>
      </c>
      <c r="H1886" s="3">
        <v>46021</v>
      </c>
      <c r="I1886" s="1" t="s">
        <v>933</v>
      </c>
      <c r="J1886" s="1" t="s">
        <v>951</v>
      </c>
      <c r="K1886" s="1" t="s">
        <v>340</v>
      </c>
      <c r="L1886" s="1" t="s">
        <v>3253</v>
      </c>
      <c r="M1886" s="3">
        <v>45995</v>
      </c>
      <c r="N1886" s="1" t="s">
        <v>821</v>
      </c>
      <c r="O1886" s="1" t="s">
        <v>936</v>
      </c>
      <c r="P1886" s="1">
        <v>1</v>
      </c>
    </row>
    <row r="1887" spans="1:16" x14ac:dyDescent="0.25">
      <c r="A1887" s="3">
        <v>45993</v>
      </c>
      <c r="B1887" s="1">
        <v>429</v>
      </c>
      <c r="C1887" s="5">
        <v>150</v>
      </c>
      <c r="D1887" s="1" t="s">
        <v>1953</v>
      </c>
      <c r="E1887" s="1" t="s">
        <v>1954</v>
      </c>
      <c r="F1887" s="1" t="s">
        <v>794</v>
      </c>
      <c r="G1887" s="1" t="s">
        <v>990</v>
      </c>
      <c r="H1887" s="3">
        <v>46021</v>
      </c>
      <c r="I1887" s="1" t="s">
        <v>933</v>
      </c>
      <c r="J1887" s="1" t="s">
        <v>66</v>
      </c>
      <c r="K1887" s="1" t="s">
        <v>308</v>
      </c>
      <c r="L1887" s="1" t="s">
        <v>3252</v>
      </c>
      <c r="M1887" s="3">
        <v>45995</v>
      </c>
      <c r="N1887" s="1" t="s">
        <v>57</v>
      </c>
      <c r="O1887" s="1" t="s">
        <v>936</v>
      </c>
      <c r="P1887" s="1">
        <v>1</v>
      </c>
    </row>
    <row r="1888" spans="1:16" x14ac:dyDescent="0.25">
      <c r="A1888" s="3">
        <v>45993</v>
      </c>
      <c r="B1888" s="1">
        <v>430</v>
      </c>
      <c r="C1888" s="5">
        <v>660</v>
      </c>
      <c r="D1888" s="1" t="s">
        <v>1953</v>
      </c>
      <c r="E1888" s="1" t="s">
        <v>1954</v>
      </c>
      <c r="F1888" s="1" t="s">
        <v>1814</v>
      </c>
      <c r="G1888" s="1" t="s">
        <v>990</v>
      </c>
      <c r="H1888" s="3">
        <v>46021</v>
      </c>
      <c r="I1888" s="1" t="s">
        <v>933</v>
      </c>
      <c r="J1888" s="1" t="s">
        <v>66</v>
      </c>
      <c r="K1888" s="1" t="s">
        <v>308</v>
      </c>
      <c r="L1888" s="1"/>
      <c r="M1888" s="3">
        <v>45995</v>
      </c>
      <c r="N1888" s="1" t="s">
        <v>1814</v>
      </c>
      <c r="O1888" s="1" t="s">
        <v>936</v>
      </c>
      <c r="P1888" s="1">
        <v>1</v>
      </c>
    </row>
    <row r="1889" spans="1:16" x14ac:dyDescent="0.25">
      <c r="A1889" s="3">
        <v>45993</v>
      </c>
      <c r="B1889" s="1">
        <v>431</v>
      </c>
      <c r="C1889" s="5">
        <v>40</v>
      </c>
      <c r="D1889" s="1" t="s">
        <v>1953</v>
      </c>
      <c r="E1889" s="1" t="s">
        <v>1954</v>
      </c>
      <c r="F1889" s="1" t="s">
        <v>827</v>
      </c>
      <c r="G1889" s="1" t="s">
        <v>990</v>
      </c>
      <c r="H1889" s="3">
        <v>46021</v>
      </c>
      <c r="I1889" s="1" t="s">
        <v>933</v>
      </c>
      <c r="J1889" s="1" t="s">
        <v>66</v>
      </c>
      <c r="K1889" s="1" t="s">
        <v>340</v>
      </c>
      <c r="L1889" s="1" t="s">
        <v>3254</v>
      </c>
      <c r="M1889" s="3">
        <v>45995</v>
      </c>
      <c r="N1889" s="1" t="s">
        <v>772</v>
      </c>
      <c r="O1889" s="1" t="s">
        <v>936</v>
      </c>
      <c r="P1889" s="1">
        <v>1</v>
      </c>
    </row>
    <row r="1890" spans="1:16" x14ac:dyDescent="0.25">
      <c r="A1890" s="3">
        <v>45993</v>
      </c>
      <c r="B1890" s="1">
        <v>432</v>
      </c>
      <c r="C1890" s="5">
        <v>30</v>
      </c>
      <c r="D1890" s="1" t="s">
        <v>1953</v>
      </c>
      <c r="E1890" s="1" t="s">
        <v>1954</v>
      </c>
      <c r="F1890" s="1" t="s">
        <v>460</v>
      </c>
      <c r="G1890" s="1" t="s">
        <v>990</v>
      </c>
      <c r="H1890" s="3">
        <v>46021</v>
      </c>
      <c r="I1890" s="1" t="s">
        <v>933</v>
      </c>
      <c r="J1890" s="1" t="s">
        <v>66</v>
      </c>
      <c r="K1890" s="1" t="s">
        <v>308</v>
      </c>
      <c r="L1890" s="1" t="s">
        <v>3255</v>
      </c>
      <c r="M1890" s="3">
        <v>45995</v>
      </c>
      <c r="N1890" s="1" t="s">
        <v>440</v>
      </c>
      <c r="O1890" s="1" t="s">
        <v>936</v>
      </c>
      <c r="P1890" s="1">
        <v>1</v>
      </c>
    </row>
    <row r="1891" spans="1:16" x14ac:dyDescent="0.25">
      <c r="A1891" s="3">
        <v>45993</v>
      </c>
      <c r="B1891" s="1">
        <v>433</v>
      </c>
      <c r="C1891" s="5">
        <v>180</v>
      </c>
      <c r="D1891" s="1" t="s">
        <v>1953</v>
      </c>
      <c r="E1891" s="1" t="s">
        <v>1954</v>
      </c>
      <c r="F1891" s="1" t="s">
        <v>453</v>
      </c>
      <c r="G1891" s="1" t="s">
        <v>990</v>
      </c>
      <c r="H1891" s="3">
        <v>46021</v>
      </c>
      <c r="I1891" s="1" t="s">
        <v>933</v>
      </c>
      <c r="J1891" s="1" t="s">
        <v>66</v>
      </c>
      <c r="K1891" s="1" t="s">
        <v>308</v>
      </c>
      <c r="L1891" s="1" t="s">
        <v>3256</v>
      </c>
      <c r="M1891" s="3">
        <v>45995</v>
      </c>
      <c r="N1891" s="1" t="s">
        <v>455</v>
      </c>
      <c r="O1891" s="1" t="s">
        <v>936</v>
      </c>
      <c r="P1891" s="1">
        <v>1</v>
      </c>
    </row>
    <row r="1892" spans="1:16" x14ac:dyDescent="0.25">
      <c r="A1892" s="3">
        <v>45993</v>
      </c>
      <c r="B1892" s="1">
        <v>435</v>
      </c>
      <c r="C1892" s="5">
        <v>140</v>
      </c>
      <c r="D1892" s="1" t="s">
        <v>1953</v>
      </c>
      <c r="E1892" s="1" t="s">
        <v>1954</v>
      </c>
      <c r="F1892" s="1" t="s">
        <v>453</v>
      </c>
      <c r="G1892" s="1" t="s">
        <v>990</v>
      </c>
      <c r="H1892" s="3">
        <v>46021</v>
      </c>
      <c r="I1892" s="1" t="s">
        <v>933</v>
      </c>
      <c r="J1892" s="1" t="s">
        <v>66</v>
      </c>
      <c r="K1892" s="1" t="s">
        <v>308</v>
      </c>
      <c r="L1892" s="1" t="s">
        <v>3257</v>
      </c>
      <c r="M1892" s="3">
        <v>45995</v>
      </c>
      <c r="N1892" s="1" t="s">
        <v>455</v>
      </c>
      <c r="O1892" s="1" t="s">
        <v>936</v>
      </c>
      <c r="P1892" s="1">
        <v>1</v>
      </c>
    </row>
    <row r="1893" spans="1:16" x14ac:dyDescent="0.25">
      <c r="A1893" s="3">
        <v>45993</v>
      </c>
      <c r="B1893" s="1">
        <v>436</v>
      </c>
      <c r="C1893" s="5">
        <v>250</v>
      </c>
      <c r="D1893" s="1" t="s">
        <v>1953</v>
      </c>
      <c r="E1893" s="1" t="s">
        <v>1954</v>
      </c>
      <c r="F1893" s="1" t="s">
        <v>753</v>
      </c>
      <c r="G1893" s="1" t="s">
        <v>990</v>
      </c>
      <c r="H1893" s="3">
        <v>46021</v>
      </c>
      <c r="I1893" s="1" t="s">
        <v>933</v>
      </c>
      <c r="J1893" s="1" t="s">
        <v>66</v>
      </c>
      <c r="K1893" s="1" t="s">
        <v>308</v>
      </c>
      <c r="L1893" s="1" t="s">
        <v>3258</v>
      </c>
      <c r="M1893" s="3">
        <v>45995</v>
      </c>
      <c r="N1893" s="1" t="s">
        <v>57</v>
      </c>
      <c r="O1893" s="1" t="s">
        <v>936</v>
      </c>
      <c r="P1893" s="1">
        <v>1</v>
      </c>
    </row>
    <row r="1894" spans="1:16" x14ac:dyDescent="0.25">
      <c r="A1894" s="3">
        <v>45993</v>
      </c>
      <c r="B1894" s="1">
        <v>437</v>
      </c>
      <c r="C1894" s="5">
        <v>1380</v>
      </c>
      <c r="D1894" s="1" t="s">
        <v>1953</v>
      </c>
      <c r="E1894" s="1" t="s">
        <v>1954</v>
      </c>
      <c r="F1894" s="1" t="s">
        <v>3259</v>
      </c>
      <c r="G1894" s="1" t="s">
        <v>1260</v>
      </c>
      <c r="H1894" s="3">
        <v>46021</v>
      </c>
      <c r="I1894" s="1" t="s">
        <v>2004</v>
      </c>
      <c r="J1894" s="1" t="s">
        <v>937</v>
      </c>
      <c r="K1894" s="1" t="s">
        <v>308</v>
      </c>
      <c r="L1894" s="1" t="s">
        <v>3260</v>
      </c>
      <c r="M1894" s="3">
        <v>45995</v>
      </c>
      <c r="N1894" s="1" t="s">
        <v>937</v>
      </c>
      <c r="O1894" s="1" t="s">
        <v>936</v>
      </c>
      <c r="P1894" s="1">
        <v>1</v>
      </c>
    </row>
    <row r="1895" spans="1:16" x14ac:dyDescent="0.25">
      <c r="A1895" s="3">
        <v>45993</v>
      </c>
      <c r="B1895" s="1">
        <v>438</v>
      </c>
      <c r="C1895" s="5">
        <v>330</v>
      </c>
      <c r="D1895" s="1" t="s">
        <v>1953</v>
      </c>
      <c r="E1895" s="1" t="s">
        <v>1954</v>
      </c>
      <c r="F1895" s="1" t="s">
        <v>460</v>
      </c>
      <c r="G1895" s="1" t="s">
        <v>990</v>
      </c>
      <c r="H1895" s="3">
        <v>46021</v>
      </c>
      <c r="I1895" s="1" t="s">
        <v>933</v>
      </c>
      <c r="J1895" s="1" t="s">
        <v>66</v>
      </c>
      <c r="K1895" s="1" t="s">
        <v>308</v>
      </c>
      <c r="L1895" s="1" t="s">
        <v>3261</v>
      </c>
      <c r="M1895" s="3">
        <v>45995</v>
      </c>
      <c r="N1895" s="1" t="s">
        <v>440</v>
      </c>
      <c r="O1895" s="1" t="s">
        <v>936</v>
      </c>
      <c r="P1895" s="1">
        <v>1</v>
      </c>
    </row>
    <row r="1896" spans="1:16" x14ac:dyDescent="0.25">
      <c r="A1896" s="3">
        <v>45993</v>
      </c>
      <c r="B1896" s="1">
        <v>439</v>
      </c>
      <c r="C1896" s="5">
        <v>60</v>
      </c>
      <c r="D1896" s="1" t="s">
        <v>1953</v>
      </c>
      <c r="E1896" s="1" t="s">
        <v>1954</v>
      </c>
      <c r="F1896" s="1" t="s">
        <v>827</v>
      </c>
      <c r="G1896" s="1" t="s">
        <v>990</v>
      </c>
      <c r="H1896" s="3">
        <v>46021</v>
      </c>
      <c r="I1896" s="1" t="s">
        <v>933</v>
      </c>
      <c r="J1896" s="1" t="s">
        <v>66</v>
      </c>
      <c r="K1896" s="1" t="s">
        <v>340</v>
      </c>
      <c r="L1896" s="1" t="s">
        <v>3262</v>
      </c>
      <c r="M1896" s="3">
        <v>45995</v>
      </c>
      <c r="N1896" s="1" t="s">
        <v>772</v>
      </c>
      <c r="O1896" s="1" t="s">
        <v>936</v>
      </c>
      <c r="P1896" s="1">
        <v>1</v>
      </c>
    </row>
    <row r="1897" spans="1:16" x14ac:dyDescent="0.25">
      <c r="A1897" s="3">
        <v>45993</v>
      </c>
      <c r="B1897" s="1">
        <v>440</v>
      </c>
      <c r="C1897" s="5">
        <v>880</v>
      </c>
      <c r="D1897" s="1" t="s">
        <v>1953</v>
      </c>
      <c r="E1897" s="1" t="s">
        <v>1954</v>
      </c>
      <c r="F1897" s="1" t="s">
        <v>693</v>
      </c>
      <c r="G1897" s="1" t="s">
        <v>990</v>
      </c>
      <c r="H1897" s="3">
        <v>46021</v>
      </c>
      <c r="I1897" s="1" t="s">
        <v>933</v>
      </c>
      <c r="J1897" s="1" t="s">
        <v>66</v>
      </c>
      <c r="K1897" s="1" t="s">
        <v>340</v>
      </c>
      <c r="L1897" s="1" t="s">
        <v>3263</v>
      </c>
      <c r="M1897" s="3">
        <v>45995</v>
      </c>
      <c r="N1897" s="1" t="s">
        <v>383</v>
      </c>
      <c r="O1897" s="1" t="s">
        <v>936</v>
      </c>
      <c r="P1897" s="1">
        <v>1</v>
      </c>
    </row>
    <row r="1898" spans="1:16" x14ac:dyDescent="0.25">
      <c r="A1898" s="3">
        <v>45993</v>
      </c>
      <c r="B1898" s="1">
        <v>441</v>
      </c>
      <c r="C1898" s="5">
        <v>190</v>
      </c>
      <c r="D1898" s="1" t="s">
        <v>1953</v>
      </c>
      <c r="E1898" s="1" t="s">
        <v>1954</v>
      </c>
      <c r="F1898" s="1" t="s">
        <v>304</v>
      </c>
      <c r="G1898" s="1" t="s">
        <v>990</v>
      </c>
      <c r="H1898" s="3">
        <v>46021</v>
      </c>
      <c r="I1898" s="1" t="s">
        <v>933</v>
      </c>
      <c r="J1898" s="1" t="s">
        <v>66</v>
      </c>
      <c r="K1898" s="1" t="s">
        <v>340</v>
      </c>
      <c r="L1898" s="1" t="s">
        <v>3264</v>
      </c>
      <c r="M1898" s="3">
        <v>45995</v>
      </c>
      <c r="N1898" s="1" t="s">
        <v>57</v>
      </c>
      <c r="O1898" s="1" t="s">
        <v>936</v>
      </c>
      <c r="P1898" s="1">
        <v>1</v>
      </c>
    </row>
    <row r="1899" spans="1:16" x14ac:dyDescent="0.25">
      <c r="A1899" s="3">
        <v>45993</v>
      </c>
      <c r="B1899" s="1">
        <v>442</v>
      </c>
      <c r="C1899" s="5">
        <v>330</v>
      </c>
      <c r="D1899" s="1" t="s">
        <v>1953</v>
      </c>
      <c r="E1899" s="1" t="s">
        <v>1954</v>
      </c>
      <c r="F1899" s="1" t="s">
        <v>533</v>
      </c>
      <c r="G1899" s="1" t="s">
        <v>990</v>
      </c>
      <c r="H1899" s="3">
        <v>46021</v>
      </c>
      <c r="I1899" s="1" t="s">
        <v>933</v>
      </c>
      <c r="J1899" s="1" t="s">
        <v>66</v>
      </c>
      <c r="K1899" s="1" t="s">
        <v>308</v>
      </c>
      <c r="L1899" s="1" t="s">
        <v>3265</v>
      </c>
      <c r="M1899" s="3">
        <v>45995</v>
      </c>
      <c r="N1899" s="1" t="s">
        <v>57</v>
      </c>
      <c r="O1899" s="1" t="s">
        <v>936</v>
      </c>
      <c r="P1899" s="1">
        <v>1</v>
      </c>
    </row>
    <row r="1900" spans="1:16" x14ac:dyDescent="0.25">
      <c r="A1900" s="3">
        <v>45993</v>
      </c>
      <c r="B1900" s="1">
        <v>443</v>
      </c>
      <c r="C1900" s="5">
        <v>260</v>
      </c>
      <c r="D1900" s="1" t="s">
        <v>1953</v>
      </c>
      <c r="E1900" s="1" t="s">
        <v>1954</v>
      </c>
      <c r="F1900" s="1" t="s">
        <v>775</v>
      </c>
      <c r="G1900" s="1" t="s">
        <v>990</v>
      </c>
      <c r="H1900" s="3">
        <v>46021</v>
      </c>
      <c r="I1900" s="1" t="s">
        <v>933</v>
      </c>
      <c r="J1900" s="1" t="s">
        <v>66</v>
      </c>
      <c r="K1900" s="1" t="s">
        <v>308</v>
      </c>
      <c r="L1900" s="1" t="s">
        <v>3266</v>
      </c>
      <c r="M1900" s="3">
        <v>45995</v>
      </c>
      <c r="N1900" s="1" t="s">
        <v>580</v>
      </c>
      <c r="O1900" s="1" t="s">
        <v>936</v>
      </c>
      <c r="P1900" s="1">
        <v>1</v>
      </c>
    </row>
    <row r="1901" spans="1:16" x14ac:dyDescent="0.25">
      <c r="A1901" s="3">
        <v>45993</v>
      </c>
      <c r="B1901" s="1">
        <v>444</v>
      </c>
      <c r="C1901" s="5">
        <v>100</v>
      </c>
      <c r="D1901" s="1" t="s">
        <v>1953</v>
      </c>
      <c r="E1901" s="1" t="s">
        <v>1954</v>
      </c>
      <c r="F1901" s="1" t="s">
        <v>201</v>
      </c>
      <c r="G1901" s="1" t="s">
        <v>990</v>
      </c>
      <c r="H1901" s="3">
        <v>46021</v>
      </c>
      <c r="I1901" s="1" t="s">
        <v>933</v>
      </c>
      <c r="J1901" s="1" t="s">
        <v>66</v>
      </c>
      <c r="K1901" s="1" t="s">
        <v>308</v>
      </c>
      <c r="L1901" s="1" t="s">
        <v>3267</v>
      </c>
      <c r="M1901" s="3">
        <v>45995</v>
      </c>
      <c r="N1901" s="1" t="s">
        <v>57</v>
      </c>
      <c r="O1901" s="1" t="s">
        <v>936</v>
      </c>
      <c r="P1901" s="1">
        <v>1</v>
      </c>
    </row>
    <row r="1902" spans="1:16" x14ac:dyDescent="0.25">
      <c r="A1902" s="3">
        <v>45993</v>
      </c>
      <c r="B1902" s="1">
        <v>445</v>
      </c>
      <c r="C1902" s="5">
        <v>130</v>
      </c>
      <c r="D1902" s="1" t="s">
        <v>1953</v>
      </c>
      <c r="E1902" s="1" t="s">
        <v>1954</v>
      </c>
      <c r="F1902" s="1" t="s">
        <v>753</v>
      </c>
      <c r="G1902" s="1" t="s">
        <v>990</v>
      </c>
      <c r="H1902" s="3">
        <v>46021</v>
      </c>
      <c r="I1902" s="1" t="s">
        <v>933</v>
      </c>
      <c r="J1902" s="1" t="s">
        <v>66</v>
      </c>
      <c r="K1902" s="1" t="s">
        <v>340</v>
      </c>
      <c r="L1902" s="1" t="s">
        <v>3268</v>
      </c>
      <c r="M1902" s="3">
        <v>45995</v>
      </c>
      <c r="N1902" s="1" t="s">
        <v>57</v>
      </c>
      <c r="O1902" s="1" t="s">
        <v>936</v>
      </c>
      <c r="P1902" s="1">
        <v>1</v>
      </c>
    </row>
    <row r="1903" spans="1:16" x14ac:dyDescent="0.25">
      <c r="A1903" s="3">
        <v>45993</v>
      </c>
      <c r="B1903" s="1">
        <v>446</v>
      </c>
      <c r="C1903" s="5">
        <v>220</v>
      </c>
      <c r="D1903" s="1" t="s">
        <v>1953</v>
      </c>
      <c r="E1903" s="1" t="s">
        <v>1954</v>
      </c>
      <c r="F1903" s="1" t="s">
        <v>686</v>
      </c>
      <c r="G1903" s="1" t="s">
        <v>990</v>
      </c>
      <c r="H1903" s="3">
        <v>46021</v>
      </c>
      <c r="I1903" s="1" t="s">
        <v>933</v>
      </c>
      <c r="J1903" s="1" t="s">
        <v>66</v>
      </c>
      <c r="K1903" s="1" t="s">
        <v>340</v>
      </c>
      <c r="L1903" s="1" t="s">
        <v>3269</v>
      </c>
      <c r="M1903" s="3">
        <v>45995</v>
      </c>
      <c r="N1903" s="1" t="s">
        <v>57</v>
      </c>
      <c r="O1903" s="1" t="s">
        <v>936</v>
      </c>
      <c r="P1903" s="1">
        <v>1</v>
      </c>
    </row>
    <row r="1904" spans="1:16" x14ac:dyDescent="0.25">
      <c r="A1904" s="3">
        <v>45993</v>
      </c>
      <c r="B1904" s="1">
        <v>447</v>
      </c>
      <c r="C1904" s="5">
        <v>170</v>
      </c>
      <c r="D1904" s="1" t="s">
        <v>1953</v>
      </c>
      <c r="E1904" s="1" t="s">
        <v>1954</v>
      </c>
      <c r="F1904" s="1" t="s">
        <v>635</v>
      </c>
      <c r="G1904" s="1" t="s">
        <v>990</v>
      </c>
      <c r="H1904" s="3">
        <v>46021</v>
      </c>
      <c r="I1904" s="1" t="s">
        <v>933</v>
      </c>
      <c r="J1904" s="1" t="s">
        <v>66</v>
      </c>
      <c r="K1904" s="1" t="s">
        <v>340</v>
      </c>
      <c r="L1904" s="1" t="s">
        <v>3270</v>
      </c>
      <c r="M1904" s="3">
        <v>45995</v>
      </c>
      <c r="N1904" s="1" t="s">
        <v>429</v>
      </c>
      <c r="O1904" s="1" t="s">
        <v>936</v>
      </c>
      <c r="P1904" s="1">
        <v>1</v>
      </c>
    </row>
    <row r="1905" spans="1:16" x14ac:dyDescent="0.25">
      <c r="A1905" s="3">
        <v>45993</v>
      </c>
      <c r="B1905" s="1">
        <v>448</v>
      </c>
      <c r="C1905" s="5">
        <v>240</v>
      </c>
      <c r="D1905" s="1" t="s">
        <v>1953</v>
      </c>
      <c r="E1905" s="1" t="s">
        <v>1954</v>
      </c>
      <c r="F1905" s="1" t="s">
        <v>339</v>
      </c>
      <c r="G1905" s="1" t="s">
        <v>990</v>
      </c>
      <c r="H1905" s="3">
        <v>46021</v>
      </c>
      <c r="I1905" s="1" t="s">
        <v>933</v>
      </c>
      <c r="J1905" s="1" t="s">
        <v>66</v>
      </c>
      <c r="K1905" s="1" t="s">
        <v>308</v>
      </c>
      <c r="L1905" s="1" t="s">
        <v>3271</v>
      </c>
      <c r="M1905" s="3">
        <v>45995</v>
      </c>
      <c r="N1905" s="1" t="s">
        <v>57</v>
      </c>
      <c r="O1905" s="1" t="s">
        <v>936</v>
      </c>
      <c r="P1905" s="1">
        <v>1</v>
      </c>
    </row>
    <row r="1906" spans="1:16" x14ac:dyDescent="0.25">
      <c r="A1906" s="3">
        <v>45993</v>
      </c>
      <c r="B1906" s="1">
        <v>449</v>
      </c>
      <c r="C1906" s="5">
        <v>150</v>
      </c>
      <c r="D1906" s="1" t="s">
        <v>1953</v>
      </c>
      <c r="E1906" s="1" t="s">
        <v>1954</v>
      </c>
      <c r="F1906" s="1" t="s">
        <v>245</v>
      </c>
      <c r="G1906" s="1" t="s">
        <v>990</v>
      </c>
      <c r="H1906" s="3">
        <v>46021</v>
      </c>
      <c r="I1906" s="1" t="s">
        <v>933</v>
      </c>
      <c r="J1906" s="1"/>
      <c r="K1906" s="1" t="s">
        <v>308</v>
      </c>
      <c r="L1906" s="1" t="s">
        <v>3272</v>
      </c>
      <c r="M1906" s="3">
        <v>45995</v>
      </c>
      <c r="N1906" s="1" t="s">
        <v>57</v>
      </c>
      <c r="O1906" s="1" t="s">
        <v>936</v>
      </c>
      <c r="P1906" s="1">
        <v>1</v>
      </c>
    </row>
    <row r="1907" spans="1:16" x14ac:dyDescent="0.25">
      <c r="A1907" s="3">
        <v>45993</v>
      </c>
      <c r="B1907" s="1">
        <v>153</v>
      </c>
      <c r="C1907" s="5">
        <v>170</v>
      </c>
      <c r="D1907" s="1" t="s">
        <v>1229</v>
      </c>
      <c r="E1907" s="1" t="s">
        <v>1230</v>
      </c>
      <c r="F1907" s="1" t="s">
        <v>162</v>
      </c>
      <c r="G1907" s="1" t="s">
        <v>990</v>
      </c>
      <c r="H1907" s="3">
        <v>46012</v>
      </c>
      <c r="I1907" s="1" t="s">
        <v>933</v>
      </c>
      <c r="J1907" s="1" t="s">
        <v>66</v>
      </c>
      <c r="K1907" s="1" t="s">
        <v>52</v>
      </c>
      <c r="L1907" s="1" t="s">
        <v>3273</v>
      </c>
      <c r="M1907" s="3">
        <v>45995</v>
      </c>
      <c r="N1907" s="1" t="s">
        <v>165</v>
      </c>
      <c r="O1907" s="1" t="s">
        <v>990</v>
      </c>
      <c r="P1907" s="1">
        <v>1</v>
      </c>
    </row>
    <row r="1908" spans="1:16" x14ac:dyDescent="0.25">
      <c r="A1908" s="3">
        <v>45993</v>
      </c>
      <c r="B1908" s="4">
        <v>334932</v>
      </c>
      <c r="C1908" s="5">
        <v>3950</v>
      </c>
      <c r="D1908" s="1" t="s">
        <v>3274</v>
      </c>
      <c r="E1908" s="1" t="s">
        <v>3275</v>
      </c>
      <c r="F1908" s="1" t="s">
        <v>430</v>
      </c>
      <c r="G1908" s="1" t="s">
        <v>1260</v>
      </c>
      <c r="H1908" s="3">
        <v>46020</v>
      </c>
      <c r="I1908" s="1" t="s">
        <v>933</v>
      </c>
      <c r="J1908" s="1" t="s">
        <v>66</v>
      </c>
      <c r="K1908" s="1" t="s">
        <v>1654</v>
      </c>
      <c r="L1908" s="1" t="s">
        <v>3276</v>
      </c>
      <c r="M1908" s="3">
        <v>45995</v>
      </c>
      <c r="N1908" s="1" t="s">
        <v>57</v>
      </c>
      <c r="O1908" s="1" t="s">
        <v>936</v>
      </c>
      <c r="P1908" s="1">
        <v>1</v>
      </c>
    </row>
    <row r="1909" spans="1:16" x14ac:dyDescent="0.25">
      <c r="A1909" s="3">
        <v>45993</v>
      </c>
      <c r="B1909" s="4">
        <v>12056</v>
      </c>
      <c r="C1909" s="5">
        <v>682.04</v>
      </c>
      <c r="D1909" s="1" t="s">
        <v>1801</v>
      </c>
      <c r="E1909" s="1" t="s">
        <v>1802</v>
      </c>
      <c r="F1909" s="1" t="s">
        <v>166</v>
      </c>
      <c r="G1909" s="1" t="s">
        <v>998</v>
      </c>
      <c r="H1909" s="3">
        <v>46020</v>
      </c>
      <c r="I1909" s="1" t="s">
        <v>933</v>
      </c>
      <c r="J1909" s="1" t="s">
        <v>66</v>
      </c>
      <c r="K1909" s="1" t="s">
        <v>1814</v>
      </c>
      <c r="L1909" s="1" t="s">
        <v>3277</v>
      </c>
      <c r="M1909" s="3">
        <v>46001</v>
      </c>
      <c r="N1909" s="1" t="s">
        <v>170</v>
      </c>
      <c r="O1909" s="1" t="s">
        <v>998</v>
      </c>
      <c r="P1909" s="1">
        <v>1</v>
      </c>
    </row>
    <row r="1910" spans="1:16" x14ac:dyDescent="0.25">
      <c r="A1910" s="3">
        <v>45993</v>
      </c>
      <c r="B1910" s="4">
        <v>1608</v>
      </c>
      <c r="C1910" s="5">
        <v>9000</v>
      </c>
      <c r="D1910" s="1" t="s">
        <v>1080</v>
      </c>
      <c r="E1910" s="1" t="s">
        <v>3046</v>
      </c>
      <c r="F1910" s="1" t="s">
        <v>268</v>
      </c>
      <c r="G1910" s="1" t="s">
        <v>1082</v>
      </c>
      <c r="H1910" s="3">
        <v>46025</v>
      </c>
      <c r="I1910" s="1" t="s">
        <v>933</v>
      </c>
      <c r="J1910" s="1" t="s">
        <v>66</v>
      </c>
      <c r="K1910" s="1" t="s">
        <v>340</v>
      </c>
      <c r="L1910" s="1" t="s">
        <v>3244</v>
      </c>
      <c r="M1910" s="3">
        <v>45995</v>
      </c>
      <c r="N1910" s="1" t="s">
        <v>264</v>
      </c>
      <c r="O1910" s="1" t="s">
        <v>936</v>
      </c>
      <c r="P1910" s="1">
        <v>1</v>
      </c>
    </row>
    <row r="1911" spans="1:16" x14ac:dyDescent="0.25">
      <c r="A1911" s="3">
        <v>45993</v>
      </c>
      <c r="B1911" s="4">
        <v>1608</v>
      </c>
      <c r="C1911" s="5">
        <v>9000</v>
      </c>
      <c r="D1911" s="1" t="s">
        <v>1080</v>
      </c>
      <c r="E1911" s="1" t="s">
        <v>3046</v>
      </c>
      <c r="F1911" s="1" t="s">
        <v>268</v>
      </c>
      <c r="G1911" s="1" t="s">
        <v>1082</v>
      </c>
      <c r="H1911" s="3">
        <v>46025</v>
      </c>
      <c r="I1911" s="1" t="s">
        <v>933</v>
      </c>
      <c r="J1911" s="1" t="s">
        <v>66</v>
      </c>
      <c r="K1911" s="1" t="s">
        <v>340</v>
      </c>
      <c r="L1911" s="1" t="s">
        <v>3244</v>
      </c>
      <c r="M1911" s="3">
        <v>45995</v>
      </c>
      <c r="N1911" s="1" t="s">
        <v>264</v>
      </c>
      <c r="O1911" s="1" t="s">
        <v>936</v>
      </c>
      <c r="P1911" s="1">
        <v>1</v>
      </c>
    </row>
    <row r="1912" spans="1:16" x14ac:dyDescent="0.25">
      <c r="A1912" s="3">
        <v>45993</v>
      </c>
      <c r="B1912" s="4">
        <v>1608</v>
      </c>
      <c r="C1912" s="5">
        <v>9000</v>
      </c>
      <c r="D1912" s="1" t="s">
        <v>1080</v>
      </c>
      <c r="E1912" s="1" t="s">
        <v>3046</v>
      </c>
      <c r="F1912" s="1" t="s">
        <v>274</v>
      </c>
      <c r="G1912" s="1" t="s">
        <v>1082</v>
      </c>
      <c r="H1912" s="3">
        <v>46025</v>
      </c>
      <c r="I1912" s="1" t="s">
        <v>933</v>
      </c>
      <c r="J1912" s="1" t="s">
        <v>66</v>
      </c>
      <c r="K1912" s="1" t="s">
        <v>340</v>
      </c>
      <c r="L1912" s="1" t="s">
        <v>4222</v>
      </c>
      <c r="M1912" s="3">
        <v>45995</v>
      </c>
      <c r="N1912" s="1" t="s">
        <v>264</v>
      </c>
      <c r="O1912" s="1" t="s">
        <v>936</v>
      </c>
      <c r="P1912" s="1">
        <v>1</v>
      </c>
    </row>
    <row r="1913" spans="1:16" x14ac:dyDescent="0.25">
      <c r="A1913" s="3">
        <v>45994</v>
      </c>
      <c r="B1913" s="4">
        <v>23108</v>
      </c>
      <c r="C1913" s="5">
        <v>480</v>
      </c>
      <c r="D1913" s="1" t="s">
        <v>1319</v>
      </c>
      <c r="E1913" s="1" t="s">
        <v>1320</v>
      </c>
      <c r="F1913" s="1" t="s">
        <v>880</v>
      </c>
      <c r="G1913" s="1" t="s">
        <v>990</v>
      </c>
      <c r="H1913" s="3">
        <v>46001</v>
      </c>
      <c r="I1913" s="1" t="s">
        <v>933</v>
      </c>
      <c r="J1913" s="1" t="s">
        <v>66</v>
      </c>
      <c r="K1913" s="1" t="s">
        <v>20</v>
      </c>
      <c r="L1913" s="1" t="s">
        <v>3278</v>
      </c>
      <c r="M1913" s="3">
        <v>45993</v>
      </c>
      <c r="N1913" s="1" t="s">
        <v>57</v>
      </c>
      <c r="O1913" s="1" t="s">
        <v>936</v>
      </c>
      <c r="P1913" s="1">
        <v>1</v>
      </c>
    </row>
    <row r="1914" spans="1:16" x14ac:dyDescent="0.25">
      <c r="A1914" s="3">
        <v>45994</v>
      </c>
      <c r="B1914" s="4">
        <v>60440</v>
      </c>
      <c r="C1914" s="5">
        <v>2019</v>
      </c>
      <c r="D1914" s="1" t="s">
        <v>2670</v>
      </c>
      <c r="E1914" s="1" t="s">
        <v>2873</v>
      </c>
      <c r="F1914" s="1" t="s">
        <v>307</v>
      </c>
      <c r="G1914" s="1" t="s">
        <v>940</v>
      </c>
      <c r="H1914" s="3">
        <v>46024</v>
      </c>
      <c r="I1914" s="1" t="s">
        <v>933</v>
      </c>
      <c r="J1914" s="1" t="s">
        <v>66</v>
      </c>
      <c r="K1914" s="1" t="s">
        <v>308</v>
      </c>
      <c r="L1914" s="1" t="s">
        <v>3279</v>
      </c>
      <c r="M1914" s="3">
        <v>45995</v>
      </c>
      <c r="N1914" s="1" t="s">
        <v>57</v>
      </c>
      <c r="O1914" s="1" t="s">
        <v>936</v>
      </c>
      <c r="P1914" s="1">
        <v>1</v>
      </c>
    </row>
    <row r="1915" spans="1:16" x14ac:dyDescent="0.25">
      <c r="A1915" s="3">
        <v>45994</v>
      </c>
      <c r="B1915" s="4">
        <v>3139</v>
      </c>
      <c r="C1915" s="5">
        <v>6432</v>
      </c>
      <c r="D1915" s="1" t="s">
        <v>1206</v>
      </c>
      <c r="E1915" s="1" t="s">
        <v>1207</v>
      </c>
      <c r="F1915" s="1" t="s">
        <v>955</v>
      </c>
      <c r="G1915" s="1" t="s">
        <v>940</v>
      </c>
      <c r="H1915" s="3">
        <v>46009</v>
      </c>
      <c r="I1915" s="1" t="s">
        <v>933</v>
      </c>
      <c r="J1915" s="1" t="s">
        <v>951</v>
      </c>
      <c r="K1915" s="1" t="s">
        <v>20</v>
      </c>
      <c r="L1915" s="1" t="s">
        <v>3280</v>
      </c>
      <c r="M1915" s="3">
        <v>45997</v>
      </c>
      <c r="N1915" s="1" t="s">
        <v>821</v>
      </c>
      <c r="O1915" s="1" t="s">
        <v>936</v>
      </c>
      <c r="P1915" s="1">
        <v>1</v>
      </c>
    </row>
    <row r="1916" spans="1:16" x14ac:dyDescent="0.25">
      <c r="A1916" s="3">
        <v>45994</v>
      </c>
      <c r="B1916" s="4">
        <v>106440</v>
      </c>
      <c r="C1916" s="5">
        <v>3641</v>
      </c>
      <c r="D1916" s="1" t="s">
        <v>2670</v>
      </c>
      <c r="E1916" s="1" t="s">
        <v>2873</v>
      </c>
      <c r="F1916" s="1" t="s">
        <v>339</v>
      </c>
      <c r="G1916" s="1" t="s">
        <v>940</v>
      </c>
      <c r="H1916" s="3">
        <v>46024</v>
      </c>
      <c r="I1916" s="1" t="s">
        <v>1100</v>
      </c>
      <c r="J1916" s="1" t="s">
        <v>66</v>
      </c>
      <c r="K1916" s="1" t="s">
        <v>340</v>
      </c>
      <c r="L1916" s="1" t="s">
        <v>3281</v>
      </c>
      <c r="M1916" s="3">
        <v>45997</v>
      </c>
      <c r="N1916" s="1" t="s">
        <v>57</v>
      </c>
      <c r="O1916" s="1" t="s">
        <v>936</v>
      </c>
      <c r="P1916" s="1">
        <v>1</v>
      </c>
    </row>
    <row r="1917" spans="1:16" x14ac:dyDescent="0.25">
      <c r="A1917" s="3">
        <v>45994</v>
      </c>
      <c r="B1917" s="4">
        <v>106438</v>
      </c>
      <c r="C1917" s="5">
        <v>490</v>
      </c>
      <c r="D1917" s="1" t="s">
        <v>2670</v>
      </c>
      <c r="E1917" s="1" t="s">
        <v>2873</v>
      </c>
      <c r="F1917" s="1" t="s">
        <v>759</v>
      </c>
      <c r="G1917" s="1" t="s">
        <v>940</v>
      </c>
      <c r="H1917" s="3">
        <v>46024</v>
      </c>
      <c r="I1917" s="1" t="s">
        <v>1100</v>
      </c>
      <c r="J1917" s="1" t="s">
        <v>66</v>
      </c>
      <c r="K1917" s="1" t="s">
        <v>340</v>
      </c>
      <c r="L1917" s="1" t="s">
        <v>3282</v>
      </c>
      <c r="M1917" s="3">
        <v>45997</v>
      </c>
      <c r="N1917" s="1" t="s">
        <v>75</v>
      </c>
      <c r="O1917" s="1" t="s">
        <v>936</v>
      </c>
      <c r="P1917" s="1">
        <v>1</v>
      </c>
    </row>
    <row r="1918" spans="1:16" x14ac:dyDescent="0.25">
      <c r="A1918" s="3">
        <v>45994</v>
      </c>
      <c r="B1918" s="1">
        <v>230</v>
      </c>
      <c r="C1918" s="5">
        <v>26400</v>
      </c>
      <c r="D1918" s="1" t="s">
        <v>1023</v>
      </c>
      <c r="E1918" s="1" t="s">
        <v>1024</v>
      </c>
      <c r="F1918" s="1" t="s">
        <v>955</v>
      </c>
      <c r="G1918" s="1" t="s">
        <v>3022</v>
      </c>
      <c r="H1918" s="3">
        <v>46026</v>
      </c>
      <c r="I1918" s="1" t="s">
        <v>933</v>
      </c>
      <c r="J1918" s="1" t="s">
        <v>951</v>
      </c>
      <c r="K1918" s="1" t="s">
        <v>20</v>
      </c>
      <c r="L1918" s="1" t="s">
        <v>3283</v>
      </c>
      <c r="M1918" s="3">
        <v>45995</v>
      </c>
      <c r="N1918" s="1" t="s">
        <v>821</v>
      </c>
      <c r="O1918" s="1" t="s">
        <v>936</v>
      </c>
      <c r="P1918" s="1">
        <v>1</v>
      </c>
    </row>
    <row r="1919" spans="1:16" x14ac:dyDescent="0.25">
      <c r="A1919" s="3">
        <v>45994</v>
      </c>
      <c r="B1919" s="4">
        <v>48648</v>
      </c>
      <c r="C1919" s="5">
        <v>730</v>
      </c>
      <c r="D1919" s="1" t="s">
        <v>1489</v>
      </c>
      <c r="E1919" s="1" t="s">
        <v>1490</v>
      </c>
      <c r="F1919" s="1" t="s">
        <v>66</v>
      </c>
      <c r="G1919" s="1" t="s">
        <v>940</v>
      </c>
      <c r="H1919" s="3">
        <v>46024</v>
      </c>
      <c r="I1919" s="1" t="s">
        <v>933</v>
      </c>
      <c r="J1919" s="1" t="s">
        <v>66</v>
      </c>
      <c r="K1919" s="1" t="s">
        <v>20</v>
      </c>
      <c r="L1919" s="1" t="s">
        <v>3284</v>
      </c>
      <c r="M1919" s="3">
        <v>45997</v>
      </c>
      <c r="N1919" s="1" t="s">
        <v>821</v>
      </c>
      <c r="O1919" s="1" t="s">
        <v>936</v>
      </c>
      <c r="P1919" s="1">
        <v>1</v>
      </c>
    </row>
    <row r="1920" spans="1:16" x14ac:dyDescent="0.25">
      <c r="A1920" s="3">
        <v>45994</v>
      </c>
      <c r="B1920" s="4">
        <v>7512860</v>
      </c>
      <c r="C1920" s="5">
        <v>1096</v>
      </c>
      <c r="D1920" s="1" t="s">
        <v>1224</v>
      </c>
      <c r="E1920" s="1" t="s">
        <v>1915</v>
      </c>
      <c r="F1920" s="1" t="s">
        <v>1131</v>
      </c>
      <c r="G1920" s="1" t="s">
        <v>940</v>
      </c>
      <c r="H1920" s="3">
        <v>46014</v>
      </c>
      <c r="I1920" s="1" t="s">
        <v>933</v>
      </c>
      <c r="J1920" s="1" t="s">
        <v>1131</v>
      </c>
      <c r="K1920" s="1" t="s">
        <v>66</v>
      </c>
      <c r="L1920" s="1" t="s">
        <v>3285</v>
      </c>
      <c r="M1920" s="3">
        <v>45995</v>
      </c>
      <c r="N1920" s="1" t="s">
        <v>821</v>
      </c>
      <c r="O1920" s="1" t="s">
        <v>936</v>
      </c>
      <c r="P1920" s="1">
        <v>1</v>
      </c>
    </row>
    <row r="1921" spans="1:16" x14ac:dyDescent="0.25">
      <c r="A1921" s="3">
        <v>45994</v>
      </c>
      <c r="B1921" s="1">
        <v>230</v>
      </c>
      <c r="C1921" s="5">
        <v>1320</v>
      </c>
      <c r="D1921" s="1" t="s">
        <v>1023</v>
      </c>
      <c r="E1921" s="1" t="s">
        <v>1447</v>
      </c>
      <c r="F1921" s="1" t="s">
        <v>955</v>
      </c>
      <c r="G1921" s="1" t="s">
        <v>3022</v>
      </c>
      <c r="H1921" s="3">
        <v>46014</v>
      </c>
      <c r="I1921" s="1" t="s">
        <v>933</v>
      </c>
      <c r="J1921" s="1" t="s">
        <v>951</v>
      </c>
      <c r="K1921" s="1" t="s">
        <v>340</v>
      </c>
      <c r="L1921" s="1" t="s">
        <v>3286</v>
      </c>
      <c r="M1921" s="3">
        <v>45995</v>
      </c>
      <c r="N1921" s="1" t="s">
        <v>821</v>
      </c>
      <c r="O1921" s="1" t="s">
        <v>936</v>
      </c>
      <c r="P1921" s="1">
        <v>1</v>
      </c>
    </row>
    <row r="1922" spans="1:16" x14ac:dyDescent="0.25">
      <c r="A1922" s="3">
        <v>45994</v>
      </c>
      <c r="B1922" s="1">
        <v>114</v>
      </c>
      <c r="C1922" s="5">
        <v>1000</v>
      </c>
      <c r="D1922" s="1" t="s">
        <v>1579</v>
      </c>
      <c r="E1922" s="1" t="s">
        <v>1580</v>
      </c>
      <c r="F1922" s="1" t="s">
        <v>759</v>
      </c>
      <c r="G1922" s="1" t="s">
        <v>1260</v>
      </c>
      <c r="H1922" s="3">
        <v>46014</v>
      </c>
      <c r="I1922" s="1" t="s">
        <v>933</v>
      </c>
      <c r="J1922" s="1" t="s">
        <v>66</v>
      </c>
      <c r="K1922" s="1" t="s">
        <v>340</v>
      </c>
      <c r="L1922" s="1" t="s">
        <v>3287</v>
      </c>
      <c r="M1922" s="3">
        <v>45995</v>
      </c>
      <c r="N1922" s="1" t="s">
        <v>75</v>
      </c>
      <c r="O1922" s="1" t="s">
        <v>936</v>
      </c>
      <c r="P1922" s="1">
        <v>1</v>
      </c>
    </row>
    <row r="1923" spans="1:16" x14ac:dyDescent="0.25">
      <c r="A1923" s="3">
        <v>45994</v>
      </c>
      <c r="B1923" s="4">
        <v>95110</v>
      </c>
      <c r="C1923" s="5">
        <v>1725</v>
      </c>
      <c r="D1923" s="1" t="s">
        <v>1094</v>
      </c>
      <c r="E1923" s="1" t="s">
        <v>1095</v>
      </c>
      <c r="F1923" s="1" t="s">
        <v>66</v>
      </c>
      <c r="G1923" s="1" t="s">
        <v>1010</v>
      </c>
      <c r="H1923" s="3">
        <v>46024</v>
      </c>
      <c r="I1923" s="1" t="s">
        <v>933</v>
      </c>
      <c r="J1923" s="1" t="s">
        <v>66</v>
      </c>
      <c r="K1923" s="1" t="s">
        <v>340</v>
      </c>
      <c r="L1923" s="1" t="s">
        <v>3288</v>
      </c>
      <c r="M1923" s="3">
        <v>45995</v>
      </c>
      <c r="N1923" s="1" t="s">
        <v>821</v>
      </c>
      <c r="O1923" s="1" t="s">
        <v>998</v>
      </c>
      <c r="P1923" s="1">
        <v>1</v>
      </c>
    </row>
    <row r="1924" spans="1:16" x14ac:dyDescent="0.25">
      <c r="A1924" s="3">
        <v>45994</v>
      </c>
      <c r="B1924" s="4">
        <v>3680</v>
      </c>
      <c r="C1924" s="5">
        <v>8900</v>
      </c>
      <c r="D1924" s="1" t="s">
        <v>1596</v>
      </c>
      <c r="E1924" s="1" t="s">
        <v>1597</v>
      </c>
      <c r="F1924" s="1" t="s">
        <v>635</v>
      </c>
      <c r="G1924" s="1" t="s">
        <v>1029</v>
      </c>
      <c r="H1924" s="3">
        <v>46014</v>
      </c>
      <c r="I1924" s="1" t="s">
        <v>933</v>
      </c>
      <c r="J1924" s="1" t="s">
        <v>66</v>
      </c>
      <c r="K1924" s="1" t="s">
        <v>858</v>
      </c>
      <c r="L1924" s="1" t="s">
        <v>3289</v>
      </c>
      <c r="M1924" s="3">
        <v>45995</v>
      </c>
      <c r="N1924" s="1" t="s">
        <v>429</v>
      </c>
      <c r="O1924" s="1" t="s">
        <v>1031</v>
      </c>
      <c r="P1924" s="1">
        <v>1</v>
      </c>
    </row>
    <row r="1925" spans="1:16" x14ac:dyDescent="0.25">
      <c r="A1925" s="3">
        <v>45994</v>
      </c>
      <c r="B1925" s="4">
        <v>154461</v>
      </c>
      <c r="C1925" s="5">
        <v>7850.05</v>
      </c>
      <c r="D1925" s="1" t="s">
        <v>2670</v>
      </c>
      <c r="E1925" s="1" t="s">
        <v>2671</v>
      </c>
      <c r="F1925" s="1" t="s">
        <v>307</v>
      </c>
      <c r="G1925" s="1" t="s">
        <v>940</v>
      </c>
      <c r="H1925" s="3">
        <v>46024</v>
      </c>
      <c r="I1925" s="1" t="s">
        <v>1100</v>
      </c>
      <c r="J1925" s="1" t="s">
        <v>66</v>
      </c>
      <c r="K1925" s="1" t="s">
        <v>340</v>
      </c>
      <c r="L1925" s="1" t="s">
        <v>3290</v>
      </c>
      <c r="M1925" s="3">
        <v>45995</v>
      </c>
      <c r="N1925" s="1" t="s">
        <v>57</v>
      </c>
      <c r="O1925" s="1" t="s">
        <v>936</v>
      </c>
      <c r="P1925" s="1">
        <v>1</v>
      </c>
    </row>
    <row r="1926" spans="1:16" x14ac:dyDescent="0.25">
      <c r="A1926" s="3">
        <v>45994</v>
      </c>
      <c r="B1926" s="4">
        <v>154462</v>
      </c>
      <c r="C1926" s="5">
        <v>5052.92</v>
      </c>
      <c r="D1926" s="1" t="s">
        <v>2670</v>
      </c>
      <c r="E1926" s="1" t="s">
        <v>2671</v>
      </c>
      <c r="F1926" s="1" t="s">
        <v>339</v>
      </c>
      <c r="G1926" s="1" t="s">
        <v>940</v>
      </c>
      <c r="H1926" s="3">
        <v>46024</v>
      </c>
      <c r="I1926" s="1" t="s">
        <v>1100</v>
      </c>
      <c r="J1926" s="1" t="s">
        <v>66</v>
      </c>
      <c r="K1926" s="1" t="s">
        <v>340</v>
      </c>
      <c r="L1926" s="1" t="s">
        <v>3291</v>
      </c>
      <c r="M1926" s="3">
        <v>45995</v>
      </c>
      <c r="N1926" s="1" t="s">
        <v>57</v>
      </c>
      <c r="O1926" s="1" t="s">
        <v>936</v>
      </c>
      <c r="P1926" s="1">
        <v>1</v>
      </c>
    </row>
    <row r="1927" spans="1:16" x14ac:dyDescent="0.25">
      <c r="A1927" s="3">
        <v>45994</v>
      </c>
      <c r="B1927" s="1">
        <v>27</v>
      </c>
      <c r="C1927" s="5">
        <v>4085</v>
      </c>
      <c r="D1927" s="1" t="s">
        <v>1730</v>
      </c>
      <c r="E1927" s="1" t="s">
        <v>2927</v>
      </c>
      <c r="F1927" s="1" t="s">
        <v>955</v>
      </c>
      <c r="G1927" s="1" t="s">
        <v>940</v>
      </c>
      <c r="H1927" s="3">
        <v>46013</v>
      </c>
      <c r="I1927" s="1" t="s">
        <v>933</v>
      </c>
      <c r="J1927" s="1" t="s">
        <v>951</v>
      </c>
      <c r="K1927" s="1" t="s">
        <v>20</v>
      </c>
      <c r="L1927" s="1" t="s">
        <v>3292</v>
      </c>
      <c r="M1927" s="3">
        <v>45995</v>
      </c>
      <c r="N1927" s="1" t="s">
        <v>821</v>
      </c>
      <c r="O1927" s="1" t="s">
        <v>936</v>
      </c>
      <c r="P1927" s="1" t="s">
        <v>937</v>
      </c>
    </row>
    <row r="1928" spans="1:16" x14ac:dyDescent="0.25">
      <c r="A1928" s="3">
        <v>45994</v>
      </c>
      <c r="B1928" s="1">
        <v>28</v>
      </c>
      <c r="C1928" s="5">
        <v>1690</v>
      </c>
      <c r="D1928" s="1" t="s">
        <v>1730</v>
      </c>
      <c r="E1928" s="1" t="s">
        <v>2927</v>
      </c>
      <c r="F1928" s="1" t="s">
        <v>955</v>
      </c>
      <c r="G1928" s="1" t="s">
        <v>940</v>
      </c>
      <c r="H1928" s="3">
        <v>46013</v>
      </c>
      <c r="I1928" s="1" t="s">
        <v>933</v>
      </c>
      <c r="J1928" s="1" t="s">
        <v>951</v>
      </c>
      <c r="K1928" s="1" t="s">
        <v>20</v>
      </c>
      <c r="L1928" s="1" t="s">
        <v>3293</v>
      </c>
      <c r="M1928" s="3">
        <v>45995</v>
      </c>
      <c r="N1928" s="1" t="s">
        <v>821</v>
      </c>
      <c r="O1928" s="1" t="s">
        <v>936</v>
      </c>
      <c r="P1928" s="1" t="s">
        <v>937</v>
      </c>
    </row>
    <row r="1929" spans="1:16" x14ac:dyDescent="0.25">
      <c r="A1929" s="3">
        <v>45994</v>
      </c>
      <c r="B1929" s="4">
        <v>72070</v>
      </c>
      <c r="C1929" s="5">
        <v>530.62</v>
      </c>
      <c r="D1929" s="1" t="s">
        <v>1253</v>
      </c>
      <c r="E1929" s="1" t="s">
        <v>1487</v>
      </c>
      <c r="F1929" s="1" t="s">
        <v>1131</v>
      </c>
      <c r="G1929" s="1" t="s">
        <v>1131</v>
      </c>
      <c r="H1929" s="3">
        <v>46024</v>
      </c>
      <c r="I1929" s="1" t="s">
        <v>933</v>
      </c>
      <c r="J1929" s="1" t="s">
        <v>1131</v>
      </c>
      <c r="K1929" s="1" t="s">
        <v>66</v>
      </c>
      <c r="L1929" s="1" t="s">
        <v>3294</v>
      </c>
      <c r="M1929" s="3">
        <v>45995</v>
      </c>
      <c r="N1929" s="1" t="s">
        <v>821</v>
      </c>
      <c r="O1929" s="1" t="s">
        <v>936</v>
      </c>
      <c r="P1929" s="1">
        <v>1</v>
      </c>
    </row>
    <row r="1930" spans="1:16" x14ac:dyDescent="0.25">
      <c r="A1930" s="3">
        <v>45994</v>
      </c>
      <c r="B1930" s="4">
        <v>72069</v>
      </c>
      <c r="C1930" s="5">
        <v>5210</v>
      </c>
      <c r="D1930" s="1" t="s">
        <v>1253</v>
      </c>
      <c r="E1930" s="1" t="s">
        <v>1487</v>
      </c>
      <c r="F1930" s="1" t="s">
        <v>1131</v>
      </c>
      <c r="G1930" s="1" t="s">
        <v>1131</v>
      </c>
      <c r="H1930" s="3">
        <v>46024</v>
      </c>
      <c r="I1930" s="1" t="s">
        <v>933</v>
      </c>
      <c r="J1930" s="1" t="s">
        <v>1131</v>
      </c>
      <c r="K1930" s="1" t="s">
        <v>66</v>
      </c>
      <c r="L1930" s="1" t="s">
        <v>3295</v>
      </c>
      <c r="M1930" s="3">
        <v>45995</v>
      </c>
      <c r="N1930" s="1" t="s">
        <v>821</v>
      </c>
      <c r="O1930" s="1" t="s">
        <v>936</v>
      </c>
      <c r="P1930" s="1">
        <v>1</v>
      </c>
    </row>
    <row r="1931" spans="1:16" x14ac:dyDescent="0.25">
      <c r="A1931" s="3">
        <v>45994</v>
      </c>
      <c r="B1931" s="1">
        <v>9</v>
      </c>
      <c r="C1931" s="5">
        <v>2600</v>
      </c>
      <c r="D1931" s="1" t="s">
        <v>2848</v>
      </c>
      <c r="E1931" s="1" t="s">
        <v>2849</v>
      </c>
      <c r="F1931" s="1" t="s">
        <v>243</v>
      </c>
      <c r="G1931" s="1" t="s">
        <v>1029</v>
      </c>
      <c r="H1931" s="3">
        <v>46010</v>
      </c>
      <c r="I1931" s="1" t="s">
        <v>933</v>
      </c>
      <c r="J1931" s="1" t="s">
        <v>66</v>
      </c>
      <c r="K1931" s="1" t="s">
        <v>52</v>
      </c>
      <c r="L1931" s="1" t="s">
        <v>3296</v>
      </c>
      <c r="M1931" s="3">
        <v>45995</v>
      </c>
      <c r="N1931" s="1" t="s">
        <v>93</v>
      </c>
      <c r="O1931" s="1" t="s">
        <v>1031</v>
      </c>
      <c r="P1931" s="1">
        <v>2</v>
      </c>
    </row>
    <row r="1932" spans="1:16" x14ac:dyDescent="0.25">
      <c r="A1932" s="3">
        <v>45994</v>
      </c>
      <c r="B1932" s="4">
        <v>2367</v>
      </c>
      <c r="C1932" s="5">
        <v>2000</v>
      </c>
      <c r="D1932" s="1" t="s">
        <v>1368</v>
      </c>
      <c r="E1932" s="1" t="s">
        <v>31</v>
      </c>
      <c r="F1932" s="1" t="s">
        <v>955</v>
      </c>
      <c r="G1932" s="1" t="s">
        <v>932</v>
      </c>
      <c r="H1932" s="3">
        <v>45985</v>
      </c>
      <c r="I1932" s="1" t="s">
        <v>933</v>
      </c>
      <c r="J1932" s="1" t="s">
        <v>951</v>
      </c>
      <c r="K1932" s="1" t="s">
        <v>20</v>
      </c>
      <c r="L1932" s="1" t="s">
        <v>2756</v>
      </c>
      <c r="M1932" s="3">
        <v>46012</v>
      </c>
      <c r="N1932" s="1" t="s">
        <v>821</v>
      </c>
      <c r="O1932" s="1" t="s">
        <v>937</v>
      </c>
      <c r="P1932" s="1" t="s">
        <v>937</v>
      </c>
    </row>
    <row r="1933" spans="1:16" x14ac:dyDescent="0.25">
      <c r="A1933" s="3">
        <v>45994</v>
      </c>
      <c r="B1933" s="4">
        <v>154461</v>
      </c>
      <c r="C1933" s="5">
        <v>7850.05</v>
      </c>
      <c r="D1933" s="1" t="s">
        <v>2670</v>
      </c>
      <c r="E1933" s="1" t="s">
        <v>2873</v>
      </c>
      <c r="F1933" s="1" t="s">
        <v>307</v>
      </c>
      <c r="G1933" s="1" t="s">
        <v>940</v>
      </c>
      <c r="H1933" s="3">
        <v>46024</v>
      </c>
      <c r="I1933" s="1" t="s">
        <v>1100</v>
      </c>
      <c r="J1933" s="1" t="s">
        <v>66</v>
      </c>
      <c r="K1933" s="1" t="s">
        <v>340</v>
      </c>
      <c r="L1933" s="1" t="s">
        <v>3297</v>
      </c>
      <c r="M1933" s="3">
        <v>46001</v>
      </c>
      <c r="N1933" s="1" t="s">
        <v>57</v>
      </c>
      <c r="O1933" s="1" t="s">
        <v>936</v>
      </c>
      <c r="P1933" s="1">
        <v>1</v>
      </c>
    </row>
    <row r="1934" spans="1:16" x14ac:dyDescent="0.25">
      <c r="A1934" s="3">
        <v>45994</v>
      </c>
      <c r="B1934" s="4">
        <v>154462</v>
      </c>
      <c r="C1934" s="5">
        <v>5052.92</v>
      </c>
      <c r="D1934" s="1" t="s">
        <v>2670</v>
      </c>
      <c r="E1934" s="1" t="s">
        <v>2873</v>
      </c>
      <c r="F1934" s="1" t="s">
        <v>339</v>
      </c>
      <c r="G1934" s="1" t="s">
        <v>940</v>
      </c>
      <c r="H1934" s="3">
        <v>46024</v>
      </c>
      <c r="I1934" s="1" t="s">
        <v>1100</v>
      </c>
      <c r="J1934" s="1" t="s">
        <v>66</v>
      </c>
      <c r="K1934" s="1" t="s">
        <v>340</v>
      </c>
      <c r="L1934" s="1" t="s">
        <v>3298</v>
      </c>
      <c r="M1934" s="3">
        <v>46001</v>
      </c>
      <c r="N1934" s="1" t="s">
        <v>57</v>
      </c>
      <c r="O1934" s="1" t="s">
        <v>936</v>
      </c>
      <c r="P1934" s="1">
        <v>1</v>
      </c>
    </row>
    <row r="1935" spans="1:16" x14ac:dyDescent="0.25">
      <c r="A1935" s="3">
        <v>45994</v>
      </c>
      <c r="B1935" s="1">
        <v>9</v>
      </c>
      <c r="C1935" s="5">
        <v>2600</v>
      </c>
      <c r="D1935" s="1" t="s">
        <v>2848</v>
      </c>
      <c r="E1935" s="1" t="s">
        <v>2849</v>
      </c>
      <c r="F1935" s="1" t="s">
        <v>243</v>
      </c>
      <c r="G1935" s="1" t="s">
        <v>1029</v>
      </c>
      <c r="H1935" s="3">
        <v>46010</v>
      </c>
      <c r="I1935" s="1" t="s">
        <v>933</v>
      </c>
      <c r="J1935" s="1" t="s">
        <v>66</v>
      </c>
      <c r="K1935" s="1" t="s">
        <v>52</v>
      </c>
      <c r="L1935" s="1" t="s">
        <v>3299</v>
      </c>
      <c r="M1935" s="3">
        <v>46001</v>
      </c>
      <c r="N1935" s="1" t="s">
        <v>93</v>
      </c>
      <c r="O1935" s="1" t="s">
        <v>1031</v>
      </c>
      <c r="P1935" s="1">
        <v>2</v>
      </c>
    </row>
    <row r="1936" spans="1:16" x14ac:dyDescent="0.25">
      <c r="A1936" s="3">
        <v>45995</v>
      </c>
      <c r="B1936" s="4">
        <v>1543</v>
      </c>
      <c r="C1936" s="5">
        <v>2387.5500000000002</v>
      </c>
      <c r="D1936" s="1" t="s">
        <v>1901</v>
      </c>
      <c r="E1936" s="1" t="s">
        <v>1902</v>
      </c>
      <c r="F1936" s="1" t="s">
        <v>955</v>
      </c>
      <c r="G1936" s="1" t="s">
        <v>20</v>
      </c>
      <c r="H1936" s="3">
        <v>46020</v>
      </c>
      <c r="I1936" s="1" t="s">
        <v>933</v>
      </c>
      <c r="J1936" s="1" t="s">
        <v>951</v>
      </c>
      <c r="K1936" s="1" t="s">
        <v>20</v>
      </c>
      <c r="L1936" s="1" t="s">
        <v>3300</v>
      </c>
      <c r="M1936" s="3">
        <v>45995</v>
      </c>
      <c r="N1936" s="1" t="s">
        <v>821</v>
      </c>
      <c r="O1936" s="1" t="s">
        <v>936</v>
      </c>
      <c r="P1936" s="1">
        <v>1</v>
      </c>
    </row>
    <row r="1937" spans="1:16" x14ac:dyDescent="0.25">
      <c r="A1937" s="3">
        <v>45995</v>
      </c>
      <c r="B1937" s="4">
        <v>1544</v>
      </c>
      <c r="C1937" s="5">
        <v>50.2</v>
      </c>
      <c r="D1937" s="1" t="s">
        <v>1901</v>
      </c>
      <c r="E1937" s="1" t="s">
        <v>1902</v>
      </c>
      <c r="F1937" s="1" t="s">
        <v>955</v>
      </c>
      <c r="G1937" s="1" t="s">
        <v>990</v>
      </c>
      <c r="H1937" s="3">
        <v>46014</v>
      </c>
      <c r="I1937" s="1" t="s">
        <v>933</v>
      </c>
      <c r="J1937" s="1" t="s">
        <v>951</v>
      </c>
      <c r="K1937" s="1" t="s">
        <v>20</v>
      </c>
      <c r="L1937" s="1" t="s">
        <v>3301</v>
      </c>
      <c r="M1937" s="3">
        <v>45995</v>
      </c>
      <c r="N1937" s="1" t="s">
        <v>821</v>
      </c>
      <c r="O1937" s="1" t="s">
        <v>936</v>
      </c>
      <c r="P1937" s="1">
        <v>1</v>
      </c>
    </row>
    <row r="1938" spans="1:16" x14ac:dyDescent="0.25">
      <c r="A1938" s="3">
        <v>45995</v>
      </c>
      <c r="B1938" s="4">
        <v>95066</v>
      </c>
      <c r="C1938" s="5">
        <v>69000</v>
      </c>
      <c r="D1938" s="1" t="s">
        <v>1094</v>
      </c>
      <c r="E1938" s="1" t="s">
        <v>1095</v>
      </c>
      <c r="F1938" s="1" t="s">
        <v>66</v>
      </c>
      <c r="G1938" s="1" t="s">
        <v>998</v>
      </c>
      <c r="H1938" s="3">
        <v>46024</v>
      </c>
      <c r="I1938" s="1" t="s">
        <v>933</v>
      </c>
      <c r="J1938" s="1" t="s">
        <v>66</v>
      </c>
      <c r="K1938" s="1" t="s">
        <v>996</v>
      </c>
      <c r="L1938" s="1" t="s">
        <v>3302</v>
      </c>
      <c r="M1938" s="3">
        <v>45995</v>
      </c>
      <c r="N1938" s="1" t="s">
        <v>821</v>
      </c>
      <c r="O1938" s="1" t="s">
        <v>998</v>
      </c>
      <c r="P1938" s="1">
        <v>1</v>
      </c>
    </row>
    <row r="1939" spans="1:16" x14ac:dyDescent="0.25">
      <c r="A1939" s="3">
        <v>45995</v>
      </c>
      <c r="B1939" s="1">
        <v>457</v>
      </c>
      <c r="C1939" s="5">
        <v>760</v>
      </c>
      <c r="D1939" s="1" t="s">
        <v>1588</v>
      </c>
      <c r="E1939" s="1" t="s">
        <v>3303</v>
      </c>
      <c r="F1939" s="1" t="s">
        <v>955</v>
      </c>
      <c r="G1939" s="1" t="s">
        <v>940</v>
      </c>
      <c r="H1939" s="3">
        <v>46009</v>
      </c>
      <c r="I1939" s="1" t="s">
        <v>933</v>
      </c>
      <c r="J1939" s="1" t="s">
        <v>951</v>
      </c>
      <c r="K1939" s="1" t="s">
        <v>20</v>
      </c>
      <c r="L1939" s="1" t="s">
        <v>3304</v>
      </c>
      <c r="M1939" s="3">
        <v>45995</v>
      </c>
      <c r="N1939" s="1" t="s">
        <v>821</v>
      </c>
      <c r="O1939" s="1" t="s">
        <v>990</v>
      </c>
      <c r="P1939" s="1">
        <v>1</v>
      </c>
    </row>
    <row r="1940" spans="1:16" x14ac:dyDescent="0.25">
      <c r="A1940" s="3">
        <v>45995</v>
      </c>
      <c r="B1940" s="1">
        <v>456</v>
      </c>
      <c r="C1940" s="5">
        <v>8430</v>
      </c>
      <c r="D1940" s="1" t="s">
        <v>3305</v>
      </c>
      <c r="E1940" s="1" t="s">
        <v>3306</v>
      </c>
      <c r="F1940" s="1" t="s">
        <v>955</v>
      </c>
      <c r="G1940" s="1" t="s">
        <v>940</v>
      </c>
      <c r="H1940" s="3">
        <v>46025</v>
      </c>
      <c r="I1940" s="1" t="s">
        <v>933</v>
      </c>
      <c r="J1940" s="1" t="s">
        <v>951</v>
      </c>
      <c r="K1940" s="1" t="s">
        <v>636</v>
      </c>
      <c r="L1940" s="1" t="s">
        <v>3307</v>
      </c>
      <c r="M1940" s="3">
        <v>45995</v>
      </c>
      <c r="N1940" s="1" t="s">
        <v>821</v>
      </c>
      <c r="O1940" s="1" t="s">
        <v>936</v>
      </c>
      <c r="P1940" s="1">
        <v>1</v>
      </c>
    </row>
    <row r="1941" spans="1:16" x14ac:dyDescent="0.25">
      <c r="A1941" s="3">
        <v>45995</v>
      </c>
      <c r="B1941" s="4">
        <v>72083</v>
      </c>
      <c r="C1941" s="5">
        <v>326.77</v>
      </c>
      <c r="D1941" s="1" t="s">
        <v>1253</v>
      </c>
      <c r="E1941" s="1" t="s">
        <v>1487</v>
      </c>
      <c r="F1941" s="1" t="s">
        <v>1131</v>
      </c>
      <c r="G1941" s="1" t="s">
        <v>1131</v>
      </c>
      <c r="H1941" s="3">
        <v>46027</v>
      </c>
      <c r="I1941" s="1" t="s">
        <v>933</v>
      </c>
      <c r="J1941" s="1" t="s">
        <v>1131</v>
      </c>
      <c r="K1941" s="1" t="s">
        <v>817</v>
      </c>
      <c r="L1941" s="1" t="s">
        <v>3308</v>
      </c>
      <c r="M1941" s="3">
        <v>45995</v>
      </c>
      <c r="N1941" s="1" t="s">
        <v>821</v>
      </c>
      <c r="O1941" s="1" t="s">
        <v>936</v>
      </c>
      <c r="P1941" s="1">
        <v>1</v>
      </c>
    </row>
    <row r="1942" spans="1:16" x14ac:dyDescent="0.25">
      <c r="A1942" s="3">
        <v>45995</v>
      </c>
      <c r="B1942" s="4">
        <v>9564</v>
      </c>
      <c r="C1942" s="5">
        <v>9694.9500000000007</v>
      </c>
      <c r="D1942" s="1" t="s">
        <v>973</v>
      </c>
      <c r="E1942" s="1" t="s">
        <v>1068</v>
      </c>
      <c r="F1942" s="1" t="s">
        <v>1814</v>
      </c>
      <c r="G1942" s="1" t="s">
        <v>998</v>
      </c>
      <c r="H1942" s="3">
        <v>46010</v>
      </c>
      <c r="I1942" s="1" t="s">
        <v>933</v>
      </c>
      <c r="J1942" s="1" t="s">
        <v>66</v>
      </c>
      <c r="K1942" s="1" t="s">
        <v>1814</v>
      </c>
      <c r="L1942" s="1" t="s">
        <v>3309</v>
      </c>
      <c r="M1942" s="3">
        <v>45995</v>
      </c>
      <c r="N1942" s="1" t="s">
        <v>1814</v>
      </c>
      <c r="O1942" s="1" t="s">
        <v>998</v>
      </c>
      <c r="P1942" s="1">
        <v>1</v>
      </c>
    </row>
    <row r="1943" spans="1:16" x14ac:dyDescent="0.25">
      <c r="A1943" s="3">
        <v>45995</v>
      </c>
      <c r="B1943" s="4">
        <v>335226</v>
      </c>
      <c r="C1943" s="5">
        <v>444.99</v>
      </c>
      <c r="D1943" s="1" t="s">
        <v>3274</v>
      </c>
      <c r="E1943" s="1" t="s">
        <v>3275</v>
      </c>
      <c r="F1943" s="1" t="s">
        <v>430</v>
      </c>
      <c r="G1943" s="1" t="s">
        <v>1260</v>
      </c>
      <c r="H1943" s="3">
        <v>46020</v>
      </c>
      <c r="I1943" s="1" t="s">
        <v>933</v>
      </c>
      <c r="J1943" s="1" t="s">
        <v>66</v>
      </c>
      <c r="K1943" s="1" t="s">
        <v>1654</v>
      </c>
      <c r="L1943" s="1" t="s">
        <v>3310</v>
      </c>
      <c r="M1943" s="3">
        <v>45995</v>
      </c>
      <c r="N1943" s="1" t="s">
        <v>57</v>
      </c>
      <c r="O1943" s="1" t="s">
        <v>936</v>
      </c>
      <c r="P1943" s="1">
        <v>1</v>
      </c>
    </row>
    <row r="1944" spans="1:16" x14ac:dyDescent="0.25">
      <c r="A1944" s="3">
        <v>45995</v>
      </c>
      <c r="B1944" s="4">
        <v>151095</v>
      </c>
      <c r="C1944" s="5">
        <v>826.58</v>
      </c>
      <c r="D1944" s="1" t="s">
        <v>1492</v>
      </c>
      <c r="E1944" s="1" t="s">
        <v>1493</v>
      </c>
      <c r="F1944" s="1" t="s">
        <v>909</v>
      </c>
      <c r="G1944" s="1" t="s">
        <v>1260</v>
      </c>
      <c r="H1944" s="3">
        <v>46025</v>
      </c>
      <c r="I1944" s="1" t="s">
        <v>933</v>
      </c>
      <c r="J1944" s="1" t="s">
        <v>66</v>
      </c>
      <c r="K1944" s="1" t="s">
        <v>910</v>
      </c>
      <c r="L1944" s="1" t="s">
        <v>3311</v>
      </c>
      <c r="M1944" s="3">
        <v>46001</v>
      </c>
      <c r="N1944" s="1" t="s">
        <v>57</v>
      </c>
      <c r="O1944" s="1" t="s">
        <v>936</v>
      </c>
      <c r="P1944" s="1">
        <v>1</v>
      </c>
    </row>
    <row r="1945" spans="1:16" x14ac:dyDescent="0.25">
      <c r="A1945" s="3">
        <v>45995</v>
      </c>
      <c r="B1945" s="4">
        <v>6001664818</v>
      </c>
      <c r="C1945" s="5">
        <v>74.37</v>
      </c>
      <c r="D1945" s="1" t="s">
        <v>1855</v>
      </c>
      <c r="E1945" s="1" t="s">
        <v>2116</v>
      </c>
      <c r="F1945" s="1" t="s">
        <v>430</v>
      </c>
      <c r="G1945" s="1" t="s">
        <v>1029</v>
      </c>
      <c r="H1945" s="3">
        <v>46016</v>
      </c>
      <c r="I1945" s="1" t="s">
        <v>933</v>
      </c>
      <c r="J1945" s="1" t="s">
        <v>66</v>
      </c>
      <c r="K1945" s="1" t="s">
        <v>1654</v>
      </c>
      <c r="L1945" s="1" t="s">
        <v>3233</v>
      </c>
      <c r="M1945" s="3">
        <v>46008</v>
      </c>
      <c r="N1945" s="1" t="s">
        <v>57</v>
      </c>
      <c r="O1945" s="1" t="s">
        <v>1031</v>
      </c>
      <c r="P1945" s="1">
        <v>1</v>
      </c>
    </row>
    <row r="1946" spans="1:16" x14ac:dyDescent="0.25">
      <c r="A1946" s="3">
        <v>45996</v>
      </c>
      <c r="B1946" s="1">
        <v>78</v>
      </c>
      <c r="C1946" s="5">
        <v>760</v>
      </c>
      <c r="D1946" s="1" t="s">
        <v>2145</v>
      </c>
      <c r="E1946" s="1" t="s">
        <v>2146</v>
      </c>
      <c r="F1946" s="1" t="s">
        <v>259</v>
      </c>
      <c r="G1946" s="1" t="s">
        <v>940</v>
      </c>
      <c r="H1946" s="3">
        <v>46019</v>
      </c>
      <c r="I1946" s="1" t="s">
        <v>933</v>
      </c>
      <c r="J1946" s="1" t="s">
        <v>66</v>
      </c>
      <c r="K1946" s="1" t="s">
        <v>340</v>
      </c>
      <c r="L1946" s="1" t="s">
        <v>3242</v>
      </c>
      <c r="M1946" s="3">
        <v>45995</v>
      </c>
      <c r="N1946" s="1" t="s">
        <v>264</v>
      </c>
      <c r="O1946" s="1" t="s">
        <v>936</v>
      </c>
      <c r="P1946" s="1">
        <v>1</v>
      </c>
    </row>
    <row r="1947" spans="1:16" x14ac:dyDescent="0.25">
      <c r="A1947" s="3">
        <v>45996</v>
      </c>
      <c r="B1947" s="1">
        <v>458</v>
      </c>
      <c r="C1947" s="5">
        <v>440</v>
      </c>
      <c r="D1947" s="1" t="s">
        <v>1953</v>
      </c>
      <c r="E1947" s="1" t="s">
        <v>1954</v>
      </c>
      <c r="F1947" s="1" t="s">
        <v>259</v>
      </c>
      <c r="G1947" s="1" t="s">
        <v>940</v>
      </c>
      <c r="H1947" s="3">
        <v>46021</v>
      </c>
      <c r="I1947" s="1" t="s">
        <v>933</v>
      </c>
      <c r="J1947" s="1" t="s">
        <v>66</v>
      </c>
      <c r="K1947" s="1" t="s">
        <v>340</v>
      </c>
      <c r="L1947" s="1" t="s">
        <v>3243</v>
      </c>
      <c r="M1947" s="3">
        <v>45995</v>
      </c>
      <c r="N1947" s="1" t="s">
        <v>264</v>
      </c>
      <c r="O1947" s="1" t="s">
        <v>936</v>
      </c>
      <c r="P1947" s="1">
        <v>1</v>
      </c>
    </row>
    <row r="1948" spans="1:16" x14ac:dyDescent="0.25">
      <c r="A1948" s="3">
        <v>45996</v>
      </c>
      <c r="B1948" s="1">
        <v>5</v>
      </c>
      <c r="C1948" s="5">
        <v>5600</v>
      </c>
      <c r="D1948" s="1" t="s">
        <v>3312</v>
      </c>
      <c r="E1948" s="1" t="s">
        <v>3313</v>
      </c>
      <c r="F1948" s="1" t="s">
        <v>66</v>
      </c>
      <c r="G1948" s="1" t="s">
        <v>1029</v>
      </c>
      <c r="H1948" s="3">
        <v>46011</v>
      </c>
      <c r="I1948" s="1" t="s">
        <v>933</v>
      </c>
      <c r="J1948" s="1" t="s">
        <v>66</v>
      </c>
      <c r="K1948" s="1" t="s">
        <v>340</v>
      </c>
      <c r="L1948" s="1" t="s">
        <v>3314</v>
      </c>
      <c r="M1948" s="3">
        <v>45995</v>
      </c>
      <c r="N1948" s="1" t="s">
        <v>821</v>
      </c>
      <c r="O1948" s="1" t="s">
        <v>937</v>
      </c>
      <c r="P1948" s="1" t="s">
        <v>937</v>
      </c>
    </row>
    <row r="1949" spans="1:16" x14ac:dyDescent="0.25">
      <c r="A1949" s="3">
        <v>45996</v>
      </c>
      <c r="B1949" s="4">
        <v>14457</v>
      </c>
      <c r="C1949" s="5">
        <v>4033</v>
      </c>
      <c r="D1949" s="1" t="s">
        <v>2349</v>
      </c>
      <c r="E1949" s="1" t="s">
        <v>2350</v>
      </c>
      <c r="F1949" s="1" t="s">
        <v>1131</v>
      </c>
      <c r="G1949" s="1" t="s">
        <v>2351</v>
      </c>
      <c r="H1949" s="3">
        <v>46024</v>
      </c>
      <c r="I1949" s="1" t="s">
        <v>933</v>
      </c>
      <c r="J1949" s="1" t="s">
        <v>1131</v>
      </c>
      <c r="K1949" s="1" t="s">
        <v>66</v>
      </c>
      <c r="L1949" s="1" t="s">
        <v>3315</v>
      </c>
      <c r="M1949" s="3">
        <v>45995</v>
      </c>
      <c r="N1949" s="1" t="s">
        <v>821</v>
      </c>
      <c r="O1949" s="1" t="s">
        <v>2101</v>
      </c>
      <c r="P1949" s="1">
        <v>1</v>
      </c>
    </row>
    <row r="1950" spans="1:16" x14ac:dyDescent="0.25">
      <c r="A1950" s="3">
        <v>45996</v>
      </c>
      <c r="B1950" s="1">
        <v>216</v>
      </c>
      <c r="C1950" s="5">
        <v>5058</v>
      </c>
      <c r="D1950" s="1" t="s">
        <v>1358</v>
      </c>
      <c r="E1950" s="1" t="s">
        <v>1618</v>
      </c>
      <c r="F1950" s="1" t="s">
        <v>66</v>
      </c>
      <c r="G1950" s="1" t="s">
        <v>1029</v>
      </c>
      <c r="H1950" s="3">
        <v>46024</v>
      </c>
      <c r="I1950" s="1" t="s">
        <v>933</v>
      </c>
      <c r="J1950" s="1" t="s">
        <v>66</v>
      </c>
      <c r="K1950" s="1" t="s">
        <v>910</v>
      </c>
      <c r="L1950" s="1" t="s">
        <v>3316</v>
      </c>
      <c r="M1950" s="3">
        <v>45995</v>
      </c>
      <c r="N1950" s="1" t="s">
        <v>821</v>
      </c>
      <c r="O1950" s="1" t="s">
        <v>932</v>
      </c>
      <c r="P1950" s="1">
        <v>1</v>
      </c>
    </row>
    <row r="1951" spans="1:16" x14ac:dyDescent="0.25">
      <c r="A1951" s="3">
        <v>45996</v>
      </c>
      <c r="B1951" s="4">
        <v>5648</v>
      </c>
      <c r="C1951" s="5">
        <v>7000</v>
      </c>
      <c r="D1951" s="1" t="s">
        <v>3317</v>
      </c>
      <c r="E1951" s="1" t="s">
        <v>3318</v>
      </c>
      <c r="F1951" s="1" t="s">
        <v>966</v>
      </c>
      <c r="G1951" s="1" t="s">
        <v>998</v>
      </c>
      <c r="H1951" s="3">
        <v>46026</v>
      </c>
      <c r="I1951" s="1" t="s">
        <v>933</v>
      </c>
      <c r="J1951" s="1" t="s">
        <v>951</v>
      </c>
      <c r="K1951" s="1" t="s">
        <v>817</v>
      </c>
      <c r="L1951" s="1" t="s">
        <v>3319</v>
      </c>
      <c r="M1951" s="3">
        <v>45995</v>
      </c>
      <c r="N1951" s="1" t="s">
        <v>821</v>
      </c>
      <c r="O1951" s="1" t="s">
        <v>932</v>
      </c>
      <c r="P1951" s="1">
        <v>1</v>
      </c>
    </row>
    <row r="1952" spans="1:16" x14ac:dyDescent="0.25">
      <c r="A1952" s="3">
        <v>45996</v>
      </c>
      <c r="B1952" s="4">
        <v>5649</v>
      </c>
      <c r="C1952" s="5">
        <v>1500</v>
      </c>
      <c r="D1952" s="1" t="s">
        <v>3317</v>
      </c>
      <c r="E1952" s="1" t="s">
        <v>3318</v>
      </c>
      <c r="F1952" s="1" t="s">
        <v>966</v>
      </c>
      <c r="G1952" s="1" t="s">
        <v>998</v>
      </c>
      <c r="H1952" s="3">
        <v>46026</v>
      </c>
      <c r="I1952" s="1" t="s">
        <v>933</v>
      </c>
      <c r="J1952" s="1" t="s">
        <v>951</v>
      </c>
      <c r="K1952" s="1" t="s">
        <v>817</v>
      </c>
      <c r="L1952" s="1" t="s">
        <v>3320</v>
      </c>
      <c r="M1952" s="3">
        <v>45995</v>
      </c>
      <c r="N1952" s="1" t="s">
        <v>821</v>
      </c>
      <c r="O1952" s="1" t="s">
        <v>932</v>
      </c>
      <c r="P1952" s="1">
        <v>1</v>
      </c>
    </row>
    <row r="1953" spans="1:16" x14ac:dyDescent="0.25">
      <c r="A1953" s="3">
        <v>45996</v>
      </c>
      <c r="B1953" s="4">
        <v>1548</v>
      </c>
      <c r="C1953" s="5">
        <v>222</v>
      </c>
      <c r="D1953" s="1" t="s">
        <v>1901</v>
      </c>
      <c r="E1953" s="1" t="s">
        <v>1902</v>
      </c>
      <c r="F1953" s="1" t="s">
        <v>955</v>
      </c>
      <c r="G1953" s="1" t="s">
        <v>990</v>
      </c>
      <c r="H1953" s="3">
        <v>46024</v>
      </c>
      <c r="I1953" s="1" t="s">
        <v>933</v>
      </c>
      <c r="J1953" s="1" t="s">
        <v>951</v>
      </c>
      <c r="K1953" s="1" t="s">
        <v>20</v>
      </c>
      <c r="L1953" s="1" t="s">
        <v>3321</v>
      </c>
      <c r="M1953" s="3">
        <v>45995</v>
      </c>
      <c r="N1953" s="1" t="s">
        <v>821</v>
      </c>
      <c r="O1953" s="1" t="s">
        <v>936</v>
      </c>
      <c r="P1953" s="1">
        <v>1</v>
      </c>
    </row>
    <row r="1954" spans="1:16" x14ac:dyDescent="0.25">
      <c r="A1954" s="3">
        <v>45996</v>
      </c>
      <c r="B1954" s="1">
        <v>154</v>
      </c>
      <c r="C1954" s="5">
        <v>11081</v>
      </c>
      <c r="D1954" s="1" t="s">
        <v>3322</v>
      </c>
      <c r="E1954" s="1" t="s">
        <v>3323</v>
      </c>
      <c r="F1954" s="1" t="s">
        <v>906</v>
      </c>
      <c r="G1954" s="1" t="s">
        <v>940</v>
      </c>
      <c r="H1954" s="3">
        <v>46017</v>
      </c>
      <c r="I1954" s="1" t="s">
        <v>1100</v>
      </c>
      <c r="J1954" s="1" t="s">
        <v>66</v>
      </c>
      <c r="K1954" s="1" t="s">
        <v>308</v>
      </c>
      <c r="L1954" s="1" t="s">
        <v>3324</v>
      </c>
      <c r="M1954" s="3">
        <v>45995</v>
      </c>
      <c r="N1954" s="1" t="s">
        <v>57</v>
      </c>
      <c r="O1954" s="1" t="s">
        <v>936</v>
      </c>
      <c r="P1954" s="1" t="s">
        <v>937</v>
      </c>
    </row>
    <row r="1955" spans="1:16" x14ac:dyDescent="0.25">
      <c r="A1955" s="3">
        <v>45996</v>
      </c>
      <c r="B1955" s="4">
        <v>3383</v>
      </c>
      <c r="C1955" s="5">
        <v>1177.8</v>
      </c>
      <c r="D1955" s="1" t="s">
        <v>1134</v>
      </c>
      <c r="E1955" s="1" t="s">
        <v>1282</v>
      </c>
      <c r="F1955" s="1" t="s">
        <v>955</v>
      </c>
      <c r="G1955" s="1" t="s">
        <v>940</v>
      </c>
      <c r="H1955" s="3">
        <v>46024</v>
      </c>
      <c r="I1955" s="1" t="s">
        <v>933</v>
      </c>
      <c r="J1955" s="1" t="s">
        <v>951</v>
      </c>
      <c r="K1955" s="1" t="s">
        <v>20</v>
      </c>
      <c r="L1955" s="1" t="s">
        <v>3325</v>
      </c>
      <c r="M1955" s="3">
        <v>45995</v>
      </c>
      <c r="N1955" s="1" t="s">
        <v>821</v>
      </c>
      <c r="O1955" s="1" t="s">
        <v>936</v>
      </c>
      <c r="P1955" s="1">
        <v>1</v>
      </c>
    </row>
    <row r="1956" spans="1:16" x14ac:dyDescent="0.25">
      <c r="A1956" s="3">
        <v>45996</v>
      </c>
      <c r="B1956" s="1">
        <v>79</v>
      </c>
      <c r="C1956" s="5">
        <v>430</v>
      </c>
      <c r="D1956" s="1" t="s">
        <v>2145</v>
      </c>
      <c r="E1956" s="1" t="s">
        <v>2146</v>
      </c>
      <c r="F1956" s="1" t="s">
        <v>670</v>
      </c>
      <c r="G1956" s="1" t="s">
        <v>940</v>
      </c>
      <c r="H1956" s="3">
        <v>46019</v>
      </c>
      <c r="I1956" s="1" t="s">
        <v>933</v>
      </c>
      <c r="J1956" s="1" t="s">
        <v>66</v>
      </c>
      <c r="K1956" s="1" t="s">
        <v>659</v>
      </c>
      <c r="L1956" s="1" t="s">
        <v>3328</v>
      </c>
      <c r="M1956" s="3">
        <v>45995</v>
      </c>
      <c r="N1956" s="1" t="s">
        <v>57</v>
      </c>
      <c r="O1956" s="1" t="s">
        <v>936</v>
      </c>
      <c r="P1956" s="1">
        <v>1</v>
      </c>
    </row>
    <row r="1957" spans="1:16" x14ac:dyDescent="0.25">
      <c r="A1957" s="3">
        <v>45996</v>
      </c>
      <c r="B1957" s="1">
        <v>80</v>
      </c>
      <c r="C1957" s="5">
        <v>1505</v>
      </c>
      <c r="D1957" s="1" t="s">
        <v>2145</v>
      </c>
      <c r="E1957" s="1" t="s">
        <v>2146</v>
      </c>
      <c r="F1957" s="1" t="s">
        <v>619</v>
      </c>
      <c r="G1957" s="1" t="s">
        <v>940</v>
      </c>
      <c r="H1957" s="3">
        <v>46019</v>
      </c>
      <c r="I1957" s="1" t="s">
        <v>933</v>
      </c>
      <c r="J1957" s="1" t="s">
        <v>66</v>
      </c>
      <c r="K1957" s="1" t="s">
        <v>340</v>
      </c>
      <c r="L1957" s="1" t="s">
        <v>3329</v>
      </c>
      <c r="M1957" s="3">
        <v>45995</v>
      </c>
      <c r="N1957" s="1" t="s">
        <v>383</v>
      </c>
      <c r="O1957" s="1" t="s">
        <v>936</v>
      </c>
      <c r="P1957" s="1">
        <v>1</v>
      </c>
    </row>
    <row r="1958" spans="1:16" x14ac:dyDescent="0.25">
      <c r="A1958" s="3">
        <v>45996</v>
      </c>
      <c r="B1958" s="1">
        <v>81</v>
      </c>
      <c r="C1958" s="5">
        <v>920</v>
      </c>
      <c r="D1958" s="1" t="s">
        <v>2145</v>
      </c>
      <c r="E1958" s="1" t="s">
        <v>2146</v>
      </c>
      <c r="F1958" s="1" t="s">
        <v>218</v>
      </c>
      <c r="G1958" s="1" t="s">
        <v>940</v>
      </c>
      <c r="H1958" s="3">
        <v>46019</v>
      </c>
      <c r="I1958" s="1" t="s">
        <v>933</v>
      </c>
      <c r="J1958" s="1" t="s">
        <v>66</v>
      </c>
      <c r="K1958" s="1" t="s">
        <v>340</v>
      </c>
      <c r="L1958" s="1" t="s">
        <v>3330</v>
      </c>
      <c r="M1958" s="3">
        <v>45995</v>
      </c>
      <c r="N1958" s="1" t="s">
        <v>221</v>
      </c>
      <c r="O1958" s="1" t="s">
        <v>936</v>
      </c>
      <c r="P1958" s="1">
        <v>1</v>
      </c>
    </row>
    <row r="1959" spans="1:16" x14ac:dyDescent="0.25">
      <c r="A1959" s="3">
        <v>45996</v>
      </c>
      <c r="B1959" s="1">
        <v>82</v>
      </c>
      <c r="C1959" s="5">
        <v>2080</v>
      </c>
      <c r="D1959" s="1" t="s">
        <v>2145</v>
      </c>
      <c r="E1959" s="1" t="s">
        <v>2146</v>
      </c>
      <c r="F1959" s="1" t="s">
        <v>759</v>
      </c>
      <c r="G1959" s="1" t="s">
        <v>940</v>
      </c>
      <c r="H1959" s="3">
        <v>46019</v>
      </c>
      <c r="I1959" s="1" t="s">
        <v>933</v>
      </c>
      <c r="J1959" s="1" t="s">
        <v>66</v>
      </c>
      <c r="K1959" s="1" t="s">
        <v>817</v>
      </c>
      <c r="L1959" s="1" t="s">
        <v>3331</v>
      </c>
      <c r="M1959" s="3">
        <v>45995</v>
      </c>
      <c r="N1959" s="1" t="s">
        <v>75</v>
      </c>
      <c r="O1959" s="1" t="s">
        <v>936</v>
      </c>
      <c r="P1959" s="1">
        <v>1</v>
      </c>
    </row>
    <row r="1960" spans="1:16" x14ac:dyDescent="0.25">
      <c r="A1960" s="3">
        <v>45996</v>
      </c>
      <c r="B1960" s="1">
        <v>83</v>
      </c>
      <c r="C1960" s="5">
        <v>630</v>
      </c>
      <c r="D1960" s="1" t="s">
        <v>2145</v>
      </c>
      <c r="E1960" s="1" t="s">
        <v>2146</v>
      </c>
      <c r="F1960" s="1" t="s">
        <v>773</v>
      </c>
      <c r="G1960" s="1" t="s">
        <v>940</v>
      </c>
      <c r="H1960" s="3">
        <v>46019</v>
      </c>
      <c r="I1960" s="1" t="s">
        <v>933</v>
      </c>
      <c r="J1960" s="1" t="s">
        <v>66</v>
      </c>
      <c r="K1960" s="1" t="s">
        <v>340</v>
      </c>
      <c r="L1960" s="1" t="s">
        <v>3332</v>
      </c>
      <c r="M1960" s="3">
        <v>45995</v>
      </c>
      <c r="N1960" s="1" t="s">
        <v>57</v>
      </c>
      <c r="O1960" s="1" t="s">
        <v>936</v>
      </c>
      <c r="P1960" s="1">
        <v>1</v>
      </c>
    </row>
    <row r="1961" spans="1:16" x14ac:dyDescent="0.25">
      <c r="A1961" s="3">
        <v>45996</v>
      </c>
      <c r="B1961" s="1">
        <v>84</v>
      </c>
      <c r="C1961" s="5">
        <v>1750</v>
      </c>
      <c r="D1961" s="1" t="s">
        <v>2145</v>
      </c>
      <c r="E1961" s="1" t="s">
        <v>2146</v>
      </c>
      <c r="F1961" s="1" t="s">
        <v>451</v>
      </c>
      <c r="G1961" s="1" t="s">
        <v>940</v>
      </c>
      <c r="H1961" s="3">
        <v>46019</v>
      </c>
      <c r="I1961" s="1" t="s">
        <v>1484</v>
      </c>
      <c r="J1961" s="1" t="s">
        <v>66</v>
      </c>
      <c r="K1961" s="1" t="s">
        <v>1654</v>
      </c>
      <c r="L1961" s="1" t="s">
        <v>3333</v>
      </c>
      <c r="M1961" s="3">
        <v>45995</v>
      </c>
      <c r="N1961" s="1" t="s">
        <v>212</v>
      </c>
      <c r="O1961" s="1" t="s">
        <v>936</v>
      </c>
      <c r="P1961" s="1">
        <v>1</v>
      </c>
    </row>
    <row r="1962" spans="1:16" x14ac:dyDescent="0.25">
      <c r="A1962" s="3">
        <v>45996</v>
      </c>
      <c r="B1962" s="1">
        <v>85</v>
      </c>
      <c r="C1962" s="5">
        <v>1485</v>
      </c>
      <c r="D1962" s="1" t="s">
        <v>2145</v>
      </c>
      <c r="E1962" s="1" t="s">
        <v>2146</v>
      </c>
      <c r="F1962" s="1" t="s">
        <v>218</v>
      </c>
      <c r="G1962" s="1" t="s">
        <v>940</v>
      </c>
      <c r="H1962" s="3">
        <v>46019</v>
      </c>
      <c r="I1962" s="1" t="s">
        <v>933</v>
      </c>
      <c r="J1962" s="1" t="s">
        <v>66</v>
      </c>
      <c r="K1962" s="1" t="s">
        <v>340</v>
      </c>
      <c r="L1962" s="1" t="s">
        <v>3334</v>
      </c>
      <c r="M1962" s="3">
        <v>45995</v>
      </c>
      <c r="N1962" s="1"/>
      <c r="O1962" s="1"/>
      <c r="P1962" s="1"/>
    </row>
    <row r="1963" spans="1:16" x14ac:dyDescent="0.25">
      <c r="A1963" s="3">
        <v>45996</v>
      </c>
      <c r="B1963" s="1">
        <v>86</v>
      </c>
      <c r="C1963" s="5">
        <v>1000</v>
      </c>
      <c r="D1963" s="1" t="s">
        <v>2145</v>
      </c>
      <c r="E1963" s="1" t="s">
        <v>2146</v>
      </c>
      <c r="F1963" s="1" t="s">
        <v>844</v>
      </c>
      <c r="G1963" s="1" t="s">
        <v>940</v>
      </c>
      <c r="H1963" s="3">
        <v>46019</v>
      </c>
      <c r="I1963" s="1" t="s">
        <v>933</v>
      </c>
      <c r="J1963" s="1" t="s">
        <v>66</v>
      </c>
      <c r="K1963" s="1" t="s">
        <v>340</v>
      </c>
      <c r="L1963" s="1" t="s">
        <v>3335</v>
      </c>
      <c r="M1963" s="3">
        <v>45995</v>
      </c>
      <c r="N1963" s="1" t="s">
        <v>836</v>
      </c>
      <c r="O1963" s="1" t="s">
        <v>936</v>
      </c>
      <c r="P1963" s="1">
        <v>1</v>
      </c>
    </row>
    <row r="1964" spans="1:16" x14ac:dyDescent="0.25">
      <c r="A1964" s="3">
        <v>45996</v>
      </c>
      <c r="B1964" s="1">
        <v>87</v>
      </c>
      <c r="C1964" s="5">
        <v>385</v>
      </c>
      <c r="D1964" s="1" t="s">
        <v>2145</v>
      </c>
      <c r="E1964" s="1" t="s">
        <v>2146</v>
      </c>
      <c r="F1964" s="1" t="s">
        <v>759</v>
      </c>
      <c r="G1964" s="1" t="s">
        <v>940</v>
      </c>
      <c r="H1964" s="3">
        <v>46019</v>
      </c>
      <c r="I1964" s="1" t="s">
        <v>1484</v>
      </c>
      <c r="J1964" s="1" t="s">
        <v>66</v>
      </c>
      <c r="K1964" s="1" t="s">
        <v>817</v>
      </c>
      <c r="L1964" s="1" t="s">
        <v>3336</v>
      </c>
      <c r="M1964" s="3">
        <v>45995</v>
      </c>
      <c r="N1964" s="1"/>
      <c r="O1964" s="1"/>
      <c r="P1964" s="1"/>
    </row>
    <row r="1965" spans="1:16" x14ac:dyDescent="0.25">
      <c r="A1965" s="3">
        <v>45996</v>
      </c>
      <c r="B1965" s="1">
        <v>88</v>
      </c>
      <c r="C1965" s="5">
        <v>670</v>
      </c>
      <c r="D1965" s="1" t="s">
        <v>2145</v>
      </c>
      <c r="E1965" s="1" t="s">
        <v>2146</v>
      </c>
      <c r="F1965" s="1" t="s">
        <v>955</v>
      </c>
      <c r="G1965" s="1" t="s">
        <v>940</v>
      </c>
      <c r="H1965" s="3">
        <v>46019</v>
      </c>
      <c r="I1965" s="1" t="s">
        <v>933</v>
      </c>
      <c r="J1965" s="1" t="s">
        <v>951</v>
      </c>
      <c r="K1965" s="1" t="s">
        <v>934</v>
      </c>
      <c r="L1965" s="1" t="s">
        <v>3337</v>
      </c>
      <c r="M1965" s="3">
        <v>45995</v>
      </c>
      <c r="N1965" s="1"/>
      <c r="O1965" s="1"/>
      <c r="P1965" s="1"/>
    </row>
    <row r="1966" spans="1:16" x14ac:dyDescent="0.25">
      <c r="A1966" s="3">
        <v>45996</v>
      </c>
      <c r="B1966" s="1">
        <v>451</v>
      </c>
      <c r="C1966" s="5">
        <v>270</v>
      </c>
      <c r="D1966" s="1" t="s">
        <v>1953</v>
      </c>
      <c r="E1966" s="1" t="s">
        <v>1954</v>
      </c>
      <c r="F1966" s="1" t="s">
        <v>422</v>
      </c>
      <c r="G1966" s="1" t="s">
        <v>940</v>
      </c>
      <c r="H1966" s="3">
        <v>46021</v>
      </c>
      <c r="I1966" s="1" t="s">
        <v>933</v>
      </c>
      <c r="J1966" s="1" t="s">
        <v>66</v>
      </c>
      <c r="K1966" s="1" t="s">
        <v>308</v>
      </c>
      <c r="L1966" s="1" t="s">
        <v>3338</v>
      </c>
      <c r="M1966" s="3">
        <v>45995</v>
      </c>
      <c r="N1966" s="1" t="s">
        <v>75</v>
      </c>
      <c r="O1966" s="1" t="s">
        <v>936</v>
      </c>
      <c r="P1966" s="1">
        <v>1</v>
      </c>
    </row>
    <row r="1967" spans="1:16" x14ac:dyDescent="0.25">
      <c r="A1967" s="3">
        <v>45996</v>
      </c>
      <c r="B1967" s="1">
        <v>452</v>
      </c>
      <c r="C1967" s="5">
        <v>850</v>
      </c>
      <c r="D1967" s="1" t="s">
        <v>1953</v>
      </c>
      <c r="E1967" s="1" t="s">
        <v>1954</v>
      </c>
      <c r="F1967" s="1" t="s">
        <v>906</v>
      </c>
      <c r="G1967" s="1" t="s">
        <v>940</v>
      </c>
      <c r="H1967" s="3">
        <v>46021</v>
      </c>
      <c r="I1967" s="1" t="s">
        <v>933</v>
      </c>
      <c r="J1967" s="1" t="s">
        <v>66</v>
      </c>
      <c r="K1967" s="1" t="s">
        <v>308</v>
      </c>
      <c r="L1967" s="1" t="s">
        <v>3339</v>
      </c>
      <c r="M1967" s="3">
        <v>45995</v>
      </c>
      <c r="N1967" s="1" t="s">
        <v>57</v>
      </c>
      <c r="O1967" s="1" t="s">
        <v>936</v>
      </c>
      <c r="P1967" s="1">
        <v>1</v>
      </c>
    </row>
    <row r="1968" spans="1:16" x14ac:dyDescent="0.25">
      <c r="A1968" s="3">
        <v>45996</v>
      </c>
      <c r="B1968" s="1">
        <v>453</v>
      </c>
      <c r="C1968" s="5">
        <v>250</v>
      </c>
      <c r="D1968" s="1" t="s">
        <v>1953</v>
      </c>
      <c r="E1968" s="1" t="s">
        <v>1954</v>
      </c>
      <c r="F1968" s="1" t="s">
        <v>255</v>
      </c>
      <c r="G1968" s="1" t="s">
        <v>940</v>
      </c>
      <c r="H1968" s="3">
        <v>46021</v>
      </c>
      <c r="I1968" s="1" t="s">
        <v>933</v>
      </c>
      <c r="J1968" s="1" t="s">
        <v>66</v>
      </c>
      <c r="K1968" s="1" t="s">
        <v>340</v>
      </c>
      <c r="L1968" s="1" t="s">
        <v>3340</v>
      </c>
      <c r="M1968" s="3">
        <v>45995</v>
      </c>
      <c r="N1968" s="1" t="s">
        <v>57</v>
      </c>
      <c r="O1968" s="1" t="s">
        <v>936</v>
      </c>
      <c r="P1968" s="1">
        <v>1</v>
      </c>
    </row>
    <row r="1969" spans="1:16" x14ac:dyDescent="0.25">
      <c r="A1969" s="3">
        <v>45996</v>
      </c>
      <c r="B1969" s="1">
        <v>455</v>
      </c>
      <c r="C1969" s="5">
        <v>70</v>
      </c>
      <c r="D1969" s="1" t="s">
        <v>1953</v>
      </c>
      <c r="E1969" s="1" t="s">
        <v>1954</v>
      </c>
      <c r="F1969" s="1" t="s">
        <v>745</v>
      </c>
      <c r="G1969" s="1" t="s">
        <v>940</v>
      </c>
      <c r="H1969" s="3">
        <v>46021</v>
      </c>
      <c r="I1969" s="1" t="s">
        <v>933</v>
      </c>
      <c r="J1969" s="1" t="s">
        <v>66</v>
      </c>
      <c r="K1969" s="1" t="s">
        <v>340</v>
      </c>
      <c r="L1969" s="1" t="s">
        <v>3343</v>
      </c>
      <c r="M1969" s="3">
        <v>45995</v>
      </c>
      <c r="N1969" s="1" t="s">
        <v>50</v>
      </c>
      <c r="O1969" s="1" t="s">
        <v>936</v>
      </c>
      <c r="P1969" s="1">
        <v>1</v>
      </c>
    </row>
    <row r="1970" spans="1:16" x14ac:dyDescent="0.25">
      <c r="A1970" s="3">
        <v>45996</v>
      </c>
      <c r="B1970" s="1">
        <v>456</v>
      </c>
      <c r="C1970" s="5">
        <v>55</v>
      </c>
      <c r="D1970" s="1" t="s">
        <v>1953</v>
      </c>
      <c r="E1970" s="1" t="s">
        <v>1954</v>
      </c>
      <c r="F1970" s="1" t="s">
        <v>955</v>
      </c>
      <c r="G1970" s="1" t="s">
        <v>940</v>
      </c>
      <c r="H1970" s="3">
        <v>46021</v>
      </c>
      <c r="I1970" s="1" t="s">
        <v>933</v>
      </c>
      <c r="J1970" s="1" t="s">
        <v>951</v>
      </c>
      <c r="K1970" s="1" t="s">
        <v>340</v>
      </c>
      <c r="L1970" s="1" t="s">
        <v>3344</v>
      </c>
      <c r="M1970" s="3">
        <v>45995</v>
      </c>
      <c r="N1970" s="1" t="s">
        <v>821</v>
      </c>
      <c r="O1970" s="1" t="s">
        <v>936</v>
      </c>
      <c r="P1970" s="1">
        <v>1</v>
      </c>
    </row>
    <row r="1971" spans="1:16" x14ac:dyDescent="0.25">
      <c r="A1971" s="3">
        <v>45996</v>
      </c>
      <c r="B1971" s="1">
        <v>457</v>
      </c>
      <c r="C1971" s="5">
        <v>280</v>
      </c>
      <c r="D1971" s="1" t="s">
        <v>1953</v>
      </c>
      <c r="E1971" s="1" t="s">
        <v>1954</v>
      </c>
      <c r="F1971" s="1" t="s">
        <v>255</v>
      </c>
      <c r="G1971" s="1" t="s">
        <v>940</v>
      </c>
      <c r="H1971" s="3">
        <v>46021</v>
      </c>
      <c r="I1971" s="1" t="s">
        <v>933</v>
      </c>
      <c r="J1971" s="1" t="s">
        <v>66</v>
      </c>
      <c r="K1971" s="1" t="s">
        <v>340</v>
      </c>
      <c r="L1971" s="1" t="s">
        <v>3345</v>
      </c>
      <c r="M1971" s="3">
        <v>45995</v>
      </c>
      <c r="N1971" s="1" t="s">
        <v>57</v>
      </c>
      <c r="O1971" s="1" t="s">
        <v>936</v>
      </c>
      <c r="P1971" s="1">
        <v>1</v>
      </c>
    </row>
    <row r="1972" spans="1:16" x14ac:dyDescent="0.25">
      <c r="A1972" s="3">
        <v>45996</v>
      </c>
      <c r="B1972" s="1">
        <v>459</v>
      </c>
      <c r="C1972" s="5">
        <v>520</v>
      </c>
      <c r="D1972" s="1" t="s">
        <v>1953</v>
      </c>
      <c r="E1972" s="1" t="s">
        <v>1954</v>
      </c>
      <c r="F1972" s="1" t="s">
        <v>304</v>
      </c>
      <c r="G1972" s="1" t="s">
        <v>940</v>
      </c>
      <c r="H1972" s="3">
        <v>46021</v>
      </c>
      <c r="I1972" s="1" t="s">
        <v>933</v>
      </c>
      <c r="J1972" s="1" t="s">
        <v>66</v>
      </c>
      <c r="K1972" s="1" t="s">
        <v>66</v>
      </c>
      <c r="L1972" s="1" t="s">
        <v>3347</v>
      </c>
      <c r="M1972" s="3">
        <v>45995</v>
      </c>
      <c r="N1972" s="1" t="s">
        <v>57</v>
      </c>
      <c r="O1972" s="1" t="s">
        <v>936</v>
      </c>
      <c r="P1972" s="1">
        <v>1</v>
      </c>
    </row>
    <row r="1973" spans="1:16" x14ac:dyDescent="0.25">
      <c r="A1973" s="3">
        <v>45996</v>
      </c>
      <c r="B1973" s="1">
        <v>460</v>
      </c>
      <c r="C1973" s="5">
        <v>825</v>
      </c>
      <c r="D1973" s="1" t="s">
        <v>1953</v>
      </c>
      <c r="E1973" s="1" t="s">
        <v>1954</v>
      </c>
      <c r="F1973" s="1" t="s">
        <v>713</v>
      </c>
      <c r="G1973" s="1" t="s">
        <v>940</v>
      </c>
      <c r="H1973" s="3">
        <v>46021</v>
      </c>
      <c r="I1973" s="1" t="s">
        <v>933</v>
      </c>
      <c r="J1973" s="1" t="s">
        <v>66</v>
      </c>
      <c r="K1973" s="1" t="s">
        <v>340</v>
      </c>
      <c r="L1973" s="1" t="s">
        <v>3348</v>
      </c>
      <c r="M1973" s="3">
        <v>45995</v>
      </c>
      <c r="N1973" s="1" t="s">
        <v>712</v>
      </c>
      <c r="O1973" s="1" t="s">
        <v>936</v>
      </c>
      <c r="P1973" s="1">
        <v>1</v>
      </c>
    </row>
    <row r="1974" spans="1:16" x14ac:dyDescent="0.25">
      <c r="A1974" s="3">
        <v>45996</v>
      </c>
      <c r="B1974" s="1">
        <v>461</v>
      </c>
      <c r="C1974" s="5">
        <v>335</v>
      </c>
      <c r="D1974" s="1" t="s">
        <v>1953</v>
      </c>
      <c r="E1974" s="1" t="s">
        <v>1954</v>
      </c>
      <c r="F1974" s="1" t="s">
        <v>955</v>
      </c>
      <c r="G1974" s="1" t="s">
        <v>940</v>
      </c>
      <c r="H1974" s="3">
        <v>46021</v>
      </c>
      <c r="I1974" s="1" t="s">
        <v>933</v>
      </c>
      <c r="J1974" s="1" t="s">
        <v>951</v>
      </c>
      <c r="K1974" s="1" t="s">
        <v>817</v>
      </c>
      <c r="L1974" s="1" t="s">
        <v>3349</v>
      </c>
      <c r="M1974" s="3">
        <v>45995</v>
      </c>
      <c r="N1974" s="1" t="s">
        <v>821</v>
      </c>
      <c r="O1974" s="1" t="s">
        <v>936</v>
      </c>
      <c r="P1974" s="1">
        <v>1</v>
      </c>
    </row>
    <row r="1975" spans="1:16" x14ac:dyDescent="0.25">
      <c r="A1975" s="3">
        <v>45996</v>
      </c>
      <c r="B1975" s="1">
        <v>462</v>
      </c>
      <c r="C1975" s="5">
        <v>220</v>
      </c>
      <c r="D1975" s="1" t="s">
        <v>1953</v>
      </c>
      <c r="E1975" s="1" t="s">
        <v>1954</v>
      </c>
      <c r="F1975" s="1" t="s">
        <v>955</v>
      </c>
      <c r="G1975" s="1" t="s">
        <v>940</v>
      </c>
      <c r="H1975" s="3">
        <v>46021</v>
      </c>
      <c r="I1975" s="1" t="s">
        <v>933</v>
      </c>
      <c r="J1975" s="1" t="s">
        <v>951</v>
      </c>
      <c r="K1975" s="1" t="s">
        <v>340</v>
      </c>
      <c r="L1975" s="1" t="s">
        <v>3350</v>
      </c>
      <c r="M1975" s="3">
        <v>45995</v>
      </c>
      <c r="N1975" s="1" t="s">
        <v>821</v>
      </c>
      <c r="O1975" s="1" t="s">
        <v>936</v>
      </c>
      <c r="P1975" s="1">
        <v>1</v>
      </c>
    </row>
    <row r="1976" spans="1:16" x14ac:dyDescent="0.25">
      <c r="A1976" s="3">
        <v>45996</v>
      </c>
      <c r="B1976" s="1">
        <v>463</v>
      </c>
      <c r="C1976" s="5">
        <v>210</v>
      </c>
      <c r="D1976" s="1" t="s">
        <v>1953</v>
      </c>
      <c r="E1976" s="1" t="s">
        <v>1954</v>
      </c>
      <c r="F1976" s="1" t="s">
        <v>955</v>
      </c>
      <c r="G1976" s="1" t="s">
        <v>940</v>
      </c>
      <c r="H1976" s="3">
        <v>46021</v>
      </c>
      <c r="I1976" s="1" t="s">
        <v>933</v>
      </c>
      <c r="J1976" s="1" t="s">
        <v>951</v>
      </c>
      <c r="K1976" s="1" t="s">
        <v>934</v>
      </c>
      <c r="L1976" s="1" t="s">
        <v>3351</v>
      </c>
      <c r="M1976" s="3">
        <v>45995</v>
      </c>
      <c r="N1976" s="1" t="s">
        <v>821</v>
      </c>
      <c r="O1976" s="1" t="s">
        <v>936</v>
      </c>
      <c r="P1976" s="1">
        <v>1</v>
      </c>
    </row>
    <row r="1977" spans="1:16" x14ac:dyDescent="0.25">
      <c r="A1977" s="3">
        <v>45996</v>
      </c>
      <c r="B1977" s="1">
        <v>464</v>
      </c>
      <c r="C1977" s="5">
        <v>60</v>
      </c>
      <c r="D1977" s="1" t="s">
        <v>1953</v>
      </c>
      <c r="E1977" s="1" t="s">
        <v>1954</v>
      </c>
      <c r="F1977" s="1" t="s">
        <v>809</v>
      </c>
      <c r="G1977" s="1" t="s">
        <v>940</v>
      </c>
      <c r="H1977" s="3">
        <v>46021</v>
      </c>
      <c r="I1977" s="1" t="s">
        <v>933</v>
      </c>
      <c r="J1977" s="1" t="s">
        <v>66</v>
      </c>
      <c r="K1977" s="1" t="s">
        <v>340</v>
      </c>
      <c r="L1977" s="1" t="s">
        <v>3352</v>
      </c>
      <c r="M1977" s="3">
        <v>45995</v>
      </c>
      <c r="N1977" s="1" t="s">
        <v>212</v>
      </c>
      <c r="O1977" s="1" t="s">
        <v>936</v>
      </c>
      <c r="P1977" s="1">
        <v>1</v>
      </c>
    </row>
    <row r="1978" spans="1:16" x14ac:dyDescent="0.25">
      <c r="A1978" s="3">
        <v>45996</v>
      </c>
      <c r="B1978" s="1">
        <v>465</v>
      </c>
      <c r="C1978" s="5">
        <v>435</v>
      </c>
      <c r="D1978" s="1" t="s">
        <v>1953</v>
      </c>
      <c r="E1978" s="1" t="s">
        <v>1954</v>
      </c>
      <c r="F1978" s="1" t="s">
        <v>162</v>
      </c>
      <c r="G1978" s="1" t="s">
        <v>940</v>
      </c>
      <c r="H1978" s="3">
        <v>46021</v>
      </c>
      <c r="I1978" s="1" t="s">
        <v>933</v>
      </c>
      <c r="J1978" s="1" t="s">
        <v>66</v>
      </c>
      <c r="K1978" s="1" t="s">
        <v>52</v>
      </c>
      <c r="L1978" s="1" t="s">
        <v>3353</v>
      </c>
      <c r="M1978" s="3">
        <v>45995</v>
      </c>
      <c r="N1978" s="1" t="s">
        <v>165</v>
      </c>
      <c r="O1978" s="1" t="s">
        <v>936</v>
      </c>
      <c r="P1978" s="1">
        <v>1</v>
      </c>
    </row>
    <row r="1979" spans="1:16" x14ac:dyDescent="0.25">
      <c r="A1979" s="3">
        <v>45996</v>
      </c>
      <c r="B1979" s="1">
        <v>466</v>
      </c>
      <c r="C1979" s="5">
        <v>260</v>
      </c>
      <c r="D1979" s="1" t="s">
        <v>1953</v>
      </c>
      <c r="E1979" s="1" t="s">
        <v>1954</v>
      </c>
      <c r="F1979" s="1" t="s">
        <v>719</v>
      </c>
      <c r="G1979" s="1" t="s">
        <v>940</v>
      </c>
      <c r="H1979" s="3">
        <v>46021</v>
      </c>
      <c r="I1979" s="1" t="s">
        <v>933</v>
      </c>
      <c r="J1979" s="1" t="s">
        <v>66</v>
      </c>
      <c r="K1979" s="1" t="s">
        <v>340</v>
      </c>
      <c r="L1979" s="1" t="s">
        <v>3354</v>
      </c>
      <c r="M1979" s="3">
        <v>45995</v>
      </c>
      <c r="N1979" s="1" t="s">
        <v>712</v>
      </c>
      <c r="O1979" s="1" t="s">
        <v>936</v>
      </c>
      <c r="P1979" s="1">
        <v>1</v>
      </c>
    </row>
    <row r="1980" spans="1:16" x14ac:dyDescent="0.25">
      <c r="A1980" s="3">
        <v>45996</v>
      </c>
      <c r="B1980" s="1">
        <v>467</v>
      </c>
      <c r="C1980" s="5">
        <v>280</v>
      </c>
      <c r="D1980" s="1" t="s">
        <v>1953</v>
      </c>
      <c r="E1980" s="1" t="s">
        <v>1954</v>
      </c>
      <c r="F1980" s="1" t="s">
        <v>715</v>
      </c>
      <c r="G1980" s="1" t="s">
        <v>940</v>
      </c>
      <c r="H1980" s="3">
        <v>46021</v>
      </c>
      <c r="I1980" s="1" t="s">
        <v>933</v>
      </c>
      <c r="J1980" s="1" t="s">
        <v>66</v>
      </c>
      <c r="K1980" s="1" t="s">
        <v>340</v>
      </c>
      <c r="L1980" s="1" t="s">
        <v>3355</v>
      </c>
      <c r="M1980" s="3">
        <v>45995</v>
      </c>
      <c r="N1980" s="1" t="s">
        <v>712</v>
      </c>
      <c r="O1980" s="1" t="s">
        <v>936</v>
      </c>
      <c r="P1980" s="1">
        <v>1</v>
      </c>
    </row>
    <row r="1981" spans="1:16" x14ac:dyDescent="0.25">
      <c r="A1981" s="3">
        <v>45996</v>
      </c>
      <c r="B1981" s="1">
        <v>468</v>
      </c>
      <c r="C1981" s="5">
        <v>1250</v>
      </c>
      <c r="D1981" s="1" t="s">
        <v>1953</v>
      </c>
      <c r="E1981" s="1" t="s">
        <v>1954</v>
      </c>
      <c r="F1981" s="1" t="s">
        <v>906</v>
      </c>
      <c r="G1981" s="1" t="s">
        <v>940</v>
      </c>
      <c r="H1981" s="3">
        <v>46021</v>
      </c>
      <c r="I1981" s="1" t="s">
        <v>933</v>
      </c>
      <c r="J1981" s="1" t="s">
        <v>66</v>
      </c>
      <c r="K1981" s="1" t="s">
        <v>308</v>
      </c>
      <c r="L1981" s="1" t="s">
        <v>3356</v>
      </c>
      <c r="M1981" s="3">
        <v>45995</v>
      </c>
      <c r="N1981" s="1" t="s">
        <v>57</v>
      </c>
      <c r="O1981" s="1" t="s">
        <v>936</v>
      </c>
      <c r="P1981" s="1">
        <v>1</v>
      </c>
    </row>
    <row r="1982" spans="1:16" x14ac:dyDescent="0.25">
      <c r="A1982" s="3">
        <v>45996</v>
      </c>
      <c r="B1982" s="4">
        <v>78155</v>
      </c>
      <c r="C1982" s="5">
        <v>5856</v>
      </c>
      <c r="D1982" s="1" t="s">
        <v>3357</v>
      </c>
      <c r="E1982" s="1" t="s">
        <v>3358</v>
      </c>
      <c r="F1982" s="1" t="s">
        <v>1131</v>
      </c>
      <c r="G1982" s="1" t="s">
        <v>1131</v>
      </c>
      <c r="H1982" s="3">
        <v>46026</v>
      </c>
      <c r="I1982" s="1" t="s">
        <v>933</v>
      </c>
      <c r="J1982" s="1" t="s">
        <v>1131</v>
      </c>
      <c r="K1982" s="1" t="s">
        <v>340</v>
      </c>
      <c r="L1982" s="1" t="s">
        <v>3359</v>
      </c>
      <c r="M1982" s="3">
        <v>46001</v>
      </c>
      <c r="N1982" s="1" t="s">
        <v>821</v>
      </c>
      <c r="O1982" s="1" t="s">
        <v>936</v>
      </c>
      <c r="P1982" s="1">
        <v>1</v>
      </c>
    </row>
    <row r="1983" spans="1:16" x14ac:dyDescent="0.25">
      <c r="A1983" s="3">
        <v>45996</v>
      </c>
      <c r="B1983" s="4">
        <v>78154</v>
      </c>
      <c r="C1983" s="5">
        <v>35000</v>
      </c>
      <c r="D1983" s="1" t="s">
        <v>3357</v>
      </c>
      <c r="E1983" s="1" t="s">
        <v>3358</v>
      </c>
      <c r="F1983" s="1" t="s">
        <v>66</v>
      </c>
      <c r="G1983" s="1" t="s">
        <v>2860</v>
      </c>
      <c r="H1983" s="3">
        <v>46026</v>
      </c>
      <c r="I1983" s="1" t="s">
        <v>933</v>
      </c>
      <c r="J1983" s="1" t="s">
        <v>66</v>
      </c>
      <c r="K1983" s="1" t="s">
        <v>340</v>
      </c>
      <c r="L1983" s="1" t="s">
        <v>3360</v>
      </c>
      <c r="M1983" s="3">
        <v>46001</v>
      </c>
      <c r="N1983" s="1" t="s">
        <v>821</v>
      </c>
      <c r="O1983" s="1" t="s">
        <v>936</v>
      </c>
      <c r="P1983" s="1">
        <v>1</v>
      </c>
    </row>
    <row r="1984" spans="1:16" x14ac:dyDescent="0.25">
      <c r="A1984" s="3">
        <v>45996</v>
      </c>
      <c r="B1984" s="4">
        <v>12281</v>
      </c>
      <c r="C1984" s="5">
        <v>1346.86</v>
      </c>
      <c r="D1984" s="1" t="s">
        <v>1801</v>
      </c>
      <c r="E1984" s="1" t="s">
        <v>1802</v>
      </c>
      <c r="F1984" s="1" t="s">
        <v>1814</v>
      </c>
      <c r="G1984" s="1" t="s">
        <v>998</v>
      </c>
      <c r="H1984" s="3">
        <v>46020</v>
      </c>
      <c r="I1984" s="1" t="s">
        <v>933</v>
      </c>
      <c r="J1984" s="1" t="s">
        <v>66</v>
      </c>
      <c r="K1984" s="1" t="s">
        <v>1814</v>
      </c>
      <c r="L1984" s="1" t="s">
        <v>3361</v>
      </c>
      <c r="M1984" s="3">
        <v>46001</v>
      </c>
      <c r="N1984" s="1" t="s">
        <v>1814</v>
      </c>
      <c r="O1984" s="1" t="s">
        <v>998</v>
      </c>
      <c r="P1984" s="1">
        <v>1</v>
      </c>
    </row>
    <row r="1985" spans="1:16" x14ac:dyDescent="0.25">
      <c r="A1985" s="3">
        <v>45996</v>
      </c>
      <c r="B1985" s="4">
        <v>73183</v>
      </c>
      <c r="C1985" s="5">
        <v>3740</v>
      </c>
      <c r="D1985" s="1" t="s">
        <v>1994</v>
      </c>
      <c r="E1985" s="1" t="s">
        <v>1995</v>
      </c>
      <c r="F1985" s="1" t="s">
        <v>736</v>
      </c>
      <c r="G1985" s="1" t="s">
        <v>940</v>
      </c>
      <c r="H1985" s="3">
        <v>46024</v>
      </c>
      <c r="I1985" s="1" t="s">
        <v>1100</v>
      </c>
      <c r="J1985" s="1" t="s">
        <v>66</v>
      </c>
      <c r="K1985" s="1" t="s">
        <v>308</v>
      </c>
      <c r="L1985" s="1" t="s">
        <v>3362</v>
      </c>
      <c r="M1985" s="3">
        <v>46001</v>
      </c>
      <c r="N1985" s="1" t="s">
        <v>57</v>
      </c>
      <c r="O1985" s="1" t="s">
        <v>936</v>
      </c>
      <c r="P1985" s="1">
        <v>1</v>
      </c>
    </row>
    <row r="1986" spans="1:16" x14ac:dyDescent="0.25">
      <c r="A1986" s="3">
        <v>45996</v>
      </c>
      <c r="B1986" s="1">
        <v>85</v>
      </c>
      <c r="C1986" s="5">
        <v>1485</v>
      </c>
      <c r="D1986" s="1" t="s">
        <v>2145</v>
      </c>
      <c r="E1986" s="1" t="s">
        <v>2146</v>
      </c>
      <c r="F1986" s="1" t="s">
        <v>218</v>
      </c>
      <c r="G1986" s="1" t="s">
        <v>940</v>
      </c>
      <c r="H1986" s="3">
        <v>46019</v>
      </c>
      <c r="I1986" s="1" t="s">
        <v>933</v>
      </c>
      <c r="J1986" s="1" t="s">
        <v>66</v>
      </c>
      <c r="K1986" s="1" t="s">
        <v>1654</v>
      </c>
      <c r="L1986" s="1" t="s">
        <v>3363</v>
      </c>
      <c r="M1986" s="3">
        <v>46006</v>
      </c>
      <c r="N1986" s="1" t="s">
        <v>221</v>
      </c>
      <c r="O1986" s="1" t="s">
        <v>936</v>
      </c>
      <c r="P1986" s="1">
        <v>2</v>
      </c>
    </row>
    <row r="1987" spans="1:16" x14ac:dyDescent="0.25">
      <c r="A1987" s="3">
        <v>45996</v>
      </c>
      <c r="B1987" s="1">
        <v>454</v>
      </c>
      <c r="C1987" s="5">
        <v>280</v>
      </c>
      <c r="D1987" s="1" t="s">
        <v>1953</v>
      </c>
      <c r="E1987" s="1" t="s">
        <v>1954</v>
      </c>
      <c r="F1987" s="1" t="s">
        <v>274</v>
      </c>
      <c r="G1987" s="1" t="s">
        <v>940</v>
      </c>
      <c r="H1987" s="3">
        <v>46021</v>
      </c>
      <c r="I1987" s="1" t="s">
        <v>933</v>
      </c>
      <c r="J1987" s="1" t="s">
        <v>66</v>
      </c>
      <c r="K1987" s="1" t="s">
        <v>340</v>
      </c>
      <c r="L1987" s="1" t="s">
        <v>4223</v>
      </c>
      <c r="M1987" s="3">
        <v>45995</v>
      </c>
      <c r="N1987" s="1" t="s">
        <v>264</v>
      </c>
      <c r="O1987" s="1" t="s">
        <v>936</v>
      </c>
      <c r="P1987" s="1">
        <v>1</v>
      </c>
    </row>
    <row r="1988" spans="1:16" x14ac:dyDescent="0.25">
      <c r="A1988" s="3">
        <v>45997</v>
      </c>
      <c r="B1988" s="4">
        <v>1549</v>
      </c>
      <c r="C1988" s="5">
        <v>196</v>
      </c>
      <c r="D1988" s="1" t="s">
        <v>1901</v>
      </c>
      <c r="E1988" s="1" t="s">
        <v>1902</v>
      </c>
      <c r="F1988" s="1" t="s">
        <v>659</v>
      </c>
      <c r="G1988" s="1" t="s">
        <v>940</v>
      </c>
      <c r="H1988" s="3">
        <v>46018</v>
      </c>
      <c r="I1988" s="1" t="s">
        <v>933</v>
      </c>
      <c r="J1988" s="1" t="s">
        <v>951</v>
      </c>
      <c r="K1988" s="1" t="s">
        <v>659</v>
      </c>
      <c r="L1988" s="1" t="s">
        <v>3364</v>
      </c>
      <c r="M1988" s="3">
        <v>46001</v>
      </c>
      <c r="N1988" s="1"/>
      <c r="O1988" s="1" t="s">
        <v>936</v>
      </c>
      <c r="P1988" s="1">
        <v>1</v>
      </c>
    </row>
    <row r="1989" spans="1:16" x14ac:dyDescent="0.25">
      <c r="A1989" s="3">
        <v>45999</v>
      </c>
      <c r="B1989" s="4">
        <v>4472</v>
      </c>
      <c r="C1989" s="5">
        <v>20</v>
      </c>
      <c r="D1989" s="1" t="s">
        <v>3130</v>
      </c>
      <c r="E1989" s="1" t="s">
        <v>3131</v>
      </c>
      <c r="F1989" s="1" t="s">
        <v>259</v>
      </c>
      <c r="G1989" s="1" t="s">
        <v>981</v>
      </c>
      <c r="H1989" s="3">
        <v>46030</v>
      </c>
      <c r="I1989" s="1" t="s">
        <v>933</v>
      </c>
      <c r="J1989" s="1" t="s">
        <v>66</v>
      </c>
      <c r="K1989" s="1" t="s">
        <v>340</v>
      </c>
      <c r="L1989" s="1" t="s">
        <v>3245</v>
      </c>
      <c r="M1989" s="3">
        <v>46001</v>
      </c>
      <c r="N1989" s="1" t="s">
        <v>264</v>
      </c>
      <c r="O1989" s="1" t="s">
        <v>936</v>
      </c>
      <c r="P1989" s="1" t="s">
        <v>937</v>
      </c>
    </row>
    <row r="1990" spans="1:16" x14ac:dyDescent="0.25">
      <c r="A1990" s="3">
        <v>45999</v>
      </c>
      <c r="B1990" s="4">
        <v>1131</v>
      </c>
      <c r="C1990" s="5">
        <v>610</v>
      </c>
      <c r="D1990" s="1" t="s">
        <v>1074</v>
      </c>
      <c r="E1990" s="1" t="s">
        <v>1075</v>
      </c>
      <c r="F1990" s="1" t="s">
        <v>753</v>
      </c>
      <c r="G1990" s="1" t="s">
        <v>981</v>
      </c>
      <c r="H1990" s="3">
        <v>46032</v>
      </c>
      <c r="I1990" s="1" t="s">
        <v>933</v>
      </c>
      <c r="J1990" s="1" t="s">
        <v>66</v>
      </c>
      <c r="K1990" s="1" t="s">
        <v>340</v>
      </c>
      <c r="L1990" s="1" t="s">
        <v>3245</v>
      </c>
      <c r="M1990" s="3">
        <v>46001</v>
      </c>
      <c r="N1990" s="1" t="s">
        <v>57</v>
      </c>
      <c r="O1990" s="1" t="s">
        <v>936</v>
      </c>
      <c r="P1990" s="1">
        <v>1</v>
      </c>
    </row>
    <row r="1991" spans="1:16" x14ac:dyDescent="0.25">
      <c r="A1991" s="3">
        <v>45999</v>
      </c>
      <c r="B1991" s="4">
        <v>95160</v>
      </c>
      <c r="C1991" s="5">
        <v>57500</v>
      </c>
      <c r="D1991" s="1" t="s">
        <v>1094</v>
      </c>
      <c r="E1991" s="1" t="s">
        <v>1095</v>
      </c>
      <c r="F1991" s="1" t="s">
        <v>818</v>
      </c>
      <c r="G1991" s="1" t="s">
        <v>998</v>
      </c>
      <c r="H1991" s="3">
        <v>46029</v>
      </c>
      <c r="I1991" s="1" t="s">
        <v>933</v>
      </c>
      <c r="J1991" s="1" t="s">
        <v>951</v>
      </c>
      <c r="K1991" s="1" t="s">
        <v>996</v>
      </c>
      <c r="L1991" s="1" t="s">
        <v>3365</v>
      </c>
      <c r="M1991" s="3">
        <v>45995</v>
      </c>
      <c r="N1991" s="1"/>
      <c r="O1991" s="1" t="s">
        <v>998</v>
      </c>
      <c r="P1991" s="1">
        <v>1</v>
      </c>
    </row>
    <row r="1992" spans="1:16" x14ac:dyDescent="0.25">
      <c r="A1992" s="3">
        <v>45999</v>
      </c>
      <c r="B1992" s="1">
        <v>356</v>
      </c>
      <c r="C1992" s="5">
        <v>240</v>
      </c>
      <c r="D1992" s="1" t="s">
        <v>1444</v>
      </c>
      <c r="E1992" s="1" t="s">
        <v>1445</v>
      </c>
      <c r="F1992" s="1" t="s">
        <v>719</v>
      </c>
      <c r="G1992" s="1" t="s">
        <v>940</v>
      </c>
      <c r="H1992" s="3">
        <v>46020</v>
      </c>
      <c r="I1992" s="1" t="s">
        <v>933</v>
      </c>
      <c r="J1992" s="1" t="s">
        <v>66</v>
      </c>
      <c r="K1992" s="1" t="s">
        <v>340</v>
      </c>
      <c r="L1992" s="1" t="s">
        <v>3366</v>
      </c>
      <c r="M1992" s="3">
        <v>45995</v>
      </c>
      <c r="N1992" s="1" t="s">
        <v>712</v>
      </c>
      <c r="O1992" s="1" t="s">
        <v>936</v>
      </c>
      <c r="P1992" s="1">
        <v>1</v>
      </c>
    </row>
    <row r="1993" spans="1:16" x14ac:dyDescent="0.25">
      <c r="A1993" s="3">
        <v>45999</v>
      </c>
      <c r="B1993" s="1">
        <v>115</v>
      </c>
      <c r="C1993" s="5">
        <v>3733</v>
      </c>
      <c r="D1993" s="1" t="s">
        <v>1579</v>
      </c>
      <c r="E1993" s="1" t="s">
        <v>1580</v>
      </c>
      <c r="F1993" s="1" t="s">
        <v>430</v>
      </c>
      <c r="G1993" s="1" t="s">
        <v>1260</v>
      </c>
      <c r="H1993" s="3">
        <v>46020</v>
      </c>
      <c r="I1993" s="1" t="s">
        <v>933</v>
      </c>
      <c r="J1993" s="1" t="s">
        <v>66</v>
      </c>
      <c r="K1993" s="1" t="s">
        <v>1654</v>
      </c>
      <c r="L1993" s="1" t="s">
        <v>3367</v>
      </c>
      <c r="M1993" s="3">
        <v>45995</v>
      </c>
      <c r="N1993" s="1" t="s">
        <v>57</v>
      </c>
      <c r="O1993" s="1" t="s">
        <v>936</v>
      </c>
      <c r="P1993" s="1">
        <v>1</v>
      </c>
    </row>
    <row r="1994" spans="1:16" x14ac:dyDescent="0.25">
      <c r="A1994" s="3">
        <v>45999</v>
      </c>
      <c r="B1994" s="4">
        <v>72117</v>
      </c>
      <c r="C1994" s="5">
        <v>1463.54</v>
      </c>
      <c r="D1994" s="1" t="s">
        <v>1253</v>
      </c>
      <c r="E1994" s="1" t="s">
        <v>1487</v>
      </c>
      <c r="F1994" s="1" t="s">
        <v>693</v>
      </c>
      <c r="G1994" s="1" t="s">
        <v>1131</v>
      </c>
      <c r="H1994" s="3">
        <v>46029</v>
      </c>
      <c r="I1994" s="1" t="s">
        <v>933</v>
      </c>
      <c r="J1994" s="1" t="s">
        <v>66</v>
      </c>
      <c r="K1994" s="1" t="s">
        <v>340</v>
      </c>
      <c r="L1994" s="1" t="s">
        <v>3369</v>
      </c>
      <c r="M1994" s="3">
        <v>45995</v>
      </c>
      <c r="N1994" s="1" t="s">
        <v>383</v>
      </c>
      <c r="O1994" s="1" t="s">
        <v>936</v>
      </c>
      <c r="P1994" s="1">
        <v>1</v>
      </c>
    </row>
    <row r="1995" spans="1:16" x14ac:dyDescent="0.25">
      <c r="A1995" s="3">
        <v>45999</v>
      </c>
      <c r="B1995" s="1">
        <v>469</v>
      </c>
      <c r="C1995" s="5">
        <v>60</v>
      </c>
      <c r="D1995" s="1" t="s">
        <v>1953</v>
      </c>
      <c r="E1995" s="1" t="s">
        <v>1954</v>
      </c>
      <c r="F1995" s="1" t="s">
        <v>437</v>
      </c>
      <c r="G1995" s="1" t="s">
        <v>940</v>
      </c>
      <c r="H1995" s="3">
        <v>46021</v>
      </c>
      <c r="I1995" s="1" t="s">
        <v>933</v>
      </c>
      <c r="J1995" s="1" t="s">
        <v>66</v>
      </c>
      <c r="K1995" s="1" t="s">
        <v>308</v>
      </c>
      <c r="L1995" s="1" t="s">
        <v>3370</v>
      </c>
      <c r="M1995" s="3">
        <v>45995</v>
      </c>
      <c r="N1995" s="1" t="s">
        <v>440</v>
      </c>
      <c r="O1995" s="1" t="s">
        <v>936</v>
      </c>
      <c r="P1995" s="1">
        <v>1</v>
      </c>
    </row>
    <row r="1996" spans="1:16" x14ac:dyDescent="0.25">
      <c r="A1996" s="3">
        <v>45999</v>
      </c>
      <c r="B1996" s="1">
        <v>470</v>
      </c>
      <c r="C1996" s="5">
        <v>95</v>
      </c>
      <c r="D1996" s="1" t="s">
        <v>1953</v>
      </c>
      <c r="E1996" s="1" t="s">
        <v>1954</v>
      </c>
      <c r="F1996" s="1" t="s">
        <v>857</v>
      </c>
      <c r="G1996" s="1" t="s">
        <v>940</v>
      </c>
      <c r="H1996" s="3">
        <v>46021</v>
      </c>
      <c r="I1996" s="1" t="s">
        <v>933</v>
      </c>
      <c r="J1996" s="1" t="s">
        <v>66</v>
      </c>
      <c r="K1996" s="1" t="s">
        <v>308</v>
      </c>
      <c r="L1996" s="1" t="s">
        <v>3371</v>
      </c>
      <c r="M1996" s="3">
        <v>45995</v>
      </c>
      <c r="N1996" s="1" t="s">
        <v>506</v>
      </c>
      <c r="O1996" s="1" t="s">
        <v>936</v>
      </c>
      <c r="P1996" s="1">
        <v>1</v>
      </c>
    </row>
    <row r="1997" spans="1:16" x14ac:dyDescent="0.25">
      <c r="A1997" s="3">
        <v>45999</v>
      </c>
      <c r="B1997" s="4">
        <v>9628</v>
      </c>
      <c r="C1997" s="5">
        <v>11428.34</v>
      </c>
      <c r="D1997" s="1" t="s">
        <v>973</v>
      </c>
      <c r="E1997" s="1" t="s">
        <v>1068</v>
      </c>
      <c r="F1997" s="1" t="s">
        <v>1814</v>
      </c>
      <c r="G1997" s="1" t="s">
        <v>998</v>
      </c>
      <c r="H1997" s="3">
        <v>46029</v>
      </c>
      <c r="I1997" s="1" t="s">
        <v>933</v>
      </c>
      <c r="J1997" s="1" t="s">
        <v>66</v>
      </c>
      <c r="K1997" s="1" t="s">
        <v>1814</v>
      </c>
      <c r="L1997" s="1" t="s">
        <v>3375</v>
      </c>
      <c r="M1997" s="3">
        <v>46012</v>
      </c>
      <c r="N1997" s="1" t="s">
        <v>1814</v>
      </c>
      <c r="O1997" s="1" t="s">
        <v>998</v>
      </c>
      <c r="P1997" s="1">
        <v>2</v>
      </c>
    </row>
    <row r="1998" spans="1:16" x14ac:dyDescent="0.25">
      <c r="A1998" s="3">
        <v>45999</v>
      </c>
      <c r="B1998" s="4">
        <v>27232</v>
      </c>
      <c r="C1998" s="5">
        <v>2600</v>
      </c>
      <c r="D1998" s="1" t="s">
        <v>2028</v>
      </c>
      <c r="E1998" s="1" t="s">
        <v>2029</v>
      </c>
      <c r="F1998" s="1" t="s">
        <v>1131</v>
      </c>
      <c r="G1998" s="1" t="s">
        <v>1131</v>
      </c>
      <c r="H1998" s="3">
        <v>46029</v>
      </c>
      <c r="I1998" s="1" t="s">
        <v>933</v>
      </c>
      <c r="J1998" s="1" t="s">
        <v>1131</v>
      </c>
      <c r="K1998" s="1" t="s">
        <v>66</v>
      </c>
      <c r="L1998" s="1" t="s">
        <v>3376</v>
      </c>
      <c r="M1998" s="3">
        <v>46001</v>
      </c>
      <c r="N1998" s="1" t="s">
        <v>821</v>
      </c>
      <c r="O1998" s="1" t="s">
        <v>936</v>
      </c>
      <c r="P1998" s="1" t="s">
        <v>937</v>
      </c>
    </row>
    <row r="1999" spans="1:16" x14ac:dyDescent="0.25">
      <c r="A1999" s="3">
        <v>45999</v>
      </c>
      <c r="B1999" s="4">
        <v>9628</v>
      </c>
      <c r="C1999" s="5">
        <v>11428.34</v>
      </c>
      <c r="D1999" s="1" t="s">
        <v>973</v>
      </c>
      <c r="E1999" s="1" t="s">
        <v>1068</v>
      </c>
      <c r="F1999" s="1" t="s">
        <v>1814</v>
      </c>
      <c r="G1999" s="1" t="s">
        <v>998</v>
      </c>
      <c r="H1999" s="3">
        <v>45664</v>
      </c>
      <c r="I1999" s="1" t="s">
        <v>933</v>
      </c>
      <c r="J1999" s="1" t="s">
        <v>66</v>
      </c>
      <c r="K1999" s="1" t="s">
        <v>1814</v>
      </c>
      <c r="L1999" s="1" t="s">
        <v>3377</v>
      </c>
      <c r="M1999" s="3">
        <v>46001</v>
      </c>
      <c r="N1999" s="1" t="s">
        <v>1814</v>
      </c>
      <c r="O1999" s="1" t="s">
        <v>998</v>
      </c>
      <c r="P1999" s="1">
        <v>2</v>
      </c>
    </row>
    <row r="2000" spans="1:16" x14ac:dyDescent="0.25">
      <c r="A2000" s="3">
        <v>45999</v>
      </c>
      <c r="B2000" s="4">
        <v>4472</v>
      </c>
      <c r="C2000" s="5">
        <v>150</v>
      </c>
      <c r="D2000" s="1" t="s">
        <v>3130</v>
      </c>
      <c r="E2000" s="1" t="s">
        <v>3131</v>
      </c>
      <c r="F2000" s="1" t="s">
        <v>717</v>
      </c>
      <c r="G2000" s="1" t="s">
        <v>981</v>
      </c>
      <c r="H2000" s="3">
        <v>46030</v>
      </c>
      <c r="I2000" s="1" t="s">
        <v>933</v>
      </c>
      <c r="J2000" s="1" t="s">
        <v>66</v>
      </c>
      <c r="K2000" s="1" t="s">
        <v>340</v>
      </c>
      <c r="L2000" s="1" t="s">
        <v>3245</v>
      </c>
      <c r="M2000" s="3">
        <v>46001</v>
      </c>
      <c r="N2000" s="1" t="s">
        <v>712</v>
      </c>
      <c r="O2000" s="1" t="s">
        <v>936</v>
      </c>
      <c r="P2000" s="1" t="s">
        <v>937</v>
      </c>
    </row>
    <row r="2001" spans="1:16" x14ac:dyDescent="0.25">
      <c r="A2001" s="3">
        <v>45999</v>
      </c>
      <c r="B2001" s="4">
        <v>4472</v>
      </c>
      <c r="C2001" s="5">
        <v>50</v>
      </c>
      <c r="D2001" s="1" t="s">
        <v>3130</v>
      </c>
      <c r="E2001" s="1" t="s">
        <v>3131</v>
      </c>
      <c r="F2001" s="1" t="s">
        <v>721</v>
      </c>
      <c r="G2001" s="1" t="s">
        <v>981</v>
      </c>
      <c r="H2001" s="3">
        <v>46030</v>
      </c>
      <c r="I2001" s="1" t="s">
        <v>933</v>
      </c>
      <c r="J2001" s="1" t="s">
        <v>66</v>
      </c>
      <c r="K2001" s="1" t="s">
        <v>340</v>
      </c>
      <c r="L2001" s="1" t="s">
        <v>3245</v>
      </c>
      <c r="M2001" s="3">
        <v>46001</v>
      </c>
      <c r="N2001" s="1" t="s">
        <v>712</v>
      </c>
      <c r="O2001" s="1" t="s">
        <v>936</v>
      </c>
      <c r="P2001" s="1" t="s">
        <v>937</v>
      </c>
    </row>
    <row r="2002" spans="1:16" x14ac:dyDescent="0.25">
      <c r="A2002" s="3">
        <v>45999</v>
      </c>
      <c r="B2002" s="4">
        <v>4472</v>
      </c>
      <c r="C2002" s="5">
        <v>50</v>
      </c>
      <c r="D2002" s="1" t="s">
        <v>3130</v>
      </c>
      <c r="E2002" s="1" t="s">
        <v>3131</v>
      </c>
      <c r="F2002" s="1" t="s">
        <v>719</v>
      </c>
      <c r="G2002" s="1" t="s">
        <v>981</v>
      </c>
      <c r="H2002" s="3">
        <v>46030</v>
      </c>
      <c r="I2002" s="1" t="s">
        <v>933</v>
      </c>
      <c r="J2002" s="1" t="s">
        <v>66</v>
      </c>
      <c r="K2002" s="1" t="s">
        <v>340</v>
      </c>
      <c r="L2002" s="1" t="s">
        <v>3245</v>
      </c>
      <c r="M2002" s="3">
        <v>46001</v>
      </c>
      <c r="N2002" s="1" t="s">
        <v>712</v>
      </c>
      <c r="O2002" s="1" t="s">
        <v>936</v>
      </c>
      <c r="P2002" s="1" t="s">
        <v>937</v>
      </c>
    </row>
    <row r="2003" spans="1:16" x14ac:dyDescent="0.25">
      <c r="A2003" s="3">
        <v>45999</v>
      </c>
      <c r="B2003" s="4">
        <v>4472</v>
      </c>
      <c r="C2003" s="5">
        <v>560</v>
      </c>
      <c r="D2003" s="1" t="s">
        <v>3130</v>
      </c>
      <c r="E2003" s="1" t="s">
        <v>3131</v>
      </c>
      <c r="F2003" s="1" t="s">
        <v>736</v>
      </c>
      <c r="G2003" s="1" t="s">
        <v>981</v>
      </c>
      <c r="H2003" s="3">
        <v>46030</v>
      </c>
      <c r="I2003" s="1" t="s">
        <v>933</v>
      </c>
      <c r="J2003" s="1" t="s">
        <v>66</v>
      </c>
      <c r="K2003" s="1" t="s">
        <v>308</v>
      </c>
      <c r="L2003" s="1" t="s">
        <v>3245</v>
      </c>
      <c r="M2003" s="3">
        <v>46001</v>
      </c>
      <c r="N2003" s="1" t="s">
        <v>57</v>
      </c>
      <c r="O2003" s="1" t="s">
        <v>936</v>
      </c>
      <c r="P2003" s="1" t="s">
        <v>937</v>
      </c>
    </row>
    <row r="2004" spans="1:16" x14ac:dyDescent="0.25">
      <c r="A2004" s="3">
        <v>45999</v>
      </c>
      <c r="B2004" s="4">
        <v>4472</v>
      </c>
      <c r="C2004" s="5">
        <v>180</v>
      </c>
      <c r="D2004" s="1" t="s">
        <v>3130</v>
      </c>
      <c r="E2004" s="1" t="s">
        <v>3131</v>
      </c>
      <c r="F2004" s="1" t="s">
        <v>717</v>
      </c>
      <c r="G2004" s="1" t="s">
        <v>981</v>
      </c>
      <c r="H2004" s="3">
        <v>46030</v>
      </c>
      <c r="I2004" s="1" t="s">
        <v>933</v>
      </c>
      <c r="J2004" s="1" t="s">
        <v>66</v>
      </c>
      <c r="K2004" s="1" t="s">
        <v>340</v>
      </c>
      <c r="L2004" s="1" t="s">
        <v>3245</v>
      </c>
      <c r="M2004" s="3">
        <v>46001</v>
      </c>
      <c r="N2004" s="1" t="s">
        <v>712</v>
      </c>
      <c r="O2004" s="1" t="s">
        <v>936</v>
      </c>
      <c r="P2004" s="1" t="s">
        <v>937</v>
      </c>
    </row>
    <row r="2005" spans="1:16" x14ac:dyDescent="0.25">
      <c r="A2005" s="3">
        <v>45999</v>
      </c>
      <c r="B2005" s="4">
        <v>1131</v>
      </c>
      <c r="C2005" s="5">
        <v>180</v>
      </c>
      <c r="D2005" s="1" t="s">
        <v>1074</v>
      </c>
      <c r="E2005" s="1" t="s">
        <v>1075</v>
      </c>
      <c r="F2005" s="1" t="s">
        <v>639</v>
      </c>
      <c r="G2005" s="1" t="s">
        <v>981</v>
      </c>
      <c r="H2005" s="3">
        <v>46032</v>
      </c>
      <c r="I2005" s="1" t="s">
        <v>933</v>
      </c>
      <c r="J2005" s="1" t="s">
        <v>66</v>
      </c>
      <c r="K2005" s="1" t="s">
        <v>340</v>
      </c>
      <c r="L2005" s="1" t="s">
        <v>3245</v>
      </c>
      <c r="M2005" s="3">
        <v>46001</v>
      </c>
      <c r="N2005" s="1" t="s">
        <v>98</v>
      </c>
      <c r="O2005" s="1" t="s">
        <v>936</v>
      </c>
      <c r="P2005" s="1">
        <v>1</v>
      </c>
    </row>
    <row r="2006" spans="1:16" x14ac:dyDescent="0.25">
      <c r="A2006" s="3">
        <v>45999</v>
      </c>
      <c r="B2006" s="4">
        <v>1131</v>
      </c>
      <c r="C2006" s="5">
        <v>100</v>
      </c>
      <c r="D2006" s="1" t="s">
        <v>1074</v>
      </c>
      <c r="E2006" s="1" t="s">
        <v>1075</v>
      </c>
      <c r="F2006" s="1" t="s">
        <v>419</v>
      </c>
      <c r="G2006" s="1" t="s">
        <v>981</v>
      </c>
      <c r="H2006" s="3">
        <v>46032</v>
      </c>
      <c r="I2006" s="1" t="s">
        <v>933</v>
      </c>
      <c r="J2006" s="1" t="s">
        <v>66</v>
      </c>
      <c r="K2006" s="1" t="s">
        <v>308</v>
      </c>
      <c r="L2006" s="1" t="s">
        <v>3245</v>
      </c>
      <c r="M2006" s="3">
        <v>46001</v>
      </c>
      <c r="N2006" s="1" t="s">
        <v>98</v>
      </c>
      <c r="O2006" s="1" t="s">
        <v>936</v>
      </c>
      <c r="P2006" s="1">
        <v>1</v>
      </c>
    </row>
    <row r="2007" spans="1:16" x14ac:dyDescent="0.25">
      <c r="A2007" s="3">
        <v>45999</v>
      </c>
      <c r="B2007" s="4">
        <v>1131</v>
      </c>
      <c r="C2007" s="5">
        <v>234.69</v>
      </c>
      <c r="D2007" s="1" t="s">
        <v>1074</v>
      </c>
      <c r="E2007" s="1" t="s">
        <v>1075</v>
      </c>
      <c r="F2007" s="1" t="s">
        <v>955</v>
      </c>
      <c r="G2007" s="1" t="s">
        <v>950</v>
      </c>
      <c r="H2007" s="3">
        <v>46032</v>
      </c>
      <c r="I2007" s="1" t="s">
        <v>933</v>
      </c>
      <c r="J2007" s="1" t="s">
        <v>951</v>
      </c>
      <c r="K2007" s="1" t="s">
        <v>817</v>
      </c>
      <c r="L2007" s="1" t="s">
        <v>3379</v>
      </c>
      <c r="M2007" s="3">
        <v>46001</v>
      </c>
      <c r="N2007" s="1" t="s">
        <v>821</v>
      </c>
      <c r="O2007" s="1" t="s">
        <v>936</v>
      </c>
      <c r="P2007" s="1">
        <v>1</v>
      </c>
    </row>
    <row r="2008" spans="1:16" x14ac:dyDescent="0.25">
      <c r="A2008" s="3">
        <v>45999</v>
      </c>
      <c r="B2008" s="4">
        <v>1131</v>
      </c>
      <c r="C2008" s="5">
        <v>500</v>
      </c>
      <c r="D2008" s="1" t="s">
        <v>1074</v>
      </c>
      <c r="E2008" s="1" t="s">
        <v>1075</v>
      </c>
      <c r="F2008" s="1" t="s">
        <v>650</v>
      </c>
      <c r="G2008" s="1" t="s">
        <v>981</v>
      </c>
      <c r="H2008" s="3">
        <v>46032</v>
      </c>
      <c r="I2008" s="1" t="s">
        <v>933</v>
      </c>
      <c r="J2008" s="1" t="s">
        <v>66</v>
      </c>
      <c r="K2008" s="1" t="s">
        <v>340</v>
      </c>
      <c r="L2008" s="1" t="s">
        <v>3245</v>
      </c>
      <c r="M2008" s="3">
        <v>46001</v>
      </c>
      <c r="N2008" s="1" t="s">
        <v>57</v>
      </c>
      <c r="O2008" s="1" t="s">
        <v>936</v>
      </c>
      <c r="P2008" s="1">
        <v>1</v>
      </c>
    </row>
    <row r="2009" spans="1:16" x14ac:dyDescent="0.25">
      <c r="A2009" s="3">
        <v>45999</v>
      </c>
      <c r="B2009" s="4">
        <v>1131</v>
      </c>
      <c r="C2009" s="5">
        <v>4900</v>
      </c>
      <c r="D2009" s="1" t="s">
        <v>1074</v>
      </c>
      <c r="E2009" s="1" t="s">
        <v>1075</v>
      </c>
      <c r="F2009" s="1" t="s">
        <v>857</v>
      </c>
      <c r="G2009" s="1" t="s">
        <v>1260</v>
      </c>
      <c r="H2009" s="3">
        <v>46032</v>
      </c>
      <c r="I2009" s="1" t="s">
        <v>1814</v>
      </c>
      <c r="J2009" s="1" t="s">
        <v>66</v>
      </c>
      <c r="K2009" s="1" t="s">
        <v>308</v>
      </c>
      <c r="L2009" s="1" t="s">
        <v>3380</v>
      </c>
      <c r="M2009" s="3">
        <v>46001</v>
      </c>
      <c r="N2009" s="1" t="s">
        <v>506</v>
      </c>
      <c r="O2009" s="1" t="s">
        <v>936</v>
      </c>
      <c r="P2009" s="1">
        <v>1</v>
      </c>
    </row>
    <row r="2010" spans="1:16" x14ac:dyDescent="0.25">
      <c r="A2010" s="3">
        <v>45999</v>
      </c>
      <c r="B2010" s="4">
        <v>1131</v>
      </c>
      <c r="C2010" s="5">
        <v>350</v>
      </c>
      <c r="D2010" s="1" t="s">
        <v>1074</v>
      </c>
      <c r="E2010" s="1" t="s">
        <v>1075</v>
      </c>
      <c r="F2010" s="1" t="s">
        <v>909</v>
      </c>
      <c r="G2010" s="1" t="s">
        <v>981</v>
      </c>
      <c r="H2010" s="3">
        <v>46032</v>
      </c>
      <c r="I2010" s="1" t="s">
        <v>933</v>
      </c>
      <c r="J2010" s="1" t="s">
        <v>66</v>
      </c>
      <c r="K2010" s="1" t="s">
        <v>910</v>
      </c>
      <c r="L2010" s="1" t="s">
        <v>3245</v>
      </c>
      <c r="M2010" s="3">
        <v>46001</v>
      </c>
      <c r="N2010" s="1" t="s">
        <v>57</v>
      </c>
      <c r="O2010" s="1" t="s">
        <v>936</v>
      </c>
      <c r="P2010" s="1">
        <v>1</v>
      </c>
    </row>
    <row r="2011" spans="1:16" x14ac:dyDescent="0.25">
      <c r="A2011" s="3">
        <v>45999</v>
      </c>
      <c r="B2011" s="4">
        <v>1132</v>
      </c>
      <c r="C2011" s="5">
        <v>280</v>
      </c>
      <c r="D2011" s="1" t="s">
        <v>1074</v>
      </c>
      <c r="E2011" s="1" t="s">
        <v>1075</v>
      </c>
      <c r="F2011" s="1" t="s">
        <v>857</v>
      </c>
      <c r="G2011" s="1" t="s">
        <v>1058</v>
      </c>
      <c r="H2011" s="3">
        <v>46032</v>
      </c>
      <c r="I2011" s="1" t="s">
        <v>933</v>
      </c>
      <c r="J2011" s="1" t="s">
        <v>66</v>
      </c>
      <c r="K2011" s="1" t="s">
        <v>308</v>
      </c>
      <c r="L2011" s="1" t="s">
        <v>3381</v>
      </c>
      <c r="M2011" s="3">
        <v>46001</v>
      </c>
      <c r="N2011" s="1" t="s">
        <v>506</v>
      </c>
      <c r="O2011" s="1" t="s">
        <v>936</v>
      </c>
      <c r="P2011" s="1">
        <v>1</v>
      </c>
    </row>
    <row r="2012" spans="1:16" x14ac:dyDescent="0.25">
      <c r="A2012" s="3">
        <v>45999</v>
      </c>
      <c r="B2012" s="4">
        <v>1132</v>
      </c>
      <c r="C2012" s="5">
        <v>450</v>
      </c>
      <c r="D2012" s="1" t="s">
        <v>1074</v>
      </c>
      <c r="E2012" s="1" t="s">
        <v>1075</v>
      </c>
      <c r="F2012" s="1" t="s">
        <v>906</v>
      </c>
      <c r="G2012" s="1" t="s">
        <v>1058</v>
      </c>
      <c r="H2012" s="3">
        <v>46032</v>
      </c>
      <c r="I2012" s="1" t="s">
        <v>933</v>
      </c>
      <c r="J2012" s="1" t="s">
        <v>66</v>
      </c>
      <c r="K2012" s="1" t="s">
        <v>308</v>
      </c>
      <c r="L2012" s="1" t="s">
        <v>3381</v>
      </c>
      <c r="M2012" s="3">
        <v>46001</v>
      </c>
      <c r="N2012" s="1" t="s">
        <v>57</v>
      </c>
      <c r="O2012" s="1" t="s">
        <v>936</v>
      </c>
      <c r="P2012" s="1">
        <v>1</v>
      </c>
    </row>
    <row r="2013" spans="1:16" x14ac:dyDescent="0.25">
      <c r="A2013" s="3">
        <v>45999</v>
      </c>
      <c r="B2013" s="4">
        <v>1132</v>
      </c>
      <c r="C2013" s="5">
        <v>280</v>
      </c>
      <c r="D2013" s="1" t="s">
        <v>1074</v>
      </c>
      <c r="E2013" s="1" t="s">
        <v>1075</v>
      </c>
      <c r="F2013" s="1" t="s">
        <v>426</v>
      </c>
      <c r="G2013" s="1" t="s">
        <v>1058</v>
      </c>
      <c r="H2013" s="3">
        <v>46032</v>
      </c>
      <c r="I2013" s="1" t="s">
        <v>933</v>
      </c>
      <c r="J2013" s="1" t="s">
        <v>66</v>
      </c>
      <c r="K2013" s="1" t="s">
        <v>308</v>
      </c>
      <c r="L2013" s="1" t="s">
        <v>3381</v>
      </c>
      <c r="M2013" s="3">
        <v>46001</v>
      </c>
      <c r="N2013" s="1" t="s">
        <v>429</v>
      </c>
      <c r="O2013" s="1" t="s">
        <v>936</v>
      </c>
      <c r="P2013" s="1">
        <v>1</v>
      </c>
    </row>
    <row r="2014" spans="1:16" x14ac:dyDescent="0.25">
      <c r="A2014" s="3">
        <v>45999</v>
      </c>
      <c r="B2014" s="4">
        <v>1132</v>
      </c>
      <c r="C2014" s="5">
        <v>80</v>
      </c>
      <c r="D2014" s="1" t="s">
        <v>1074</v>
      </c>
      <c r="E2014" s="1" t="s">
        <v>1075</v>
      </c>
      <c r="F2014" s="1" t="s">
        <v>955</v>
      </c>
      <c r="G2014" s="1" t="s">
        <v>1058</v>
      </c>
      <c r="H2014" s="3">
        <v>46032</v>
      </c>
      <c r="I2014" s="1" t="s">
        <v>933</v>
      </c>
      <c r="J2014" s="1" t="s">
        <v>951</v>
      </c>
      <c r="K2014" s="1" t="s">
        <v>934</v>
      </c>
      <c r="L2014" s="1" t="s">
        <v>3382</v>
      </c>
      <c r="M2014" s="3">
        <v>46001</v>
      </c>
      <c r="N2014" s="1" t="s">
        <v>821</v>
      </c>
      <c r="O2014" s="1" t="s">
        <v>936</v>
      </c>
      <c r="P2014" s="1">
        <v>1</v>
      </c>
    </row>
    <row r="2015" spans="1:16" x14ac:dyDescent="0.25">
      <c r="A2015" s="3">
        <v>45999</v>
      </c>
      <c r="B2015" s="4">
        <v>1132</v>
      </c>
      <c r="C2015" s="5">
        <v>280</v>
      </c>
      <c r="D2015" s="1" t="s">
        <v>1074</v>
      </c>
      <c r="E2015" s="1" t="s">
        <v>1075</v>
      </c>
      <c r="F2015" s="1" t="s">
        <v>245</v>
      </c>
      <c r="G2015" s="1" t="s">
        <v>1058</v>
      </c>
      <c r="H2015" s="3">
        <v>46032</v>
      </c>
      <c r="I2015" s="1" t="s">
        <v>933</v>
      </c>
      <c r="J2015" s="1" t="s">
        <v>66</v>
      </c>
      <c r="K2015" s="1" t="s">
        <v>858</v>
      </c>
      <c r="L2015" s="1" t="s">
        <v>3381</v>
      </c>
      <c r="M2015" s="3">
        <v>46001</v>
      </c>
      <c r="N2015" s="1" t="s">
        <v>57</v>
      </c>
      <c r="O2015" s="1" t="s">
        <v>936</v>
      </c>
      <c r="P2015" s="1">
        <v>1</v>
      </c>
    </row>
    <row r="2016" spans="1:16" x14ac:dyDescent="0.25">
      <c r="A2016" s="3">
        <v>45999</v>
      </c>
      <c r="B2016" s="4">
        <v>1132</v>
      </c>
      <c r="C2016" s="5">
        <v>80</v>
      </c>
      <c r="D2016" s="1" t="s">
        <v>1074</v>
      </c>
      <c r="E2016" s="1" t="s">
        <v>1075</v>
      </c>
      <c r="F2016" s="1" t="s">
        <v>955</v>
      </c>
      <c r="G2016" s="1" t="s">
        <v>1058</v>
      </c>
      <c r="H2016" s="3">
        <v>46032</v>
      </c>
      <c r="I2016" s="1" t="s">
        <v>933</v>
      </c>
      <c r="J2016" s="1" t="s">
        <v>951</v>
      </c>
      <c r="K2016" s="1" t="s">
        <v>934</v>
      </c>
      <c r="L2016" s="1" t="s">
        <v>3383</v>
      </c>
      <c r="M2016" s="3">
        <v>46001</v>
      </c>
      <c r="N2016" s="1" t="s">
        <v>821</v>
      </c>
      <c r="O2016" s="1" t="s">
        <v>936</v>
      </c>
      <c r="P2016" s="1">
        <v>1</v>
      </c>
    </row>
    <row r="2017" spans="1:16" x14ac:dyDescent="0.25">
      <c r="A2017" s="3">
        <v>45999</v>
      </c>
      <c r="B2017" s="4">
        <v>1132</v>
      </c>
      <c r="C2017" s="5">
        <v>250</v>
      </c>
      <c r="D2017" s="1" t="s">
        <v>1074</v>
      </c>
      <c r="E2017" s="1" t="s">
        <v>1075</v>
      </c>
      <c r="F2017" s="1" t="s">
        <v>245</v>
      </c>
      <c r="G2017" s="1" t="s">
        <v>1058</v>
      </c>
      <c r="H2017" s="3">
        <v>46032</v>
      </c>
      <c r="I2017" s="1" t="s">
        <v>933</v>
      </c>
      <c r="J2017" s="1" t="s">
        <v>66</v>
      </c>
      <c r="K2017" s="1" t="s">
        <v>858</v>
      </c>
      <c r="L2017" s="1" t="s">
        <v>3381</v>
      </c>
      <c r="M2017" s="3">
        <v>46001</v>
      </c>
      <c r="N2017" s="1" t="s">
        <v>57</v>
      </c>
      <c r="O2017" s="1" t="s">
        <v>936</v>
      </c>
      <c r="P2017" s="1">
        <v>1</v>
      </c>
    </row>
    <row r="2018" spans="1:16" x14ac:dyDescent="0.25">
      <c r="A2018" s="3">
        <v>45999</v>
      </c>
      <c r="B2018" s="4">
        <v>1132</v>
      </c>
      <c r="C2018" s="5">
        <v>160</v>
      </c>
      <c r="D2018" s="1" t="s">
        <v>1074</v>
      </c>
      <c r="E2018" s="1" t="s">
        <v>1075</v>
      </c>
      <c r="F2018" s="1" t="s">
        <v>955</v>
      </c>
      <c r="G2018" s="1" t="s">
        <v>1058</v>
      </c>
      <c r="H2018" s="3">
        <v>46032</v>
      </c>
      <c r="I2018" s="1" t="s">
        <v>933</v>
      </c>
      <c r="J2018" s="1" t="s">
        <v>951</v>
      </c>
      <c r="K2018" s="1" t="s">
        <v>817</v>
      </c>
      <c r="L2018" s="1" t="s">
        <v>3384</v>
      </c>
      <c r="M2018" s="3">
        <v>46001</v>
      </c>
      <c r="N2018" s="1" t="s">
        <v>821</v>
      </c>
      <c r="O2018" s="1" t="s">
        <v>936</v>
      </c>
      <c r="P2018" s="1">
        <v>1</v>
      </c>
    </row>
    <row r="2019" spans="1:16" x14ac:dyDescent="0.25">
      <c r="A2019" s="3">
        <v>45999</v>
      </c>
      <c r="B2019" s="4">
        <v>1132</v>
      </c>
      <c r="C2019" s="5">
        <v>250</v>
      </c>
      <c r="D2019" s="1" t="s">
        <v>1074</v>
      </c>
      <c r="E2019" s="1" t="s">
        <v>1075</v>
      </c>
      <c r="F2019" s="1" t="s">
        <v>255</v>
      </c>
      <c r="G2019" s="1" t="s">
        <v>1058</v>
      </c>
      <c r="H2019" s="3">
        <v>46032</v>
      </c>
      <c r="I2019" s="1" t="s">
        <v>933</v>
      </c>
      <c r="J2019" s="1" t="s">
        <v>66</v>
      </c>
      <c r="K2019" s="1" t="s">
        <v>340</v>
      </c>
      <c r="L2019" s="1" t="s">
        <v>3381</v>
      </c>
      <c r="M2019" s="3">
        <v>46001</v>
      </c>
      <c r="N2019" s="1" t="s">
        <v>57</v>
      </c>
      <c r="O2019" s="1" t="s">
        <v>936</v>
      </c>
      <c r="P2019" s="1">
        <v>1</v>
      </c>
    </row>
    <row r="2020" spans="1:16" x14ac:dyDescent="0.25">
      <c r="A2020" s="3">
        <v>45999</v>
      </c>
      <c r="B2020" s="4">
        <v>1132</v>
      </c>
      <c r="C2020" s="5">
        <v>80</v>
      </c>
      <c r="D2020" s="1" t="s">
        <v>1074</v>
      </c>
      <c r="E2020" s="1" t="s">
        <v>1075</v>
      </c>
      <c r="F2020" s="1" t="s">
        <v>966</v>
      </c>
      <c r="G2020" s="1" t="s">
        <v>1058</v>
      </c>
      <c r="H2020" s="3">
        <v>46032</v>
      </c>
      <c r="I2020" s="1" t="s">
        <v>933</v>
      </c>
      <c r="J2020" s="1" t="s">
        <v>951</v>
      </c>
      <c r="K2020" s="1" t="s">
        <v>934</v>
      </c>
      <c r="L2020" s="1" t="s">
        <v>3385</v>
      </c>
      <c r="M2020" s="3">
        <v>46001</v>
      </c>
      <c r="N2020" s="1" t="s">
        <v>821</v>
      </c>
      <c r="O2020" s="1" t="s">
        <v>936</v>
      </c>
      <c r="P2020" s="1">
        <v>1</v>
      </c>
    </row>
    <row r="2021" spans="1:16" x14ac:dyDescent="0.25">
      <c r="A2021" s="3">
        <v>45999</v>
      </c>
      <c r="B2021" s="4">
        <v>1132</v>
      </c>
      <c r="C2021" s="5">
        <v>380</v>
      </c>
      <c r="D2021" s="1" t="s">
        <v>1074</v>
      </c>
      <c r="E2021" s="1" t="s">
        <v>1075</v>
      </c>
      <c r="F2021" s="1" t="s">
        <v>339</v>
      </c>
      <c r="G2021" s="1" t="s">
        <v>1058</v>
      </c>
      <c r="H2021" s="3">
        <v>46032</v>
      </c>
      <c r="I2021" s="1" t="s">
        <v>933</v>
      </c>
      <c r="J2021" s="1" t="s">
        <v>66</v>
      </c>
      <c r="K2021" s="1" t="s">
        <v>340</v>
      </c>
      <c r="L2021" s="1" t="s">
        <v>3381</v>
      </c>
      <c r="M2021" s="3">
        <v>46001</v>
      </c>
      <c r="N2021" s="1" t="s">
        <v>57</v>
      </c>
      <c r="O2021" s="1" t="s">
        <v>936</v>
      </c>
      <c r="P2021" s="1">
        <v>1</v>
      </c>
    </row>
    <row r="2022" spans="1:16" x14ac:dyDescent="0.25">
      <c r="A2022" s="3">
        <v>45999</v>
      </c>
      <c r="B2022" s="4">
        <v>1132</v>
      </c>
      <c r="C2022" s="5">
        <v>280</v>
      </c>
      <c r="D2022" s="1" t="s">
        <v>1074</v>
      </c>
      <c r="E2022" s="1" t="s">
        <v>1075</v>
      </c>
      <c r="F2022" s="1" t="s">
        <v>713</v>
      </c>
      <c r="G2022" s="1" t="s">
        <v>1058</v>
      </c>
      <c r="H2022" s="3">
        <v>46032</v>
      </c>
      <c r="I2022" s="1" t="s">
        <v>933</v>
      </c>
      <c r="J2022" s="1" t="s">
        <v>66</v>
      </c>
      <c r="K2022" s="1" t="s">
        <v>340</v>
      </c>
      <c r="L2022" s="1" t="s">
        <v>3381</v>
      </c>
      <c r="M2022" s="3">
        <v>46001</v>
      </c>
      <c r="N2022" s="1" t="s">
        <v>712</v>
      </c>
      <c r="O2022" s="1" t="s">
        <v>936</v>
      </c>
      <c r="P2022" s="1">
        <v>1</v>
      </c>
    </row>
    <row r="2023" spans="1:16" x14ac:dyDescent="0.25">
      <c r="A2023" s="3">
        <v>45999</v>
      </c>
      <c r="B2023" s="4">
        <v>1132</v>
      </c>
      <c r="C2023" s="5">
        <v>280</v>
      </c>
      <c r="D2023" s="1" t="s">
        <v>1074</v>
      </c>
      <c r="E2023" s="1" t="s">
        <v>1075</v>
      </c>
      <c r="F2023" s="1" t="s">
        <v>719</v>
      </c>
      <c r="G2023" s="1" t="s">
        <v>1058</v>
      </c>
      <c r="H2023" s="3">
        <v>46032</v>
      </c>
      <c r="I2023" s="1" t="s">
        <v>933</v>
      </c>
      <c r="J2023" s="1" t="s">
        <v>66</v>
      </c>
      <c r="K2023" s="1" t="s">
        <v>340</v>
      </c>
      <c r="L2023" s="1" t="s">
        <v>3381</v>
      </c>
      <c r="M2023" s="3">
        <v>46001</v>
      </c>
      <c r="N2023" s="1" t="s">
        <v>712</v>
      </c>
      <c r="O2023" s="1" t="s">
        <v>936</v>
      </c>
      <c r="P2023" s="1">
        <v>1</v>
      </c>
    </row>
    <row r="2024" spans="1:16" x14ac:dyDescent="0.25">
      <c r="A2024" s="3">
        <v>45999</v>
      </c>
      <c r="B2024" s="4">
        <v>1132</v>
      </c>
      <c r="C2024" s="5">
        <v>80</v>
      </c>
      <c r="D2024" s="1" t="s">
        <v>1074</v>
      </c>
      <c r="E2024" s="1" t="s">
        <v>1075</v>
      </c>
      <c r="F2024" s="1" t="s">
        <v>955</v>
      </c>
      <c r="G2024" s="1" t="s">
        <v>1058</v>
      </c>
      <c r="H2024" s="3">
        <v>46032</v>
      </c>
      <c r="I2024" s="1" t="s">
        <v>933</v>
      </c>
      <c r="J2024" s="1" t="s">
        <v>66</v>
      </c>
      <c r="K2024" s="1" t="s">
        <v>934</v>
      </c>
      <c r="L2024" s="1" t="s">
        <v>3386</v>
      </c>
      <c r="M2024" s="3">
        <v>46001</v>
      </c>
      <c r="N2024" s="1" t="s">
        <v>821</v>
      </c>
      <c r="O2024" s="1" t="s">
        <v>936</v>
      </c>
      <c r="P2024" s="1">
        <v>1</v>
      </c>
    </row>
    <row r="2025" spans="1:16" x14ac:dyDescent="0.25">
      <c r="A2025" s="3">
        <v>45999</v>
      </c>
      <c r="B2025" s="4">
        <v>1132</v>
      </c>
      <c r="C2025" s="5">
        <v>280</v>
      </c>
      <c r="D2025" s="1" t="s">
        <v>1074</v>
      </c>
      <c r="E2025" s="1" t="s">
        <v>1075</v>
      </c>
      <c r="F2025" s="1" t="s">
        <v>713</v>
      </c>
      <c r="G2025" s="1" t="s">
        <v>1058</v>
      </c>
      <c r="H2025" s="3">
        <v>46032</v>
      </c>
      <c r="I2025" s="1" t="s">
        <v>933</v>
      </c>
      <c r="J2025" s="1" t="s">
        <v>66</v>
      </c>
      <c r="K2025" s="1" t="s">
        <v>340</v>
      </c>
      <c r="L2025" s="1" t="s">
        <v>3381</v>
      </c>
      <c r="M2025" s="3">
        <v>46001</v>
      </c>
      <c r="N2025" s="1" t="s">
        <v>712</v>
      </c>
      <c r="O2025" s="1" t="s">
        <v>936</v>
      </c>
      <c r="P2025" s="1">
        <v>1</v>
      </c>
    </row>
    <row r="2026" spans="1:16" x14ac:dyDescent="0.25">
      <c r="A2026" s="3">
        <v>45999</v>
      </c>
      <c r="B2026" s="4">
        <v>1132</v>
      </c>
      <c r="C2026" s="5">
        <v>80</v>
      </c>
      <c r="D2026" s="1" t="s">
        <v>1074</v>
      </c>
      <c r="E2026" s="1" t="s">
        <v>1075</v>
      </c>
      <c r="F2026" s="1" t="s">
        <v>955</v>
      </c>
      <c r="G2026" s="1" t="s">
        <v>1058</v>
      </c>
      <c r="H2026" s="3">
        <v>46032</v>
      </c>
      <c r="I2026" s="1" t="s">
        <v>933</v>
      </c>
      <c r="J2026" s="1" t="s">
        <v>951</v>
      </c>
      <c r="K2026" s="1" t="s">
        <v>934</v>
      </c>
      <c r="L2026" s="1" t="s">
        <v>3387</v>
      </c>
      <c r="M2026" s="3">
        <v>46001</v>
      </c>
      <c r="N2026" s="1" t="s">
        <v>821</v>
      </c>
      <c r="O2026" s="1" t="s">
        <v>936</v>
      </c>
      <c r="P2026" s="1">
        <v>1</v>
      </c>
    </row>
    <row r="2027" spans="1:16" x14ac:dyDescent="0.25">
      <c r="A2027" s="3">
        <v>45999</v>
      </c>
      <c r="B2027" s="4">
        <v>1132</v>
      </c>
      <c r="C2027" s="5">
        <v>280</v>
      </c>
      <c r="D2027" s="1" t="s">
        <v>1074</v>
      </c>
      <c r="E2027" s="1" t="s">
        <v>1075</v>
      </c>
      <c r="F2027" s="1" t="s">
        <v>635</v>
      </c>
      <c r="G2027" s="1" t="s">
        <v>1058</v>
      </c>
      <c r="H2027" s="3">
        <v>46032</v>
      </c>
      <c r="I2027" s="1" t="s">
        <v>933</v>
      </c>
      <c r="J2027" s="1" t="s">
        <v>66</v>
      </c>
      <c r="K2027" s="1" t="s">
        <v>858</v>
      </c>
      <c r="L2027" s="1" t="s">
        <v>3381</v>
      </c>
      <c r="M2027" s="3">
        <v>46001</v>
      </c>
      <c r="N2027" s="1" t="s">
        <v>429</v>
      </c>
      <c r="O2027" s="1" t="s">
        <v>936</v>
      </c>
      <c r="P2027" s="1">
        <v>1</v>
      </c>
    </row>
    <row r="2028" spans="1:16" x14ac:dyDescent="0.25">
      <c r="A2028" s="3">
        <v>45999</v>
      </c>
      <c r="B2028" s="4">
        <v>1132</v>
      </c>
      <c r="C2028" s="5">
        <v>80</v>
      </c>
      <c r="D2028" s="1" t="s">
        <v>1074</v>
      </c>
      <c r="E2028" s="1" t="s">
        <v>1075</v>
      </c>
      <c r="F2028" s="1" t="s">
        <v>955</v>
      </c>
      <c r="G2028" s="1" t="s">
        <v>1058</v>
      </c>
      <c r="H2028" s="3">
        <v>46032</v>
      </c>
      <c r="I2028" s="1" t="s">
        <v>933</v>
      </c>
      <c r="J2028" s="1" t="s">
        <v>951</v>
      </c>
      <c r="K2028" s="1" t="s">
        <v>934</v>
      </c>
      <c r="L2028" s="1" t="s">
        <v>3388</v>
      </c>
      <c r="M2028" s="3">
        <v>46001</v>
      </c>
      <c r="N2028" s="1" t="s">
        <v>821</v>
      </c>
      <c r="O2028" s="1" t="s">
        <v>936</v>
      </c>
      <c r="P2028" s="1">
        <v>1</v>
      </c>
    </row>
    <row r="2029" spans="1:16" x14ac:dyDescent="0.25">
      <c r="A2029" s="3">
        <v>45999</v>
      </c>
      <c r="B2029" s="4">
        <v>1132</v>
      </c>
      <c r="C2029" s="5">
        <v>480</v>
      </c>
      <c r="D2029" s="1" t="s">
        <v>1074</v>
      </c>
      <c r="E2029" s="1" t="s">
        <v>1075</v>
      </c>
      <c r="F2029" s="1" t="s">
        <v>339</v>
      </c>
      <c r="G2029" s="1" t="s">
        <v>1058</v>
      </c>
      <c r="H2029" s="3">
        <v>46032</v>
      </c>
      <c r="I2029" s="1" t="s">
        <v>933</v>
      </c>
      <c r="J2029" s="1" t="s">
        <v>66</v>
      </c>
      <c r="K2029" s="1" t="s">
        <v>340</v>
      </c>
      <c r="L2029" s="1" t="s">
        <v>3381</v>
      </c>
      <c r="M2029" s="3">
        <v>46001</v>
      </c>
      <c r="N2029" s="1" t="s">
        <v>57</v>
      </c>
      <c r="O2029" s="1" t="s">
        <v>936</v>
      </c>
      <c r="P2029" s="1">
        <v>1</v>
      </c>
    </row>
    <row r="2030" spans="1:16" x14ac:dyDescent="0.25">
      <c r="A2030" s="3">
        <v>45999</v>
      </c>
      <c r="B2030" s="4">
        <v>1132</v>
      </c>
      <c r="C2030" s="5">
        <v>400</v>
      </c>
      <c r="D2030" s="1" t="s">
        <v>1074</v>
      </c>
      <c r="E2030" s="1" t="s">
        <v>1075</v>
      </c>
      <c r="F2030" s="1" t="s">
        <v>736</v>
      </c>
      <c r="G2030" s="1" t="s">
        <v>1058</v>
      </c>
      <c r="H2030" s="3">
        <v>46032</v>
      </c>
      <c r="I2030" s="1" t="s">
        <v>933</v>
      </c>
      <c r="J2030" s="1" t="s">
        <v>66</v>
      </c>
      <c r="K2030" s="1" t="s">
        <v>308</v>
      </c>
      <c r="L2030" s="1" t="s">
        <v>3381</v>
      </c>
      <c r="M2030" s="3">
        <v>46001</v>
      </c>
      <c r="N2030" s="1" t="s">
        <v>57</v>
      </c>
      <c r="O2030" s="1" t="s">
        <v>936</v>
      </c>
      <c r="P2030" s="1">
        <v>1</v>
      </c>
    </row>
    <row r="2031" spans="1:16" x14ac:dyDescent="0.25">
      <c r="A2031" s="3">
        <v>45999</v>
      </c>
      <c r="B2031" s="4">
        <v>1132</v>
      </c>
      <c r="C2031" s="5">
        <v>80</v>
      </c>
      <c r="D2031" s="1" t="s">
        <v>1074</v>
      </c>
      <c r="E2031" s="1" t="s">
        <v>1075</v>
      </c>
      <c r="F2031" s="1" t="s">
        <v>955</v>
      </c>
      <c r="G2031" s="1" t="s">
        <v>1058</v>
      </c>
      <c r="H2031" s="3">
        <v>46032</v>
      </c>
      <c r="I2031" s="1" t="s">
        <v>933</v>
      </c>
      <c r="J2031" s="1" t="s">
        <v>951</v>
      </c>
      <c r="K2031" s="1" t="s">
        <v>934</v>
      </c>
      <c r="L2031" s="1" t="s">
        <v>3389</v>
      </c>
      <c r="M2031" s="3">
        <v>46001</v>
      </c>
      <c r="N2031" s="1" t="s">
        <v>821</v>
      </c>
      <c r="O2031" s="1" t="s">
        <v>936</v>
      </c>
      <c r="P2031" s="1">
        <v>1</v>
      </c>
    </row>
    <row r="2032" spans="1:16" x14ac:dyDescent="0.25">
      <c r="A2032" s="3">
        <v>45999</v>
      </c>
      <c r="B2032" s="4">
        <v>1132</v>
      </c>
      <c r="C2032" s="5">
        <v>450</v>
      </c>
      <c r="D2032" s="1" t="s">
        <v>1074</v>
      </c>
      <c r="E2032" s="1" t="s">
        <v>1075</v>
      </c>
      <c r="F2032" s="1" t="s">
        <v>909</v>
      </c>
      <c r="G2032" s="1" t="s">
        <v>1058</v>
      </c>
      <c r="H2032" s="3">
        <v>46032</v>
      </c>
      <c r="I2032" s="1" t="s">
        <v>933</v>
      </c>
      <c r="J2032" s="1" t="s">
        <v>66</v>
      </c>
      <c r="K2032" s="1" t="s">
        <v>910</v>
      </c>
      <c r="L2032" s="1" t="s">
        <v>3381</v>
      </c>
      <c r="M2032" s="3">
        <v>46001</v>
      </c>
      <c r="N2032" s="1" t="s">
        <v>57</v>
      </c>
      <c r="O2032" s="1" t="s">
        <v>936</v>
      </c>
      <c r="P2032" s="1">
        <v>1</v>
      </c>
    </row>
    <row r="2033" spans="1:16" x14ac:dyDescent="0.25">
      <c r="A2033" s="3">
        <v>45999</v>
      </c>
      <c r="B2033" s="4">
        <v>1132</v>
      </c>
      <c r="C2033" s="5">
        <v>350</v>
      </c>
      <c r="D2033" s="1" t="s">
        <v>1074</v>
      </c>
      <c r="E2033" s="1" t="s">
        <v>1075</v>
      </c>
      <c r="F2033" s="1" t="s">
        <v>727</v>
      </c>
      <c r="G2033" s="1" t="s">
        <v>1058</v>
      </c>
      <c r="H2033" s="3">
        <v>46032</v>
      </c>
      <c r="I2033" s="1" t="s">
        <v>933</v>
      </c>
      <c r="J2033" s="1" t="s">
        <v>66</v>
      </c>
      <c r="K2033" s="1" t="s">
        <v>308</v>
      </c>
      <c r="L2033" s="1" t="s">
        <v>3381</v>
      </c>
      <c r="M2033" s="3">
        <v>46001</v>
      </c>
      <c r="N2033" s="1" t="s">
        <v>57</v>
      </c>
      <c r="O2033" s="1" t="s">
        <v>936</v>
      </c>
      <c r="P2033" s="1">
        <v>1</v>
      </c>
    </row>
    <row r="2034" spans="1:16" x14ac:dyDescent="0.25">
      <c r="A2034" s="3">
        <v>45999</v>
      </c>
      <c r="B2034" s="4">
        <v>1132</v>
      </c>
      <c r="C2034" s="5">
        <v>230</v>
      </c>
      <c r="D2034" s="1" t="s">
        <v>1074</v>
      </c>
      <c r="E2034" s="1" t="s">
        <v>1075</v>
      </c>
      <c r="F2034" s="1" t="s">
        <v>775</v>
      </c>
      <c r="G2034" s="1" t="s">
        <v>1058</v>
      </c>
      <c r="H2034" s="3">
        <v>46032</v>
      </c>
      <c r="I2034" s="1" t="s">
        <v>933</v>
      </c>
      <c r="J2034" s="1" t="s">
        <v>66</v>
      </c>
      <c r="K2034" s="1" t="s">
        <v>340</v>
      </c>
      <c r="L2034" s="1" t="s">
        <v>3381</v>
      </c>
      <c r="M2034" s="3">
        <v>46001</v>
      </c>
      <c r="N2034" s="1" t="s">
        <v>580</v>
      </c>
      <c r="O2034" s="1" t="s">
        <v>936</v>
      </c>
      <c r="P2034" s="1">
        <v>1</v>
      </c>
    </row>
    <row r="2035" spans="1:16" x14ac:dyDescent="0.25">
      <c r="A2035" s="3">
        <v>45999</v>
      </c>
      <c r="B2035" s="4">
        <v>1132</v>
      </c>
      <c r="C2035" s="5">
        <v>500</v>
      </c>
      <c r="D2035" s="1" t="s">
        <v>1074</v>
      </c>
      <c r="E2035" s="1" t="s">
        <v>1075</v>
      </c>
      <c r="F2035" s="1" t="s">
        <v>650</v>
      </c>
      <c r="G2035" s="1" t="s">
        <v>1058</v>
      </c>
      <c r="H2035" s="3">
        <v>46032</v>
      </c>
      <c r="I2035" s="1" t="s">
        <v>933</v>
      </c>
      <c r="J2035" s="1" t="s">
        <v>66</v>
      </c>
      <c r="K2035" s="1" t="s">
        <v>340</v>
      </c>
      <c r="L2035" s="1" t="s">
        <v>3381</v>
      </c>
      <c r="M2035" s="3">
        <v>46001</v>
      </c>
      <c r="N2035" s="1" t="s">
        <v>57</v>
      </c>
      <c r="O2035" s="1" t="s">
        <v>936</v>
      </c>
      <c r="P2035" s="1">
        <v>1</v>
      </c>
    </row>
    <row r="2036" spans="1:16" x14ac:dyDescent="0.25">
      <c r="A2036" s="3">
        <v>45999</v>
      </c>
      <c r="B2036" s="4">
        <v>1132</v>
      </c>
      <c r="C2036" s="5">
        <v>280</v>
      </c>
      <c r="D2036" s="1" t="s">
        <v>1074</v>
      </c>
      <c r="E2036" s="1" t="s">
        <v>1075</v>
      </c>
      <c r="F2036" s="1" t="s">
        <v>721</v>
      </c>
      <c r="G2036" s="1" t="s">
        <v>1058</v>
      </c>
      <c r="H2036" s="3">
        <v>46032</v>
      </c>
      <c r="I2036" s="1" t="s">
        <v>933</v>
      </c>
      <c r="J2036" s="1" t="s">
        <v>66</v>
      </c>
      <c r="K2036" s="1" t="s">
        <v>340</v>
      </c>
      <c r="L2036" s="1" t="s">
        <v>3381</v>
      </c>
      <c r="M2036" s="3">
        <v>46001</v>
      </c>
      <c r="N2036" s="1" t="s">
        <v>712</v>
      </c>
      <c r="O2036" s="1" t="s">
        <v>936</v>
      </c>
      <c r="P2036" s="1">
        <v>1</v>
      </c>
    </row>
    <row r="2037" spans="1:16" x14ac:dyDescent="0.25">
      <c r="A2037" s="3">
        <v>45999</v>
      </c>
      <c r="B2037" s="4">
        <v>5531</v>
      </c>
      <c r="C2037" s="5">
        <v>4446</v>
      </c>
      <c r="D2037" s="1" t="s">
        <v>2048</v>
      </c>
      <c r="E2037" s="1" t="s">
        <v>2049</v>
      </c>
      <c r="F2037" s="1" t="s">
        <v>659</v>
      </c>
      <c r="G2037" s="1" t="s">
        <v>932</v>
      </c>
      <c r="H2037" s="3">
        <v>46020</v>
      </c>
      <c r="I2037" s="1" t="s">
        <v>933</v>
      </c>
      <c r="J2037" s="1" t="s">
        <v>951</v>
      </c>
      <c r="K2037" s="1" t="s">
        <v>659</v>
      </c>
      <c r="L2037" s="1" t="s">
        <v>3390</v>
      </c>
      <c r="M2037" s="3">
        <v>46003</v>
      </c>
      <c r="N2037" s="1"/>
      <c r="O2037" s="1" t="s">
        <v>936</v>
      </c>
      <c r="P2037" s="1">
        <v>1</v>
      </c>
    </row>
    <row r="2038" spans="1:16" x14ac:dyDescent="0.25">
      <c r="A2038" s="3">
        <v>45999</v>
      </c>
      <c r="B2038" s="4">
        <v>21773</v>
      </c>
      <c r="C2038" s="5">
        <v>13800</v>
      </c>
      <c r="D2038" s="1" t="s">
        <v>2345</v>
      </c>
      <c r="E2038" s="1" t="s">
        <v>2346</v>
      </c>
      <c r="F2038" s="1" t="s">
        <v>871</v>
      </c>
      <c r="G2038" s="1" t="s">
        <v>932</v>
      </c>
      <c r="H2038" s="3">
        <v>46029</v>
      </c>
      <c r="I2038" s="1" t="s">
        <v>933</v>
      </c>
      <c r="J2038" s="1" t="s">
        <v>66</v>
      </c>
      <c r="K2038" s="1" t="s">
        <v>659</v>
      </c>
      <c r="L2038" s="1" t="s">
        <v>3391</v>
      </c>
      <c r="M2038" s="3">
        <v>46006</v>
      </c>
      <c r="N2038" s="1" t="s">
        <v>767</v>
      </c>
      <c r="O2038" s="1" t="s">
        <v>936</v>
      </c>
      <c r="P2038" s="1" t="s">
        <v>937</v>
      </c>
    </row>
    <row r="2039" spans="1:16" x14ac:dyDescent="0.25">
      <c r="A2039" s="3">
        <v>45999</v>
      </c>
      <c r="B2039" s="4">
        <v>4778</v>
      </c>
      <c r="C2039" s="5">
        <v>624.29999999999995</v>
      </c>
      <c r="D2039" s="1" t="s">
        <v>938</v>
      </c>
      <c r="E2039" s="1" t="s">
        <v>939</v>
      </c>
      <c r="F2039" s="1" t="s">
        <v>268</v>
      </c>
      <c r="G2039" s="1" t="s">
        <v>940</v>
      </c>
      <c r="H2039" s="3">
        <v>46030</v>
      </c>
      <c r="I2039" s="1" t="s">
        <v>933</v>
      </c>
      <c r="J2039" s="1" t="s">
        <v>66</v>
      </c>
      <c r="K2039" s="1" t="s">
        <v>340</v>
      </c>
      <c r="L2039" s="1" t="s">
        <v>3901</v>
      </c>
      <c r="M2039" s="3">
        <v>45995</v>
      </c>
      <c r="N2039" s="1" t="s">
        <v>264</v>
      </c>
      <c r="O2039" s="1" t="s">
        <v>936</v>
      </c>
      <c r="P2039" s="1">
        <v>1</v>
      </c>
    </row>
    <row r="2040" spans="1:16" x14ac:dyDescent="0.25">
      <c r="A2040" s="3">
        <v>45999</v>
      </c>
      <c r="B2040" s="1">
        <v>471</v>
      </c>
      <c r="C2040" s="5">
        <v>380</v>
      </c>
      <c r="D2040" s="1" t="s">
        <v>1953</v>
      </c>
      <c r="E2040" s="1" t="s">
        <v>1954</v>
      </c>
      <c r="F2040" s="1" t="s">
        <v>268</v>
      </c>
      <c r="G2040" s="1" t="s">
        <v>940</v>
      </c>
      <c r="H2040" s="3">
        <v>46021</v>
      </c>
      <c r="I2040" s="1" t="s">
        <v>933</v>
      </c>
      <c r="J2040" s="1" t="s">
        <v>66</v>
      </c>
      <c r="K2040" s="1" t="s">
        <v>340</v>
      </c>
      <c r="L2040" s="1" t="s">
        <v>3921</v>
      </c>
      <c r="M2040" s="3">
        <v>45995</v>
      </c>
      <c r="N2040" s="1" t="s">
        <v>264</v>
      </c>
      <c r="O2040" s="1" t="s">
        <v>936</v>
      </c>
      <c r="P2040" s="1">
        <v>1</v>
      </c>
    </row>
    <row r="2041" spans="1:16" x14ac:dyDescent="0.25">
      <c r="A2041" s="3">
        <v>45999</v>
      </c>
      <c r="B2041" s="1">
        <v>472</v>
      </c>
      <c r="C2041" s="5">
        <v>320</v>
      </c>
      <c r="D2041" s="1" t="s">
        <v>1953</v>
      </c>
      <c r="E2041" s="1" t="s">
        <v>1954</v>
      </c>
      <c r="F2041" s="1" t="s">
        <v>289</v>
      </c>
      <c r="G2041" s="1" t="s">
        <v>940</v>
      </c>
      <c r="H2041" s="3">
        <v>46021</v>
      </c>
      <c r="I2041" s="1" t="s">
        <v>933</v>
      </c>
      <c r="J2041" s="1" t="s">
        <v>66</v>
      </c>
      <c r="K2041" s="1" t="s">
        <v>340</v>
      </c>
      <c r="L2041" s="1" t="s">
        <v>5088</v>
      </c>
      <c r="M2041" s="3">
        <v>46001</v>
      </c>
      <c r="N2041" s="1" t="s">
        <v>264</v>
      </c>
      <c r="O2041" s="1" t="s">
        <v>936</v>
      </c>
      <c r="P2041" s="1">
        <v>1</v>
      </c>
    </row>
    <row r="2042" spans="1:16" x14ac:dyDescent="0.25">
      <c r="A2042" s="3">
        <v>46000</v>
      </c>
      <c r="B2042" s="4">
        <v>72125</v>
      </c>
      <c r="C2042" s="5">
        <v>213.3</v>
      </c>
      <c r="D2042" s="1" t="s">
        <v>1253</v>
      </c>
      <c r="E2042" s="1" t="s">
        <v>1487</v>
      </c>
      <c r="F2042" s="1" t="s">
        <v>837</v>
      </c>
      <c r="G2042" s="1" t="s">
        <v>940</v>
      </c>
      <c r="H2042" s="3">
        <v>46030</v>
      </c>
      <c r="I2042" s="1" t="s">
        <v>933</v>
      </c>
      <c r="J2042" s="1" t="s">
        <v>66</v>
      </c>
      <c r="K2042" s="1" t="s">
        <v>340</v>
      </c>
      <c r="L2042" s="1" t="s">
        <v>3392</v>
      </c>
      <c r="M2042" s="3">
        <v>45995</v>
      </c>
      <c r="N2042" s="1" t="s">
        <v>50</v>
      </c>
      <c r="O2042" s="1" t="s">
        <v>936</v>
      </c>
      <c r="P2042" s="1">
        <v>1</v>
      </c>
    </row>
    <row r="2043" spans="1:16" x14ac:dyDescent="0.25">
      <c r="A2043" s="3">
        <v>46000</v>
      </c>
      <c r="B2043" s="4">
        <v>334808</v>
      </c>
      <c r="C2043" s="5">
        <v>1355.93</v>
      </c>
      <c r="D2043" s="1" t="s">
        <v>3274</v>
      </c>
      <c r="E2043" s="1" t="s">
        <v>3275</v>
      </c>
      <c r="F2043" s="1" t="s">
        <v>430</v>
      </c>
      <c r="G2043" s="1" t="s">
        <v>1260</v>
      </c>
      <c r="H2043" s="3">
        <v>46020</v>
      </c>
      <c r="I2043" s="1" t="s">
        <v>933</v>
      </c>
      <c r="J2043" s="1" t="s">
        <v>66</v>
      </c>
      <c r="K2043" s="1" t="s">
        <v>1654</v>
      </c>
      <c r="L2043" s="1" t="s">
        <v>3393</v>
      </c>
      <c r="M2043" s="3">
        <v>45995</v>
      </c>
      <c r="N2043" s="1"/>
      <c r="O2043" s="1"/>
      <c r="P2043" s="1"/>
    </row>
    <row r="2044" spans="1:16" x14ac:dyDescent="0.25">
      <c r="A2044" s="3">
        <v>46000</v>
      </c>
      <c r="B2044" s="1">
        <v>14</v>
      </c>
      <c r="C2044" s="5">
        <v>5500</v>
      </c>
      <c r="D2044" s="1" t="s">
        <v>2848</v>
      </c>
      <c r="E2044" s="1" t="s">
        <v>2849</v>
      </c>
      <c r="F2044" s="1" t="s">
        <v>243</v>
      </c>
      <c r="G2044" s="1" t="s">
        <v>1029</v>
      </c>
      <c r="H2044" s="3">
        <v>46017</v>
      </c>
      <c r="I2044" s="1" t="s">
        <v>933</v>
      </c>
      <c r="J2044" s="1" t="s">
        <v>66</v>
      </c>
      <c r="K2044" s="1" t="s">
        <v>52</v>
      </c>
      <c r="L2044" s="1" t="s">
        <v>3394</v>
      </c>
      <c r="M2044" s="3">
        <v>46001</v>
      </c>
      <c r="N2044" s="1" t="s">
        <v>93</v>
      </c>
      <c r="O2044" s="1" t="s">
        <v>1031</v>
      </c>
      <c r="P2044" s="1">
        <v>1</v>
      </c>
    </row>
    <row r="2045" spans="1:16" x14ac:dyDescent="0.25">
      <c r="A2045" s="3">
        <v>46000</v>
      </c>
      <c r="B2045" s="4">
        <v>1553</v>
      </c>
      <c r="C2045" s="5">
        <v>4479.8999999999996</v>
      </c>
      <c r="D2045" s="1" t="s">
        <v>1901</v>
      </c>
      <c r="E2045" s="1" t="s">
        <v>1902</v>
      </c>
      <c r="F2045" s="1" t="s">
        <v>955</v>
      </c>
      <c r="G2045" s="1" t="s">
        <v>950</v>
      </c>
      <c r="H2045" s="3">
        <v>46031</v>
      </c>
      <c r="I2045" s="1" t="s">
        <v>933</v>
      </c>
      <c r="J2045" s="1" t="s">
        <v>951</v>
      </c>
      <c r="K2045" s="1" t="s">
        <v>20</v>
      </c>
      <c r="L2045" s="1" t="s">
        <v>3325</v>
      </c>
      <c r="M2045" s="3">
        <v>46001</v>
      </c>
      <c r="N2045" s="1" t="s">
        <v>821</v>
      </c>
      <c r="O2045" s="1" t="s">
        <v>936</v>
      </c>
      <c r="P2045" s="1">
        <v>1</v>
      </c>
    </row>
    <row r="2046" spans="1:16" x14ac:dyDescent="0.25">
      <c r="A2046" s="3">
        <v>46000</v>
      </c>
      <c r="B2046" s="4">
        <v>9668</v>
      </c>
      <c r="C2046" s="5">
        <v>308.55</v>
      </c>
      <c r="D2046" s="1" t="s">
        <v>1739</v>
      </c>
      <c r="E2046" s="1" t="s">
        <v>3395</v>
      </c>
      <c r="F2046" s="1" t="s">
        <v>121</v>
      </c>
      <c r="G2046" s="1" t="s">
        <v>2508</v>
      </c>
      <c r="H2046" s="3">
        <v>46014</v>
      </c>
      <c r="I2046" s="1" t="s">
        <v>933</v>
      </c>
      <c r="J2046" s="1" t="s">
        <v>66</v>
      </c>
      <c r="K2046" s="1" t="s">
        <v>52</v>
      </c>
      <c r="L2046" s="1" t="s">
        <v>3396</v>
      </c>
      <c r="M2046" s="3">
        <v>46001</v>
      </c>
      <c r="N2046" s="1" t="s">
        <v>50</v>
      </c>
      <c r="O2046" s="1" t="s">
        <v>936</v>
      </c>
      <c r="P2046" s="1">
        <v>1</v>
      </c>
    </row>
    <row r="2047" spans="1:16" x14ac:dyDescent="0.25">
      <c r="A2047" s="3">
        <v>46000</v>
      </c>
      <c r="B2047" s="4">
        <v>1087</v>
      </c>
      <c r="C2047" s="5">
        <v>4501.79</v>
      </c>
      <c r="D2047" s="1" t="s">
        <v>3037</v>
      </c>
      <c r="E2047" s="1" t="s">
        <v>3038</v>
      </c>
      <c r="F2047" s="1" t="s">
        <v>717</v>
      </c>
      <c r="G2047" s="1" t="s">
        <v>998</v>
      </c>
      <c r="H2047" s="3">
        <v>46021</v>
      </c>
      <c r="I2047" s="1" t="s">
        <v>933</v>
      </c>
      <c r="J2047" s="1" t="s">
        <v>66</v>
      </c>
      <c r="K2047" s="1" t="s">
        <v>340</v>
      </c>
      <c r="L2047" s="1" t="s">
        <v>3397</v>
      </c>
      <c r="M2047" s="3">
        <v>46001</v>
      </c>
      <c r="N2047" s="1" t="s">
        <v>712</v>
      </c>
      <c r="O2047" s="1" t="s">
        <v>998</v>
      </c>
      <c r="P2047" s="1">
        <v>1</v>
      </c>
    </row>
    <row r="2048" spans="1:16" x14ac:dyDescent="0.25">
      <c r="A2048" s="3">
        <v>46000</v>
      </c>
      <c r="B2048" s="1">
        <v>282</v>
      </c>
      <c r="C2048" s="5">
        <v>3000</v>
      </c>
      <c r="D2048" s="1" t="s">
        <v>2232</v>
      </c>
      <c r="E2048" s="1" t="s">
        <v>2233</v>
      </c>
      <c r="F2048" s="1" t="s">
        <v>457</v>
      </c>
      <c r="G2048" s="1" t="s">
        <v>932</v>
      </c>
      <c r="H2048" s="3">
        <v>46021</v>
      </c>
      <c r="I2048" s="1" t="s">
        <v>933</v>
      </c>
      <c r="J2048" s="1" t="s">
        <v>66</v>
      </c>
      <c r="K2048" s="1" t="s">
        <v>308</v>
      </c>
      <c r="L2048" s="1" t="s">
        <v>3398</v>
      </c>
      <c r="M2048" s="3">
        <v>46001</v>
      </c>
      <c r="N2048" s="1" t="s">
        <v>358</v>
      </c>
      <c r="O2048" s="1" t="s">
        <v>936</v>
      </c>
      <c r="P2048" s="1">
        <v>1</v>
      </c>
    </row>
    <row r="2049" spans="1:16" x14ac:dyDescent="0.25">
      <c r="A2049" s="3">
        <v>46000</v>
      </c>
      <c r="B2049" s="1">
        <v>368</v>
      </c>
      <c r="C2049" s="5">
        <v>5171.76</v>
      </c>
      <c r="D2049" s="1" t="s">
        <v>1810</v>
      </c>
      <c r="E2049" s="1" t="s">
        <v>1811</v>
      </c>
      <c r="F2049" s="1" t="s">
        <v>955</v>
      </c>
      <c r="G2049" s="1" t="s">
        <v>940</v>
      </c>
      <c r="H2049" s="3">
        <v>46024</v>
      </c>
      <c r="I2049" s="1" t="s">
        <v>933</v>
      </c>
      <c r="J2049" s="1" t="s">
        <v>66</v>
      </c>
      <c r="K2049" s="1" t="s">
        <v>20</v>
      </c>
      <c r="L2049" s="1" t="s">
        <v>3399</v>
      </c>
      <c r="M2049" s="3">
        <v>46003</v>
      </c>
      <c r="N2049" s="1" t="s">
        <v>821</v>
      </c>
      <c r="O2049" s="1" t="s">
        <v>936</v>
      </c>
      <c r="P2049" s="1">
        <v>1</v>
      </c>
    </row>
    <row r="2050" spans="1:16" x14ac:dyDescent="0.25">
      <c r="A2050" s="3">
        <v>46000</v>
      </c>
      <c r="B2050" s="4">
        <v>12410</v>
      </c>
      <c r="C2050" s="5">
        <v>1161.06</v>
      </c>
      <c r="D2050" s="1" t="s">
        <v>1801</v>
      </c>
      <c r="E2050" s="1" t="s">
        <v>1802</v>
      </c>
      <c r="F2050" s="1" t="s">
        <v>166</v>
      </c>
      <c r="G2050" s="1" t="s">
        <v>998</v>
      </c>
      <c r="H2050" s="3">
        <v>46021</v>
      </c>
      <c r="I2050" s="1" t="s">
        <v>933</v>
      </c>
      <c r="J2050" s="1" t="s">
        <v>66</v>
      </c>
      <c r="K2050" s="1" t="s">
        <v>52</v>
      </c>
      <c r="L2050" s="1" t="s">
        <v>3277</v>
      </c>
      <c r="M2050" s="3">
        <v>46003</v>
      </c>
      <c r="N2050" s="1" t="s">
        <v>170</v>
      </c>
      <c r="O2050" s="1" t="s">
        <v>998</v>
      </c>
      <c r="P2050" s="1">
        <v>1</v>
      </c>
    </row>
    <row r="2051" spans="1:16" x14ac:dyDescent="0.25">
      <c r="A2051" s="3">
        <v>46000</v>
      </c>
      <c r="B2051" s="1">
        <v>505</v>
      </c>
      <c r="C2051" s="5">
        <v>220</v>
      </c>
      <c r="D2051" s="1" t="s">
        <v>1953</v>
      </c>
      <c r="E2051" s="1" t="s">
        <v>1954</v>
      </c>
      <c r="F2051" s="1" t="s">
        <v>955</v>
      </c>
      <c r="G2051" s="1" t="s">
        <v>940</v>
      </c>
      <c r="H2051" s="3">
        <v>46031</v>
      </c>
      <c r="I2051" s="1" t="s">
        <v>933</v>
      </c>
      <c r="J2051" s="1" t="s">
        <v>66</v>
      </c>
      <c r="K2051" s="1" t="s">
        <v>934</v>
      </c>
      <c r="L2051" s="1" t="s">
        <v>3400</v>
      </c>
      <c r="M2051" s="3">
        <v>46010</v>
      </c>
      <c r="N2051" s="1"/>
      <c r="O2051" s="1"/>
      <c r="P2051" s="1"/>
    </row>
    <row r="2052" spans="1:16" x14ac:dyDescent="0.25">
      <c r="A2052" s="3">
        <v>46000</v>
      </c>
      <c r="B2052" s="1">
        <v>505</v>
      </c>
      <c r="C2052" s="5">
        <v>340</v>
      </c>
      <c r="D2052" s="1" t="s">
        <v>1953</v>
      </c>
      <c r="E2052" s="1" t="s">
        <v>1954</v>
      </c>
      <c r="F2052" s="1" t="s">
        <v>745</v>
      </c>
      <c r="G2052" s="1" t="s">
        <v>940</v>
      </c>
      <c r="H2052" s="3">
        <v>46031</v>
      </c>
      <c r="I2052" s="1" t="s">
        <v>933</v>
      </c>
      <c r="J2052" s="1" t="s">
        <v>66</v>
      </c>
      <c r="K2052" s="1" t="s">
        <v>340</v>
      </c>
      <c r="L2052" s="1" t="s">
        <v>3401</v>
      </c>
      <c r="M2052" s="3">
        <v>46010</v>
      </c>
      <c r="N2052" s="1" t="s">
        <v>50</v>
      </c>
      <c r="O2052" s="1" t="s">
        <v>936</v>
      </c>
      <c r="P2052" s="1">
        <v>1</v>
      </c>
    </row>
    <row r="2053" spans="1:16" x14ac:dyDescent="0.25">
      <c r="A2053" s="3">
        <v>46000</v>
      </c>
      <c r="B2053" s="1">
        <v>505</v>
      </c>
      <c r="C2053" s="5">
        <v>585</v>
      </c>
      <c r="D2053" s="1" t="s">
        <v>1953</v>
      </c>
      <c r="E2053" s="1" t="s">
        <v>1954</v>
      </c>
      <c r="F2053" s="1" t="s">
        <v>110</v>
      </c>
      <c r="G2053" s="1" t="s">
        <v>940</v>
      </c>
      <c r="H2053" s="3">
        <v>46031</v>
      </c>
      <c r="I2053" s="1" t="s">
        <v>933</v>
      </c>
      <c r="J2053" s="1" t="s">
        <v>66</v>
      </c>
      <c r="K2053" s="1" t="s">
        <v>340</v>
      </c>
      <c r="L2053" s="1" t="s">
        <v>3402</v>
      </c>
      <c r="M2053" s="3">
        <v>46010</v>
      </c>
      <c r="N2053" s="1" t="s">
        <v>115</v>
      </c>
      <c r="O2053" s="1" t="s">
        <v>936</v>
      </c>
      <c r="P2053" s="1">
        <v>1</v>
      </c>
    </row>
    <row r="2054" spans="1:16" x14ac:dyDescent="0.25">
      <c r="A2054" s="3">
        <v>46000</v>
      </c>
      <c r="B2054" s="1">
        <v>505</v>
      </c>
      <c r="C2054" s="5">
        <v>1140</v>
      </c>
      <c r="D2054" s="1" t="s">
        <v>1953</v>
      </c>
      <c r="E2054" s="1" t="s">
        <v>1954</v>
      </c>
      <c r="F2054" s="1" t="s">
        <v>639</v>
      </c>
      <c r="G2054" s="1" t="s">
        <v>940</v>
      </c>
      <c r="H2054" s="3">
        <v>46031</v>
      </c>
      <c r="I2054" s="1" t="s">
        <v>933</v>
      </c>
      <c r="J2054" s="1" t="s">
        <v>66</v>
      </c>
      <c r="K2054" s="1" t="s">
        <v>340</v>
      </c>
      <c r="L2054" s="1" t="s">
        <v>3403</v>
      </c>
      <c r="M2054" s="3">
        <v>46010</v>
      </c>
      <c r="N2054" s="1" t="s">
        <v>98</v>
      </c>
      <c r="O2054" s="1" t="s">
        <v>936</v>
      </c>
      <c r="P2054" s="1">
        <v>1</v>
      </c>
    </row>
    <row r="2055" spans="1:16" x14ac:dyDescent="0.25">
      <c r="A2055" s="3">
        <v>46000</v>
      </c>
      <c r="B2055" s="1">
        <v>505</v>
      </c>
      <c r="C2055" s="5">
        <v>265</v>
      </c>
      <c r="D2055" s="1" t="s">
        <v>1953</v>
      </c>
      <c r="E2055" s="1" t="s">
        <v>1954</v>
      </c>
      <c r="F2055" s="1" t="s">
        <v>753</v>
      </c>
      <c r="G2055" s="1" t="s">
        <v>940</v>
      </c>
      <c r="H2055" s="3">
        <v>46031</v>
      </c>
      <c r="I2055" s="1" t="s">
        <v>933</v>
      </c>
      <c r="J2055" s="1" t="s">
        <v>66</v>
      </c>
      <c r="K2055" s="1" t="s">
        <v>340</v>
      </c>
      <c r="L2055" s="1" t="s">
        <v>3404</v>
      </c>
      <c r="M2055" s="3">
        <v>46010</v>
      </c>
      <c r="N2055" s="1" t="s">
        <v>57</v>
      </c>
      <c r="O2055" s="1" t="s">
        <v>936</v>
      </c>
      <c r="P2055" s="1">
        <v>1</v>
      </c>
    </row>
    <row r="2056" spans="1:16" x14ac:dyDescent="0.25">
      <c r="A2056" s="3">
        <v>46000</v>
      </c>
      <c r="B2056" s="1">
        <v>505</v>
      </c>
      <c r="C2056" s="5">
        <v>330</v>
      </c>
      <c r="D2056" s="1" t="s">
        <v>1953</v>
      </c>
      <c r="E2056" s="1" t="s">
        <v>1954</v>
      </c>
      <c r="F2056" s="1" t="s">
        <v>623</v>
      </c>
      <c r="G2056" s="1" t="s">
        <v>940</v>
      </c>
      <c r="H2056" s="3">
        <v>46031</v>
      </c>
      <c r="I2056" s="1" t="s">
        <v>933</v>
      </c>
      <c r="J2056" s="1" t="s">
        <v>66</v>
      </c>
      <c r="K2056" s="1" t="s">
        <v>340</v>
      </c>
      <c r="L2056" s="1" t="s">
        <v>3405</v>
      </c>
      <c r="M2056" s="3">
        <v>46010</v>
      </c>
      <c r="N2056" s="1" t="s">
        <v>383</v>
      </c>
      <c r="O2056" s="1" t="s">
        <v>936</v>
      </c>
      <c r="P2056" s="1">
        <v>1</v>
      </c>
    </row>
    <row r="2057" spans="1:16" x14ac:dyDescent="0.25">
      <c r="A2057" s="3">
        <v>46000</v>
      </c>
      <c r="B2057" s="1">
        <v>505</v>
      </c>
      <c r="C2057" s="5">
        <v>690</v>
      </c>
      <c r="D2057" s="1" t="s">
        <v>1953</v>
      </c>
      <c r="E2057" s="1" t="s">
        <v>1954</v>
      </c>
      <c r="F2057" s="1" t="s">
        <v>955</v>
      </c>
      <c r="G2057" s="1" t="s">
        <v>940</v>
      </c>
      <c r="H2057" s="3">
        <v>46031</v>
      </c>
      <c r="I2057" s="1" t="s">
        <v>933</v>
      </c>
      <c r="J2057" s="1" t="s">
        <v>951</v>
      </c>
      <c r="K2057" s="1" t="s">
        <v>640</v>
      </c>
      <c r="L2057" s="1" t="s">
        <v>3406</v>
      </c>
      <c r="M2057" s="3">
        <v>46010</v>
      </c>
      <c r="N2057" s="1" t="s">
        <v>821</v>
      </c>
      <c r="O2057" s="1" t="s">
        <v>936</v>
      </c>
      <c r="P2057" s="1">
        <v>1</v>
      </c>
    </row>
    <row r="2058" spans="1:16" x14ac:dyDescent="0.25">
      <c r="A2058" s="3">
        <v>46001</v>
      </c>
      <c r="B2058" s="4">
        <v>72148</v>
      </c>
      <c r="C2058" s="5">
        <v>549.91999999999996</v>
      </c>
      <c r="D2058" s="1" t="s">
        <v>1253</v>
      </c>
      <c r="E2058" s="1" t="s">
        <v>1487</v>
      </c>
      <c r="F2058" s="1" t="s">
        <v>837</v>
      </c>
      <c r="G2058" s="1" t="s">
        <v>1131</v>
      </c>
      <c r="H2058" s="3">
        <v>46031</v>
      </c>
      <c r="I2058" s="1" t="s">
        <v>933</v>
      </c>
      <c r="J2058" s="1" t="s">
        <v>66</v>
      </c>
      <c r="K2058" s="1" t="s">
        <v>817</v>
      </c>
      <c r="L2058" s="1" t="s">
        <v>3407</v>
      </c>
      <c r="M2058" s="3">
        <v>46001</v>
      </c>
      <c r="N2058" s="1" t="s">
        <v>50</v>
      </c>
      <c r="O2058" s="1" t="s">
        <v>936</v>
      </c>
      <c r="P2058" s="1">
        <v>1</v>
      </c>
    </row>
    <row r="2059" spans="1:16" x14ac:dyDescent="0.25">
      <c r="A2059" s="3">
        <v>46001</v>
      </c>
      <c r="B2059" s="4">
        <v>4788</v>
      </c>
      <c r="C2059" s="5">
        <v>648</v>
      </c>
      <c r="D2059" s="1" t="s">
        <v>938</v>
      </c>
      <c r="E2059" s="1" t="s">
        <v>939</v>
      </c>
      <c r="F2059" s="1" t="s">
        <v>955</v>
      </c>
      <c r="G2059" s="1" t="s">
        <v>940</v>
      </c>
      <c r="H2059" s="3">
        <v>46032</v>
      </c>
      <c r="I2059" s="1" t="s">
        <v>933</v>
      </c>
      <c r="J2059" s="1" t="s">
        <v>951</v>
      </c>
      <c r="K2059" s="1" t="s">
        <v>20</v>
      </c>
      <c r="L2059" s="1" t="s">
        <v>3408</v>
      </c>
      <c r="M2059" s="3">
        <v>46001</v>
      </c>
      <c r="N2059" s="1" t="s">
        <v>821</v>
      </c>
      <c r="O2059" s="1" t="s">
        <v>936</v>
      </c>
      <c r="P2059" s="1">
        <v>1</v>
      </c>
    </row>
    <row r="2060" spans="1:16" x14ac:dyDescent="0.25">
      <c r="A2060" s="3">
        <v>46001</v>
      </c>
      <c r="B2060" s="1">
        <v>6</v>
      </c>
      <c r="C2060" s="5">
        <v>1200</v>
      </c>
      <c r="D2060" s="1" t="s">
        <v>3409</v>
      </c>
      <c r="E2060" s="1" t="s">
        <v>772</v>
      </c>
      <c r="F2060" s="1" t="s">
        <v>727</v>
      </c>
      <c r="G2060" s="1" t="s">
        <v>1667</v>
      </c>
      <c r="H2060" s="3">
        <v>46029</v>
      </c>
      <c r="I2060" s="1" t="s">
        <v>1100</v>
      </c>
      <c r="J2060" s="1" t="s">
        <v>66</v>
      </c>
      <c r="K2060" s="1" t="s">
        <v>308</v>
      </c>
      <c r="L2060" s="1" t="s">
        <v>3410</v>
      </c>
      <c r="M2060" s="3">
        <v>46001</v>
      </c>
      <c r="N2060" s="1" t="s">
        <v>57</v>
      </c>
      <c r="O2060" s="1" t="s">
        <v>936</v>
      </c>
      <c r="P2060" s="1" t="s">
        <v>937</v>
      </c>
    </row>
    <row r="2061" spans="1:16" x14ac:dyDescent="0.25">
      <c r="A2061" s="3">
        <v>46001</v>
      </c>
      <c r="B2061" s="1">
        <v>7</v>
      </c>
      <c r="C2061" s="5">
        <v>2736</v>
      </c>
      <c r="D2061" s="1" t="s">
        <v>3409</v>
      </c>
      <c r="E2061" s="1" t="s">
        <v>772</v>
      </c>
      <c r="F2061" s="1" t="s">
        <v>727</v>
      </c>
      <c r="G2061" s="1" t="s">
        <v>1667</v>
      </c>
      <c r="H2061" s="3">
        <v>46029</v>
      </c>
      <c r="I2061" s="1" t="s">
        <v>1100</v>
      </c>
      <c r="J2061" s="1" t="s">
        <v>66</v>
      </c>
      <c r="K2061" s="1" t="s">
        <v>308</v>
      </c>
      <c r="L2061" s="1" t="s">
        <v>3411</v>
      </c>
      <c r="M2061" s="3">
        <v>46001</v>
      </c>
      <c r="N2061" s="1" t="s">
        <v>57</v>
      </c>
      <c r="O2061" s="1" t="s">
        <v>936</v>
      </c>
      <c r="P2061" s="1" t="s">
        <v>937</v>
      </c>
    </row>
    <row r="2062" spans="1:16" x14ac:dyDescent="0.25">
      <c r="A2062" s="3">
        <v>46001</v>
      </c>
      <c r="B2062" s="1">
        <v>99</v>
      </c>
      <c r="C2062" s="5">
        <v>1937.79</v>
      </c>
      <c r="D2062" s="1" t="s">
        <v>3409</v>
      </c>
      <c r="E2062" s="1" t="s">
        <v>772</v>
      </c>
      <c r="F2062" s="1" t="s">
        <v>727</v>
      </c>
      <c r="G2062" s="1" t="s">
        <v>1667</v>
      </c>
      <c r="H2062" s="3">
        <v>46029</v>
      </c>
      <c r="I2062" s="1" t="s">
        <v>1100</v>
      </c>
      <c r="J2062" s="1" t="s">
        <v>66</v>
      </c>
      <c r="K2062" s="1" t="s">
        <v>308</v>
      </c>
      <c r="L2062" s="1" t="s">
        <v>3412</v>
      </c>
      <c r="M2062" s="3">
        <v>46001</v>
      </c>
      <c r="N2062" s="1" t="s">
        <v>57</v>
      </c>
      <c r="O2062" s="1" t="s">
        <v>936</v>
      </c>
      <c r="P2062" s="1" t="s">
        <v>937</v>
      </c>
    </row>
    <row r="2063" spans="1:16" x14ac:dyDescent="0.25">
      <c r="A2063" s="3">
        <v>46001</v>
      </c>
      <c r="B2063" s="1">
        <v>55</v>
      </c>
      <c r="C2063" s="5">
        <v>1600</v>
      </c>
      <c r="D2063" s="1" t="s">
        <v>1607</v>
      </c>
      <c r="E2063" s="1" t="s">
        <v>1608</v>
      </c>
      <c r="F2063" s="1" t="s">
        <v>955</v>
      </c>
      <c r="G2063" s="1" t="s">
        <v>950</v>
      </c>
      <c r="H2063" s="3">
        <v>46015</v>
      </c>
      <c r="I2063" s="1" t="s">
        <v>933</v>
      </c>
      <c r="J2063" s="1" t="s">
        <v>951</v>
      </c>
      <c r="K2063" s="1" t="s">
        <v>20</v>
      </c>
      <c r="L2063" s="1" t="s">
        <v>3413</v>
      </c>
      <c r="M2063" s="3">
        <v>46001</v>
      </c>
      <c r="N2063" s="1" t="s">
        <v>821</v>
      </c>
      <c r="O2063" s="1" t="s">
        <v>1497</v>
      </c>
      <c r="P2063" s="1" t="s">
        <v>937</v>
      </c>
    </row>
    <row r="2064" spans="1:16" x14ac:dyDescent="0.25">
      <c r="A2064" s="3">
        <v>46001</v>
      </c>
      <c r="B2064" s="4">
        <v>28485</v>
      </c>
      <c r="C2064" s="5">
        <v>15647.8</v>
      </c>
      <c r="D2064" s="1" t="s">
        <v>3414</v>
      </c>
      <c r="E2064" s="1" t="s">
        <v>3415</v>
      </c>
      <c r="F2064" s="1" t="s">
        <v>955</v>
      </c>
      <c r="G2064" s="1" t="s">
        <v>932</v>
      </c>
      <c r="H2064" s="3">
        <v>46028</v>
      </c>
      <c r="I2064" s="1" t="s">
        <v>933</v>
      </c>
      <c r="J2064" s="1" t="s">
        <v>951</v>
      </c>
      <c r="K2064" s="1" t="s">
        <v>340</v>
      </c>
      <c r="L2064" s="1" t="s">
        <v>3416</v>
      </c>
      <c r="M2064" s="3">
        <v>46001</v>
      </c>
      <c r="N2064" s="1" t="s">
        <v>821</v>
      </c>
      <c r="O2064" s="1" t="s">
        <v>932</v>
      </c>
      <c r="P2064" s="1" t="s">
        <v>937</v>
      </c>
    </row>
    <row r="2065" spans="1:16" x14ac:dyDescent="0.25">
      <c r="A2065" s="3">
        <v>46001</v>
      </c>
      <c r="B2065" s="4">
        <v>1556</v>
      </c>
      <c r="C2065" s="5">
        <v>689.3</v>
      </c>
      <c r="D2065" s="1" t="s">
        <v>1901</v>
      </c>
      <c r="E2065" s="1" t="s">
        <v>1902</v>
      </c>
      <c r="F2065" s="1" t="s">
        <v>955</v>
      </c>
      <c r="G2065" s="1" t="s">
        <v>20</v>
      </c>
      <c r="H2065" s="3">
        <v>46030</v>
      </c>
      <c r="I2065" s="1" t="s">
        <v>933</v>
      </c>
      <c r="J2065" s="1" t="s">
        <v>951</v>
      </c>
      <c r="K2065" s="1" t="s">
        <v>2085</v>
      </c>
      <c r="L2065" s="1" t="s">
        <v>3417</v>
      </c>
      <c r="M2065" s="3">
        <v>46003</v>
      </c>
      <c r="N2065" s="1" t="s">
        <v>821</v>
      </c>
      <c r="O2065" s="1" t="s">
        <v>936</v>
      </c>
      <c r="P2065" s="1">
        <v>1</v>
      </c>
    </row>
    <row r="2066" spans="1:16" x14ac:dyDescent="0.25">
      <c r="A2066" s="3">
        <v>46001</v>
      </c>
      <c r="B2066" s="4">
        <v>3815</v>
      </c>
      <c r="C2066" s="5">
        <v>4285</v>
      </c>
      <c r="D2066" s="1" t="s">
        <v>1179</v>
      </c>
      <c r="E2066" s="1" t="s">
        <v>1180</v>
      </c>
      <c r="F2066" s="1" t="s">
        <v>759</v>
      </c>
      <c r="G2066" s="1" t="s">
        <v>1667</v>
      </c>
      <c r="H2066" s="3">
        <v>46021</v>
      </c>
      <c r="I2066" s="1" t="s">
        <v>1484</v>
      </c>
      <c r="J2066" s="1" t="s">
        <v>66</v>
      </c>
      <c r="K2066" s="1" t="s">
        <v>340</v>
      </c>
      <c r="L2066" s="1" t="s">
        <v>3418</v>
      </c>
      <c r="M2066" s="3">
        <v>46003</v>
      </c>
      <c r="N2066" s="1" t="s">
        <v>75</v>
      </c>
      <c r="O2066" s="1" t="s">
        <v>936</v>
      </c>
      <c r="P2066" s="1">
        <v>1</v>
      </c>
    </row>
    <row r="2067" spans="1:16" x14ac:dyDescent="0.25">
      <c r="A2067" s="3">
        <v>46001</v>
      </c>
      <c r="B2067" s="4">
        <v>1574622</v>
      </c>
      <c r="C2067" s="5">
        <v>16760</v>
      </c>
      <c r="D2067" s="1" t="s">
        <v>57</v>
      </c>
      <c r="E2067" s="1" t="s">
        <v>3419</v>
      </c>
      <c r="F2067" s="1" t="s">
        <v>1131</v>
      </c>
      <c r="G2067" s="1" t="s">
        <v>1254</v>
      </c>
      <c r="H2067" s="3">
        <v>46001</v>
      </c>
      <c r="I2067" s="1" t="s">
        <v>933</v>
      </c>
      <c r="J2067" s="1" t="s">
        <v>1131</v>
      </c>
      <c r="K2067" s="1" t="s">
        <v>308</v>
      </c>
      <c r="L2067" s="1" t="s">
        <v>3420</v>
      </c>
      <c r="M2067" s="3">
        <v>46003</v>
      </c>
      <c r="N2067" s="1" t="s">
        <v>821</v>
      </c>
      <c r="O2067" s="1" t="s">
        <v>937</v>
      </c>
      <c r="P2067" s="1" t="s">
        <v>937</v>
      </c>
    </row>
    <row r="2068" spans="1:16" x14ac:dyDescent="0.25">
      <c r="A2068" s="3">
        <v>46002</v>
      </c>
      <c r="B2068" s="4">
        <v>4796</v>
      </c>
      <c r="C2068" s="5">
        <v>782.04</v>
      </c>
      <c r="D2068" s="1" t="s">
        <v>938</v>
      </c>
      <c r="E2068" s="1" t="s">
        <v>939</v>
      </c>
      <c r="F2068" s="1" t="s">
        <v>955</v>
      </c>
      <c r="G2068" s="1" t="s">
        <v>940</v>
      </c>
      <c r="H2068" s="3">
        <v>46033</v>
      </c>
      <c r="I2068" s="1" t="s">
        <v>933</v>
      </c>
      <c r="J2068" s="1" t="s">
        <v>951</v>
      </c>
      <c r="K2068" s="1" t="s">
        <v>20</v>
      </c>
      <c r="L2068" s="1" t="s">
        <v>3421</v>
      </c>
      <c r="M2068" s="3">
        <v>46003</v>
      </c>
      <c r="N2068" s="1" t="s">
        <v>821</v>
      </c>
      <c r="O2068" s="1" t="s">
        <v>936</v>
      </c>
      <c r="P2068" s="1">
        <v>1</v>
      </c>
    </row>
    <row r="2069" spans="1:16" x14ac:dyDescent="0.25">
      <c r="A2069" s="3">
        <v>46002</v>
      </c>
      <c r="B2069" s="1">
        <v>118</v>
      </c>
      <c r="C2069" s="5">
        <v>970</v>
      </c>
      <c r="D2069" s="1" t="s">
        <v>1579</v>
      </c>
      <c r="E2069" s="1" t="s">
        <v>1580</v>
      </c>
      <c r="F2069" s="1" t="s">
        <v>723</v>
      </c>
      <c r="G2069" s="1" t="s">
        <v>1621</v>
      </c>
      <c r="H2069" s="3">
        <v>46030</v>
      </c>
      <c r="I2069" s="1" t="s">
        <v>933</v>
      </c>
      <c r="J2069" s="1" t="s">
        <v>66</v>
      </c>
      <c r="K2069" s="1" t="s">
        <v>340</v>
      </c>
      <c r="L2069" s="1" t="s">
        <v>3422</v>
      </c>
      <c r="M2069" s="3">
        <v>46003</v>
      </c>
      <c r="N2069" s="1" t="s">
        <v>726</v>
      </c>
      <c r="O2069" s="1" t="s">
        <v>936</v>
      </c>
      <c r="P2069" s="1">
        <v>1</v>
      </c>
    </row>
    <row r="2070" spans="1:16" x14ac:dyDescent="0.25">
      <c r="A2070" s="3">
        <v>46002</v>
      </c>
      <c r="B2070" s="4">
        <v>2487</v>
      </c>
      <c r="C2070" s="5">
        <v>1650</v>
      </c>
      <c r="D2070" s="1" t="s">
        <v>1745</v>
      </c>
      <c r="E2070" s="1" t="s">
        <v>1746</v>
      </c>
      <c r="F2070" s="1" t="s">
        <v>354</v>
      </c>
      <c r="G2070" s="1" t="s">
        <v>940</v>
      </c>
      <c r="H2070" s="3">
        <v>46017</v>
      </c>
      <c r="I2070" s="1" t="s">
        <v>933</v>
      </c>
      <c r="J2070" s="1" t="s">
        <v>66</v>
      </c>
      <c r="K2070" s="1" t="s">
        <v>52</v>
      </c>
      <c r="L2070" s="1" t="s">
        <v>3423</v>
      </c>
      <c r="M2070" s="3">
        <v>46003</v>
      </c>
      <c r="N2070" s="1" t="s">
        <v>358</v>
      </c>
      <c r="O2070" s="1" t="s">
        <v>936</v>
      </c>
      <c r="P2070" s="1">
        <v>1</v>
      </c>
    </row>
    <row r="2071" spans="1:16" x14ac:dyDescent="0.25">
      <c r="A2071" s="3">
        <v>46002</v>
      </c>
      <c r="B2071" s="4">
        <v>9669</v>
      </c>
      <c r="C2071" s="5">
        <v>478.55</v>
      </c>
      <c r="D2071" s="1" t="s">
        <v>1739</v>
      </c>
      <c r="E2071" s="1" t="s">
        <v>3395</v>
      </c>
      <c r="F2071" s="1" t="s">
        <v>955</v>
      </c>
      <c r="G2071" s="1" t="s">
        <v>940</v>
      </c>
      <c r="H2071" s="3">
        <v>46021</v>
      </c>
      <c r="I2071" s="1" t="s">
        <v>933</v>
      </c>
      <c r="J2071" s="1" t="s">
        <v>951</v>
      </c>
      <c r="K2071" s="1" t="s">
        <v>20</v>
      </c>
      <c r="L2071" s="1" t="s">
        <v>3424</v>
      </c>
      <c r="M2071" s="3">
        <v>46003</v>
      </c>
      <c r="N2071" s="1" t="s">
        <v>821</v>
      </c>
      <c r="O2071" s="1" t="s">
        <v>936</v>
      </c>
      <c r="P2071" s="1">
        <v>1</v>
      </c>
    </row>
    <row r="2072" spans="1:16" x14ac:dyDescent="0.25">
      <c r="A2072" s="3">
        <v>46002</v>
      </c>
      <c r="B2072" s="4">
        <v>3403</v>
      </c>
      <c r="C2072" s="5">
        <v>150</v>
      </c>
      <c r="D2072" s="1" t="s">
        <v>1179</v>
      </c>
      <c r="E2072" s="1" t="s">
        <v>1180</v>
      </c>
      <c r="F2072" s="1" t="s">
        <v>955</v>
      </c>
      <c r="G2072" s="1" t="s">
        <v>940</v>
      </c>
      <c r="H2072" s="3">
        <v>46021</v>
      </c>
      <c r="I2072" s="1" t="s">
        <v>933</v>
      </c>
      <c r="J2072" s="1" t="s">
        <v>951</v>
      </c>
      <c r="K2072" s="1" t="s">
        <v>308</v>
      </c>
      <c r="L2072" s="1" t="s">
        <v>3425</v>
      </c>
      <c r="M2072" s="3">
        <v>46003</v>
      </c>
      <c r="N2072" s="1" t="s">
        <v>821</v>
      </c>
      <c r="O2072" s="1" t="s">
        <v>936</v>
      </c>
      <c r="P2072" s="1">
        <v>1</v>
      </c>
    </row>
    <row r="2073" spans="1:16" x14ac:dyDescent="0.25">
      <c r="A2073" s="3">
        <v>46002</v>
      </c>
      <c r="B2073" s="1">
        <v>18</v>
      </c>
      <c r="C2073" s="5">
        <v>4279</v>
      </c>
      <c r="D2073" s="1" t="s">
        <v>2512</v>
      </c>
      <c r="E2073" s="1" t="s">
        <v>2513</v>
      </c>
      <c r="F2073" s="1" t="s">
        <v>243</v>
      </c>
      <c r="G2073" s="1" t="s">
        <v>940</v>
      </c>
      <c r="H2073" s="3">
        <v>46017</v>
      </c>
      <c r="I2073" s="1" t="s">
        <v>933</v>
      </c>
      <c r="J2073" s="1" t="s">
        <v>66</v>
      </c>
      <c r="K2073" s="1" t="s">
        <v>52</v>
      </c>
      <c r="L2073" s="1" t="s">
        <v>3426</v>
      </c>
      <c r="M2073" s="3">
        <v>46003</v>
      </c>
      <c r="N2073" s="1" t="s">
        <v>93</v>
      </c>
      <c r="O2073" s="1" t="s">
        <v>936</v>
      </c>
      <c r="P2073" s="1" t="s">
        <v>937</v>
      </c>
    </row>
    <row r="2074" spans="1:16" x14ac:dyDescent="0.25">
      <c r="A2074" s="3">
        <v>46002</v>
      </c>
      <c r="B2074" s="1">
        <v>19</v>
      </c>
      <c r="C2074" s="5">
        <v>1093</v>
      </c>
      <c r="D2074" s="1" t="s">
        <v>2512</v>
      </c>
      <c r="E2074" s="1" t="s">
        <v>2513</v>
      </c>
      <c r="F2074" s="1" t="s">
        <v>354</v>
      </c>
      <c r="G2074" s="1" t="s">
        <v>940</v>
      </c>
      <c r="H2074" s="3">
        <v>46017</v>
      </c>
      <c r="I2074" s="1" t="s">
        <v>933</v>
      </c>
      <c r="J2074" s="1" t="s">
        <v>66</v>
      </c>
      <c r="K2074" s="1" t="s">
        <v>52</v>
      </c>
      <c r="L2074" s="1" t="s">
        <v>3427</v>
      </c>
      <c r="M2074" s="3">
        <v>46003</v>
      </c>
      <c r="N2074" s="1" t="s">
        <v>358</v>
      </c>
      <c r="O2074" s="1" t="s">
        <v>936</v>
      </c>
      <c r="P2074" s="1" t="s">
        <v>937</v>
      </c>
    </row>
    <row r="2075" spans="1:16" x14ac:dyDescent="0.25">
      <c r="A2075" s="3">
        <v>46002</v>
      </c>
      <c r="B2075" s="4">
        <v>3402</v>
      </c>
      <c r="C2075" s="5">
        <v>550</v>
      </c>
      <c r="D2075" s="1" t="s">
        <v>1179</v>
      </c>
      <c r="E2075" s="1" t="s">
        <v>1180</v>
      </c>
      <c r="F2075" s="1" t="s">
        <v>759</v>
      </c>
      <c r="G2075" s="1" t="s">
        <v>1667</v>
      </c>
      <c r="H2075" s="3">
        <v>46021</v>
      </c>
      <c r="I2075" s="1" t="s">
        <v>1484</v>
      </c>
      <c r="J2075" s="1" t="s">
        <v>66</v>
      </c>
      <c r="K2075" s="1" t="s">
        <v>340</v>
      </c>
      <c r="L2075" s="1" t="s">
        <v>3428</v>
      </c>
      <c r="M2075" s="3">
        <v>46003</v>
      </c>
      <c r="N2075" s="1" t="s">
        <v>75</v>
      </c>
      <c r="O2075" s="1" t="s">
        <v>936</v>
      </c>
      <c r="P2075" s="1">
        <v>1</v>
      </c>
    </row>
    <row r="2076" spans="1:16" x14ac:dyDescent="0.25">
      <c r="A2076" s="3">
        <v>46002</v>
      </c>
      <c r="B2076" s="4">
        <v>72177</v>
      </c>
      <c r="C2076" s="5">
        <v>414.44</v>
      </c>
      <c r="D2076" s="1" t="s">
        <v>1253</v>
      </c>
      <c r="E2076" s="1" t="s">
        <v>1487</v>
      </c>
      <c r="F2076" s="1" t="s">
        <v>871</v>
      </c>
      <c r="G2076" s="1" t="s">
        <v>940</v>
      </c>
      <c r="H2076" s="3">
        <v>46034</v>
      </c>
      <c r="I2076" s="1" t="s">
        <v>933</v>
      </c>
      <c r="J2076" s="1" t="s">
        <v>66</v>
      </c>
      <c r="K2076" s="1" t="s">
        <v>659</v>
      </c>
      <c r="L2076" s="1" t="s">
        <v>3429</v>
      </c>
      <c r="M2076" s="3">
        <v>46003</v>
      </c>
      <c r="N2076" s="1" t="s">
        <v>767</v>
      </c>
      <c r="O2076" s="1" t="s">
        <v>936</v>
      </c>
      <c r="P2076" s="1">
        <v>1</v>
      </c>
    </row>
    <row r="2077" spans="1:16" x14ac:dyDescent="0.25">
      <c r="A2077" s="3">
        <v>46002</v>
      </c>
      <c r="B2077" s="1">
        <v>505</v>
      </c>
      <c r="C2077" s="5">
        <v>35</v>
      </c>
      <c r="D2077" s="1" t="s">
        <v>1953</v>
      </c>
      <c r="E2077" s="1" t="s">
        <v>1954</v>
      </c>
      <c r="F2077" s="1" t="s">
        <v>245</v>
      </c>
      <c r="G2077" s="1" t="s">
        <v>940</v>
      </c>
      <c r="H2077" s="3">
        <v>46031</v>
      </c>
      <c r="I2077" s="1" t="s">
        <v>933</v>
      </c>
      <c r="J2077" s="1" t="s">
        <v>66</v>
      </c>
      <c r="K2077" s="1" t="s">
        <v>858</v>
      </c>
      <c r="L2077" s="1" t="s">
        <v>3430</v>
      </c>
      <c r="M2077" s="3">
        <v>46010</v>
      </c>
      <c r="N2077" s="1" t="s">
        <v>57</v>
      </c>
      <c r="O2077" s="1" t="s">
        <v>936</v>
      </c>
      <c r="P2077" s="1">
        <v>1</v>
      </c>
    </row>
    <row r="2078" spans="1:16" x14ac:dyDescent="0.25">
      <c r="A2078" s="3">
        <v>46002</v>
      </c>
      <c r="B2078" s="1">
        <v>505</v>
      </c>
      <c r="C2078" s="5">
        <v>185</v>
      </c>
      <c r="D2078" s="1" t="s">
        <v>1953</v>
      </c>
      <c r="E2078" s="1" t="s">
        <v>1954</v>
      </c>
      <c r="F2078" s="1" t="s">
        <v>955</v>
      </c>
      <c r="G2078" s="1" t="s">
        <v>940</v>
      </c>
      <c r="H2078" s="3">
        <v>46031</v>
      </c>
      <c r="I2078" s="1" t="s">
        <v>933</v>
      </c>
      <c r="J2078" s="1" t="s">
        <v>951</v>
      </c>
      <c r="K2078" s="1" t="s">
        <v>817</v>
      </c>
      <c r="L2078" s="1" t="s">
        <v>3431</v>
      </c>
      <c r="M2078" s="3">
        <v>46010</v>
      </c>
      <c r="N2078" s="1" t="s">
        <v>821</v>
      </c>
      <c r="O2078" s="1" t="s">
        <v>936</v>
      </c>
      <c r="P2078" s="1">
        <v>1</v>
      </c>
    </row>
    <row r="2079" spans="1:16" x14ac:dyDescent="0.25">
      <c r="A2079" s="3">
        <v>46002</v>
      </c>
      <c r="B2079" s="1">
        <v>505</v>
      </c>
      <c r="C2079" s="5">
        <v>90</v>
      </c>
      <c r="D2079" s="1" t="s">
        <v>1953</v>
      </c>
      <c r="E2079" s="1" t="s">
        <v>1954</v>
      </c>
      <c r="F2079" s="1" t="s">
        <v>717</v>
      </c>
      <c r="G2079" s="1" t="s">
        <v>940</v>
      </c>
      <c r="H2079" s="3">
        <v>46031</v>
      </c>
      <c r="I2079" s="1" t="s">
        <v>933</v>
      </c>
      <c r="J2079" s="1" t="s">
        <v>66</v>
      </c>
      <c r="K2079" s="1" t="s">
        <v>340</v>
      </c>
      <c r="L2079" s="1" t="s">
        <v>3432</v>
      </c>
      <c r="M2079" s="3">
        <v>46010</v>
      </c>
      <c r="N2079" s="1" t="s">
        <v>712</v>
      </c>
      <c r="O2079" s="1" t="s">
        <v>936</v>
      </c>
      <c r="P2079" s="1">
        <v>1</v>
      </c>
    </row>
    <row r="2080" spans="1:16" x14ac:dyDescent="0.25">
      <c r="A2080" s="3">
        <v>46002</v>
      </c>
      <c r="B2080" s="1">
        <v>505</v>
      </c>
      <c r="C2080" s="5">
        <v>90</v>
      </c>
      <c r="D2080" s="1" t="s">
        <v>1953</v>
      </c>
      <c r="E2080" s="1" t="s">
        <v>1954</v>
      </c>
      <c r="F2080" s="1" t="s">
        <v>837</v>
      </c>
      <c r="G2080" s="1" t="s">
        <v>940</v>
      </c>
      <c r="H2080" s="3">
        <v>46031</v>
      </c>
      <c r="I2080" s="1" t="s">
        <v>933</v>
      </c>
      <c r="J2080" s="1" t="s">
        <v>66</v>
      </c>
      <c r="K2080" s="1" t="s">
        <v>340</v>
      </c>
      <c r="L2080" s="1" t="s">
        <v>3433</v>
      </c>
      <c r="M2080" s="3">
        <v>46010</v>
      </c>
      <c r="N2080" s="1" t="s">
        <v>50</v>
      </c>
      <c r="O2080" s="1" t="s">
        <v>936</v>
      </c>
      <c r="P2080" s="1">
        <v>1</v>
      </c>
    </row>
    <row r="2081" spans="1:16" x14ac:dyDescent="0.25">
      <c r="A2081" s="3">
        <v>46002</v>
      </c>
      <c r="B2081" s="1">
        <v>41</v>
      </c>
      <c r="C2081" s="5">
        <v>170</v>
      </c>
      <c r="D2081" s="1" t="s">
        <v>1950</v>
      </c>
      <c r="E2081" s="1" t="s">
        <v>1951</v>
      </c>
      <c r="F2081" s="1" t="s">
        <v>955</v>
      </c>
      <c r="G2081" s="1" t="s">
        <v>1058</v>
      </c>
      <c r="H2081" s="3">
        <v>46019</v>
      </c>
      <c r="I2081" s="1" t="s">
        <v>933</v>
      </c>
      <c r="J2081" s="1" t="s">
        <v>951</v>
      </c>
      <c r="K2081" s="1" t="s">
        <v>817</v>
      </c>
      <c r="L2081" s="1" t="s">
        <v>3434</v>
      </c>
      <c r="M2081" s="3">
        <v>46006</v>
      </c>
      <c r="N2081" s="1" t="s">
        <v>821</v>
      </c>
      <c r="O2081" s="1" t="s">
        <v>936</v>
      </c>
      <c r="P2081" s="1" t="s">
        <v>937</v>
      </c>
    </row>
    <row r="2082" spans="1:16" x14ac:dyDescent="0.25">
      <c r="A2082" s="3">
        <v>46002</v>
      </c>
      <c r="B2082" s="1">
        <v>41</v>
      </c>
      <c r="C2082" s="5">
        <v>70</v>
      </c>
      <c r="D2082" s="1" t="s">
        <v>1950</v>
      </c>
      <c r="E2082" s="1" t="s">
        <v>1951</v>
      </c>
      <c r="F2082" s="1" t="s">
        <v>955</v>
      </c>
      <c r="G2082" s="1" t="s">
        <v>1058</v>
      </c>
      <c r="H2082" s="3">
        <v>46019</v>
      </c>
      <c r="I2082" s="1" t="s">
        <v>933</v>
      </c>
      <c r="J2082" s="1" t="s">
        <v>951</v>
      </c>
      <c r="K2082" s="1" t="s">
        <v>487</v>
      </c>
      <c r="L2082" s="1" t="s">
        <v>3435</v>
      </c>
      <c r="M2082" s="3">
        <v>46006</v>
      </c>
      <c r="N2082" s="1" t="s">
        <v>821</v>
      </c>
      <c r="O2082" s="1" t="s">
        <v>936</v>
      </c>
      <c r="P2082" s="1" t="s">
        <v>937</v>
      </c>
    </row>
    <row r="2083" spans="1:16" x14ac:dyDescent="0.25">
      <c r="A2083" s="3">
        <v>46002</v>
      </c>
      <c r="B2083" s="1">
        <v>41</v>
      </c>
      <c r="C2083" s="5">
        <v>70</v>
      </c>
      <c r="D2083" s="1" t="s">
        <v>1950</v>
      </c>
      <c r="E2083" s="1" t="s">
        <v>1951</v>
      </c>
      <c r="F2083" s="1" t="s">
        <v>955</v>
      </c>
      <c r="G2083" s="1" t="s">
        <v>1058</v>
      </c>
      <c r="H2083" s="3">
        <v>46019</v>
      </c>
      <c r="I2083" s="1" t="s">
        <v>933</v>
      </c>
      <c r="J2083" s="1" t="s">
        <v>951</v>
      </c>
      <c r="K2083" s="1" t="s">
        <v>52</v>
      </c>
      <c r="L2083" s="1" t="s">
        <v>3436</v>
      </c>
      <c r="M2083" s="3">
        <v>46006</v>
      </c>
      <c r="N2083" s="1" t="s">
        <v>821</v>
      </c>
      <c r="O2083" s="1" t="s">
        <v>936</v>
      </c>
      <c r="P2083" s="1" t="s">
        <v>937</v>
      </c>
    </row>
    <row r="2084" spans="1:16" x14ac:dyDescent="0.25">
      <c r="A2084" s="3">
        <v>46002</v>
      </c>
      <c r="B2084" s="1">
        <v>41</v>
      </c>
      <c r="C2084" s="5">
        <v>70</v>
      </c>
      <c r="D2084" s="1" t="s">
        <v>1950</v>
      </c>
      <c r="E2084" s="1" t="s">
        <v>1951</v>
      </c>
      <c r="F2084" s="1" t="s">
        <v>955</v>
      </c>
      <c r="G2084" s="1" t="s">
        <v>1058</v>
      </c>
      <c r="H2084" s="3">
        <v>46019</v>
      </c>
      <c r="I2084" s="1" t="s">
        <v>933</v>
      </c>
      <c r="J2084" s="1" t="s">
        <v>951</v>
      </c>
      <c r="K2084" s="1" t="s">
        <v>817</v>
      </c>
      <c r="L2084" s="1" t="s">
        <v>3437</v>
      </c>
      <c r="M2084" s="3">
        <v>46006</v>
      </c>
      <c r="N2084" s="1" t="s">
        <v>821</v>
      </c>
      <c r="O2084" s="1" t="s">
        <v>936</v>
      </c>
      <c r="P2084" s="1" t="s">
        <v>937</v>
      </c>
    </row>
    <row r="2085" spans="1:16" x14ac:dyDescent="0.25">
      <c r="A2085" s="3">
        <v>46002</v>
      </c>
      <c r="B2085" s="1">
        <v>41</v>
      </c>
      <c r="C2085" s="5">
        <v>70</v>
      </c>
      <c r="D2085" s="1" t="s">
        <v>1950</v>
      </c>
      <c r="E2085" s="1" t="s">
        <v>1951</v>
      </c>
      <c r="F2085" s="1" t="s">
        <v>955</v>
      </c>
      <c r="G2085" s="1" t="s">
        <v>1058</v>
      </c>
      <c r="H2085" s="3">
        <v>46019</v>
      </c>
      <c r="I2085" s="1" t="s">
        <v>933</v>
      </c>
      <c r="J2085" s="1" t="s">
        <v>951</v>
      </c>
      <c r="K2085" s="1" t="s">
        <v>934</v>
      </c>
      <c r="L2085" s="1" t="s">
        <v>3438</v>
      </c>
      <c r="M2085" s="3">
        <v>46006</v>
      </c>
      <c r="N2085" s="1" t="s">
        <v>821</v>
      </c>
      <c r="O2085" s="1" t="s">
        <v>936</v>
      </c>
      <c r="P2085" s="1" t="s">
        <v>937</v>
      </c>
    </row>
    <row r="2086" spans="1:16" x14ac:dyDescent="0.25">
      <c r="A2086" s="3">
        <v>46002</v>
      </c>
      <c r="B2086" s="1">
        <v>41</v>
      </c>
      <c r="C2086" s="5">
        <v>70</v>
      </c>
      <c r="D2086" s="1" t="s">
        <v>1950</v>
      </c>
      <c r="E2086" s="1" t="s">
        <v>1951</v>
      </c>
      <c r="F2086" s="1" t="s">
        <v>955</v>
      </c>
      <c r="G2086" s="1" t="s">
        <v>1058</v>
      </c>
      <c r="H2086" s="3">
        <v>46019</v>
      </c>
      <c r="I2086" s="1" t="s">
        <v>933</v>
      </c>
      <c r="J2086" s="1" t="s">
        <v>951</v>
      </c>
      <c r="K2086" s="1" t="s">
        <v>934</v>
      </c>
      <c r="L2086" s="1" t="s">
        <v>3438</v>
      </c>
      <c r="M2086" s="3">
        <v>46006</v>
      </c>
      <c r="N2086" s="1" t="s">
        <v>821</v>
      </c>
      <c r="O2086" s="1" t="s">
        <v>936</v>
      </c>
      <c r="P2086" s="1" t="s">
        <v>937</v>
      </c>
    </row>
    <row r="2087" spans="1:16" x14ac:dyDescent="0.25">
      <c r="A2087" s="3">
        <v>46002</v>
      </c>
      <c r="B2087" s="1">
        <v>41</v>
      </c>
      <c r="C2087" s="5">
        <v>70</v>
      </c>
      <c r="D2087" s="1" t="s">
        <v>1950</v>
      </c>
      <c r="E2087" s="1" t="s">
        <v>1951</v>
      </c>
      <c r="F2087" s="1" t="s">
        <v>955</v>
      </c>
      <c r="G2087" s="1" t="s">
        <v>1058</v>
      </c>
      <c r="H2087" s="3">
        <v>46019</v>
      </c>
      <c r="I2087" s="1" t="s">
        <v>933</v>
      </c>
      <c r="J2087" s="1" t="s">
        <v>951</v>
      </c>
      <c r="K2087" s="1" t="s">
        <v>934</v>
      </c>
      <c r="L2087" s="1" t="s">
        <v>3439</v>
      </c>
      <c r="M2087" s="3">
        <v>46006</v>
      </c>
      <c r="N2087" s="1" t="s">
        <v>821</v>
      </c>
      <c r="O2087" s="1" t="s">
        <v>936</v>
      </c>
      <c r="P2087" s="1" t="s">
        <v>937</v>
      </c>
    </row>
    <row r="2088" spans="1:16" x14ac:dyDescent="0.25">
      <c r="A2088" s="3">
        <v>46002</v>
      </c>
      <c r="B2088" s="1">
        <v>41</v>
      </c>
      <c r="C2088" s="5">
        <v>70</v>
      </c>
      <c r="D2088" s="1" t="s">
        <v>1950</v>
      </c>
      <c r="E2088" s="1" t="s">
        <v>1951</v>
      </c>
      <c r="F2088" s="1" t="s">
        <v>955</v>
      </c>
      <c r="G2088" s="1" t="s">
        <v>1058</v>
      </c>
      <c r="H2088" s="3">
        <v>46019</v>
      </c>
      <c r="I2088" s="1" t="s">
        <v>933</v>
      </c>
      <c r="J2088" s="1" t="s">
        <v>951</v>
      </c>
      <c r="K2088" s="1" t="s">
        <v>934</v>
      </c>
      <c r="L2088" s="1" t="s">
        <v>3440</v>
      </c>
      <c r="M2088" s="3">
        <v>46006</v>
      </c>
      <c r="N2088" s="1" t="s">
        <v>821</v>
      </c>
      <c r="O2088" s="1" t="s">
        <v>936</v>
      </c>
      <c r="P2088" s="1" t="s">
        <v>937</v>
      </c>
    </row>
    <row r="2089" spans="1:16" x14ac:dyDescent="0.25">
      <c r="A2089" s="3">
        <v>46002</v>
      </c>
      <c r="B2089" s="1">
        <v>41</v>
      </c>
      <c r="C2089" s="5">
        <v>70</v>
      </c>
      <c r="D2089" s="1" t="s">
        <v>1950</v>
      </c>
      <c r="E2089" s="1" t="s">
        <v>1951</v>
      </c>
      <c r="F2089" s="1" t="s">
        <v>955</v>
      </c>
      <c r="G2089" s="1" t="s">
        <v>1058</v>
      </c>
      <c r="H2089" s="3">
        <v>46019</v>
      </c>
      <c r="I2089" s="1" t="s">
        <v>933</v>
      </c>
      <c r="J2089" s="1" t="s">
        <v>951</v>
      </c>
      <c r="K2089" s="1" t="s">
        <v>817</v>
      </c>
      <c r="L2089" s="1" t="s">
        <v>3441</v>
      </c>
      <c r="M2089" s="3">
        <v>46006</v>
      </c>
      <c r="N2089" s="1" t="s">
        <v>821</v>
      </c>
      <c r="O2089" s="1" t="s">
        <v>936</v>
      </c>
      <c r="P2089" s="1" t="s">
        <v>937</v>
      </c>
    </row>
    <row r="2090" spans="1:16" x14ac:dyDescent="0.25">
      <c r="A2090" s="3">
        <v>46002</v>
      </c>
      <c r="B2090" s="1">
        <v>41</v>
      </c>
      <c r="C2090" s="5">
        <v>70</v>
      </c>
      <c r="D2090" s="1" t="s">
        <v>1950</v>
      </c>
      <c r="E2090" s="1" t="s">
        <v>1951</v>
      </c>
      <c r="F2090" s="1" t="s">
        <v>955</v>
      </c>
      <c r="G2090" s="1" t="s">
        <v>1058</v>
      </c>
      <c r="H2090" s="3">
        <v>46019</v>
      </c>
      <c r="I2090" s="1" t="s">
        <v>933</v>
      </c>
      <c r="J2090" s="1" t="s">
        <v>951</v>
      </c>
      <c r="K2090" s="1" t="s">
        <v>934</v>
      </c>
      <c r="L2090" s="1" t="s">
        <v>3438</v>
      </c>
      <c r="M2090" s="3">
        <v>46006</v>
      </c>
      <c r="N2090" s="1" t="s">
        <v>821</v>
      </c>
      <c r="O2090" s="1" t="s">
        <v>936</v>
      </c>
      <c r="P2090" s="1" t="s">
        <v>937</v>
      </c>
    </row>
    <row r="2091" spans="1:16" x14ac:dyDescent="0.25">
      <c r="A2091" s="3">
        <v>46002</v>
      </c>
      <c r="B2091" s="1">
        <v>41</v>
      </c>
      <c r="C2091" s="5">
        <v>70</v>
      </c>
      <c r="D2091" s="1" t="s">
        <v>1950</v>
      </c>
      <c r="E2091" s="1" t="s">
        <v>1951</v>
      </c>
      <c r="F2091" s="1" t="s">
        <v>955</v>
      </c>
      <c r="G2091" s="1" t="s">
        <v>1058</v>
      </c>
      <c r="H2091" s="3">
        <v>46019</v>
      </c>
      <c r="I2091" s="1" t="s">
        <v>933</v>
      </c>
      <c r="J2091" s="1" t="s">
        <v>951</v>
      </c>
      <c r="K2091" s="1" t="s">
        <v>487</v>
      </c>
      <c r="L2091" s="1" t="s">
        <v>3435</v>
      </c>
      <c r="M2091" s="3">
        <v>46006</v>
      </c>
      <c r="N2091" s="1" t="s">
        <v>821</v>
      </c>
      <c r="O2091" s="1" t="s">
        <v>936</v>
      </c>
      <c r="P2091" s="1" t="s">
        <v>937</v>
      </c>
    </row>
    <row r="2092" spans="1:16" x14ac:dyDescent="0.25">
      <c r="A2092" s="3">
        <v>46002</v>
      </c>
      <c r="B2092" s="1">
        <v>41</v>
      </c>
      <c r="C2092" s="5">
        <v>70</v>
      </c>
      <c r="D2092" s="1" t="s">
        <v>1950</v>
      </c>
      <c r="E2092" s="1" t="s">
        <v>1951</v>
      </c>
      <c r="F2092" s="1" t="s">
        <v>955</v>
      </c>
      <c r="G2092" s="1" t="s">
        <v>1058</v>
      </c>
      <c r="H2092" s="3">
        <v>46019</v>
      </c>
      <c r="I2092" s="1" t="s">
        <v>933</v>
      </c>
      <c r="J2092" s="1" t="s">
        <v>951</v>
      </c>
      <c r="K2092" s="1" t="s">
        <v>934</v>
      </c>
      <c r="L2092" s="1" t="s">
        <v>3442</v>
      </c>
      <c r="M2092" s="3">
        <v>46006</v>
      </c>
      <c r="N2092" s="1" t="s">
        <v>821</v>
      </c>
      <c r="O2092" s="1" t="s">
        <v>936</v>
      </c>
      <c r="P2092" s="1" t="s">
        <v>937</v>
      </c>
    </row>
    <row r="2093" spans="1:16" x14ac:dyDescent="0.25">
      <c r="A2093" s="3">
        <v>46002</v>
      </c>
      <c r="B2093" s="1">
        <v>41</v>
      </c>
      <c r="C2093" s="5">
        <v>70</v>
      </c>
      <c r="D2093" s="1" t="s">
        <v>1950</v>
      </c>
      <c r="E2093" s="1" t="s">
        <v>1951</v>
      </c>
      <c r="F2093" s="1" t="s">
        <v>955</v>
      </c>
      <c r="G2093" s="1" t="s">
        <v>1058</v>
      </c>
      <c r="H2093" s="3">
        <v>46019</v>
      </c>
      <c r="I2093" s="1" t="s">
        <v>933</v>
      </c>
      <c r="J2093" s="1" t="s">
        <v>951</v>
      </c>
      <c r="K2093" s="1" t="s">
        <v>487</v>
      </c>
      <c r="L2093" s="1" t="s">
        <v>3443</v>
      </c>
      <c r="M2093" s="3">
        <v>46006</v>
      </c>
      <c r="N2093" s="1" t="s">
        <v>821</v>
      </c>
      <c r="O2093" s="1" t="s">
        <v>936</v>
      </c>
      <c r="P2093" s="1" t="s">
        <v>937</v>
      </c>
    </row>
    <row r="2094" spans="1:16" x14ac:dyDescent="0.25">
      <c r="A2094" s="3">
        <v>46002</v>
      </c>
      <c r="B2094" s="1">
        <v>41</v>
      </c>
      <c r="C2094" s="5">
        <v>70</v>
      </c>
      <c r="D2094" s="1" t="s">
        <v>1950</v>
      </c>
      <c r="E2094" s="1" t="s">
        <v>1951</v>
      </c>
      <c r="F2094" s="1" t="s">
        <v>955</v>
      </c>
      <c r="G2094" s="1" t="s">
        <v>1058</v>
      </c>
      <c r="H2094" s="3">
        <v>46019</v>
      </c>
      <c r="I2094" s="1" t="s">
        <v>933</v>
      </c>
      <c r="J2094" s="1" t="s">
        <v>951</v>
      </c>
      <c r="K2094" s="1" t="s">
        <v>487</v>
      </c>
      <c r="L2094" s="1" t="s">
        <v>3435</v>
      </c>
      <c r="M2094" s="3">
        <v>46006</v>
      </c>
      <c r="N2094" s="1" t="s">
        <v>821</v>
      </c>
      <c r="O2094" s="1" t="s">
        <v>936</v>
      </c>
      <c r="P2094" s="1" t="s">
        <v>937</v>
      </c>
    </row>
    <row r="2095" spans="1:16" x14ac:dyDescent="0.25">
      <c r="A2095" s="3">
        <v>46002</v>
      </c>
      <c r="B2095" s="1">
        <v>41</v>
      </c>
      <c r="C2095" s="5">
        <v>70</v>
      </c>
      <c r="D2095" s="1" t="s">
        <v>1950</v>
      </c>
      <c r="E2095" s="1" t="s">
        <v>1951</v>
      </c>
      <c r="F2095" s="1" t="s">
        <v>955</v>
      </c>
      <c r="G2095" s="1" t="s">
        <v>1058</v>
      </c>
      <c r="H2095" s="3">
        <v>46019</v>
      </c>
      <c r="I2095" s="1" t="s">
        <v>933</v>
      </c>
      <c r="J2095" s="1" t="s">
        <v>951</v>
      </c>
      <c r="K2095" s="1" t="s">
        <v>934</v>
      </c>
      <c r="L2095" s="1" t="s">
        <v>3438</v>
      </c>
      <c r="M2095" s="3">
        <v>46006</v>
      </c>
      <c r="N2095" s="1" t="s">
        <v>821</v>
      </c>
      <c r="O2095" s="1" t="s">
        <v>936</v>
      </c>
      <c r="P2095" s="1" t="s">
        <v>937</v>
      </c>
    </row>
    <row r="2096" spans="1:16" x14ac:dyDescent="0.25">
      <c r="A2096" s="3">
        <v>46002</v>
      </c>
      <c r="B2096" s="1">
        <v>41</v>
      </c>
      <c r="C2096" s="5">
        <v>70</v>
      </c>
      <c r="D2096" s="1" t="s">
        <v>1950</v>
      </c>
      <c r="E2096" s="1" t="s">
        <v>1951</v>
      </c>
      <c r="F2096" s="1" t="s">
        <v>955</v>
      </c>
      <c r="G2096" s="1" t="s">
        <v>1058</v>
      </c>
      <c r="H2096" s="3">
        <v>46019</v>
      </c>
      <c r="I2096" s="1" t="s">
        <v>933</v>
      </c>
      <c r="J2096" s="1" t="s">
        <v>951</v>
      </c>
      <c r="K2096" s="1" t="s">
        <v>934</v>
      </c>
      <c r="L2096" s="1" t="s">
        <v>3444</v>
      </c>
      <c r="M2096" s="3">
        <v>46006</v>
      </c>
      <c r="N2096" s="1" t="s">
        <v>821</v>
      </c>
      <c r="O2096" s="1" t="s">
        <v>936</v>
      </c>
      <c r="P2096" s="1" t="s">
        <v>937</v>
      </c>
    </row>
    <row r="2097" spans="1:16" x14ac:dyDescent="0.25">
      <c r="A2097" s="3">
        <v>46002</v>
      </c>
      <c r="B2097" s="1">
        <v>41</v>
      </c>
      <c r="C2097" s="5">
        <v>70</v>
      </c>
      <c r="D2097" s="1" t="s">
        <v>1950</v>
      </c>
      <c r="E2097" s="1" t="s">
        <v>1951</v>
      </c>
      <c r="F2097" s="1" t="s">
        <v>955</v>
      </c>
      <c r="G2097" s="1" t="s">
        <v>1058</v>
      </c>
      <c r="H2097" s="3">
        <v>46019</v>
      </c>
      <c r="I2097" s="1" t="s">
        <v>933</v>
      </c>
      <c r="J2097" s="1" t="s">
        <v>951</v>
      </c>
      <c r="K2097" s="1" t="s">
        <v>817</v>
      </c>
      <c r="L2097" s="1" t="s">
        <v>3445</v>
      </c>
      <c r="M2097" s="3">
        <v>46006</v>
      </c>
      <c r="N2097" s="1" t="s">
        <v>821</v>
      </c>
      <c r="O2097" s="1" t="s">
        <v>936</v>
      </c>
      <c r="P2097" s="1" t="s">
        <v>937</v>
      </c>
    </row>
    <row r="2098" spans="1:16" x14ac:dyDescent="0.25">
      <c r="A2098" s="3">
        <v>46002</v>
      </c>
      <c r="B2098" s="1">
        <v>41</v>
      </c>
      <c r="C2098" s="5">
        <v>70</v>
      </c>
      <c r="D2098" s="1" t="s">
        <v>1950</v>
      </c>
      <c r="E2098" s="1" t="s">
        <v>1951</v>
      </c>
      <c r="F2098" s="1" t="s">
        <v>955</v>
      </c>
      <c r="G2098" s="1" t="s">
        <v>1058</v>
      </c>
      <c r="H2098" s="3">
        <v>46019</v>
      </c>
      <c r="I2098" s="1" t="s">
        <v>933</v>
      </c>
      <c r="J2098" s="1" t="s">
        <v>951</v>
      </c>
      <c r="K2098" s="1" t="s">
        <v>934</v>
      </c>
      <c r="L2098" s="1" t="s">
        <v>3442</v>
      </c>
      <c r="M2098" s="3">
        <v>46006</v>
      </c>
      <c r="N2098" s="1" t="s">
        <v>821</v>
      </c>
      <c r="O2098" s="1" t="s">
        <v>936</v>
      </c>
      <c r="P2098" s="1" t="s">
        <v>937</v>
      </c>
    </row>
    <row r="2099" spans="1:16" x14ac:dyDescent="0.25">
      <c r="A2099" s="3">
        <v>46002</v>
      </c>
      <c r="B2099" s="1">
        <v>41</v>
      </c>
      <c r="C2099" s="5">
        <v>70</v>
      </c>
      <c r="D2099" s="1" t="s">
        <v>1950</v>
      </c>
      <c r="E2099" s="1" t="s">
        <v>1951</v>
      </c>
      <c r="F2099" s="1" t="s">
        <v>955</v>
      </c>
      <c r="G2099" s="1" t="s">
        <v>1058</v>
      </c>
      <c r="H2099" s="3">
        <v>46019</v>
      </c>
      <c r="I2099" s="1" t="s">
        <v>933</v>
      </c>
      <c r="J2099" s="1" t="s">
        <v>951</v>
      </c>
      <c r="K2099" s="1" t="s">
        <v>640</v>
      </c>
      <c r="L2099" s="1" t="s">
        <v>3446</v>
      </c>
      <c r="M2099" s="3">
        <v>46006</v>
      </c>
      <c r="N2099" s="1" t="s">
        <v>821</v>
      </c>
      <c r="O2099" s="1" t="s">
        <v>936</v>
      </c>
      <c r="P2099" s="1" t="s">
        <v>937</v>
      </c>
    </row>
    <row r="2100" spans="1:16" x14ac:dyDescent="0.25">
      <c r="A2100" s="3">
        <v>46002</v>
      </c>
      <c r="B2100" s="1">
        <v>41</v>
      </c>
      <c r="C2100" s="5">
        <v>70</v>
      </c>
      <c r="D2100" s="1" t="s">
        <v>1950</v>
      </c>
      <c r="E2100" s="1" t="s">
        <v>1951</v>
      </c>
      <c r="F2100" s="1" t="s">
        <v>955</v>
      </c>
      <c r="G2100" s="1" t="s">
        <v>1058</v>
      </c>
      <c r="H2100" s="3">
        <v>46019</v>
      </c>
      <c r="I2100" s="1" t="s">
        <v>933</v>
      </c>
      <c r="J2100" s="1" t="s">
        <v>951</v>
      </c>
      <c r="K2100" s="1" t="s">
        <v>934</v>
      </c>
      <c r="L2100" s="1" t="s">
        <v>3447</v>
      </c>
      <c r="M2100" s="3">
        <v>46006</v>
      </c>
      <c r="N2100" s="1" t="e">
        <v>#REF!</v>
      </c>
      <c r="O2100" s="1" t="s">
        <v>936</v>
      </c>
      <c r="P2100" s="1" t="s">
        <v>937</v>
      </c>
    </row>
    <row r="2101" spans="1:16" x14ac:dyDescent="0.25">
      <c r="A2101" s="3">
        <v>46003</v>
      </c>
      <c r="B2101" s="4">
        <v>10060</v>
      </c>
      <c r="C2101" s="5">
        <v>634</v>
      </c>
      <c r="D2101" s="1" t="s">
        <v>1573</v>
      </c>
      <c r="E2101" s="1" t="s">
        <v>2130</v>
      </c>
      <c r="F2101" s="1" t="s">
        <v>437</v>
      </c>
      <c r="G2101" s="1" t="s">
        <v>940</v>
      </c>
      <c r="H2101" s="3">
        <v>46033</v>
      </c>
      <c r="I2101" s="1" t="s">
        <v>933</v>
      </c>
      <c r="J2101" s="1" t="s">
        <v>66</v>
      </c>
      <c r="K2101" s="1" t="s">
        <v>308</v>
      </c>
      <c r="L2101" s="1" t="s">
        <v>3448</v>
      </c>
      <c r="M2101" s="3">
        <v>46003</v>
      </c>
      <c r="N2101" s="1" t="s">
        <v>440</v>
      </c>
      <c r="O2101" s="1" t="s">
        <v>936</v>
      </c>
      <c r="P2101" s="1">
        <v>1</v>
      </c>
    </row>
    <row r="2102" spans="1:16" x14ac:dyDescent="0.25">
      <c r="A2102" s="3">
        <v>46003</v>
      </c>
      <c r="B2102" s="1">
        <v>91</v>
      </c>
      <c r="C2102" s="5">
        <v>2080</v>
      </c>
      <c r="D2102" s="1" t="s">
        <v>2145</v>
      </c>
      <c r="E2102" s="1" t="s">
        <v>2146</v>
      </c>
      <c r="F2102" s="1" t="s">
        <v>759</v>
      </c>
      <c r="G2102" s="1" t="s">
        <v>940</v>
      </c>
      <c r="H2102" s="3">
        <v>46019</v>
      </c>
      <c r="I2102" s="1" t="s">
        <v>933</v>
      </c>
      <c r="J2102" s="1" t="s">
        <v>66</v>
      </c>
      <c r="K2102" s="1" t="s">
        <v>340</v>
      </c>
      <c r="L2102" s="1" t="s">
        <v>3449</v>
      </c>
      <c r="M2102" s="3">
        <v>46003</v>
      </c>
      <c r="N2102" s="1" t="s">
        <v>75</v>
      </c>
      <c r="O2102" s="1" t="s">
        <v>936</v>
      </c>
      <c r="P2102" s="1">
        <v>1</v>
      </c>
    </row>
    <row r="2103" spans="1:16" x14ac:dyDescent="0.25">
      <c r="A2103" s="3">
        <v>46003</v>
      </c>
      <c r="B2103" s="1" t="s">
        <v>3450</v>
      </c>
      <c r="C2103" s="5">
        <v>14000</v>
      </c>
      <c r="D2103" s="1" t="s">
        <v>1285</v>
      </c>
      <c r="E2103" s="1" t="s">
        <v>1286</v>
      </c>
      <c r="F2103" s="1" t="s">
        <v>955</v>
      </c>
      <c r="G2103" s="1" t="s">
        <v>932</v>
      </c>
      <c r="H2103" s="3">
        <v>46025</v>
      </c>
      <c r="I2103" s="1" t="s">
        <v>933</v>
      </c>
      <c r="J2103" s="1" t="s">
        <v>951</v>
      </c>
      <c r="K2103" s="1" t="s">
        <v>20</v>
      </c>
      <c r="L2103" s="1" t="s">
        <v>3451</v>
      </c>
      <c r="M2103" s="3">
        <v>46003</v>
      </c>
      <c r="N2103" s="1" t="s">
        <v>821</v>
      </c>
      <c r="O2103" s="1" t="s">
        <v>932</v>
      </c>
      <c r="P2103" s="1">
        <v>1</v>
      </c>
    </row>
    <row r="2104" spans="1:16" x14ac:dyDescent="0.25">
      <c r="A2104" s="3">
        <v>46003</v>
      </c>
      <c r="B2104" s="1">
        <v>116</v>
      </c>
      <c r="C2104" s="5">
        <v>13000</v>
      </c>
      <c r="D2104" s="1" t="s">
        <v>1197</v>
      </c>
      <c r="E2104" s="1" t="s">
        <v>1198</v>
      </c>
      <c r="F2104" s="1" t="s">
        <v>949</v>
      </c>
      <c r="G2104" s="1" t="s">
        <v>1500</v>
      </c>
      <c r="H2104" s="3">
        <v>46013</v>
      </c>
      <c r="I2104" s="1" t="s">
        <v>933</v>
      </c>
      <c r="J2104" s="1" t="s">
        <v>951</v>
      </c>
      <c r="K2104" s="1" t="s">
        <v>817</v>
      </c>
      <c r="L2104" s="1" t="s">
        <v>3452</v>
      </c>
      <c r="M2104" s="3">
        <v>46003</v>
      </c>
      <c r="N2104" s="1" t="s">
        <v>821</v>
      </c>
      <c r="O2104" s="1" t="s">
        <v>936</v>
      </c>
      <c r="P2104" s="1">
        <v>1</v>
      </c>
    </row>
    <row r="2105" spans="1:16" x14ac:dyDescent="0.25">
      <c r="A2105" s="3">
        <v>46003</v>
      </c>
      <c r="B2105" s="4">
        <v>72191</v>
      </c>
      <c r="C2105" s="5">
        <v>390.4</v>
      </c>
      <c r="D2105" s="1" t="s">
        <v>1253</v>
      </c>
      <c r="E2105" s="1" t="s">
        <v>1487</v>
      </c>
      <c r="F2105" s="1" t="s">
        <v>460</v>
      </c>
      <c r="G2105" s="1" t="s">
        <v>940</v>
      </c>
      <c r="H2105" s="3">
        <v>46034</v>
      </c>
      <c r="I2105" s="1" t="s">
        <v>440</v>
      </c>
      <c r="J2105" s="1" t="s">
        <v>66</v>
      </c>
      <c r="K2105" s="1" t="s">
        <v>308</v>
      </c>
      <c r="L2105" s="1" t="s">
        <v>3453</v>
      </c>
      <c r="M2105" s="3">
        <v>46003</v>
      </c>
      <c r="N2105" s="1" t="s">
        <v>440</v>
      </c>
      <c r="O2105" s="1" t="s">
        <v>936</v>
      </c>
      <c r="P2105" s="1">
        <v>1</v>
      </c>
    </row>
    <row r="2106" spans="1:16" x14ac:dyDescent="0.25">
      <c r="A2106" s="3">
        <v>46003</v>
      </c>
      <c r="B2106" s="4">
        <v>247749</v>
      </c>
      <c r="C2106" s="5">
        <v>2637.98</v>
      </c>
      <c r="D2106" s="1" t="s">
        <v>3155</v>
      </c>
      <c r="E2106" s="1" t="s">
        <v>3156</v>
      </c>
      <c r="F2106" s="1" t="s">
        <v>650</v>
      </c>
      <c r="G2106" s="1" t="s">
        <v>940</v>
      </c>
      <c r="H2106" s="1" t="s">
        <v>1794</v>
      </c>
      <c r="I2106" s="1" t="s">
        <v>1100</v>
      </c>
      <c r="J2106" s="1" t="s">
        <v>66</v>
      </c>
      <c r="K2106" s="1" t="s">
        <v>340</v>
      </c>
      <c r="L2106" s="1" t="s">
        <v>3454</v>
      </c>
      <c r="M2106" s="3">
        <v>46012</v>
      </c>
      <c r="N2106" s="1" t="s">
        <v>57</v>
      </c>
      <c r="O2106" s="1" t="s">
        <v>998</v>
      </c>
      <c r="P2106" s="1">
        <v>1</v>
      </c>
    </row>
    <row r="2107" spans="1:16" x14ac:dyDescent="0.25">
      <c r="A2107" s="3">
        <v>46003</v>
      </c>
      <c r="B2107" s="4">
        <v>23177</v>
      </c>
      <c r="C2107" s="5">
        <v>2107</v>
      </c>
      <c r="D2107" s="1" t="s">
        <v>1319</v>
      </c>
      <c r="E2107" s="1" t="s">
        <v>1320</v>
      </c>
      <c r="F2107" s="1" t="s">
        <v>955</v>
      </c>
      <c r="G2107" s="1" t="s">
        <v>940</v>
      </c>
      <c r="H2107" s="3">
        <v>46027</v>
      </c>
      <c r="I2107" s="1" t="s">
        <v>933</v>
      </c>
      <c r="J2107" s="1" t="s">
        <v>951</v>
      </c>
      <c r="K2107" s="1" t="s">
        <v>20</v>
      </c>
      <c r="L2107" s="1" t="s">
        <v>3455</v>
      </c>
      <c r="M2107" s="3">
        <v>46006</v>
      </c>
      <c r="N2107" s="1" t="s">
        <v>821</v>
      </c>
      <c r="O2107" s="1" t="s">
        <v>936</v>
      </c>
      <c r="P2107" s="1">
        <v>1</v>
      </c>
    </row>
    <row r="2108" spans="1:16" x14ac:dyDescent="0.25">
      <c r="A2108" s="3">
        <v>46003</v>
      </c>
      <c r="B2108" s="4">
        <v>23176</v>
      </c>
      <c r="C2108" s="5">
        <v>5250</v>
      </c>
      <c r="D2108" s="1" t="s">
        <v>1319</v>
      </c>
      <c r="E2108" s="1" t="s">
        <v>1320</v>
      </c>
      <c r="F2108" s="1" t="s">
        <v>955</v>
      </c>
      <c r="G2108" s="1" t="s">
        <v>940</v>
      </c>
      <c r="H2108" s="3">
        <v>46027</v>
      </c>
      <c r="I2108" s="1" t="s">
        <v>933</v>
      </c>
      <c r="J2108" s="1" t="s">
        <v>951</v>
      </c>
      <c r="K2108" s="1" t="s">
        <v>20</v>
      </c>
      <c r="L2108" s="1" t="s">
        <v>3455</v>
      </c>
      <c r="M2108" s="3">
        <v>46006</v>
      </c>
      <c r="N2108" s="1" t="s">
        <v>821</v>
      </c>
      <c r="O2108" s="1" t="s">
        <v>936</v>
      </c>
      <c r="P2108" s="1">
        <v>1</v>
      </c>
    </row>
    <row r="2109" spans="1:16" x14ac:dyDescent="0.25">
      <c r="A2109" s="3">
        <v>46003</v>
      </c>
      <c r="B2109" s="4">
        <v>4807</v>
      </c>
      <c r="C2109" s="5">
        <v>2856</v>
      </c>
      <c r="D2109" s="1" t="s">
        <v>938</v>
      </c>
      <c r="E2109" s="1" t="s">
        <v>939</v>
      </c>
      <c r="F2109" s="1" t="s">
        <v>955</v>
      </c>
      <c r="G2109" s="1" t="s">
        <v>940</v>
      </c>
      <c r="H2109" s="3">
        <v>46034</v>
      </c>
      <c r="I2109" s="1" t="s">
        <v>933</v>
      </c>
      <c r="J2109" s="1" t="s">
        <v>951</v>
      </c>
      <c r="K2109" s="1" t="s">
        <v>20</v>
      </c>
      <c r="L2109" s="1" t="s">
        <v>3456</v>
      </c>
      <c r="M2109" s="3">
        <v>46006</v>
      </c>
      <c r="N2109" s="1" t="s">
        <v>821</v>
      </c>
      <c r="O2109" s="1" t="s">
        <v>936</v>
      </c>
      <c r="P2109" s="1">
        <v>1</v>
      </c>
    </row>
    <row r="2110" spans="1:16" x14ac:dyDescent="0.25">
      <c r="A2110" s="3">
        <v>46003</v>
      </c>
      <c r="B2110" s="1">
        <v>505</v>
      </c>
      <c r="C2110" s="5">
        <v>100</v>
      </c>
      <c r="D2110" s="1" t="s">
        <v>1953</v>
      </c>
      <c r="E2110" s="1" t="s">
        <v>1954</v>
      </c>
      <c r="F2110" s="1" t="s">
        <v>619</v>
      </c>
      <c r="G2110" s="1" t="s">
        <v>940</v>
      </c>
      <c r="H2110" s="3">
        <v>46031</v>
      </c>
      <c r="I2110" s="1" t="s">
        <v>933</v>
      </c>
      <c r="J2110" s="1" t="s">
        <v>66</v>
      </c>
      <c r="K2110" s="1" t="s">
        <v>340</v>
      </c>
      <c r="L2110" s="1" t="s">
        <v>3457</v>
      </c>
      <c r="M2110" s="3">
        <v>46010</v>
      </c>
      <c r="N2110" s="1" t="s">
        <v>383</v>
      </c>
      <c r="O2110" s="1" t="s">
        <v>936</v>
      </c>
      <c r="P2110" s="1">
        <v>1</v>
      </c>
    </row>
    <row r="2111" spans="1:16" x14ac:dyDescent="0.25">
      <c r="A2111" s="3">
        <v>46003</v>
      </c>
      <c r="B2111" s="1">
        <v>505</v>
      </c>
      <c r="C2111" s="5">
        <v>100</v>
      </c>
      <c r="D2111" s="1" t="s">
        <v>1953</v>
      </c>
      <c r="E2111" s="1" t="s">
        <v>1954</v>
      </c>
      <c r="F2111" s="1" t="s">
        <v>693</v>
      </c>
      <c r="G2111" s="1" t="s">
        <v>940</v>
      </c>
      <c r="H2111" s="3">
        <v>46031</v>
      </c>
      <c r="I2111" s="1" t="s">
        <v>933</v>
      </c>
      <c r="J2111" s="1" t="s">
        <v>66</v>
      </c>
      <c r="K2111" s="1" t="s">
        <v>340</v>
      </c>
      <c r="L2111" s="1" t="s">
        <v>3458</v>
      </c>
      <c r="M2111" s="3">
        <v>46010</v>
      </c>
      <c r="N2111" s="1" t="s">
        <v>383</v>
      </c>
      <c r="O2111" s="1" t="s">
        <v>936</v>
      </c>
      <c r="P2111" s="1">
        <v>1</v>
      </c>
    </row>
    <row r="2112" spans="1:16" x14ac:dyDescent="0.25">
      <c r="A2112" s="3">
        <v>46003</v>
      </c>
      <c r="B2112" s="1">
        <v>505</v>
      </c>
      <c r="C2112" s="5">
        <v>120</v>
      </c>
      <c r="D2112" s="1" t="s">
        <v>1953</v>
      </c>
      <c r="E2112" s="1" t="s">
        <v>1954</v>
      </c>
      <c r="F2112" s="1" t="s">
        <v>430</v>
      </c>
      <c r="G2112" s="1" t="s">
        <v>940</v>
      </c>
      <c r="H2112" s="3">
        <v>46031</v>
      </c>
      <c r="I2112" s="1" t="s">
        <v>933</v>
      </c>
      <c r="J2112" s="1" t="s">
        <v>66</v>
      </c>
      <c r="K2112" s="1" t="s">
        <v>1654</v>
      </c>
      <c r="L2112" s="1" t="s">
        <v>3459</v>
      </c>
      <c r="M2112" s="3">
        <v>46010</v>
      </c>
      <c r="N2112" s="1" t="s">
        <v>57</v>
      </c>
      <c r="O2112" s="1" t="s">
        <v>936</v>
      </c>
      <c r="P2112" s="1">
        <v>1</v>
      </c>
    </row>
    <row r="2113" spans="1:16" x14ac:dyDescent="0.25">
      <c r="A2113" s="3">
        <v>46003</v>
      </c>
      <c r="B2113" s="1">
        <v>505</v>
      </c>
      <c r="C2113" s="5">
        <v>340</v>
      </c>
      <c r="D2113" s="1" t="s">
        <v>1953</v>
      </c>
      <c r="E2113" s="1" t="s">
        <v>1954</v>
      </c>
      <c r="F2113" s="1" t="s">
        <v>686</v>
      </c>
      <c r="G2113" s="1" t="s">
        <v>940</v>
      </c>
      <c r="H2113" s="3">
        <v>46031</v>
      </c>
      <c r="I2113" s="1" t="s">
        <v>933</v>
      </c>
      <c r="J2113" s="1" t="s">
        <v>66</v>
      </c>
      <c r="K2113" s="1" t="s">
        <v>858</v>
      </c>
      <c r="L2113" s="1" t="s">
        <v>3460</v>
      </c>
      <c r="M2113" s="3">
        <v>46010</v>
      </c>
      <c r="N2113" s="1" t="s">
        <v>57</v>
      </c>
      <c r="O2113" s="1" t="s">
        <v>936</v>
      </c>
      <c r="P2113" s="1">
        <v>1</v>
      </c>
    </row>
    <row r="2114" spans="1:16" x14ac:dyDescent="0.25">
      <c r="A2114" s="3">
        <v>46003</v>
      </c>
      <c r="B2114" s="1">
        <v>505</v>
      </c>
      <c r="C2114" s="5">
        <v>1010</v>
      </c>
      <c r="D2114" s="1" t="s">
        <v>1953</v>
      </c>
      <c r="E2114" s="1" t="s">
        <v>1954</v>
      </c>
      <c r="F2114" s="1" t="s">
        <v>639</v>
      </c>
      <c r="G2114" s="1" t="s">
        <v>940</v>
      </c>
      <c r="H2114" s="3">
        <v>46031</v>
      </c>
      <c r="I2114" s="1" t="s">
        <v>933</v>
      </c>
      <c r="J2114" s="1" t="s">
        <v>66</v>
      </c>
      <c r="K2114" s="1" t="s">
        <v>340</v>
      </c>
      <c r="L2114" s="1" t="s">
        <v>3461</v>
      </c>
      <c r="M2114" s="3">
        <v>46010</v>
      </c>
      <c r="N2114" s="1" t="s">
        <v>98</v>
      </c>
      <c r="O2114" s="1" t="s">
        <v>936</v>
      </c>
      <c r="P2114" s="1">
        <v>1</v>
      </c>
    </row>
    <row r="2115" spans="1:16" x14ac:dyDescent="0.25">
      <c r="A2115" s="3">
        <v>46003</v>
      </c>
      <c r="B2115" s="1">
        <v>505</v>
      </c>
      <c r="C2115" s="5">
        <v>177</v>
      </c>
      <c r="D2115" s="1" t="s">
        <v>1953</v>
      </c>
      <c r="E2115" s="1" t="s">
        <v>1954</v>
      </c>
      <c r="F2115" s="1" t="s">
        <v>451</v>
      </c>
      <c r="G2115" s="1" t="s">
        <v>940</v>
      </c>
      <c r="H2115" s="3">
        <v>46031</v>
      </c>
      <c r="I2115" s="1" t="s">
        <v>933</v>
      </c>
      <c r="J2115" s="1" t="s">
        <v>66</v>
      </c>
      <c r="K2115" s="1" t="s">
        <v>1654</v>
      </c>
      <c r="L2115" s="1" t="s">
        <v>3462</v>
      </c>
      <c r="M2115" s="3">
        <v>46010</v>
      </c>
      <c r="N2115" s="1" t="s">
        <v>212</v>
      </c>
      <c r="O2115" s="1" t="s">
        <v>936</v>
      </c>
      <c r="P2115" s="1">
        <v>1</v>
      </c>
    </row>
    <row r="2116" spans="1:16" x14ac:dyDescent="0.25">
      <c r="A2116" s="3">
        <v>46003</v>
      </c>
      <c r="B2116" s="1">
        <v>505</v>
      </c>
      <c r="C2116" s="5">
        <v>280</v>
      </c>
      <c r="D2116" s="1" t="s">
        <v>1953</v>
      </c>
      <c r="E2116" s="1" t="s">
        <v>1954</v>
      </c>
      <c r="F2116" s="1" t="s">
        <v>717</v>
      </c>
      <c r="G2116" s="1" t="s">
        <v>940</v>
      </c>
      <c r="H2116" s="3">
        <v>46031</v>
      </c>
      <c r="I2116" s="1" t="s">
        <v>933</v>
      </c>
      <c r="J2116" s="1" t="s">
        <v>66</v>
      </c>
      <c r="K2116" s="1" t="s">
        <v>340</v>
      </c>
      <c r="L2116" s="1" t="s">
        <v>3463</v>
      </c>
      <c r="M2116" s="3">
        <v>46010</v>
      </c>
      <c r="N2116" s="1" t="s">
        <v>712</v>
      </c>
      <c r="O2116" s="1" t="s">
        <v>936</v>
      </c>
      <c r="P2116" s="1">
        <v>1</v>
      </c>
    </row>
    <row r="2117" spans="1:16" x14ac:dyDescent="0.25">
      <c r="A2117" s="3">
        <v>46003</v>
      </c>
      <c r="B2117" s="1">
        <v>505</v>
      </c>
      <c r="C2117" s="5">
        <v>235</v>
      </c>
      <c r="D2117" s="1" t="s">
        <v>1953</v>
      </c>
      <c r="E2117" s="1" t="s">
        <v>1954</v>
      </c>
      <c r="F2117" s="1" t="s">
        <v>533</v>
      </c>
      <c r="G2117" s="1" t="s">
        <v>940</v>
      </c>
      <c r="H2117" s="3">
        <v>46031</v>
      </c>
      <c r="I2117" s="1" t="s">
        <v>933</v>
      </c>
      <c r="J2117" s="1" t="s">
        <v>66</v>
      </c>
      <c r="K2117" s="1" t="s">
        <v>340</v>
      </c>
      <c r="L2117" s="1" t="s">
        <v>3464</v>
      </c>
      <c r="M2117" s="3">
        <v>46010</v>
      </c>
      <c r="N2117" s="1" t="s">
        <v>57</v>
      </c>
      <c r="O2117" s="1" t="s">
        <v>936</v>
      </c>
      <c r="P2117" s="1">
        <v>1</v>
      </c>
    </row>
    <row r="2118" spans="1:16" x14ac:dyDescent="0.25">
      <c r="A2118" s="3">
        <v>46003</v>
      </c>
      <c r="B2118" s="1">
        <v>505</v>
      </c>
      <c r="C2118" s="5">
        <v>285</v>
      </c>
      <c r="D2118" s="1" t="s">
        <v>1953</v>
      </c>
      <c r="E2118" s="1" t="s">
        <v>1954</v>
      </c>
      <c r="F2118" s="1" t="s">
        <v>809</v>
      </c>
      <c r="G2118" s="1" t="s">
        <v>940</v>
      </c>
      <c r="H2118" s="3">
        <v>46031</v>
      </c>
      <c r="I2118" s="1" t="s">
        <v>933</v>
      </c>
      <c r="J2118" s="1" t="s">
        <v>66</v>
      </c>
      <c r="K2118" s="1" t="s">
        <v>340</v>
      </c>
      <c r="L2118" s="1" t="s">
        <v>3465</v>
      </c>
      <c r="M2118" s="3">
        <v>46010</v>
      </c>
      <c r="N2118" s="1" t="s">
        <v>212</v>
      </c>
      <c r="O2118" s="1" t="s">
        <v>936</v>
      </c>
      <c r="P2118" s="1">
        <v>1</v>
      </c>
    </row>
    <row r="2119" spans="1:16" x14ac:dyDescent="0.25">
      <c r="A2119" s="3">
        <v>46003</v>
      </c>
      <c r="B2119" s="1">
        <v>505</v>
      </c>
      <c r="C2119" s="5">
        <v>85</v>
      </c>
      <c r="D2119" s="1" t="s">
        <v>1953</v>
      </c>
      <c r="E2119" s="1" t="s">
        <v>1954</v>
      </c>
      <c r="F2119" s="1" t="s">
        <v>759</v>
      </c>
      <c r="G2119" s="1" t="s">
        <v>940</v>
      </c>
      <c r="H2119" s="3">
        <v>46031</v>
      </c>
      <c r="I2119" s="1" t="s">
        <v>933</v>
      </c>
      <c r="J2119" s="1" t="s">
        <v>66</v>
      </c>
      <c r="K2119" s="1" t="s">
        <v>340</v>
      </c>
      <c r="L2119" s="1" t="s">
        <v>3466</v>
      </c>
      <c r="M2119" s="3">
        <v>46010</v>
      </c>
      <c r="N2119" s="1" t="s">
        <v>75</v>
      </c>
      <c r="O2119" s="1" t="s">
        <v>936</v>
      </c>
      <c r="P2119" s="1">
        <v>1</v>
      </c>
    </row>
    <row r="2120" spans="1:16" x14ac:dyDescent="0.25">
      <c r="A2120" s="3">
        <v>46003</v>
      </c>
      <c r="B2120" s="1">
        <v>505</v>
      </c>
      <c r="C2120" s="5">
        <v>140</v>
      </c>
      <c r="D2120" s="1" t="s">
        <v>1953</v>
      </c>
      <c r="E2120" s="1" t="s">
        <v>1954</v>
      </c>
      <c r="F2120" s="1" t="s">
        <v>906</v>
      </c>
      <c r="G2120" s="1" t="s">
        <v>940</v>
      </c>
      <c r="H2120" s="3">
        <v>46031</v>
      </c>
      <c r="I2120" s="1" t="s">
        <v>933</v>
      </c>
      <c r="J2120" s="1" t="s">
        <v>66</v>
      </c>
      <c r="K2120" s="1" t="s">
        <v>308</v>
      </c>
      <c r="L2120" s="1" t="s">
        <v>3467</v>
      </c>
      <c r="M2120" s="3">
        <v>46010</v>
      </c>
      <c r="N2120" s="1" t="s">
        <v>57</v>
      </c>
      <c r="O2120" s="1" t="s">
        <v>936</v>
      </c>
      <c r="P2120" s="1">
        <v>1</v>
      </c>
    </row>
    <row r="2121" spans="1:16" x14ac:dyDescent="0.25">
      <c r="A2121" s="3">
        <v>46003</v>
      </c>
      <c r="B2121" s="1">
        <v>505</v>
      </c>
      <c r="C2121" s="5">
        <v>90</v>
      </c>
      <c r="D2121" s="1" t="s">
        <v>1953</v>
      </c>
      <c r="E2121" s="1" t="s">
        <v>1954</v>
      </c>
      <c r="F2121" s="1" t="s">
        <v>955</v>
      </c>
      <c r="G2121" s="1" t="s">
        <v>940</v>
      </c>
      <c r="H2121" s="3">
        <v>46031</v>
      </c>
      <c r="I2121" s="1" t="s">
        <v>933</v>
      </c>
      <c r="J2121" s="1" t="s">
        <v>951</v>
      </c>
      <c r="K2121" s="1" t="s">
        <v>340</v>
      </c>
      <c r="L2121" s="1" t="s">
        <v>3468</v>
      </c>
      <c r="M2121" s="3">
        <v>46010</v>
      </c>
      <c r="N2121" s="1" t="s">
        <v>821</v>
      </c>
      <c r="O2121" s="1" t="s">
        <v>936</v>
      </c>
      <c r="P2121" s="1">
        <v>1</v>
      </c>
    </row>
    <row r="2122" spans="1:16" x14ac:dyDescent="0.25">
      <c r="A2122" s="3">
        <v>46003</v>
      </c>
      <c r="B2122" s="1">
        <v>505</v>
      </c>
      <c r="C2122" s="5">
        <v>330</v>
      </c>
      <c r="D2122" s="1" t="s">
        <v>1953</v>
      </c>
      <c r="E2122" s="1" t="s">
        <v>1954</v>
      </c>
      <c r="F2122" s="1" t="s">
        <v>419</v>
      </c>
      <c r="G2122" s="1" t="s">
        <v>940</v>
      </c>
      <c r="H2122" s="3">
        <v>46031</v>
      </c>
      <c r="I2122" s="1" t="s">
        <v>933</v>
      </c>
      <c r="J2122" s="1" t="s">
        <v>66</v>
      </c>
      <c r="K2122" s="1" t="s">
        <v>308</v>
      </c>
      <c r="L2122" s="1" t="s">
        <v>3469</v>
      </c>
      <c r="M2122" s="3">
        <v>46010</v>
      </c>
      <c r="N2122" s="1" t="s">
        <v>98</v>
      </c>
      <c r="O2122" s="1" t="s">
        <v>936</v>
      </c>
      <c r="P2122" s="1">
        <v>1</v>
      </c>
    </row>
    <row r="2123" spans="1:16" x14ac:dyDescent="0.25">
      <c r="A2123" s="3">
        <v>46003</v>
      </c>
      <c r="B2123" s="1">
        <v>505</v>
      </c>
      <c r="C2123" s="5">
        <v>120</v>
      </c>
      <c r="D2123" s="1" t="s">
        <v>1953</v>
      </c>
      <c r="E2123" s="1" t="s">
        <v>1954</v>
      </c>
      <c r="F2123" s="1" t="s">
        <v>88</v>
      </c>
      <c r="G2123" s="1" t="s">
        <v>940</v>
      </c>
      <c r="H2123" s="3">
        <v>46031</v>
      </c>
      <c r="I2123" s="1" t="s">
        <v>933</v>
      </c>
      <c r="J2123" s="1" t="s">
        <v>66</v>
      </c>
      <c r="K2123" s="1" t="s">
        <v>1654</v>
      </c>
      <c r="L2123" s="1" t="s">
        <v>3470</v>
      </c>
      <c r="M2123" s="3">
        <v>46010</v>
      </c>
      <c r="N2123" s="1"/>
      <c r="O2123" s="1"/>
      <c r="P2123" s="1"/>
    </row>
    <row r="2124" spans="1:16" x14ac:dyDescent="0.25">
      <c r="A2124" s="3">
        <v>46003</v>
      </c>
      <c r="B2124" s="1">
        <v>505</v>
      </c>
      <c r="C2124" s="5">
        <v>290</v>
      </c>
      <c r="D2124" s="1" t="s">
        <v>1953</v>
      </c>
      <c r="E2124" s="1" t="s">
        <v>1954</v>
      </c>
      <c r="F2124" s="1" t="s">
        <v>451</v>
      </c>
      <c r="G2124" s="1" t="s">
        <v>940</v>
      </c>
      <c r="H2124" s="3">
        <v>46031</v>
      </c>
      <c r="I2124" s="1" t="s">
        <v>933</v>
      </c>
      <c r="J2124" s="1" t="s">
        <v>66</v>
      </c>
      <c r="K2124" s="1" t="s">
        <v>1654</v>
      </c>
      <c r="L2124" s="1" t="s">
        <v>3471</v>
      </c>
      <c r="M2124" s="3">
        <v>46010</v>
      </c>
      <c r="N2124" s="1" t="s">
        <v>212</v>
      </c>
      <c r="O2124" s="1" t="s">
        <v>936</v>
      </c>
      <c r="P2124" s="1">
        <v>1</v>
      </c>
    </row>
    <row r="2125" spans="1:16" x14ac:dyDescent="0.25">
      <c r="A2125" s="3">
        <v>46003</v>
      </c>
      <c r="B2125" s="1">
        <v>505</v>
      </c>
      <c r="C2125" s="5">
        <v>470</v>
      </c>
      <c r="D2125" s="1" t="s">
        <v>1953</v>
      </c>
      <c r="E2125" s="1" t="s">
        <v>1954</v>
      </c>
      <c r="F2125" s="1" t="s">
        <v>775</v>
      </c>
      <c r="G2125" s="1" t="s">
        <v>940</v>
      </c>
      <c r="H2125" s="3">
        <v>46031</v>
      </c>
      <c r="I2125" s="1" t="s">
        <v>933</v>
      </c>
      <c r="J2125" s="1" t="s">
        <v>66</v>
      </c>
      <c r="K2125" s="1" t="s">
        <v>340</v>
      </c>
      <c r="L2125" s="1" t="s">
        <v>3472</v>
      </c>
      <c r="M2125" s="3">
        <v>46010</v>
      </c>
      <c r="N2125" s="1" t="s">
        <v>580</v>
      </c>
      <c r="O2125" s="1" t="s">
        <v>936</v>
      </c>
      <c r="P2125" s="1">
        <v>1</v>
      </c>
    </row>
    <row r="2126" spans="1:16" x14ac:dyDescent="0.25">
      <c r="A2126" s="3">
        <v>46003</v>
      </c>
      <c r="B2126" s="1">
        <v>505</v>
      </c>
      <c r="C2126" s="5">
        <v>60</v>
      </c>
      <c r="D2126" s="1" t="s">
        <v>1953</v>
      </c>
      <c r="E2126" s="1" t="s">
        <v>1954</v>
      </c>
      <c r="F2126" s="1" t="s">
        <v>721</v>
      </c>
      <c r="G2126" s="1" t="s">
        <v>940</v>
      </c>
      <c r="H2126" s="3">
        <v>46031</v>
      </c>
      <c r="I2126" s="1" t="s">
        <v>933</v>
      </c>
      <c r="J2126" s="1" t="s">
        <v>66</v>
      </c>
      <c r="K2126" s="1" t="s">
        <v>340</v>
      </c>
      <c r="L2126" s="1" t="s">
        <v>3473</v>
      </c>
      <c r="M2126" s="3">
        <v>46010</v>
      </c>
      <c r="N2126" s="1" t="s">
        <v>712</v>
      </c>
      <c r="O2126" s="1" t="s">
        <v>936</v>
      </c>
      <c r="P2126" s="1">
        <v>1</v>
      </c>
    </row>
    <row r="2127" spans="1:16" x14ac:dyDescent="0.25">
      <c r="A2127" s="3">
        <v>46003</v>
      </c>
      <c r="B2127" s="1">
        <v>505</v>
      </c>
      <c r="C2127" s="5">
        <v>1480</v>
      </c>
      <c r="D2127" s="1" t="s">
        <v>1953</v>
      </c>
      <c r="E2127" s="1" t="s">
        <v>1954</v>
      </c>
      <c r="F2127" s="1" t="s">
        <v>639</v>
      </c>
      <c r="G2127" s="1" t="s">
        <v>940</v>
      </c>
      <c r="H2127" s="3">
        <v>46031</v>
      </c>
      <c r="I2127" s="1" t="s">
        <v>994</v>
      </c>
      <c r="J2127" s="1" t="s">
        <v>66</v>
      </c>
      <c r="K2127" s="1" t="s">
        <v>340</v>
      </c>
      <c r="L2127" s="1" t="s">
        <v>3474</v>
      </c>
      <c r="M2127" s="3">
        <v>46010</v>
      </c>
      <c r="N2127" s="1" t="s">
        <v>98</v>
      </c>
      <c r="O2127" s="1" t="s">
        <v>936</v>
      </c>
      <c r="P2127" s="1">
        <v>1</v>
      </c>
    </row>
    <row r="2128" spans="1:16" x14ac:dyDescent="0.25">
      <c r="A2128" s="3">
        <v>46003</v>
      </c>
      <c r="B2128" s="1">
        <v>220</v>
      </c>
      <c r="C2128" s="5">
        <v>9500</v>
      </c>
      <c r="D2128" s="1" t="s">
        <v>1376</v>
      </c>
      <c r="E2128" s="1" t="s">
        <v>1377</v>
      </c>
      <c r="F2128" s="1" t="s">
        <v>3475</v>
      </c>
      <c r="G2128" s="1" t="s">
        <v>1029</v>
      </c>
      <c r="H2128" s="3">
        <v>46027</v>
      </c>
      <c r="I2128" s="1" t="s">
        <v>933</v>
      </c>
      <c r="J2128" s="1" t="s">
        <v>937</v>
      </c>
      <c r="K2128" s="1" t="s">
        <v>910</v>
      </c>
      <c r="L2128" s="1" t="s">
        <v>3476</v>
      </c>
      <c r="M2128" s="3">
        <v>46006</v>
      </c>
      <c r="N2128" s="1" t="s">
        <v>937</v>
      </c>
      <c r="O2128" s="1" t="s">
        <v>936</v>
      </c>
      <c r="P2128" s="1" t="s">
        <v>937</v>
      </c>
    </row>
    <row r="2129" spans="1:16" x14ac:dyDescent="0.25">
      <c r="A2129" s="3">
        <v>46003</v>
      </c>
      <c r="B2129" s="4">
        <v>73251</v>
      </c>
      <c r="C2129" s="5">
        <v>3238</v>
      </c>
      <c r="D2129" s="1" t="s">
        <v>1994</v>
      </c>
      <c r="E2129" s="1" t="s">
        <v>1995</v>
      </c>
      <c r="F2129" s="1" t="s">
        <v>736</v>
      </c>
      <c r="G2129" s="1" t="s">
        <v>1667</v>
      </c>
      <c r="H2129" s="3">
        <v>46031</v>
      </c>
      <c r="I2129" s="1" t="s">
        <v>1100</v>
      </c>
      <c r="J2129" s="1" t="s">
        <v>66</v>
      </c>
      <c r="K2129" s="1" t="s">
        <v>308</v>
      </c>
      <c r="L2129" s="1" t="s">
        <v>3477</v>
      </c>
      <c r="M2129" s="3">
        <v>46007</v>
      </c>
      <c r="N2129" s="1" t="s">
        <v>57</v>
      </c>
      <c r="O2129" s="1" t="s">
        <v>936</v>
      </c>
      <c r="P2129" s="1">
        <v>1</v>
      </c>
    </row>
    <row r="2130" spans="1:16" x14ac:dyDescent="0.25">
      <c r="A2130" s="3">
        <v>46003</v>
      </c>
      <c r="B2130" s="4">
        <v>6001674037</v>
      </c>
      <c r="C2130" s="5">
        <v>64.06</v>
      </c>
      <c r="D2130" s="1" t="s">
        <v>1855</v>
      </c>
      <c r="E2130" s="1" t="s">
        <v>2116</v>
      </c>
      <c r="F2130" s="1" t="s">
        <v>650</v>
      </c>
      <c r="G2130" s="1" t="s">
        <v>1029</v>
      </c>
      <c r="H2130" s="3">
        <v>46016</v>
      </c>
      <c r="I2130" s="1" t="s">
        <v>933</v>
      </c>
      <c r="J2130" s="1" t="s">
        <v>66</v>
      </c>
      <c r="K2130" s="1" t="s">
        <v>340</v>
      </c>
      <c r="L2130" s="1" t="s">
        <v>3233</v>
      </c>
      <c r="M2130" s="3">
        <v>46008</v>
      </c>
      <c r="N2130" s="1" t="s">
        <v>57</v>
      </c>
      <c r="O2130" s="1" t="s">
        <v>1031</v>
      </c>
      <c r="P2130" s="1">
        <v>1</v>
      </c>
    </row>
    <row r="2131" spans="1:16" x14ac:dyDescent="0.25">
      <c r="A2131" s="3">
        <v>46003</v>
      </c>
      <c r="B2131" s="4">
        <v>18811</v>
      </c>
      <c r="C2131" s="5">
        <v>7256.66</v>
      </c>
      <c r="D2131" s="1" t="s">
        <v>3478</v>
      </c>
      <c r="E2131" s="1" t="s">
        <v>3479</v>
      </c>
      <c r="F2131" s="1" t="s">
        <v>837</v>
      </c>
      <c r="G2131" s="1" t="s">
        <v>940</v>
      </c>
      <c r="H2131" s="3">
        <v>46037</v>
      </c>
      <c r="I2131" s="1" t="s">
        <v>50</v>
      </c>
      <c r="J2131" s="1" t="s">
        <v>66</v>
      </c>
      <c r="K2131" s="1" t="s">
        <v>340</v>
      </c>
      <c r="L2131" s="1" t="s">
        <v>3480</v>
      </c>
      <c r="M2131" s="3">
        <v>46009</v>
      </c>
      <c r="N2131" s="1" t="s">
        <v>50</v>
      </c>
      <c r="O2131" s="1" t="s">
        <v>936</v>
      </c>
      <c r="P2131" s="1">
        <v>1</v>
      </c>
    </row>
    <row r="2132" spans="1:16" x14ac:dyDescent="0.25">
      <c r="A2132" s="3">
        <v>46003</v>
      </c>
      <c r="B2132" s="4">
        <v>18830</v>
      </c>
      <c r="C2132" s="5">
        <v>3693.44</v>
      </c>
      <c r="D2132" s="1" t="s">
        <v>3478</v>
      </c>
      <c r="E2132" s="1" t="s">
        <v>3479</v>
      </c>
      <c r="F2132" s="1" t="s">
        <v>955</v>
      </c>
      <c r="G2132" s="1" t="s">
        <v>940</v>
      </c>
      <c r="H2132" s="3">
        <v>46037</v>
      </c>
      <c r="I2132" s="1" t="s">
        <v>933</v>
      </c>
      <c r="J2132" s="1" t="s">
        <v>951</v>
      </c>
      <c r="K2132" s="1" t="s">
        <v>340</v>
      </c>
      <c r="L2132" s="1" t="s">
        <v>3481</v>
      </c>
      <c r="M2132" s="3">
        <v>46009</v>
      </c>
      <c r="N2132" s="1" t="s">
        <v>821</v>
      </c>
      <c r="O2132" s="1" t="s">
        <v>936</v>
      </c>
      <c r="P2132" s="1">
        <v>1</v>
      </c>
    </row>
    <row r="2133" spans="1:16" x14ac:dyDescent="0.25">
      <c r="A2133" s="3">
        <v>46005</v>
      </c>
      <c r="B2133" s="4">
        <v>51582119</v>
      </c>
      <c r="C2133" s="5">
        <v>18245</v>
      </c>
      <c r="D2133" s="1" t="s">
        <v>1604</v>
      </c>
      <c r="E2133" s="1" t="s">
        <v>1605</v>
      </c>
      <c r="F2133" s="1" t="s">
        <v>955</v>
      </c>
      <c r="G2133" s="1" t="s">
        <v>998</v>
      </c>
      <c r="H2133" s="3">
        <v>46020</v>
      </c>
      <c r="I2133" s="1" t="s">
        <v>933</v>
      </c>
      <c r="J2133" s="1" t="s">
        <v>951</v>
      </c>
      <c r="K2133" s="1" t="s">
        <v>934</v>
      </c>
      <c r="L2133" s="1" t="s">
        <v>3482</v>
      </c>
      <c r="M2133" s="3">
        <v>46006</v>
      </c>
      <c r="N2133" s="1" t="s">
        <v>821</v>
      </c>
      <c r="O2133" s="1" t="s">
        <v>932</v>
      </c>
      <c r="P2133" s="1">
        <v>1</v>
      </c>
    </row>
    <row r="2134" spans="1:16" x14ac:dyDescent="0.25">
      <c r="A2134" s="3">
        <v>46006</v>
      </c>
      <c r="B2134" s="4">
        <v>1139</v>
      </c>
      <c r="C2134" s="5">
        <v>60</v>
      </c>
      <c r="D2134" s="1" t="s">
        <v>1074</v>
      </c>
      <c r="E2134" s="1" t="s">
        <v>1075</v>
      </c>
      <c r="F2134" s="1" t="s">
        <v>430</v>
      </c>
      <c r="G2134" s="1" t="s">
        <v>981</v>
      </c>
      <c r="H2134" s="3">
        <v>46021</v>
      </c>
      <c r="I2134" s="1" t="s">
        <v>933</v>
      </c>
      <c r="J2134" s="1" t="s">
        <v>66</v>
      </c>
      <c r="K2134" s="1" t="s">
        <v>1654</v>
      </c>
      <c r="L2134" s="1" t="s">
        <v>3483</v>
      </c>
      <c r="M2134" s="3">
        <v>46007</v>
      </c>
      <c r="N2134" s="1" t="s">
        <v>57</v>
      </c>
      <c r="O2134" s="1" t="s">
        <v>936</v>
      </c>
      <c r="P2134" s="1">
        <v>1</v>
      </c>
    </row>
    <row r="2135" spans="1:16" x14ac:dyDescent="0.25">
      <c r="A2135" s="3">
        <v>46006</v>
      </c>
      <c r="B2135" s="4">
        <v>23182</v>
      </c>
      <c r="C2135" s="5">
        <v>7500</v>
      </c>
      <c r="D2135" s="1" t="s">
        <v>1319</v>
      </c>
      <c r="E2135" s="1" t="s">
        <v>1320</v>
      </c>
      <c r="F2135" s="1" t="s">
        <v>955</v>
      </c>
      <c r="G2135" s="1" t="s">
        <v>940</v>
      </c>
      <c r="H2135" s="3">
        <v>46032</v>
      </c>
      <c r="I2135" s="1" t="s">
        <v>933</v>
      </c>
      <c r="J2135" s="1" t="s">
        <v>951</v>
      </c>
      <c r="K2135" s="1" t="s">
        <v>20</v>
      </c>
      <c r="L2135" s="1" t="s">
        <v>3484</v>
      </c>
      <c r="M2135" s="3">
        <v>46006</v>
      </c>
      <c r="N2135" s="1" t="s">
        <v>821</v>
      </c>
      <c r="O2135" s="1" t="s">
        <v>936</v>
      </c>
      <c r="P2135" s="1">
        <v>1</v>
      </c>
    </row>
    <row r="2136" spans="1:16" x14ac:dyDescent="0.25">
      <c r="A2136" s="3">
        <v>46006</v>
      </c>
      <c r="B2136" s="1">
        <v>7</v>
      </c>
      <c r="C2136" s="5">
        <v>1187.05</v>
      </c>
      <c r="D2136" s="1" t="s">
        <v>3485</v>
      </c>
      <c r="E2136" s="1" t="s">
        <v>3486</v>
      </c>
      <c r="F2136" s="1" t="s">
        <v>955</v>
      </c>
      <c r="G2136" s="1" t="s">
        <v>940</v>
      </c>
      <c r="H2136" s="3">
        <v>46020</v>
      </c>
      <c r="I2136" s="1" t="s">
        <v>933</v>
      </c>
      <c r="J2136" s="1" t="s">
        <v>951</v>
      </c>
      <c r="K2136" s="1" t="s">
        <v>20</v>
      </c>
      <c r="L2136" s="1" t="s">
        <v>3487</v>
      </c>
      <c r="M2136" s="3">
        <v>46006</v>
      </c>
      <c r="N2136" s="1" t="s">
        <v>821</v>
      </c>
      <c r="O2136" s="1" t="s">
        <v>936</v>
      </c>
      <c r="P2136" s="1">
        <v>1</v>
      </c>
    </row>
    <row r="2137" spans="1:16" x14ac:dyDescent="0.25">
      <c r="A2137" s="3">
        <v>46006</v>
      </c>
      <c r="B2137" s="1">
        <v>111</v>
      </c>
      <c r="C2137" s="5">
        <v>480</v>
      </c>
      <c r="D2137" s="1" t="s">
        <v>2981</v>
      </c>
      <c r="E2137" s="1" t="s">
        <v>2982</v>
      </c>
      <c r="F2137" s="1" t="s">
        <v>949</v>
      </c>
      <c r="G2137" s="1" t="s">
        <v>950</v>
      </c>
      <c r="H2137" s="3">
        <v>46025</v>
      </c>
      <c r="I2137" s="1" t="s">
        <v>933</v>
      </c>
      <c r="J2137" s="1" t="s">
        <v>951</v>
      </c>
      <c r="K2137" s="1" t="s">
        <v>817</v>
      </c>
      <c r="L2137" s="1" t="s">
        <v>3488</v>
      </c>
      <c r="M2137" s="3">
        <v>46006</v>
      </c>
      <c r="N2137" s="1" t="s">
        <v>821</v>
      </c>
      <c r="O2137" s="1" t="s">
        <v>937</v>
      </c>
      <c r="P2137" s="1" t="s">
        <v>937</v>
      </c>
    </row>
    <row r="2138" spans="1:16" x14ac:dyDescent="0.25">
      <c r="A2138" s="3">
        <v>46006</v>
      </c>
      <c r="B2138" s="4">
        <v>1137</v>
      </c>
      <c r="C2138" s="5">
        <v>180</v>
      </c>
      <c r="D2138" s="1" t="s">
        <v>1126</v>
      </c>
      <c r="E2138" s="1" t="s">
        <v>1620</v>
      </c>
      <c r="F2138" s="1" t="s">
        <v>775</v>
      </c>
      <c r="G2138" s="1" t="s">
        <v>940</v>
      </c>
      <c r="H2138" s="3">
        <v>46031</v>
      </c>
      <c r="I2138" s="1" t="s">
        <v>933</v>
      </c>
      <c r="J2138" s="1" t="s">
        <v>66</v>
      </c>
      <c r="K2138" s="1" t="s">
        <v>1654</v>
      </c>
      <c r="L2138" s="1" t="s">
        <v>3489</v>
      </c>
      <c r="M2138" s="3">
        <v>46011</v>
      </c>
      <c r="N2138" s="1" t="s">
        <v>580</v>
      </c>
      <c r="O2138" s="1" t="s">
        <v>936</v>
      </c>
      <c r="P2138" s="1">
        <v>1</v>
      </c>
    </row>
    <row r="2139" spans="1:16" x14ac:dyDescent="0.25">
      <c r="A2139" s="3">
        <v>46006</v>
      </c>
      <c r="B2139" s="4">
        <v>1137</v>
      </c>
      <c r="C2139" s="5">
        <v>135</v>
      </c>
      <c r="D2139" s="1" t="s">
        <v>1126</v>
      </c>
      <c r="E2139" s="1" t="s">
        <v>1620</v>
      </c>
      <c r="F2139" s="1" t="s">
        <v>955</v>
      </c>
      <c r="G2139" s="1" t="s">
        <v>940</v>
      </c>
      <c r="H2139" s="3">
        <v>46031</v>
      </c>
      <c r="I2139" s="1" t="s">
        <v>933</v>
      </c>
      <c r="J2139" s="1" t="s">
        <v>951</v>
      </c>
      <c r="K2139" s="1" t="s">
        <v>487</v>
      </c>
      <c r="L2139" s="1" t="s">
        <v>3490</v>
      </c>
      <c r="M2139" s="3">
        <v>46011</v>
      </c>
      <c r="N2139" s="1" t="s">
        <v>821</v>
      </c>
      <c r="O2139" s="1" t="s">
        <v>936</v>
      </c>
      <c r="P2139" s="1">
        <v>1</v>
      </c>
    </row>
    <row r="2140" spans="1:16" x14ac:dyDescent="0.25">
      <c r="A2140" s="3">
        <v>46006</v>
      </c>
      <c r="B2140" s="4">
        <v>1137</v>
      </c>
      <c r="C2140" s="5">
        <v>1180</v>
      </c>
      <c r="D2140" s="1" t="s">
        <v>1126</v>
      </c>
      <c r="E2140" s="1" t="s">
        <v>1620</v>
      </c>
      <c r="F2140" s="1" t="s">
        <v>255</v>
      </c>
      <c r="G2140" s="1" t="s">
        <v>940</v>
      </c>
      <c r="H2140" s="3">
        <v>46031</v>
      </c>
      <c r="I2140" s="1" t="s">
        <v>933</v>
      </c>
      <c r="J2140" s="1" t="s">
        <v>66</v>
      </c>
      <c r="K2140" s="1" t="s">
        <v>340</v>
      </c>
      <c r="L2140" s="1" t="s">
        <v>3491</v>
      </c>
      <c r="M2140" s="3">
        <v>46011</v>
      </c>
      <c r="N2140" s="1" t="s">
        <v>57</v>
      </c>
      <c r="O2140" s="1" t="s">
        <v>936</v>
      </c>
      <c r="P2140" s="1">
        <v>1</v>
      </c>
    </row>
    <row r="2141" spans="1:16" x14ac:dyDescent="0.25">
      <c r="A2141" s="3">
        <v>46006</v>
      </c>
      <c r="B2141" s="4">
        <v>1137</v>
      </c>
      <c r="C2141" s="5">
        <v>1680</v>
      </c>
      <c r="D2141" s="1" t="s">
        <v>1126</v>
      </c>
      <c r="E2141" s="1" t="s">
        <v>1620</v>
      </c>
      <c r="F2141" s="1" t="s">
        <v>906</v>
      </c>
      <c r="G2141" s="1" t="s">
        <v>940</v>
      </c>
      <c r="H2141" s="3">
        <v>46031</v>
      </c>
      <c r="I2141" s="1" t="s">
        <v>933</v>
      </c>
      <c r="J2141" s="1" t="s">
        <v>66</v>
      </c>
      <c r="K2141" s="1" t="s">
        <v>308</v>
      </c>
      <c r="L2141" s="1" t="s">
        <v>3492</v>
      </c>
      <c r="M2141" s="3">
        <v>46011</v>
      </c>
      <c r="N2141" s="1" t="s">
        <v>57</v>
      </c>
      <c r="O2141" s="1" t="s">
        <v>936</v>
      </c>
      <c r="P2141" s="1">
        <v>1</v>
      </c>
    </row>
    <row r="2142" spans="1:16" x14ac:dyDescent="0.25">
      <c r="A2142" s="3">
        <v>46006</v>
      </c>
      <c r="B2142" s="4">
        <v>1137</v>
      </c>
      <c r="C2142" s="5">
        <v>680</v>
      </c>
      <c r="D2142" s="1" t="s">
        <v>1126</v>
      </c>
      <c r="E2142" s="1" t="s">
        <v>1620</v>
      </c>
      <c r="F2142" s="1" t="s">
        <v>857</v>
      </c>
      <c r="G2142" s="1" t="s">
        <v>940</v>
      </c>
      <c r="H2142" s="3">
        <v>46031</v>
      </c>
      <c r="I2142" s="1" t="s">
        <v>933</v>
      </c>
      <c r="J2142" s="1" t="s">
        <v>66</v>
      </c>
      <c r="K2142" s="1" t="s">
        <v>308</v>
      </c>
      <c r="L2142" s="1" t="s">
        <v>3493</v>
      </c>
      <c r="M2142" s="3">
        <v>46011</v>
      </c>
      <c r="N2142" s="1" t="s">
        <v>506</v>
      </c>
      <c r="O2142" s="1" t="s">
        <v>936</v>
      </c>
      <c r="P2142" s="1">
        <v>1</v>
      </c>
    </row>
    <row r="2143" spans="1:16" x14ac:dyDescent="0.25">
      <c r="A2143" s="3">
        <v>46006</v>
      </c>
      <c r="B2143" s="4">
        <v>1137</v>
      </c>
      <c r="C2143" s="5">
        <v>1380</v>
      </c>
      <c r="D2143" s="1" t="s">
        <v>1126</v>
      </c>
      <c r="E2143" s="1" t="s">
        <v>1620</v>
      </c>
      <c r="F2143" s="1" t="s">
        <v>759</v>
      </c>
      <c r="G2143" s="1" t="s">
        <v>940</v>
      </c>
      <c r="H2143" s="3">
        <v>46031</v>
      </c>
      <c r="I2143" s="1" t="s">
        <v>933</v>
      </c>
      <c r="J2143" s="1" t="s">
        <v>66</v>
      </c>
      <c r="K2143" s="1" t="s">
        <v>340</v>
      </c>
      <c r="L2143" s="1" t="s">
        <v>3494</v>
      </c>
      <c r="M2143" s="3">
        <v>46011</v>
      </c>
      <c r="N2143" s="1" t="s">
        <v>75</v>
      </c>
      <c r="O2143" s="1" t="s">
        <v>936</v>
      </c>
      <c r="P2143" s="1">
        <v>1</v>
      </c>
    </row>
    <row r="2144" spans="1:16" x14ac:dyDescent="0.25">
      <c r="A2144" s="3">
        <v>46006</v>
      </c>
      <c r="B2144" s="4">
        <v>1137</v>
      </c>
      <c r="C2144" s="5">
        <v>780</v>
      </c>
      <c r="D2144" s="1" t="s">
        <v>1126</v>
      </c>
      <c r="E2144" s="1" t="s">
        <v>1620</v>
      </c>
      <c r="F2144" s="1" t="s">
        <v>955</v>
      </c>
      <c r="G2144" s="1" t="s">
        <v>940</v>
      </c>
      <c r="H2144" s="3">
        <v>46031</v>
      </c>
      <c r="I2144" s="1" t="s">
        <v>933</v>
      </c>
      <c r="J2144" s="1" t="s">
        <v>951</v>
      </c>
      <c r="K2144" s="1" t="s">
        <v>1654</v>
      </c>
      <c r="L2144" s="1" t="s">
        <v>3495</v>
      </c>
      <c r="M2144" s="3">
        <v>46011</v>
      </c>
      <c r="N2144" s="1" t="s">
        <v>821</v>
      </c>
      <c r="O2144" s="1" t="s">
        <v>936</v>
      </c>
      <c r="P2144" s="1">
        <v>1</v>
      </c>
    </row>
    <row r="2145" spans="1:16" x14ac:dyDescent="0.25">
      <c r="A2145" s="3">
        <v>46006</v>
      </c>
      <c r="B2145" s="4">
        <v>1137</v>
      </c>
      <c r="C2145" s="5">
        <v>1185</v>
      </c>
      <c r="D2145" s="1" t="s">
        <v>1126</v>
      </c>
      <c r="E2145" s="1" t="s">
        <v>1620</v>
      </c>
      <c r="F2145" s="1" t="s">
        <v>753</v>
      </c>
      <c r="G2145" s="1" t="s">
        <v>940</v>
      </c>
      <c r="H2145" s="3">
        <v>46031</v>
      </c>
      <c r="I2145" s="1" t="s">
        <v>933</v>
      </c>
      <c r="J2145" s="1" t="s">
        <v>66</v>
      </c>
      <c r="K2145" s="1" t="s">
        <v>340</v>
      </c>
      <c r="L2145" s="1" t="s">
        <v>3496</v>
      </c>
      <c r="M2145" s="3">
        <v>46011</v>
      </c>
      <c r="N2145" s="1" t="s">
        <v>57</v>
      </c>
      <c r="O2145" s="1" t="s">
        <v>936</v>
      </c>
      <c r="P2145" s="1">
        <v>1</v>
      </c>
    </row>
    <row r="2146" spans="1:16" x14ac:dyDescent="0.25">
      <c r="A2146" s="3">
        <v>46006</v>
      </c>
      <c r="B2146" s="4">
        <v>1137</v>
      </c>
      <c r="C2146" s="5">
        <v>450</v>
      </c>
      <c r="D2146" s="1" t="s">
        <v>1126</v>
      </c>
      <c r="E2146" s="1" t="s">
        <v>1620</v>
      </c>
      <c r="F2146" s="1" t="s">
        <v>437</v>
      </c>
      <c r="G2146" s="1" t="s">
        <v>940</v>
      </c>
      <c r="H2146" s="3">
        <v>46031</v>
      </c>
      <c r="I2146" s="1" t="s">
        <v>933</v>
      </c>
      <c r="J2146" s="1" t="s">
        <v>66</v>
      </c>
      <c r="K2146" s="1" t="s">
        <v>308</v>
      </c>
      <c r="L2146" s="1" t="s">
        <v>3497</v>
      </c>
      <c r="M2146" s="3">
        <v>46011</v>
      </c>
      <c r="N2146" s="1" t="s">
        <v>440</v>
      </c>
      <c r="O2146" s="1" t="s">
        <v>936</v>
      </c>
      <c r="P2146" s="1">
        <v>1</v>
      </c>
    </row>
    <row r="2147" spans="1:16" x14ac:dyDescent="0.25">
      <c r="A2147" s="3">
        <v>46006</v>
      </c>
      <c r="B2147" s="4">
        <v>1137</v>
      </c>
      <c r="C2147" s="5">
        <v>820</v>
      </c>
      <c r="D2147" s="1" t="s">
        <v>1126</v>
      </c>
      <c r="E2147" s="1" t="s">
        <v>1620</v>
      </c>
      <c r="F2147" s="1" t="s">
        <v>437</v>
      </c>
      <c r="G2147" s="1" t="s">
        <v>940</v>
      </c>
      <c r="H2147" s="3">
        <v>46031</v>
      </c>
      <c r="I2147" s="1" t="s">
        <v>933</v>
      </c>
      <c r="J2147" s="1" t="s">
        <v>66</v>
      </c>
      <c r="K2147" s="1" t="s">
        <v>308</v>
      </c>
      <c r="L2147" s="1" t="s">
        <v>3498</v>
      </c>
      <c r="M2147" s="3">
        <v>46011</v>
      </c>
      <c r="N2147" s="1" t="s">
        <v>440</v>
      </c>
      <c r="O2147" s="1" t="s">
        <v>936</v>
      </c>
      <c r="P2147" s="1">
        <v>1</v>
      </c>
    </row>
    <row r="2148" spans="1:16" x14ac:dyDescent="0.25">
      <c r="A2148" s="3">
        <v>46006</v>
      </c>
      <c r="B2148" s="4">
        <v>1137</v>
      </c>
      <c r="C2148" s="5">
        <v>1960</v>
      </c>
      <c r="D2148" s="1" t="s">
        <v>1126</v>
      </c>
      <c r="E2148" s="1" t="s">
        <v>1620</v>
      </c>
      <c r="F2148" s="1" t="s">
        <v>857</v>
      </c>
      <c r="G2148" s="1" t="s">
        <v>940</v>
      </c>
      <c r="H2148" s="3">
        <v>46031</v>
      </c>
      <c r="I2148" s="1" t="s">
        <v>933</v>
      </c>
      <c r="J2148" s="1" t="s">
        <v>66</v>
      </c>
      <c r="K2148" s="1" t="s">
        <v>308</v>
      </c>
      <c r="L2148" s="1" t="s">
        <v>3499</v>
      </c>
      <c r="M2148" s="3">
        <v>46011</v>
      </c>
      <c r="N2148" s="1" t="s">
        <v>506</v>
      </c>
      <c r="O2148" s="1" t="s">
        <v>936</v>
      </c>
      <c r="P2148" s="1">
        <v>1</v>
      </c>
    </row>
    <row r="2149" spans="1:16" x14ac:dyDescent="0.25">
      <c r="A2149" s="3">
        <v>46006</v>
      </c>
      <c r="B2149" s="4">
        <v>1137</v>
      </c>
      <c r="C2149" s="5">
        <v>650</v>
      </c>
      <c r="D2149" s="1" t="s">
        <v>1126</v>
      </c>
      <c r="E2149" s="1" t="s">
        <v>1620</v>
      </c>
      <c r="F2149" s="1" t="s">
        <v>727</v>
      </c>
      <c r="G2149" s="1" t="s">
        <v>940</v>
      </c>
      <c r="H2149" s="3">
        <v>46031</v>
      </c>
      <c r="I2149" s="1" t="s">
        <v>933</v>
      </c>
      <c r="J2149" s="1" t="s">
        <v>66</v>
      </c>
      <c r="K2149" s="1" t="s">
        <v>308</v>
      </c>
      <c r="L2149" s="1" t="s">
        <v>3500</v>
      </c>
      <c r="M2149" s="3">
        <v>46011</v>
      </c>
      <c r="N2149" s="1" t="s">
        <v>57</v>
      </c>
      <c r="O2149" s="1" t="s">
        <v>936</v>
      </c>
      <c r="P2149" s="1">
        <v>1</v>
      </c>
    </row>
    <row r="2150" spans="1:16" x14ac:dyDescent="0.25">
      <c r="A2150" s="3">
        <v>46006</v>
      </c>
      <c r="B2150" s="4">
        <v>1137</v>
      </c>
      <c r="C2150" s="5">
        <v>4750</v>
      </c>
      <c r="D2150" s="1" t="s">
        <v>1126</v>
      </c>
      <c r="E2150" s="1" t="s">
        <v>1620</v>
      </c>
      <c r="F2150" s="1" t="s">
        <v>955</v>
      </c>
      <c r="G2150" s="1" t="s">
        <v>940</v>
      </c>
      <c r="H2150" s="3">
        <v>46031</v>
      </c>
      <c r="I2150" s="1" t="s">
        <v>933</v>
      </c>
      <c r="J2150" s="1" t="s">
        <v>951</v>
      </c>
      <c r="K2150" s="1" t="s">
        <v>340</v>
      </c>
      <c r="L2150" s="1" t="s">
        <v>3501</v>
      </c>
      <c r="M2150" s="3">
        <v>46011</v>
      </c>
      <c r="N2150" s="1" t="s">
        <v>821</v>
      </c>
      <c r="O2150" s="1" t="s">
        <v>936</v>
      </c>
      <c r="P2150" s="1">
        <v>1</v>
      </c>
    </row>
    <row r="2151" spans="1:16" x14ac:dyDescent="0.25">
      <c r="A2151" s="3">
        <v>46006</v>
      </c>
      <c r="B2151" s="7">
        <v>45748</v>
      </c>
      <c r="C2151" s="5">
        <v>3000</v>
      </c>
      <c r="D2151" s="1" t="s">
        <v>2252</v>
      </c>
      <c r="E2151" s="1" t="s">
        <v>2253</v>
      </c>
      <c r="F2151" s="1" t="s">
        <v>955</v>
      </c>
      <c r="G2151" s="1" t="s">
        <v>932</v>
      </c>
      <c r="H2151" s="3">
        <v>46021</v>
      </c>
      <c r="I2151" s="1" t="s">
        <v>933</v>
      </c>
      <c r="J2151" s="1" t="s">
        <v>951</v>
      </c>
      <c r="K2151" s="1" t="s">
        <v>308</v>
      </c>
      <c r="L2151" s="1" t="s">
        <v>3502</v>
      </c>
      <c r="M2151" s="3">
        <v>46007</v>
      </c>
      <c r="N2151" s="1" t="s">
        <v>821</v>
      </c>
      <c r="O2151" s="1" t="s">
        <v>1031</v>
      </c>
      <c r="P2151" s="1">
        <v>1</v>
      </c>
    </row>
    <row r="2152" spans="1:16" x14ac:dyDescent="0.25">
      <c r="A2152" s="3">
        <v>46006</v>
      </c>
      <c r="B2152" s="1">
        <v>213</v>
      </c>
      <c r="C2152" s="5">
        <v>22415.9</v>
      </c>
      <c r="D2152" s="1" t="s">
        <v>2615</v>
      </c>
      <c r="E2152" s="1" t="s">
        <v>2616</v>
      </c>
      <c r="F2152" s="1" t="s">
        <v>955</v>
      </c>
      <c r="G2152" s="1" t="s">
        <v>932</v>
      </c>
      <c r="H2152" s="3">
        <v>46027</v>
      </c>
      <c r="I2152" s="1" t="s">
        <v>933</v>
      </c>
      <c r="J2152" s="1" t="s">
        <v>951</v>
      </c>
      <c r="K2152" s="1" t="s">
        <v>340</v>
      </c>
      <c r="L2152" s="1" t="s">
        <v>3503</v>
      </c>
      <c r="M2152" s="3">
        <v>46007</v>
      </c>
      <c r="N2152" s="1" t="s">
        <v>821</v>
      </c>
      <c r="O2152" s="1" t="s">
        <v>1031</v>
      </c>
      <c r="P2152" s="1" t="s">
        <v>937</v>
      </c>
    </row>
    <row r="2153" spans="1:16" x14ac:dyDescent="0.25">
      <c r="A2153" s="3">
        <v>46006</v>
      </c>
      <c r="B2153" s="4">
        <v>49064</v>
      </c>
      <c r="C2153" s="5">
        <v>620</v>
      </c>
      <c r="D2153" s="1" t="s">
        <v>1489</v>
      </c>
      <c r="E2153" s="1" t="s">
        <v>1490</v>
      </c>
      <c r="F2153" s="1" t="s">
        <v>949</v>
      </c>
      <c r="G2153" s="1" t="s">
        <v>940</v>
      </c>
      <c r="H2153" s="3">
        <v>46036</v>
      </c>
      <c r="I2153" s="1" t="s">
        <v>933</v>
      </c>
      <c r="J2153" s="1" t="s">
        <v>951</v>
      </c>
      <c r="K2153" s="1" t="s">
        <v>934</v>
      </c>
      <c r="L2153" s="1" t="s">
        <v>3504</v>
      </c>
      <c r="M2153" s="3">
        <v>46007</v>
      </c>
      <c r="N2153" s="1" t="s">
        <v>821</v>
      </c>
      <c r="O2153" s="1" t="s">
        <v>936</v>
      </c>
      <c r="P2153" s="1">
        <v>1</v>
      </c>
    </row>
    <row r="2154" spans="1:16" x14ac:dyDescent="0.25">
      <c r="A2154" s="3">
        <v>46006</v>
      </c>
      <c r="B2154" s="1">
        <v>29</v>
      </c>
      <c r="C2154" s="5">
        <v>7676.86</v>
      </c>
      <c r="D2154" s="1" t="s">
        <v>1730</v>
      </c>
      <c r="E2154" s="1" t="s">
        <v>2927</v>
      </c>
      <c r="F2154" s="1" t="s">
        <v>955</v>
      </c>
      <c r="G2154" s="1" t="s">
        <v>950</v>
      </c>
      <c r="H2154" s="3">
        <v>46021</v>
      </c>
      <c r="I2154" s="1" t="s">
        <v>933</v>
      </c>
      <c r="J2154" s="1" t="s">
        <v>951</v>
      </c>
      <c r="K2154" s="1" t="s">
        <v>20</v>
      </c>
      <c r="L2154" s="1" t="s">
        <v>3505</v>
      </c>
      <c r="M2154" s="3">
        <v>46007</v>
      </c>
      <c r="N2154" s="1" t="s">
        <v>821</v>
      </c>
      <c r="O2154" s="1" t="s">
        <v>936</v>
      </c>
      <c r="P2154" s="1" t="s">
        <v>937</v>
      </c>
    </row>
    <row r="2155" spans="1:16" x14ac:dyDescent="0.25">
      <c r="A2155" s="3">
        <v>46006</v>
      </c>
      <c r="B2155" s="4">
        <v>1139</v>
      </c>
      <c r="C2155" s="5">
        <v>25</v>
      </c>
      <c r="D2155" s="1" t="s">
        <v>1074</v>
      </c>
      <c r="E2155" s="1" t="s">
        <v>1075</v>
      </c>
      <c r="F2155" s="1" t="s">
        <v>955</v>
      </c>
      <c r="G2155" s="1" t="s">
        <v>981</v>
      </c>
      <c r="H2155" s="3">
        <v>46021</v>
      </c>
      <c r="I2155" s="1" t="s">
        <v>933</v>
      </c>
      <c r="J2155" s="1" t="s">
        <v>951</v>
      </c>
      <c r="K2155" s="1" t="s">
        <v>308</v>
      </c>
      <c r="L2155" s="1" t="s">
        <v>3506</v>
      </c>
      <c r="M2155" s="3">
        <v>46007</v>
      </c>
      <c r="N2155" s="1" t="s">
        <v>821</v>
      </c>
      <c r="O2155" s="1" t="s">
        <v>936</v>
      </c>
      <c r="P2155" s="1">
        <v>1</v>
      </c>
    </row>
    <row r="2156" spans="1:16" x14ac:dyDescent="0.25">
      <c r="A2156" s="3">
        <v>46006</v>
      </c>
      <c r="B2156" s="4">
        <v>1139</v>
      </c>
      <c r="C2156" s="5">
        <v>100</v>
      </c>
      <c r="D2156" s="1" t="s">
        <v>1074</v>
      </c>
      <c r="E2156" s="1" t="s">
        <v>1075</v>
      </c>
      <c r="F2156" s="1" t="s">
        <v>478</v>
      </c>
      <c r="G2156" s="1" t="s">
        <v>981</v>
      </c>
      <c r="H2156" s="3">
        <v>46021</v>
      </c>
      <c r="I2156" s="1" t="s">
        <v>933</v>
      </c>
      <c r="J2156" s="1" t="s">
        <v>66</v>
      </c>
      <c r="K2156" s="1" t="s">
        <v>308</v>
      </c>
      <c r="L2156" s="1" t="s">
        <v>3483</v>
      </c>
      <c r="M2156" s="3">
        <v>46007</v>
      </c>
      <c r="N2156" s="1" t="s">
        <v>440</v>
      </c>
      <c r="O2156" s="1" t="s">
        <v>936</v>
      </c>
      <c r="P2156" s="1">
        <v>1</v>
      </c>
    </row>
    <row r="2157" spans="1:16" x14ac:dyDescent="0.25">
      <c r="A2157" s="3">
        <v>46006</v>
      </c>
      <c r="B2157" s="4">
        <v>1139</v>
      </c>
      <c r="C2157" s="5">
        <v>800</v>
      </c>
      <c r="D2157" s="1" t="s">
        <v>1074</v>
      </c>
      <c r="E2157" s="1" t="s">
        <v>1075</v>
      </c>
      <c r="F2157" s="1" t="s">
        <v>717</v>
      </c>
      <c r="G2157" s="1" t="s">
        <v>981</v>
      </c>
      <c r="H2157" s="3">
        <v>46021</v>
      </c>
      <c r="I2157" s="1" t="s">
        <v>933</v>
      </c>
      <c r="J2157" s="1" t="s">
        <v>66</v>
      </c>
      <c r="K2157" s="1" t="s">
        <v>340</v>
      </c>
      <c r="L2157" s="1" t="s">
        <v>3507</v>
      </c>
      <c r="M2157" s="3">
        <v>46007</v>
      </c>
      <c r="N2157" s="1" t="s">
        <v>712</v>
      </c>
      <c r="O2157" s="1" t="s">
        <v>936</v>
      </c>
      <c r="P2157" s="1">
        <v>1</v>
      </c>
    </row>
    <row r="2158" spans="1:16" x14ac:dyDescent="0.25">
      <c r="A2158" s="3">
        <v>46006</v>
      </c>
      <c r="B2158" s="4">
        <v>1139</v>
      </c>
      <c r="C2158" s="5">
        <v>300</v>
      </c>
      <c r="D2158" s="1" t="s">
        <v>1074</v>
      </c>
      <c r="E2158" s="1" t="s">
        <v>1075</v>
      </c>
      <c r="F2158" s="1" t="s">
        <v>717</v>
      </c>
      <c r="G2158" s="1" t="s">
        <v>981</v>
      </c>
      <c r="H2158" s="3">
        <v>46021</v>
      </c>
      <c r="I2158" s="1" t="s">
        <v>933</v>
      </c>
      <c r="J2158" s="1" t="s">
        <v>66</v>
      </c>
      <c r="K2158" s="1" t="s">
        <v>340</v>
      </c>
      <c r="L2158" s="1" t="s">
        <v>3508</v>
      </c>
      <c r="M2158" s="3">
        <v>46007</v>
      </c>
      <c r="N2158" s="1" t="s">
        <v>712</v>
      </c>
      <c r="O2158" s="1" t="s">
        <v>936</v>
      </c>
      <c r="P2158" s="1">
        <v>1</v>
      </c>
    </row>
    <row r="2159" spans="1:16" x14ac:dyDescent="0.25">
      <c r="A2159" s="3">
        <v>46006</v>
      </c>
      <c r="B2159" s="4">
        <v>1139</v>
      </c>
      <c r="C2159" s="5">
        <v>350</v>
      </c>
      <c r="D2159" s="1" t="s">
        <v>1074</v>
      </c>
      <c r="E2159" s="1" t="s">
        <v>1075</v>
      </c>
      <c r="F2159" s="1" t="s">
        <v>753</v>
      </c>
      <c r="G2159" s="1" t="s">
        <v>981</v>
      </c>
      <c r="H2159" s="3">
        <v>46021</v>
      </c>
      <c r="I2159" s="1" t="s">
        <v>933</v>
      </c>
      <c r="J2159" s="1" t="s">
        <v>66</v>
      </c>
      <c r="K2159" s="1" t="s">
        <v>340</v>
      </c>
      <c r="L2159" s="1" t="s">
        <v>3483</v>
      </c>
      <c r="M2159" s="3">
        <v>46007</v>
      </c>
      <c r="N2159" s="1" t="s">
        <v>57</v>
      </c>
      <c r="O2159" s="1" t="s">
        <v>936</v>
      </c>
      <c r="P2159" s="1">
        <v>1</v>
      </c>
    </row>
    <row r="2160" spans="1:16" x14ac:dyDescent="0.25">
      <c r="A2160" s="3">
        <v>46006</v>
      </c>
      <c r="B2160" s="4">
        <v>1140</v>
      </c>
      <c r="C2160" s="5">
        <v>280</v>
      </c>
      <c r="D2160" s="1" t="s">
        <v>1074</v>
      </c>
      <c r="E2160" s="1" t="s">
        <v>1075</v>
      </c>
      <c r="F2160" s="1" t="s">
        <v>304</v>
      </c>
      <c r="G2160" s="1" t="s">
        <v>1058</v>
      </c>
      <c r="H2160" s="3">
        <v>46021</v>
      </c>
      <c r="I2160" s="1" t="s">
        <v>933</v>
      </c>
      <c r="J2160" s="1" t="s">
        <v>66</v>
      </c>
      <c r="K2160" s="1" t="s">
        <v>817</v>
      </c>
      <c r="L2160" s="1" t="s">
        <v>3381</v>
      </c>
      <c r="M2160" s="3">
        <v>46007</v>
      </c>
      <c r="N2160" s="1" t="s">
        <v>57</v>
      </c>
      <c r="O2160" s="1" t="s">
        <v>936</v>
      </c>
      <c r="P2160" s="1">
        <v>1</v>
      </c>
    </row>
    <row r="2161" spans="1:16" x14ac:dyDescent="0.25">
      <c r="A2161" s="3">
        <v>46006</v>
      </c>
      <c r="B2161" s="4">
        <v>1140</v>
      </c>
      <c r="C2161" s="5">
        <v>280</v>
      </c>
      <c r="D2161" s="1" t="s">
        <v>1074</v>
      </c>
      <c r="E2161" s="1" t="s">
        <v>1075</v>
      </c>
      <c r="F2161" s="1" t="s">
        <v>255</v>
      </c>
      <c r="G2161" s="1" t="s">
        <v>1058</v>
      </c>
      <c r="H2161" s="3">
        <v>46021</v>
      </c>
      <c r="I2161" s="1" t="s">
        <v>933</v>
      </c>
      <c r="J2161" s="1" t="s">
        <v>66</v>
      </c>
      <c r="K2161" s="1" t="s">
        <v>340</v>
      </c>
      <c r="L2161" s="1" t="s">
        <v>3381</v>
      </c>
      <c r="M2161" s="3">
        <v>46007</v>
      </c>
      <c r="N2161" s="1" t="s">
        <v>57</v>
      </c>
      <c r="O2161" s="1" t="s">
        <v>936</v>
      </c>
      <c r="P2161" s="1">
        <v>1</v>
      </c>
    </row>
    <row r="2162" spans="1:16" x14ac:dyDescent="0.25">
      <c r="A2162" s="3">
        <v>46006</v>
      </c>
      <c r="B2162" s="4">
        <v>1140</v>
      </c>
      <c r="C2162" s="5">
        <v>350</v>
      </c>
      <c r="D2162" s="1" t="s">
        <v>1074</v>
      </c>
      <c r="E2162" s="1" t="s">
        <v>1075</v>
      </c>
      <c r="F2162" s="1" t="s">
        <v>686</v>
      </c>
      <c r="G2162" s="1" t="s">
        <v>1058</v>
      </c>
      <c r="H2162" s="3">
        <v>46021</v>
      </c>
      <c r="I2162" s="1" t="s">
        <v>933</v>
      </c>
      <c r="J2162" s="1" t="s">
        <v>66</v>
      </c>
      <c r="K2162" s="1" t="s">
        <v>308</v>
      </c>
      <c r="L2162" s="1" t="s">
        <v>3381</v>
      </c>
      <c r="M2162" s="3">
        <v>46007</v>
      </c>
      <c r="N2162" s="1" t="s">
        <v>57</v>
      </c>
      <c r="O2162" s="1" t="s">
        <v>936</v>
      </c>
      <c r="P2162" s="1">
        <v>1</v>
      </c>
    </row>
    <row r="2163" spans="1:16" x14ac:dyDescent="0.25">
      <c r="A2163" s="3">
        <v>46006</v>
      </c>
      <c r="B2163" s="4">
        <v>1140</v>
      </c>
      <c r="C2163" s="5">
        <v>280</v>
      </c>
      <c r="D2163" s="1" t="s">
        <v>1074</v>
      </c>
      <c r="E2163" s="1" t="s">
        <v>1075</v>
      </c>
      <c r="F2163" s="1" t="s">
        <v>1814</v>
      </c>
      <c r="G2163" s="1" t="s">
        <v>1058</v>
      </c>
      <c r="H2163" s="3">
        <v>46021</v>
      </c>
      <c r="I2163" s="1" t="s">
        <v>933</v>
      </c>
      <c r="J2163" s="1" t="s">
        <v>66</v>
      </c>
      <c r="K2163" s="1" t="s">
        <v>1814</v>
      </c>
      <c r="L2163" s="1" t="s">
        <v>3381</v>
      </c>
      <c r="M2163" s="3">
        <v>46007</v>
      </c>
      <c r="N2163" s="1" t="s">
        <v>1814</v>
      </c>
      <c r="O2163" s="1" t="s">
        <v>936</v>
      </c>
      <c r="P2163" s="1">
        <v>1</v>
      </c>
    </row>
    <row r="2164" spans="1:16" x14ac:dyDescent="0.25">
      <c r="A2164" s="3">
        <v>46006</v>
      </c>
      <c r="B2164" s="4">
        <v>1140</v>
      </c>
      <c r="C2164" s="5">
        <v>100</v>
      </c>
      <c r="D2164" s="1" t="s">
        <v>1074</v>
      </c>
      <c r="E2164" s="1" t="s">
        <v>1075</v>
      </c>
      <c r="F2164" s="1" t="s">
        <v>775</v>
      </c>
      <c r="G2164" s="1" t="s">
        <v>1058</v>
      </c>
      <c r="H2164" s="3">
        <v>46021</v>
      </c>
      <c r="I2164" s="1" t="s">
        <v>933</v>
      </c>
      <c r="J2164" s="1" t="s">
        <v>66</v>
      </c>
      <c r="K2164" s="1" t="s">
        <v>340</v>
      </c>
      <c r="L2164" s="1" t="s">
        <v>3381</v>
      </c>
      <c r="M2164" s="3">
        <v>46007</v>
      </c>
      <c r="N2164" s="1" t="s">
        <v>580</v>
      </c>
      <c r="O2164" s="1" t="s">
        <v>936</v>
      </c>
      <c r="P2164" s="1">
        <v>1</v>
      </c>
    </row>
    <row r="2165" spans="1:16" x14ac:dyDescent="0.25">
      <c r="A2165" s="3">
        <v>46006</v>
      </c>
      <c r="B2165" s="4">
        <v>1140</v>
      </c>
      <c r="C2165" s="5">
        <v>150</v>
      </c>
      <c r="D2165" s="1" t="s">
        <v>1074</v>
      </c>
      <c r="E2165" s="1" t="s">
        <v>1075</v>
      </c>
      <c r="F2165" s="1" t="s">
        <v>553</v>
      </c>
      <c r="G2165" s="1" t="s">
        <v>1058</v>
      </c>
      <c r="H2165" s="3">
        <v>46021</v>
      </c>
      <c r="I2165" s="1" t="s">
        <v>933</v>
      </c>
      <c r="J2165" s="1" t="s">
        <v>66</v>
      </c>
      <c r="K2165" s="1" t="s">
        <v>340</v>
      </c>
      <c r="L2165" s="1" t="s">
        <v>3381</v>
      </c>
      <c r="M2165" s="3">
        <v>46007</v>
      </c>
      <c r="N2165" s="1" t="s">
        <v>57</v>
      </c>
      <c r="O2165" s="1" t="s">
        <v>936</v>
      </c>
      <c r="P2165" s="1">
        <v>1</v>
      </c>
    </row>
    <row r="2166" spans="1:16" x14ac:dyDescent="0.25">
      <c r="A2166" s="3">
        <v>46006</v>
      </c>
      <c r="B2166" s="4">
        <v>1140</v>
      </c>
      <c r="C2166" s="5">
        <v>600</v>
      </c>
      <c r="D2166" s="1" t="s">
        <v>1074</v>
      </c>
      <c r="E2166" s="1" t="s">
        <v>1075</v>
      </c>
      <c r="F2166" s="1" t="s">
        <v>750</v>
      </c>
      <c r="G2166" s="1" t="s">
        <v>1058</v>
      </c>
      <c r="H2166" s="3">
        <v>46021</v>
      </c>
      <c r="I2166" s="1" t="s">
        <v>933</v>
      </c>
      <c r="J2166" s="1" t="s">
        <v>66</v>
      </c>
      <c r="K2166" s="1" t="s">
        <v>340</v>
      </c>
      <c r="L2166" s="1" t="s">
        <v>3381</v>
      </c>
      <c r="M2166" s="3">
        <v>46007</v>
      </c>
      <c r="N2166" s="1" t="s">
        <v>752</v>
      </c>
      <c r="O2166" s="1" t="s">
        <v>936</v>
      </c>
      <c r="P2166" s="1">
        <v>1</v>
      </c>
    </row>
    <row r="2167" spans="1:16" x14ac:dyDescent="0.25">
      <c r="A2167" s="3">
        <v>46006</v>
      </c>
      <c r="B2167" s="4">
        <v>1140</v>
      </c>
      <c r="C2167" s="5">
        <v>50</v>
      </c>
      <c r="D2167" s="1" t="s">
        <v>1074</v>
      </c>
      <c r="E2167" s="1" t="s">
        <v>1075</v>
      </c>
      <c r="F2167" s="1" t="s">
        <v>955</v>
      </c>
      <c r="G2167" s="1" t="s">
        <v>1058</v>
      </c>
      <c r="H2167" s="3">
        <v>46021</v>
      </c>
      <c r="I2167" s="1" t="s">
        <v>933</v>
      </c>
      <c r="J2167" s="1" t="s">
        <v>951</v>
      </c>
      <c r="K2167" s="1" t="s">
        <v>340</v>
      </c>
      <c r="L2167" s="1" t="s">
        <v>3509</v>
      </c>
      <c r="M2167" s="3">
        <v>46007</v>
      </c>
      <c r="N2167" s="1" t="s">
        <v>821</v>
      </c>
      <c r="O2167" s="1" t="s">
        <v>936</v>
      </c>
      <c r="P2167" s="1">
        <v>1</v>
      </c>
    </row>
    <row r="2168" spans="1:16" x14ac:dyDescent="0.25">
      <c r="A2168" s="3">
        <v>46006</v>
      </c>
      <c r="B2168" s="4">
        <v>1140</v>
      </c>
      <c r="C2168" s="5">
        <v>80</v>
      </c>
      <c r="D2168" s="1" t="s">
        <v>1074</v>
      </c>
      <c r="E2168" s="1" t="s">
        <v>1075</v>
      </c>
      <c r="F2168" s="1" t="s">
        <v>955</v>
      </c>
      <c r="G2168" s="1" t="s">
        <v>1058</v>
      </c>
      <c r="H2168" s="3">
        <v>46021</v>
      </c>
      <c r="I2168" s="1" t="s">
        <v>933</v>
      </c>
      <c r="J2168" s="1" t="s">
        <v>951</v>
      </c>
      <c r="K2168" s="1" t="s">
        <v>308</v>
      </c>
      <c r="L2168" s="1" t="s">
        <v>3511</v>
      </c>
      <c r="M2168" s="3">
        <v>46007</v>
      </c>
      <c r="N2168" s="1" t="s">
        <v>821</v>
      </c>
      <c r="O2168" s="1" t="s">
        <v>936</v>
      </c>
      <c r="P2168" s="1">
        <v>1</v>
      </c>
    </row>
    <row r="2169" spans="1:16" x14ac:dyDescent="0.25">
      <c r="A2169" s="3">
        <v>46006</v>
      </c>
      <c r="B2169" s="4">
        <v>1140</v>
      </c>
      <c r="C2169" s="5">
        <v>80</v>
      </c>
      <c r="D2169" s="1" t="s">
        <v>1074</v>
      </c>
      <c r="E2169" s="1" t="s">
        <v>1075</v>
      </c>
      <c r="F2169" s="1" t="s">
        <v>955</v>
      </c>
      <c r="G2169" s="1" t="s">
        <v>1058</v>
      </c>
      <c r="H2169" s="3">
        <v>46021</v>
      </c>
      <c r="I2169" s="1" t="s">
        <v>933</v>
      </c>
      <c r="J2169" s="1" t="s">
        <v>951</v>
      </c>
      <c r="K2169" s="1" t="s">
        <v>817</v>
      </c>
      <c r="L2169" s="1" t="s">
        <v>3512</v>
      </c>
      <c r="M2169" s="3">
        <v>46007</v>
      </c>
      <c r="N2169" s="1" t="s">
        <v>821</v>
      </c>
      <c r="O2169" s="1" t="s">
        <v>936</v>
      </c>
      <c r="P2169" s="1">
        <v>1</v>
      </c>
    </row>
    <row r="2170" spans="1:16" x14ac:dyDescent="0.25">
      <c r="A2170" s="3">
        <v>46006</v>
      </c>
      <c r="B2170" s="4">
        <v>1140</v>
      </c>
      <c r="C2170" s="5">
        <v>80</v>
      </c>
      <c r="D2170" s="1" t="s">
        <v>1074</v>
      </c>
      <c r="E2170" s="1" t="s">
        <v>1075</v>
      </c>
      <c r="F2170" s="1" t="s">
        <v>955</v>
      </c>
      <c r="G2170" s="1" t="s">
        <v>1058</v>
      </c>
      <c r="H2170" s="3">
        <v>46021</v>
      </c>
      <c r="I2170" s="1" t="s">
        <v>933</v>
      </c>
      <c r="J2170" s="1" t="s">
        <v>951</v>
      </c>
      <c r="K2170" s="1" t="s">
        <v>487</v>
      </c>
      <c r="L2170" s="1" t="s">
        <v>3513</v>
      </c>
      <c r="M2170" s="3">
        <v>46007</v>
      </c>
      <c r="N2170" s="1" t="s">
        <v>821</v>
      </c>
      <c r="O2170" s="1" t="s">
        <v>936</v>
      </c>
      <c r="P2170" s="1">
        <v>1</v>
      </c>
    </row>
    <row r="2171" spans="1:16" x14ac:dyDescent="0.25">
      <c r="A2171" s="3">
        <v>46006</v>
      </c>
      <c r="B2171" s="4">
        <v>1140</v>
      </c>
      <c r="C2171" s="5">
        <v>80</v>
      </c>
      <c r="D2171" s="1" t="s">
        <v>1074</v>
      </c>
      <c r="E2171" s="1" t="s">
        <v>1075</v>
      </c>
      <c r="F2171" s="1" t="s">
        <v>955</v>
      </c>
      <c r="G2171" s="1" t="s">
        <v>1058</v>
      </c>
      <c r="H2171" s="3">
        <v>46021</v>
      </c>
      <c r="I2171" s="1" t="s">
        <v>933</v>
      </c>
      <c r="J2171" s="1" t="s">
        <v>951</v>
      </c>
      <c r="K2171" s="1" t="s">
        <v>340</v>
      </c>
      <c r="L2171" s="1" t="s">
        <v>3514</v>
      </c>
      <c r="M2171" s="3">
        <v>46007</v>
      </c>
      <c r="N2171" s="1" t="s">
        <v>821</v>
      </c>
      <c r="O2171" s="1" t="s">
        <v>936</v>
      </c>
      <c r="P2171" s="1">
        <v>1</v>
      </c>
    </row>
    <row r="2172" spans="1:16" x14ac:dyDescent="0.25">
      <c r="A2172" s="3">
        <v>46006</v>
      </c>
      <c r="B2172" s="4">
        <v>1140</v>
      </c>
      <c r="C2172" s="5">
        <v>80</v>
      </c>
      <c r="D2172" s="1" t="s">
        <v>1074</v>
      </c>
      <c r="E2172" s="1" t="s">
        <v>1075</v>
      </c>
      <c r="F2172" s="1" t="s">
        <v>955</v>
      </c>
      <c r="G2172" s="1" t="s">
        <v>1058</v>
      </c>
      <c r="H2172" s="3">
        <v>46021</v>
      </c>
      <c r="I2172" s="1" t="s">
        <v>933</v>
      </c>
      <c r="J2172" s="1" t="s">
        <v>951</v>
      </c>
      <c r="K2172" s="1" t="s">
        <v>487</v>
      </c>
      <c r="L2172" s="1" t="s">
        <v>3515</v>
      </c>
      <c r="M2172" s="3">
        <v>46007</v>
      </c>
      <c r="N2172" s="1" t="s">
        <v>821</v>
      </c>
      <c r="O2172" s="1" t="s">
        <v>936</v>
      </c>
      <c r="P2172" s="1">
        <v>1</v>
      </c>
    </row>
    <row r="2173" spans="1:16" x14ac:dyDescent="0.25">
      <c r="A2173" s="3">
        <v>46006</v>
      </c>
      <c r="B2173" s="4">
        <v>1140</v>
      </c>
      <c r="C2173" s="5">
        <v>80</v>
      </c>
      <c r="D2173" s="1" t="s">
        <v>1074</v>
      </c>
      <c r="E2173" s="1" t="s">
        <v>1075</v>
      </c>
      <c r="F2173" s="1" t="s">
        <v>955</v>
      </c>
      <c r="G2173" s="1" t="s">
        <v>1058</v>
      </c>
      <c r="H2173" s="3">
        <v>46021</v>
      </c>
      <c r="I2173" s="1" t="s">
        <v>933</v>
      </c>
      <c r="J2173" s="1" t="s">
        <v>951</v>
      </c>
      <c r="K2173" s="1" t="s">
        <v>487</v>
      </c>
      <c r="L2173" s="1" t="s">
        <v>3516</v>
      </c>
      <c r="M2173" s="3">
        <v>46007</v>
      </c>
      <c r="N2173" s="1" t="s">
        <v>821</v>
      </c>
      <c r="O2173" s="1" t="s">
        <v>936</v>
      </c>
      <c r="P2173" s="1">
        <v>1</v>
      </c>
    </row>
    <row r="2174" spans="1:16" x14ac:dyDescent="0.25">
      <c r="A2174" s="3">
        <v>46006</v>
      </c>
      <c r="B2174" s="1">
        <v>208</v>
      </c>
      <c r="C2174" s="5">
        <v>16560</v>
      </c>
      <c r="D2174" s="1" t="s">
        <v>3517</v>
      </c>
      <c r="E2174" s="1" t="s">
        <v>3518</v>
      </c>
      <c r="F2174" s="1" t="s">
        <v>750</v>
      </c>
      <c r="G2174" s="1" t="s">
        <v>932</v>
      </c>
      <c r="H2174" s="3">
        <v>46027</v>
      </c>
      <c r="I2174" s="1" t="s">
        <v>933</v>
      </c>
      <c r="J2174" s="1" t="s">
        <v>66</v>
      </c>
      <c r="K2174" s="1" t="s">
        <v>340</v>
      </c>
      <c r="L2174" s="1" t="s">
        <v>3519</v>
      </c>
      <c r="M2174" s="3">
        <v>46007</v>
      </c>
      <c r="N2174" s="1" t="s">
        <v>752</v>
      </c>
      <c r="O2174" s="1" t="s">
        <v>932</v>
      </c>
      <c r="P2174" s="1">
        <v>1</v>
      </c>
    </row>
    <row r="2175" spans="1:16" x14ac:dyDescent="0.25">
      <c r="A2175" s="3">
        <v>46006</v>
      </c>
      <c r="B2175" s="1">
        <v>12</v>
      </c>
      <c r="C2175" s="5">
        <v>21000</v>
      </c>
      <c r="D2175" s="1" t="s">
        <v>3520</v>
      </c>
      <c r="E2175" s="1" t="s">
        <v>3521</v>
      </c>
      <c r="F2175" s="1" t="s">
        <v>955</v>
      </c>
      <c r="G2175" s="1" t="s">
        <v>932</v>
      </c>
      <c r="H2175" s="1"/>
      <c r="I2175" s="1" t="s">
        <v>933</v>
      </c>
      <c r="J2175" s="1" t="s">
        <v>951</v>
      </c>
      <c r="K2175" s="1" t="s">
        <v>340</v>
      </c>
      <c r="L2175" s="1" t="s">
        <v>3522</v>
      </c>
      <c r="M2175" s="3">
        <v>46007</v>
      </c>
      <c r="N2175" s="1" t="s">
        <v>821</v>
      </c>
      <c r="O2175" s="1" t="s">
        <v>932</v>
      </c>
      <c r="P2175" s="1" t="s">
        <v>937</v>
      </c>
    </row>
    <row r="2176" spans="1:16" x14ac:dyDescent="0.25">
      <c r="A2176" s="3">
        <v>46006</v>
      </c>
      <c r="B2176" s="4">
        <v>73263</v>
      </c>
      <c r="C2176" s="5">
        <v>11813</v>
      </c>
      <c r="D2176" s="1" t="s">
        <v>1994</v>
      </c>
      <c r="E2176" s="1" t="s">
        <v>1995</v>
      </c>
      <c r="F2176" s="1" t="s">
        <v>736</v>
      </c>
      <c r="G2176" s="1" t="s">
        <v>940</v>
      </c>
      <c r="H2176" s="3">
        <v>46034</v>
      </c>
      <c r="I2176" s="1" t="s">
        <v>1100</v>
      </c>
      <c r="J2176" s="1" t="s">
        <v>66</v>
      </c>
      <c r="K2176" s="1" t="s">
        <v>308</v>
      </c>
      <c r="L2176" s="1" t="s">
        <v>3523</v>
      </c>
      <c r="M2176" s="3">
        <v>46007</v>
      </c>
      <c r="N2176" s="1" t="s">
        <v>57</v>
      </c>
      <c r="O2176" s="1" t="s">
        <v>936</v>
      </c>
      <c r="P2176" s="1">
        <v>1</v>
      </c>
    </row>
    <row r="2177" spans="1:16" x14ac:dyDescent="0.25">
      <c r="A2177" s="3">
        <v>46006</v>
      </c>
      <c r="B2177" s="1">
        <v>14</v>
      </c>
      <c r="C2177" s="5">
        <v>12090</v>
      </c>
      <c r="D2177" s="1" t="s">
        <v>1262</v>
      </c>
      <c r="E2177" s="1" t="s">
        <v>1507</v>
      </c>
      <c r="F2177" s="1" t="s">
        <v>955</v>
      </c>
      <c r="G2177" s="1" t="s">
        <v>990</v>
      </c>
      <c r="H2177" s="3">
        <v>46027</v>
      </c>
      <c r="I2177" s="1" t="s">
        <v>933</v>
      </c>
      <c r="J2177" s="1" t="s">
        <v>951</v>
      </c>
      <c r="K2177" s="1" t="s">
        <v>20</v>
      </c>
      <c r="L2177" s="1" t="s">
        <v>3524</v>
      </c>
      <c r="M2177" s="3">
        <v>46008</v>
      </c>
      <c r="N2177" s="1" t="s">
        <v>821</v>
      </c>
      <c r="O2177" s="1" t="s">
        <v>936</v>
      </c>
      <c r="P2177" s="1" t="s">
        <v>937</v>
      </c>
    </row>
    <row r="2178" spans="1:16" x14ac:dyDescent="0.25">
      <c r="A2178" s="3">
        <v>46006</v>
      </c>
      <c r="B2178" s="4">
        <v>21580</v>
      </c>
      <c r="C2178" s="5">
        <v>2450</v>
      </c>
      <c r="D2178" s="1" t="s">
        <v>3317</v>
      </c>
      <c r="E2178" s="1" t="s">
        <v>3318</v>
      </c>
      <c r="F2178" s="1" t="s">
        <v>818</v>
      </c>
      <c r="G2178" s="1" t="s">
        <v>940</v>
      </c>
      <c r="H2178" s="3">
        <v>46036</v>
      </c>
      <c r="I2178" s="1" t="s">
        <v>933</v>
      </c>
      <c r="J2178" s="1" t="s">
        <v>951</v>
      </c>
      <c r="K2178" s="1" t="s">
        <v>934</v>
      </c>
      <c r="L2178" s="1" t="s">
        <v>3525</v>
      </c>
      <c r="M2178" s="3">
        <v>46029</v>
      </c>
      <c r="N2178" s="1"/>
      <c r="O2178" s="1" t="s">
        <v>932</v>
      </c>
      <c r="P2178" s="1">
        <v>1</v>
      </c>
    </row>
    <row r="2179" spans="1:16" x14ac:dyDescent="0.25">
      <c r="A2179" s="3">
        <v>46006</v>
      </c>
      <c r="B2179" s="4">
        <v>1140</v>
      </c>
      <c r="C2179" s="5">
        <v>280</v>
      </c>
      <c r="D2179" s="1" t="s">
        <v>1074</v>
      </c>
      <c r="E2179" s="1" t="s">
        <v>1075</v>
      </c>
      <c r="F2179" s="1" t="s">
        <v>274</v>
      </c>
      <c r="G2179" s="1" t="s">
        <v>1058</v>
      </c>
      <c r="H2179" s="3">
        <v>46021</v>
      </c>
      <c r="I2179" s="1" t="s">
        <v>933</v>
      </c>
      <c r="J2179" s="1" t="s">
        <v>66</v>
      </c>
      <c r="K2179" s="1" t="s">
        <v>340</v>
      </c>
      <c r="L2179" s="1" t="s">
        <v>3381</v>
      </c>
      <c r="M2179" s="3">
        <v>46007</v>
      </c>
      <c r="N2179" s="1" t="s">
        <v>264</v>
      </c>
      <c r="O2179" s="1" t="s">
        <v>936</v>
      </c>
      <c r="P2179" s="1">
        <v>1</v>
      </c>
    </row>
    <row r="2180" spans="1:16" x14ac:dyDescent="0.25">
      <c r="A2180" s="3">
        <v>46006</v>
      </c>
      <c r="B2180" s="4">
        <v>1140</v>
      </c>
      <c r="C2180" s="5">
        <v>280</v>
      </c>
      <c r="D2180" s="1" t="s">
        <v>1074</v>
      </c>
      <c r="E2180" s="1" t="s">
        <v>1075</v>
      </c>
      <c r="F2180" s="1" t="s">
        <v>289</v>
      </c>
      <c r="G2180" s="1" t="s">
        <v>1058</v>
      </c>
      <c r="H2180" s="3">
        <v>46021</v>
      </c>
      <c r="I2180" s="1" t="s">
        <v>933</v>
      </c>
      <c r="J2180" s="1" t="s">
        <v>66</v>
      </c>
      <c r="K2180" s="1" t="s">
        <v>340</v>
      </c>
      <c r="L2180" s="1" t="s">
        <v>3381</v>
      </c>
      <c r="M2180" s="3">
        <v>46007</v>
      </c>
      <c r="N2180" s="1" t="s">
        <v>264</v>
      </c>
      <c r="O2180" s="1" t="s">
        <v>936</v>
      </c>
      <c r="P2180" s="1">
        <v>1</v>
      </c>
    </row>
    <row r="2181" spans="1:16" x14ac:dyDescent="0.25">
      <c r="A2181" s="3">
        <v>46007</v>
      </c>
      <c r="B2181" s="4">
        <v>72218</v>
      </c>
      <c r="C2181" s="5">
        <v>2882.97</v>
      </c>
      <c r="D2181" s="1" t="s">
        <v>1253</v>
      </c>
      <c r="E2181" s="1" t="s">
        <v>1487</v>
      </c>
      <c r="F2181" s="1" t="s">
        <v>460</v>
      </c>
      <c r="G2181" s="1" t="s">
        <v>940</v>
      </c>
      <c r="H2181" s="3">
        <v>46037</v>
      </c>
      <c r="I2181" s="1" t="s">
        <v>440</v>
      </c>
      <c r="J2181" s="1" t="s">
        <v>66</v>
      </c>
      <c r="K2181" s="1" t="s">
        <v>340</v>
      </c>
      <c r="L2181" s="1" t="s">
        <v>3527</v>
      </c>
      <c r="M2181" s="3">
        <v>46007</v>
      </c>
      <c r="N2181" s="1" t="s">
        <v>440</v>
      </c>
      <c r="O2181" s="1" t="s">
        <v>936</v>
      </c>
      <c r="P2181" s="1">
        <v>1</v>
      </c>
    </row>
    <row r="2182" spans="1:16" x14ac:dyDescent="0.25">
      <c r="A2182" s="3">
        <v>46007</v>
      </c>
      <c r="B2182" s="1">
        <v>117</v>
      </c>
      <c r="C2182" s="5">
        <v>11500</v>
      </c>
      <c r="D2182" s="1" t="s">
        <v>1197</v>
      </c>
      <c r="E2182" s="1" t="s">
        <v>1198</v>
      </c>
      <c r="F2182" s="1" t="s">
        <v>949</v>
      </c>
      <c r="G2182" s="1" t="s">
        <v>1500</v>
      </c>
      <c r="H2182" s="1"/>
      <c r="I2182" s="1" t="s">
        <v>933</v>
      </c>
      <c r="J2182" s="1" t="s">
        <v>951</v>
      </c>
      <c r="K2182" s="1" t="s">
        <v>817</v>
      </c>
      <c r="L2182" s="1" t="s">
        <v>3528</v>
      </c>
      <c r="M2182" s="3">
        <v>46007</v>
      </c>
      <c r="N2182" s="1" t="s">
        <v>821</v>
      </c>
      <c r="O2182" s="1" t="s">
        <v>936</v>
      </c>
      <c r="P2182" s="1">
        <v>1</v>
      </c>
    </row>
    <row r="2183" spans="1:16" x14ac:dyDescent="0.25">
      <c r="A2183" s="3">
        <v>46007</v>
      </c>
      <c r="B2183" s="1">
        <v>31</v>
      </c>
      <c r="C2183" s="5">
        <v>51600</v>
      </c>
      <c r="D2183" s="1" t="s">
        <v>1354</v>
      </c>
      <c r="E2183" s="1" t="s">
        <v>3529</v>
      </c>
      <c r="F2183" s="1" t="s">
        <v>955</v>
      </c>
      <c r="G2183" s="1" t="s">
        <v>20</v>
      </c>
      <c r="H2183" s="3">
        <v>46021</v>
      </c>
      <c r="I2183" s="1" t="s">
        <v>933</v>
      </c>
      <c r="J2183" s="1" t="s">
        <v>951</v>
      </c>
      <c r="K2183" s="1" t="s">
        <v>20</v>
      </c>
      <c r="L2183" s="1" t="s">
        <v>3530</v>
      </c>
      <c r="M2183" s="3">
        <v>46008</v>
      </c>
      <c r="N2183" s="1" t="s">
        <v>821</v>
      </c>
      <c r="O2183" s="1" t="s">
        <v>936</v>
      </c>
      <c r="P2183" s="1" t="s">
        <v>937</v>
      </c>
    </row>
    <row r="2184" spans="1:16" x14ac:dyDescent="0.25">
      <c r="A2184" s="3">
        <v>46007</v>
      </c>
      <c r="B2184" s="4">
        <v>12802</v>
      </c>
      <c r="C2184" s="5">
        <v>1009.84</v>
      </c>
      <c r="D2184" s="1" t="s">
        <v>1801</v>
      </c>
      <c r="E2184" s="1" t="s">
        <v>1802</v>
      </c>
      <c r="F2184" s="1" t="s">
        <v>166</v>
      </c>
      <c r="G2184" s="1" t="s">
        <v>998</v>
      </c>
      <c r="H2184" s="3">
        <v>46027</v>
      </c>
      <c r="I2184" s="1" t="s">
        <v>933</v>
      </c>
      <c r="J2184" s="1" t="s">
        <v>66</v>
      </c>
      <c r="K2184" s="1" t="s">
        <v>340</v>
      </c>
      <c r="L2184" s="1" t="s">
        <v>3277</v>
      </c>
      <c r="M2184" s="3">
        <v>46008</v>
      </c>
      <c r="N2184" s="1" t="s">
        <v>170</v>
      </c>
      <c r="O2184" s="1" t="s">
        <v>998</v>
      </c>
      <c r="P2184" s="1">
        <v>1</v>
      </c>
    </row>
    <row r="2185" spans="1:16" x14ac:dyDescent="0.25">
      <c r="A2185" s="3">
        <v>46007</v>
      </c>
      <c r="B2185" s="4">
        <v>12811</v>
      </c>
      <c r="C2185" s="5">
        <v>1413.55</v>
      </c>
      <c r="D2185" s="1" t="s">
        <v>1801</v>
      </c>
      <c r="E2185" s="1" t="s">
        <v>1802</v>
      </c>
      <c r="F2185" s="1" t="s">
        <v>166</v>
      </c>
      <c r="G2185" s="1" t="s">
        <v>998</v>
      </c>
      <c r="H2185" s="3">
        <v>46027</v>
      </c>
      <c r="I2185" s="1" t="s">
        <v>933</v>
      </c>
      <c r="J2185" s="1" t="s">
        <v>66</v>
      </c>
      <c r="K2185" s="1" t="s">
        <v>340</v>
      </c>
      <c r="L2185" s="1" t="s">
        <v>3533</v>
      </c>
      <c r="M2185" s="3">
        <v>46008</v>
      </c>
      <c r="N2185" s="1" t="s">
        <v>170</v>
      </c>
      <c r="O2185" s="1" t="s">
        <v>998</v>
      </c>
      <c r="P2185" s="1">
        <v>1</v>
      </c>
    </row>
    <row r="2186" spans="1:16" x14ac:dyDescent="0.25">
      <c r="A2186" s="3">
        <v>46007</v>
      </c>
      <c r="B2186" s="4">
        <v>129494</v>
      </c>
      <c r="C2186" s="5">
        <v>5571.83</v>
      </c>
      <c r="D2186" s="1" t="s">
        <v>1376</v>
      </c>
      <c r="E2186" s="1" t="s">
        <v>1377</v>
      </c>
      <c r="F2186" s="1" t="s">
        <v>445</v>
      </c>
      <c r="G2186" s="1" t="s">
        <v>932</v>
      </c>
      <c r="H2186" s="3">
        <v>46032</v>
      </c>
      <c r="I2186" s="1" t="s">
        <v>933</v>
      </c>
      <c r="J2186" s="1" t="s">
        <v>66</v>
      </c>
      <c r="K2186" s="1" t="s">
        <v>308</v>
      </c>
      <c r="L2186" s="1" t="s">
        <v>3534</v>
      </c>
      <c r="M2186" s="3">
        <v>46008</v>
      </c>
      <c r="N2186" s="1" t="s">
        <v>338</v>
      </c>
      <c r="O2186" s="1" t="s">
        <v>936</v>
      </c>
      <c r="P2186" s="1" t="s">
        <v>937</v>
      </c>
    </row>
    <row r="2187" spans="1:16" x14ac:dyDescent="0.25">
      <c r="A2187" s="3">
        <v>46007</v>
      </c>
      <c r="B2187" s="4">
        <v>1909</v>
      </c>
      <c r="C2187" s="5">
        <v>1284</v>
      </c>
      <c r="D2187" s="1" t="s">
        <v>953</v>
      </c>
      <c r="E2187" s="1" t="s">
        <v>3535</v>
      </c>
      <c r="F2187" s="1" t="s">
        <v>955</v>
      </c>
      <c r="G2187" s="1" t="s">
        <v>940</v>
      </c>
      <c r="H2187" s="3">
        <v>46038</v>
      </c>
      <c r="I2187" s="1" t="s">
        <v>933</v>
      </c>
      <c r="J2187" s="1" t="s">
        <v>951</v>
      </c>
      <c r="K2187" s="1" t="s">
        <v>20</v>
      </c>
      <c r="L2187" s="1" t="s">
        <v>3536</v>
      </c>
      <c r="M2187" s="3">
        <v>46008</v>
      </c>
      <c r="N2187" s="1" t="s">
        <v>821</v>
      </c>
      <c r="O2187" s="1" t="s">
        <v>936</v>
      </c>
      <c r="P2187" s="1">
        <v>1</v>
      </c>
    </row>
    <row r="2188" spans="1:16" x14ac:dyDescent="0.25">
      <c r="A2188" s="3">
        <v>46007</v>
      </c>
      <c r="B2188" s="4">
        <v>3398</v>
      </c>
      <c r="C2188" s="5">
        <v>639.4</v>
      </c>
      <c r="D2188" s="1" t="s">
        <v>1134</v>
      </c>
      <c r="E2188" s="1" t="s">
        <v>1282</v>
      </c>
      <c r="F2188" s="1" t="s">
        <v>955</v>
      </c>
      <c r="G2188" s="1" t="s">
        <v>950</v>
      </c>
      <c r="H2188" s="3">
        <v>46022</v>
      </c>
      <c r="I2188" s="1" t="s">
        <v>933</v>
      </c>
      <c r="J2188" s="1" t="s">
        <v>951</v>
      </c>
      <c r="K2188" s="1" t="s">
        <v>20</v>
      </c>
      <c r="L2188" s="1" t="s">
        <v>3537</v>
      </c>
      <c r="M2188" s="3">
        <v>46008</v>
      </c>
      <c r="N2188" s="1" t="s">
        <v>821</v>
      </c>
      <c r="O2188" s="1" t="s">
        <v>936</v>
      </c>
      <c r="P2188" s="1">
        <v>1</v>
      </c>
    </row>
    <row r="2189" spans="1:16" x14ac:dyDescent="0.25">
      <c r="A2189" s="3">
        <v>46007</v>
      </c>
      <c r="B2189" s="1">
        <v>108</v>
      </c>
      <c r="C2189" s="5">
        <v>2500</v>
      </c>
      <c r="D2189" s="1" t="s">
        <v>1187</v>
      </c>
      <c r="E2189" s="1" t="s">
        <v>1188</v>
      </c>
      <c r="F2189" s="1" t="s">
        <v>955</v>
      </c>
      <c r="G2189" s="1" t="s">
        <v>1029</v>
      </c>
      <c r="H2189" s="1" t="s">
        <v>1189</v>
      </c>
      <c r="I2189" s="1" t="s">
        <v>933</v>
      </c>
      <c r="J2189" s="1" t="s">
        <v>951</v>
      </c>
      <c r="K2189" s="1" t="s">
        <v>1654</v>
      </c>
      <c r="L2189" s="1" t="s">
        <v>3538</v>
      </c>
      <c r="M2189" s="3">
        <v>46008</v>
      </c>
      <c r="N2189" s="1" t="s">
        <v>821</v>
      </c>
      <c r="O2189" s="1" t="s">
        <v>936</v>
      </c>
      <c r="P2189" s="1" t="s">
        <v>937</v>
      </c>
    </row>
    <row r="2190" spans="1:16" x14ac:dyDescent="0.25">
      <c r="A2190" s="3">
        <v>46007</v>
      </c>
      <c r="B2190" s="1">
        <v>232</v>
      </c>
      <c r="C2190" s="5">
        <v>41705</v>
      </c>
      <c r="D2190" s="1" t="s">
        <v>1023</v>
      </c>
      <c r="E2190" s="1" t="s">
        <v>1447</v>
      </c>
      <c r="F2190" s="1" t="s">
        <v>955</v>
      </c>
      <c r="G2190" s="1" t="s">
        <v>932</v>
      </c>
      <c r="H2190" s="3">
        <v>46030</v>
      </c>
      <c r="I2190" s="1" t="s">
        <v>933</v>
      </c>
      <c r="J2190" s="1" t="s">
        <v>951</v>
      </c>
      <c r="K2190" s="1" t="s">
        <v>340</v>
      </c>
      <c r="L2190" s="1" t="s">
        <v>3539</v>
      </c>
      <c r="M2190" s="3">
        <v>46008</v>
      </c>
      <c r="N2190" s="1" t="s">
        <v>821</v>
      </c>
      <c r="O2190" s="1" t="s">
        <v>936</v>
      </c>
      <c r="P2190" s="1">
        <v>1</v>
      </c>
    </row>
    <row r="2191" spans="1:16" x14ac:dyDescent="0.25">
      <c r="A2191" s="3">
        <v>46007</v>
      </c>
      <c r="B2191" s="1">
        <v>170</v>
      </c>
      <c r="C2191" s="5">
        <v>2800</v>
      </c>
      <c r="D2191" s="1" t="s">
        <v>930</v>
      </c>
      <c r="E2191" s="1" t="s">
        <v>931</v>
      </c>
      <c r="F2191" s="1" t="s">
        <v>955</v>
      </c>
      <c r="G2191" s="1" t="s">
        <v>940</v>
      </c>
      <c r="H2191" s="3">
        <v>46009</v>
      </c>
      <c r="I2191" s="1" t="s">
        <v>933</v>
      </c>
      <c r="J2191" s="1" t="s">
        <v>951</v>
      </c>
      <c r="K2191" s="1" t="s">
        <v>340</v>
      </c>
      <c r="L2191" s="1" t="s">
        <v>3540</v>
      </c>
      <c r="M2191" s="3">
        <v>46008</v>
      </c>
      <c r="N2191" s="1" t="s">
        <v>821</v>
      </c>
      <c r="O2191" s="1" t="s">
        <v>936</v>
      </c>
      <c r="P2191" s="1" t="s">
        <v>937</v>
      </c>
    </row>
    <row r="2192" spans="1:16" x14ac:dyDescent="0.25">
      <c r="A2192" s="3">
        <v>46007</v>
      </c>
      <c r="B2192" s="1">
        <v>442</v>
      </c>
      <c r="C2192" s="5">
        <v>7400</v>
      </c>
      <c r="D2192" s="1" t="s">
        <v>1222</v>
      </c>
      <c r="E2192" s="1" t="s">
        <v>1223</v>
      </c>
      <c r="F2192" s="1" t="s">
        <v>1131</v>
      </c>
      <c r="G2192" s="1" t="s">
        <v>940</v>
      </c>
      <c r="H2192" s="3">
        <v>46038</v>
      </c>
      <c r="I2192" s="1" t="s">
        <v>933</v>
      </c>
      <c r="J2192" s="1" t="s">
        <v>1131</v>
      </c>
      <c r="K2192" s="1" t="s">
        <v>340</v>
      </c>
      <c r="L2192" s="1" t="s">
        <v>3541</v>
      </c>
      <c r="M2192" s="3">
        <v>46008</v>
      </c>
      <c r="N2192" s="1" t="s">
        <v>821</v>
      </c>
      <c r="O2192" s="1" t="s">
        <v>936</v>
      </c>
      <c r="P2192" s="1" t="s">
        <v>937</v>
      </c>
    </row>
    <row r="2193" spans="1:16" x14ac:dyDescent="0.25">
      <c r="A2193" s="3">
        <v>46007</v>
      </c>
      <c r="B2193" s="4">
        <v>10066</v>
      </c>
      <c r="C2193" s="5">
        <v>2900</v>
      </c>
      <c r="D2193" s="1" t="s">
        <v>1573</v>
      </c>
      <c r="E2193" s="1" t="s">
        <v>2130</v>
      </c>
      <c r="F2193" s="1" t="s">
        <v>307</v>
      </c>
      <c r="G2193" s="1" t="s">
        <v>940</v>
      </c>
      <c r="H2193" s="3">
        <v>46037</v>
      </c>
      <c r="I2193" s="1" t="s">
        <v>1100</v>
      </c>
      <c r="J2193" s="1" t="s">
        <v>66</v>
      </c>
      <c r="K2193" s="1" t="s">
        <v>308</v>
      </c>
      <c r="L2193" s="1" t="s">
        <v>3542</v>
      </c>
      <c r="M2193" s="3">
        <v>46008</v>
      </c>
      <c r="N2193" s="1" t="s">
        <v>57</v>
      </c>
      <c r="O2193" s="1" t="s">
        <v>936</v>
      </c>
      <c r="P2193" s="1">
        <v>1</v>
      </c>
    </row>
    <row r="2194" spans="1:16" x14ac:dyDescent="0.25">
      <c r="A2194" s="3">
        <v>46007</v>
      </c>
      <c r="B2194" s="4">
        <v>1524</v>
      </c>
      <c r="C2194" s="5">
        <v>53350</v>
      </c>
      <c r="D2194" s="1" t="s">
        <v>1498</v>
      </c>
      <c r="E2194" s="1" t="s">
        <v>3543</v>
      </c>
      <c r="F2194" s="1" t="s">
        <v>955</v>
      </c>
      <c r="G2194" s="1" t="s">
        <v>932</v>
      </c>
      <c r="H2194" s="3">
        <v>46387</v>
      </c>
      <c r="I2194" s="1" t="s">
        <v>933</v>
      </c>
      <c r="J2194" s="1" t="s">
        <v>951</v>
      </c>
      <c r="K2194" s="1" t="s">
        <v>340</v>
      </c>
      <c r="L2194" s="1" t="s">
        <v>3544</v>
      </c>
      <c r="M2194" s="3">
        <v>46009</v>
      </c>
      <c r="N2194" s="1" t="s">
        <v>821</v>
      </c>
      <c r="O2194" s="1" t="s">
        <v>936</v>
      </c>
      <c r="P2194" s="1">
        <v>1</v>
      </c>
    </row>
    <row r="2195" spans="1:16" x14ac:dyDescent="0.25">
      <c r="A2195" s="3">
        <v>46007</v>
      </c>
      <c r="B2195" s="4">
        <v>1911</v>
      </c>
      <c r="C2195" s="5">
        <v>545</v>
      </c>
      <c r="D2195" s="1" t="s">
        <v>953</v>
      </c>
      <c r="E2195" s="1" t="s">
        <v>3535</v>
      </c>
      <c r="F2195" s="1" t="s">
        <v>955</v>
      </c>
      <c r="G2195" s="1" t="s">
        <v>940</v>
      </c>
      <c r="H2195" s="3">
        <v>46038</v>
      </c>
      <c r="I2195" s="1" t="s">
        <v>933</v>
      </c>
      <c r="J2195" s="1" t="s">
        <v>951</v>
      </c>
      <c r="K2195" s="1" t="s">
        <v>20</v>
      </c>
      <c r="L2195" s="1" t="s">
        <v>3545</v>
      </c>
      <c r="M2195" s="3">
        <v>46009</v>
      </c>
      <c r="N2195" s="1" t="s">
        <v>821</v>
      </c>
      <c r="O2195" s="1" t="s">
        <v>936</v>
      </c>
      <c r="P2195" s="1">
        <v>1</v>
      </c>
    </row>
    <row r="2196" spans="1:16" x14ac:dyDescent="0.25">
      <c r="A2196" s="3">
        <v>46007</v>
      </c>
      <c r="B2196" s="1">
        <v>18</v>
      </c>
      <c r="C2196" s="5">
        <v>5500</v>
      </c>
      <c r="D2196" s="1" t="s">
        <v>2848</v>
      </c>
      <c r="E2196" s="1" t="s">
        <v>2849</v>
      </c>
      <c r="F2196" s="1" t="s">
        <v>354</v>
      </c>
      <c r="G2196" s="1" t="s">
        <v>1029</v>
      </c>
      <c r="H2196" s="3">
        <v>46030</v>
      </c>
      <c r="I2196" s="1" t="s">
        <v>933</v>
      </c>
      <c r="J2196" s="1" t="s">
        <v>66</v>
      </c>
      <c r="K2196" s="1" t="s">
        <v>858</v>
      </c>
      <c r="L2196" s="1" t="s">
        <v>3546</v>
      </c>
      <c r="M2196" s="3">
        <v>46009</v>
      </c>
      <c r="N2196" s="1" t="s">
        <v>358</v>
      </c>
      <c r="O2196" s="1" t="s">
        <v>1031</v>
      </c>
      <c r="P2196" s="1">
        <v>1</v>
      </c>
    </row>
    <row r="2197" spans="1:16" x14ac:dyDescent="0.25">
      <c r="A2197" s="3">
        <v>46007</v>
      </c>
      <c r="B2197" s="1">
        <v>109</v>
      </c>
      <c r="C2197" s="5">
        <v>1200</v>
      </c>
      <c r="D2197" s="1" t="s">
        <v>1187</v>
      </c>
      <c r="E2197" s="1" t="s">
        <v>1188</v>
      </c>
      <c r="F2197" s="1" t="s">
        <v>955</v>
      </c>
      <c r="G2197" s="1" t="s">
        <v>1029</v>
      </c>
      <c r="H2197" s="3">
        <v>46021</v>
      </c>
      <c r="I2197" s="1" t="s">
        <v>933</v>
      </c>
      <c r="J2197" s="1" t="s">
        <v>951</v>
      </c>
      <c r="K2197" s="1" t="s">
        <v>340</v>
      </c>
      <c r="L2197" s="1" t="s">
        <v>3547</v>
      </c>
      <c r="M2197" s="3">
        <v>46012</v>
      </c>
      <c r="N2197" s="1" t="s">
        <v>821</v>
      </c>
      <c r="O2197" s="1" t="s">
        <v>936</v>
      </c>
      <c r="P2197" s="1" t="s">
        <v>937</v>
      </c>
    </row>
    <row r="2198" spans="1:16" x14ac:dyDescent="0.25">
      <c r="A2198" s="3">
        <v>46007</v>
      </c>
      <c r="B2198" s="4">
        <v>2018</v>
      </c>
      <c r="C2198" s="5">
        <v>7190</v>
      </c>
      <c r="D2198" s="1" t="s">
        <v>3924</v>
      </c>
      <c r="E2198" s="1" t="s">
        <v>3925</v>
      </c>
      <c r="F2198" s="1" t="s">
        <v>268</v>
      </c>
      <c r="G2198" s="1" t="s">
        <v>940</v>
      </c>
      <c r="H2198" s="3">
        <v>46021</v>
      </c>
      <c r="I2198" s="1" t="s">
        <v>933</v>
      </c>
      <c r="J2198" s="1" t="s">
        <v>66</v>
      </c>
      <c r="K2198" s="1" t="s">
        <v>340</v>
      </c>
      <c r="L2198" s="1" t="s">
        <v>3926</v>
      </c>
      <c r="M2198" s="3">
        <v>46008</v>
      </c>
      <c r="N2198" s="1" t="s">
        <v>264</v>
      </c>
      <c r="O2198" s="1" t="s">
        <v>936</v>
      </c>
      <c r="P2198" s="1">
        <v>1</v>
      </c>
    </row>
    <row r="2199" spans="1:16" x14ac:dyDescent="0.25">
      <c r="A2199" s="3">
        <v>46007</v>
      </c>
      <c r="B2199" s="4">
        <v>16089</v>
      </c>
      <c r="C2199" s="5">
        <v>13650</v>
      </c>
      <c r="D2199" s="1" t="s">
        <v>3933</v>
      </c>
      <c r="E2199" s="1" t="s">
        <v>3934</v>
      </c>
      <c r="F2199" s="1" t="s">
        <v>268</v>
      </c>
      <c r="G2199" s="1" t="s">
        <v>940</v>
      </c>
      <c r="H2199" s="3">
        <v>46021</v>
      </c>
      <c r="I2199" s="1" t="s">
        <v>933</v>
      </c>
      <c r="J2199" s="1" t="s">
        <v>66</v>
      </c>
      <c r="K2199" s="1" t="s">
        <v>340</v>
      </c>
      <c r="L2199" s="1" t="s">
        <v>3935</v>
      </c>
      <c r="M2199" s="3">
        <v>46008</v>
      </c>
      <c r="N2199" s="1" t="s">
        <v>264</v>
      </c>
      <c r="O2199" s="1" t="s">
        <v>936</v>
      </c>
      <c r="P2199" s="1">
        <v>1</v>
      </c>
    </row>
    <row r="2200" spans="1:16" x14ac:dyDescent="0.25">
      <c r="A2200" s="3">
        <v>46008</v>
      </c>
      <c r="B2200" s="1">
        <v>30</v>
      </c>
      <c r="C2200" s="5">
        <v>7202.73</v>
      </c>
      <c r="D2200" s="1" t="s">
        <v>1730</v>
      </c>
      <c r="E2200" s="1" t="s">
        <v>2927</v>
      </c>
      <c r="F2200" s="1" t="s">
        <v>955</v>
      </c>
      <c r="G2200" s="1" t="s">
        <v>940</v>
      </c>
      <c r="H2200" s="3">
        <v>46021</v>
      </c>
      <c r="I2200" s="1" t="s">
        <v>933</v>
      </c>
      <c r="J2200" s="1" t="s">
        <v>951</v>
      </c>
      <c r="K2200" s="1" t="s">
        <v>20</v>
      </c>
      <c r="L2200" s="1" t="s">
        <v>2035</v>
      </c>
      <c r="M2200" s="3">
        <v>46009</v>
      </c>
      <c r="N2200" s="1" t="s">
        <v>821</v>
      </c>
      <c r="O2200" s="1" t="s">
        <v>936</v>
      </c>
      <c r="P2200" s="1" t="s">
        <v>937</v>
      </c>
    </row>
    <row r="2201" spans="1:16" x14ac:dyDescent="0.25">
      <c r="A2201" s="3">
        <v>46008</v>
      </c>
      <c r="B2201" s="1">
        <v>410</v>
      </c>
      <c r="C2201" s="5">
        <v>1300</v>
      </c>
      <c r="D2201" s="1" t="s">
        <v>975</v>
      </c>
      <c r="E2201" s="1" t="s">
        <v>976</v>
      </c>
      <c r="F2201" s="1" t="s">
        <v>955</v>
      </c>
      <c r="G2201" s="1" t="s">
        <v>940</v>
      </c>
      <c r="H2201" s="3">
        <v>46015</v>
      </c>
      <c r="I2201" s="1" t="s">
        <v>933</v>
      </c>
      <c r="J2201" s="1" t="s">
        <v>951</v>
      </c>
      <c r="K2201" s="1" t="s">
        <v>52</v>
      </c>
      <c r="L2201" s="1" t="s">
        <v>3548</v>
      </c>
      <c r="M2201" s="3">
        <v>46009</v>
      </c>
      <c r="N2201" s="1" t="s">
        <v>821</v>
      </c>
      <c r="O2201" s="1" t="s">
        <v>936</v>
      </c>
      <c r="P2201" s="1" t="s">
        <v>937</v>
      </c>
    </row>
    <row r="2202" spans="1:16" x14ac:dyDescent="0.25">
      <c r="A2202" s="3">
        <v>46008</v>
      </c>
      <c r="B2202" s="1">
        <v>142</v>
      </c>
      <c r="C2202" s="5">
        <v>11086.47</v>
      </c>
      <c r="D2202" s="1" t="s">
        <v>3549</v>
      </c>
      <c r="E2202" s="1" t="s">
        <v>3550</v>
      </c>
      <c r="F2202" s="1" t="s">
        <v>955</v>
      </c>
      <c r="G2202" s="1" t="s">
        <v>932</v>
      </c>
      <c r="H2202" s="3">
        <v>46036</v>
      </c>
      <c r="I2202" s="1" t="s">
        <v>933</v>
      </c>
      <c r="J2202" s="1" t="s">
        <v>951</v>
      </c>
      <c r="K2202" s="1" t="s">
        <v>1654</v>
      </c>
      <c r="L2202" s="1" t="s">
        <v>3551</v>
      </c>
      <c r="M2202" s="3">
        <v>46009</v>
      </c>
      <c r="N2202" s="1" t="s">
        <v>821</v>
      </c>
      <c r="O2202" s="1" t="s">
        <v>932</v>
      </c>
      <c r="P2202" s="1">
        <v>1</v>
      </c>
    </row>
    <row r="2203" spans="1:16" x14ac:dyDescent="0.25">
      <c r="A2203" s="3">
        <v>46008</v>
      </c>
      <c r="B2203" s="4">
        <v>2404</v>
      </c>
      <c r="C2203" s="5">
        <v>1250</v>
      </c>
      <c r="D2203" s="1" t="s">
        <v>1182</v>
      </c>
      <c r="E2203" s="1" t="s">
        <v>1183</v>
      </c>
      <c r="F2203" s="1" t="s">
        <v>289</v>
      </c>
      <c r="G2203" s="1" t="s">
        <v>940</v>
      </c>
      <c r="H2203" s="3">
        <v>46039</v>
      </c>
      <c r="I2203" s="1" t="s">
        <v>933</v>
      </c>
      <c r="J2203" s="1" t="s">
        <v>66</v>
      </c>
      <c r="K2203" s="1" t="s">
        <v>340</v>
      </c>
      <c r="L2203" s="1" t="s">
        <v>5149</v>
      </c>
      <c r="M2203" s="3">
        <v>46008</v>
      </c>
      <c r="N2203" s="1" t="s">
        <v>264</v>
      </c>
      <c r="O2203" s="1" t="s">
        <v>936</v>
      </c>
      <c r="P2203" s="1">
        <v>1</v>
      </c>
    </row>
    <row r="2204" spans="1:16" x14ac:dyDescent="0.25">
      <c r="A2204" s="3">
        <v>46009</v>
      </c>
      <c r="B2204" s="4">
        <v>9747</v>
      </c>
      <c r="C2204" s="5">
        <v>130.63</v>
      </c>
      <c r="D2204" s="1" t="s">
        <v>973</v>
      </c>
      <c r="E2204" s="1" t="s">
        <v>1068</v>
      </c>
      <c r="F2204" s="1" t="s">
        <v>955</v>
      </c>
      <c r="G2204" s="1" t="s">
        <v>998</v>
      </c>
      <c r="H2204" s="3">
        <v>46023</v>
      </c>
      <c r="I2204" s="1" t="s">
        <v>1814</v>
      </c>
      <c r="J2204" s="1" t="s">
        <v>951</v>
      </c>
      <c r="K2204" s="1" t="s">
        <v>308</v>
      </c>
      <c r="L2204" s="1" t="s">
        <v>3555</v>
      </c>
      <c r="M2204" s="3">
        <v>46012</v>
      </c>
      <c r="N2204" s="1" t="s">
        <v>821</v>
      </c>
      <c r="O2204" s="1" t="s">
        <v>998</v>
      </c>
      <c r="P2204" s="1">
        <v>1</v>
      </c>
    </row>
    <row r="2205" spans="1:16" x14ac:dyDescent="0.25">
      <c r="A2205" s="3">
        <v>46009</v>
      </c>
      <c r="B2205" s="4">
        <v>9746</v>
      </c>
      <c r="C2205" s="5">
        <v>19218.439999999999</v>
      </c>
      <c r="D2205" s="1" t="s">
        <v>973</v>
      </c>
      <c r="E2205" s="1" t="s">
        <v>1068</v>
      </c>
      <c r="F2205" s="1" t="s">
        <v>955</v>
      </c>
      <c r="G2205" s="1" t="s">
        <v>998</v>
      </c>
      <c r="H2205" s="3">
        <v>46038</v>
      </c>
      <c r="I2205" s="1" t="s">
        <v>1814</v>
      </c>
      <c r="J2205" s="1" t="s">
        <v>951</v>
      </c>
      <c r="K2205" s="1" t="s">
        <v>340</v>
      </c>
      <c r="L2205" s="1" t="s">
        <v>3556</v>
      </c>
      <c r="M2205" s="3">
        <v>46009</v>
      </c>
      <c r="N2205" s="1" t="s">
        <v>821</v>
      </c>
      <c r="O2205" s="1" t="s">
        <v>998</v>
      </c>
      <c r="P2205" s="1">
        <v>1</v>
      </c>
    </row>
    <row r="2206" spans="1:16" x14ac:dyDescent="0.25">
      <c r="A2206" s="3">
        <v>46009</v>
      </c>
      <c r="B2206" s="1">
        <v>21</v>
      </c>
      <c r="C2206" s="5">
        <v>1500</v>
      </c>
      <c r="D2206" s="1" t="s">
        <v>3557</v>
      </c>
      <c r="E2206" s="1" t="s">
        <v>3558</v>
      </c>
      <c r="F2206" s="1" t="s">
        <v>245</v>
      </c>
      <c r="G2206" s="1" t="s">
        <v>1667</v>
      </c>
      <c r="H2206" s="3">
        <v>46041</v>
      </c>
      <c r="I2206" s="1" t="s">
        <v>1100</v>
      </c>
      <c r="J2206" s="1" t="s">
        <v>66</v>
      </c>
      <c r="K2206" s="1" t="s">
        <v>340</v>
      </c>
      <c r="L2206" s="1" t="s">
        <v>3559</v>
      </c>
      <c r="M2206" s="3">
        <v>45675</v>
      </c>
      <c r="N2206" s="1" t="s">
        <v>57</v>
      </c>
      <c r="O2206" s="1" t="s">
        <v>936</v>
      </c>
      <c r="P2206" s="1" t="s">
        <v>937</v>
      </c>
    </row>
    <row r="2207" spans="1:16" x14ac:dyDescent="0.25">
      <c r="A2207" s="3">
        <v>46009</v>
      </c>
      <c r="B2207" s="4">
        <v>2944</v>
      </c>
      <c r="C2207" s="5">
        <v>850</v>
      </c>
      <c r="D2207" s="1" t="s">
        <v>3560</v>
      </c>
      <c r="E2207" s="1" t="s">
        <v>3561</v>
      </c>
      <c r="F2207" s="1" t="s">
        <v>245</v>
      </c>
      <c r="G2207" s="1" t="s">
        <v>1667</v>
      </c>
      <c r="H2207" s="3">
        <v>46024</v>
      </c>
      <c r="I2207" s="1" t="s">
        <v>1100</v>
      </c>
      <c r="J2207" s="1" t="s">
        <v>66</v>
      </c>
      <c r="K2207" s="1" t="s">
        <v>858</v>
      </c>
      <c r="L2207" s="1" t="s">
        <v>3559</v>
      </c>
      <c r="M2207" s="3">
        <v>45675</v>
      </c>
      <c r="N2207" s="1" t="s">
        <v>57</v>
      </c>
      <c r="O2207" s="1" t="s">
        <v>937</v>
      </c>
      <c r="P2207" s="1">
        <v>1</v>
      </c>
    </row>
    <row r="2208" spans="1:16" x14ac:dyDescent="0.25">
      <c r="A2208" s="3">
        <v>46009</v>
      </c>
      <c r="B2208" s="1">
        <v>924</v>
      </c>
      <c r="C2208" s="5">
        <v>80</v>
      </c>
      <c r="D2208" s="1" t="s">
        <v>3562</v>
      </c>
      <c r="E2208" s="1" t="s">
        <v>3563</v>
      </c>
      <c r="F2208" s="1" t="s">
        <v>245</v>
      </c>
      <c r="G2208" s="1" t="s">
        <v>1667</v>
      </c>
      <c r="H2208" s="3">
        <v>46009</v>
      </c>
      <c r="I2208" s="1" t="s">
        <v>933</v>
      </c>
      <c r="J2208" s="1" t="s">
        <v>66</v>
      </c>
      <c r="K2208" s="1" t="s">
        <v>858</v>
      </c>
      <c r="L2208" s="1" t="s">
        <v>3559</v>
      </c>
      <c r="M2208" s="3">
        <v>45675</v>
      </c>
      <c r="N2208" s="1" t="s">
        <v>57</v>
      </c>
      <c r="O2208" s="1" t="s">
        <v>937</v>
      </c>
      <c r="P2208" s="1">
        <v>1</v>
      </c>
    </row>
    <row r="2209" spans="1:16" x14ac:dyDescent="0.25">
      <c r="A2209" s="3">
        <v>46009</v>
      </c>
      <c r="B2209" s="1">
        <v>923</v>
      </c>
      <c r="C2209" s="5">
        <v>315</v>
      </c>
      <c r="D2209" s="1" t="s">
        <v>3562</v>
      </c>
      <c r="E2209" s="1" t="s">
        <v>3563</v>
      </c>
      <c r="F2209" s="1" t="s">
        <v>245</v>
      </c>
      <c r="G2209" s="1" t="s">
        <v>1667</v>
      </c>
      <c r="H2209" s="3">
        <v>46040</v>
      </c>
      <c r="I2209" s="1" t="s">
        <v>933</v>
      </c>
      <c r="J2209" s="1" t="s">
        <v>66</v>
      </c>
      <c r="K2209" s="1" t="s">
        <v>858</v>
      </c>
      <c r="L2209" s="1" t="s">
        <v>3559</v>
      </c>
      <c r="M2209" s="3">
        <v>46012</v>
      </c>
      <c r="N2209" s="1" t="s">
        <v>57</v>
      </c>
      <c r="O2209" s="1" t="s">
        <v>937</v>
      </c>
      <c r="P2209" s="1">
        <v>1</v>
      </c>
    </row>
    <row r="2210" spans="1:16" x14ac:dyDescent="0.25">
      <c r="A2210" s="3">
        <v>46009</v>
      </c>
      <c r="B2210" s="4">
        <v>12963</v>
      </c>
      <c r="C2210" s="5">
        <v>1252.47</v>
      </c>
      <c r="D2210" s="1" t="s">
        <v>1801</v>
      </c>
      <c r="E2210" s="1" t="s">
        <v>1802</v>
      </c>
      <c r="F2210" s="1" t="s">
        <v>166</v>
      </c>
      <c r="G2210" s="1" t="s">
        <v>940</v>
      </c>
      <c r="H2210" s="3">
        <v>46040</v>
      </c>
      <c r="I2210" s="1" t="s">
        <v>933</v>
      </c>
      <c r="J2210" s="1" t="s">
        <v>66</v>
      </c>
      <c r="K2210" s="1" t="s">
        <v>52</v>
      </c>
      <c r="L2210" s="1" t="s">
        <v>3564</v>
      </c>
      <c r="M2210" s="3">
        <v>46012</v>
      </c>
      <c r="N2210" s="1"/>
      <c r="O2210" s="1"/>
      <c r="P2210" s="1"/>
    </row>
    <row r="2211" spans="1:16" x14ac:dyDescent="0.25">
      <c r="A2211" s="3">
        <v>46010</v>
      </c>
      <c r="B2211" s="4">
        <v>1914</v>
      </c>
      <c r="C2211" s="5">
        <v>258</v>
      </c>
      <c r="D2211" s="1" t="s">
        <v>953</v>
      </c>
      <c r="E2211" s="1" t="s">
        <v>3535</v>
      </c>
      <c r="F2211" s="1" t="s">
        <v>955</v>
      </c>
      <c r="G2211" s="1" t="s">
        <v>940</v>
      </c>
      <c r="H2211" s="3">
        <v>46038</v>
      </c>
      <c r="I2211" s="1" t="s">
        <v>933</v>
      </c>
      <c r="J2211" s="1" t="s">
        <v>951</v>
      </c>
      <c r="K2211" s="1" t="s">
        <v>20</v>
      </c>
      <c r="L2211" s="1" t="s">
        <v>3565</v>
      </c>
      <c r="M2211" s="3">
        <v>45675</v>
      </c>
      <c r="N2211" s="1" t="s">
        <v>821</v>
      </c>
      <c r="O2211" s="1" t="s">
        <v>936</v>
      </c>
      <c r="P2211" s="1">
        <v>1</v>
      </c>
    </row>
    <row r="2212" spans="1:16" x14ac:dyDescent="0.25">
      <c r="A2212" s="3">
        <v>46010</v>
      </c>
      <c r="B2212" s="4">
        <v>9766</v>
      </c>
      <c r="C2212" s="5">
        <v>29900</v>
      </c>
      <c r="D2212" s="1" t="s">
        <v>973</v>
      </c>
      <c r="E2212" s="1" t="s">
        <v>1068</v>
      </c>
      <c r="F2212" s="1" t="s">
        <v>304</v>
      </c>
      <c r="G2212" s="1" t="s">
        <v>998</v>
      </c>
      <c r="H2212" s="3">
        <v>46041</v>
      </c>
      <c r="I2212" s="1" t="s">
        <v>933</v>
      </c>
      <c r="J2212" s="1" t="s">
        <v>66</v>
      </c>
      <c r="K2212" s="1" t="s">
        <v>996</v>
      </c>
      <c r="L2212" s="1">
        <v>5000</v>
      </c>
      <c r="M2212" s="3">
        <v>46012</v>
      </c>
      <c r="N2212" s="1" t="s">
        <v>57</v>
      </c>
      <c r="O2212" s="1" t="s">
        <v>998</v>
      </c>
      <c r="P2212" s="1">
        <v>1</v>
      </c>
    </row>
    <row r="2213" spans="1:16" x14ac:dyDescent="0.25">
      <c r="A2213" s="3">
        <v>46010</v>
      </c>
      <c r="B2213" s="4">
        <v>9767</v>
      </c>
      <c r="C2213" s="5">
        <v>5074.5200000000004</v>
      </c>
      <c r="D2213" s="1" t="s">
        <v>973</v>
      </c>
      <c r="E2213" s="1" t="s">
        <v>1068</v>
      </c>
      <c r="F2213" s="1" t="s">
        <v>1814</v>
      </c>
      <c r="G2213" s="1" t="s">
        <v>998</v>
      </c>
      <c r="H2213" s="3">
        <v>46042</v>
      </c>
      <c r="I2213" s="1" t="s">
        <v>933</v>
      </c>
      <c r="J2213" s="1" t="s">
        <v>66</v>
      </c>
      <c r="K2213" s="1" t="s">
        <v>340</v>
      </c>
      <c r="L2213" s="1" t="s">
        <v>3566</v>
      </c>
      <c r="M2213" s="3">
        <v>46012</v>
      </c>
      <c r="N2213" s="1" t="s">
        <v>1814</v>
      </c>
      <c r="O2213" s="1" t="s">
        <v>998</v>
      </c>
      <c r="P2213" s="1">
        <v>1</v>
      </c>
    </row>
    <row r="2214" spans="1:16" x14ac:dyDescent="0.25">
      <c r="A2214" s="3">
        <v>46010</v>
      </c>
      <c r="B2214" s="4">
        <v>151666</v>
      </c>
      <c r="C2214" s="5">
        <v>322.85000000000002</v>
      </c>
      <c r="D2214" s="1" t="s">
        <v>1492</v>
      </c>
      <c r="E2214" s="1" t="s">
        <v>1493</v>
      </c>
      <c r="F2214" s="1" t="s">
        <v>185</v>
      </c>
      <c r="G2214" s="1" t="s">
        <v>940</v>
      </c>
      <c r="H2214" s="3">
        <v>46040</v>
      </c>
      <c r="I2214" s="1" t="s">
        <v>933</v>
      </c>
      <c r="J2214" s="1" t="s">
        <v>66</v>
      </c>
      <c r="K2214" s="1" t="s">
        <v>52</v>
      </c>
      <c r="L2214" s="1" t="s">
        <v>3567</v>
      </c>
      <c r="M2214" s="3">
        <v>46015</v>
      </c>
      <c r="N2214" s="1" t="s">
        <v>190</v>
      </c>
      <c r="O2214" s="1" t="s">
        <v>936</v>
      </c>
      <c r="P2214" s="1">
        <v>1</v>
      </c>
    </row>
    <row r="2215" spans="1:16" x14ac:dyDescent="0.25">
      <c r="A2215" s="3">
        <v>46010</v>
      </c>
      <c r="B2215" s="4">
        <v>336105</v>
      </c>
      <c r="C2215" s="5">
        <v>2000</v>
      </c>
      <c r="D2215" s="1" t="s">
        <v>3274</v>
      </c>
      <c r="E2215" s="1" t="s">
        <v>3275</v>
      </c>
      <c r="F2215" s="1" t="s">
        <v>185</v>
      </c>
      <c r="G2215" s="1" t="s">
        <v>940</v>
      </c>
      <c r="H2215" s="3">
        <v>46038</v>
      </c>
      <c r="I2215" s="1" t="s">
        <v>933</v>
      </c>
      <c r="J2215" s="1" t="s">
        <v>66</v>
      </c>
      <c r="K2215" s="1" t="s">
        <v>52</v>
      </c>
      <c r="L2215" s="1" t="s">
        <v>3568</v>
      </c>
      <c r="M2215" s="3">
        <v>46015</v>
      </c>
      <c r="N2215" s="1" t="s">
        <v>190</v>
      </c>
      <c r="O2215" s="1" t="s">
        <v>936</v>
      </c>
      <c r="P2215" s="1">
        <v>1</v>
      </c>
    </row>
    <row r="2216" spans="1:16" x14ac:dyDescent="0.25">
      <c r="A2216" s="3">
        <v>46010</v>
      </c>
      <c r="B2216" s="4">
        <v>9769</v>
      </c>
      <c r="C2216" s="5">
        <v>2642.61</v>
      </c>
      <c r="D2216" s="1" t="s">
        <v>973</v>
      </c>
      <c r="E2216" s="1" t="s">
        <v>1068</v>
      </c>
      <c r="F2216" s="1" t="s">
        <v>1814</v>
      </c>
      <c r="G2216" s="1" t="s">
        <v>998</v>
      </c>
      <c r="H2216" s="3">
        <v>46040</v>
      </c>
      <c r="I2216" s="1" t="s">
        <v>1814</v>
      </c>
      <c r="J2216" s="1" t="s">
        <v>66</v>
      </c>
      <c r="K2216" s="1" t="s">
        <v>340</v>
      </c>
      <c r="L2216" s="1" t="s">
        <v>3569</v>
      </c>
      <c r="M2216" s="3">
        <v>46012</v>
      </c>
      <c r="N2216" s="1" t="s">
        <v>1814</v>
      </c>
      <c r="O2216" s="1" t="s">
        <v>998</v>
      </c>
      <c r="P2216" s="1">
        <v>1</v>
      </c>
    </row>
    <row r="2217" spans="1:16" x14ac:dyDescent="0.25">
      <c r="A2217" s="3">
        <v>46023</v>
      </c>
      <c r="B2217" s="4">
        <v>5591</v>
      </c>
      <c r="C2217" s="5">
        <v>3900</v>
      </c>
      <c r="D2217" s="1" t="s">
        <v>2048</v>
      </c>
      <c r="E2217" s="1" t="s">
        <v>2049</v>
      </c>
      <c r="F2217" s="1" t="s">
        <v>955</v>
      </c>
      <c r="G2217" s="1" t="s">
        <v>932</v>
      </c>
      <c r="H2217" s="3">
        <v>46042</v>
      </c>
      <c r="I2217" s="1" t="s">
        <v>933</v>
      </c>
      <c r="J2217" s="1" t="s">
        <v>951</v>
      </c>
      <c r="K2217" s="1" t="s">
        <v>659</v>
      </c>
      <c r="L2217" s="1" t="s">
        <v>3570</v>
      </c>
      <c r="M2217" s="3">
        <v>46027</v>
      </c>
      <c r="N2217" s="1" t="s">
        <v>821</v>
      </c>
      <c r="O2217" s="1" t="s">
        <v>936</v>
      </c>
      <c r="P2217" s="1">
        <v>1</v>
      </c>
    </row>
    <row r="2218" spans="1:16" x14ac:dyDescent="0.25">
      <c r="A2218" s="3">
        <v>46025</v>
      </c>
      <c r="B2218" s="1">
        <v>16</v>
      </c>
      <c r="C2218" s="5">
        <v>1450</v>
      </c>
      <c r="D2218" s="1" t="s">
        <v>1262</v>
      </c>
      <c r="E2218" s="1" t="s">
        <v>1507</v>
      </c>
      <c r="F2218" s="1" t="s">
        <v>955</v>
      </c>
      <c r="G2218" s="1" t="s">
        <v>20</v>
      </c>
      <c r="H2218" s="3">
        <v>46041</v>
      </c>
      <c r="I2218" s="1" t="s">
        <v>933</v>
      </c>
      <c r="J2218" s="1" t="s">
        <v>951</v>
      </c>
      <c r="K2218" s="1" t="s">
        <v>487</v>
      </c>
      <c r="L2218" s="1" t="s">
        <v>3571</v>
      </c>
      <c r="M2218" s="3">
        <v>46027</v>
      </c>
      <c r="N2218" s="1" t="s">
        <v>821</v>
      </c>
      <c r="O2218" s="1" t="s">
        <v>936</v>
      </c>
      <c r="P2218" s="1" t="s">
        <v>937</v>
      </c>
    </row>
    <row r="2219" spans="1:16" x14ac:dyDescent="0.25">
      <c r="A2219" s="3">
        <v>46025</v>
      </c>
      <c r="B2219" s="1">
        <v>16</v>
      </c>
      <c r="C2219" s="5">
        <v>5000</v>
      </c>
      <c r="D2219" s="1" t="s">
        <v>1262</v>
      </c>
      <c r="E2219" s="1" t="s">
        <v>1507</v>
      </c>
      <c r="F2219" s="1" t="s">
        <v>955</v>
      </c>
      <c r="G2219" s="1" t="s">
        <v>20</v>
      </c>
      <c r="H2219" s="3">
        <v>46041</v>
      </c>
      <c r="I2219" s="1" t="s">
        <v>933</v>
      </c>
      <c r="J2219" s="1" t="s">
        <v>951</v>
      </c>
      <c r="K2219" s="1" t="s">
        <v>659</v>
      </c>
      <c r="L2219" s="1" t="s">
        <v>3572</v>
      </c>
      <c r="M2219" s="3">
        <v>46027</v>
      </c>
      <c r="N2219" s="1" t="s">
        <v>821</v>
      </c>
      <c r="O2219" s="1" t="s">
        <v>936</v>
      </c>
      <c r="P2219" s="1" t="s">
        <v>937</v>
      </c>
    </row>
    <row r="2220" spans="1:16" x14ac:dyDescent="0.25">
      <c r="A2220" s="3">
        <v>46025</v>
      </c>
      <c r="B2220" s="1">
        <v>16</v>
      </c>
      <c r="C2220" s="5">
        <v>2000</v>
      </c>
      <c r="D2220" s="1" t="s">
        <v>1262</v>
      </c>
      <c r="E2220" s="1" t="s">
        <v>1507</v>
      </c>
      <c r="F2220" s="1" t="s">
        <v>955</v>
      </c>
      <c r="G2220" s="1" t="s">
        <v>20</v>
      </c>
      <c r="H2220" s="3">
        <v>46041</v>
      </c>
      <c r="I2220" s="1" t="s">
        <v>933</v>
      </c>
      <c r="J2220" s="1" t="s">
        <v>951</v>
      </c>
      <c r="K2220" s="1" t="s">
        <v>817</v>
      </c>
      <c r="L2220" s="1" t="s">
        <v>3573</v>
      </c>
      <c r="M2220" s="3">
        <v>46027</v>
      </c>
      <c r="N2220" s="1" t="s">
        <v>821</v>
      </c>
      <c r="O2220" s="1" t="s">
        <v>936</v>
      </c>
      <c r="P2220" s="1" t="s">
        <v>937</v>
      </c>
    </row>
    <row r="2221" spans="1:16" x14ac:dyDescent="0.25">
      <c r="A2221" s="3">
        <v>46025</v>
      </c>
      <c r="B2221" s="1">
        <v>15</v>
      </c>
      <c r="C2221" s="5">
        <v>13700</v>
      </c>
      <c r="D2221" s="1" t="s">
        <v>1262</v>
      </c>
      <c r="E2221" s="1" t="s">
        <v>1507</v>
      </c>
      <c r="F2221" s="1" t="s">
        <v>955</v>
      </c>
      <c r="G2221" s="1" t="s">
        <v>20</v>
      </c>
      <c r="H2221" s="3">
        <v>46041</v>
      </c>
      <c r="I2221" s="1" t="s">
        <v>933</v>
      </c>
      <c r="J2221" s="1" t="s">
        <v>951</v>
      </c>
      <c r="K2221" s="1" t="s">
        <v>934</v>
      </c>
      <c r="L2221" s="1" t="s">
        <v>3574</v>
      </c>
      <c r="M2221" s="3">
        <v>46027</v>
      </c>
      <c r="N2221" s="1" t="s">
        <v>821</v>
      </c>
      <c r="O2221" s="1" t="s">
        <v>936</v>
      </c>
      <c r="P2221" s="1" t="s">
        <v>937</v>
      </c>
    </row>
    <row r="2222" spans="1:16" x14ac:dyDescent="0.25">
      <c r="A2222" s="3">
        <v>46025</v>
      </c>
      <c r="B2222" s="4">
        <v>3056</v>
      </c>
      <c r="C2222" s="5">
        <v>14000</v>
      </c>
      <c r="D2222" s="1" t="s">
        <v>1285</v>
      </c>
      <c r="E2222" s="1" t="s">
        <v>1286</v>
      </c>
      <c r="F2222" s="1" t="s">
        <v>37</v>
      </c>
      <c r="G2222" s="1" t="s">
        <v>932</v>
      </c>
      <c r="H2222" s="3">
        <v>46056</v>
      </c>
      <c r="I2222" s="1" t="s">
        <v>933</v>
      </c>
      <c r="J2222" s="1" t="s">
        <v>66</v>
      </c>
      <c r="K2222" s="1" t="s">
        <v>20</v>
      </c>
      <c r="L2222" s="1" t="s">
        <v>3575</v>
      </c>
      <c r="M2222" s="3">
        <v>46048</v>
      </c>
      <c r="N2222" s="1" t="s">
        <v>25</v>
      </c>
      <c r="O2222" s="1" t="s">
        <v>932</v>
      </c>
      <c r="P2222" s="1">
        <v>1</v>
      </c>
    </row>
    <row r="2223" spans="1:16" x14ac:dyDescent="0.25">
      <c r="A2223" s="3">
        <v>46027</v>
      </c>
      <c r="B2223" s="4">
        <v>1572</v>
      </c>
      <c r="C2223" s="5">
        <v>129.6</v>
      </c>
      <c r="D2223" s="1" t="s">
        <v>1901</v>
      </c>
      <c r="E2223" s="1" t="s">
        <v>1902</v>
      </c>
      <c r="F2223" s="1" t="s">
        <v>955</v>
      </c>
      <c r="G2223" s="1" t="s">
        <v>990</v>
      </c>
      <c r="H2223" s="3">
        <v>46055</v>
      </c>
      <c r="I2223" s="1" t="s">
        <v>933</v>
      </c>
      <c r="J2223" s="1" t="s">
        <v>951</v>
      </c>
      <c r="K2223" s="1" t="s">
        <v>20</v>
      </c>
      <c r="L2223" s="1" t="s">
        <v>3576</v>
      </c>
      <c r="M2223" s="3">
        <v>46028</v>
      </c>
      <c r="N2223" s="1" t="s">
        <v>821</v>
      </c>
      <c r="O2223" s="1" t="s">
        <v>936</v>
      </c>
      <c r="P2223" s="1">
        <v>1</v>
      </c>
    </row>
    <row r="2224" spans="1:16" x14ac:dyDescent="0.25">
      <c r="A2224" s="3">
        <v>46027</v>
      </c>
      <c r="B2224" s="4">
        <v>1143</v>
      </c>
      <c r="C2224" s="5">
        <v>1285</v>
      </c>
      <c r="D2224" s="1" t="s">
        <v>1126</v>
      </c>
      <c r="E2224" s="1" t="s">
        <v>1127</v>
      </c>
      <c r="F2224" s="1" t="s">
        <v>304</v>
      </c>
      <c r="G2224" s="1" t="s">
        <v>940</v>
      </c>
      <c r="H2224" s="3">
        <v>46041</v>
      </c>
      <c r="I2224" s="1" t="s">
        <v>933</v>
      </c>
      <c r="J2224" s="1" t="s">
        <v>66</v>
      </c>
      <c r="K2224" s="1" t="s">
        <v>340</v>
      </c>
      <c r="L2224" s="1" t="s">
        <v>3577</v>
      </c>
      <c r="M2224" s="3">
        <v>46027</v>
      </c>
      <c r="N2224" s="1" t="s">
        <v>57</v>
      </c>
      <c r="O2224" s="1" t="s">
        <v>936</v>
      </c>
      <c r="P2224" s="1">
        <v>1</v>
      </c>
    </row>
    <row r="2225" spans="1:16" x14ac:dyDescent="0.25">
      <c r="A2225" s="3">
        <v>46027</v>
      </c>
      <c r="B2225" s="4">
        <v>1143</v>
      </c>
      <c r="C2225" s="5">
        <v>5800</v>
      </c>
      <c r="D2225" s="1" t="s">
        <v>1126</v>
      </c>
      <c r="E2225" s="1" t="s">
        <v>1127</v>
      </c>
      <c r="F2225" s="1" t="s">
        <v>955</v>
      </c>
      <c r="G2225" s="1" t="s">
        <v>940</v>
      </c>
      <c r="H2225" s="3">
        <v>46041</v>
      </c>
      <c r="I2225" s="1" t="s">
        <v>933</v>
      </c>
      <c r="J2225" s="1" t="s">
        <v>951</v>
      </c>
      <c r="K2225" s="1" t="s">
        <v>659</v>
      </c>
      <c r="L2225" s="1" t="s">
        <v>3578</v>
      </c>
      <c r="M2225" s="3">
        <v>46027</v>
      </c>
      <c r="N2225" s="1" t="s">
        <v>821</v>
      </c>
      <c r="O2225" s="1" t="s">
        <v>936</v>
      </c>
      <c r="P2225" s="1">
        <v>1</v>
      </c>
    </row>
    <row r="2226" spans="1:16" x14ac:dyDescent="0.25">
      <c r="A2226" s="3">
        <v>46027</v>
      </c>
      <c r="B2226" s="4">
        <v>1143</v>
      </c>
      <c r="C2226" s="5">
        <v>380</v>
      </c>
      <c r="D2226" s="1" t="s">
        <v>1126</v>
      </c>
      <c r="E2226" s="1" t="s">
        <v>1127</v>
      </c>
      <c r="F2226" s="1" t="s">
        <v>955</v>
      </c>
      <c r="G2226" s="1" t="s">
        <v>940</v>
      </c>
      <c r="H2226" s="3">
        <v>46041</v>
      </c>
      <c r="I2226" s="1" t="s">
        <v>933</v>
      </c>
      <c r="J2226" s="1" t="s">
        <v>951</v>
      </c>
      <c r="K2226" s="1" t="s">
        <v>659</v>
      </c>
      <c r="L2226" s="1" t="s">
        <v>3579</v>
      </c>
      <c r="M2226" s="3">
        <v>46027</v>
      </c>
      <c r="N2226" s="1" t="s">
        <v>821</v>
      </c>
      <c r="O2226" s="1" t="s">
        <v>936</v>
      </c>
      <c r="P2226" s="1">
        <v>1</v>
      </c>
    </row>
    <row r="2227" spans="1:16" x14ac:dyDescent="0.25">
      <c r="A2227" s="3">
        <v>46027</v>
      </c>
      <c r="B2227" s="4">
        <v>1143</v>
      </c>
      <c r="C2227" s="5">
        <v>5200</v>
      </c>
      <c r="D2227" s="1" t="s">
        <v>1126</v>
      </c>
      <c r="E2227" s="1" t="s">
        <v>1127</v>
      </c>
      <c r="F2227" s="1" t="s">
        <v>955</v>
      </c>
      <c r="G2227" s="1" t="s">
        <v>940</v>
      </c>
      <c r="H2227" s="3">
        <v>46041</v>
      </c>
      <c r="I2227" s="1" t="s">
        <v>933</v>
      </c>
      <c r="J2227" s="1" t="s">
        <v>951</v>
      </c>
      <c r="K2227" s="1" t="s">
        <v>66</v>
      </c>
      <c r="L2227" s="1" t="s">
        <v>3580</v>
      </c>
      <c r="M2227" s="3">
        <v>46027</v>
      </c>
      <c r="N2227" s="1" t="s">
        <v>821</v>
      </c>
      <c r="O2227" s="1" t="s">
        <v>936</v>
      </c>
      <c r="P2227" s="1">
        <v>1</v>
      </c>
    </row>
    <row r="2228" spans="1:16" x14ac:dyDescent="0.25">
      <c r="A2228" s="3">
        <v>46027</v>
      </c>
      <c r="B2228" s="4">
        <v>1143</v>
      </c>
      <c r="C2228" s="5">
        <v>3750</v>
      </c>
      <c r="D2228" s="1" t="s">
        <v>1126</v>
      </c>
      <c r="E2228" s="1" t="s">
        <v>1127</v>
      </c>
      <c r="F2228" s="1" t="s">
        <v>745</v>
      </c>
      <c r="G2228" s="1" t="s">
        <v>940</v>
      </c>
      <c r="H2228" s="3">
        <v>46041</v>
      </c>
      <c r="I2228" s="1" t="s">
        <v>933</v>
      </c>
      <c r="J2228" s="1" t="s">
        <v>66</v>
      </c>
      <c r="K2228" s="1" t="s">
        <v>340</v>
      </c>
      <c r="L2228" s="1" t="s">
        <v>3581</v>
      </c>
      <c r="M2228" s="3">
        <v>46027</v>
      </c>
      <c r="N2228" s="1" t="s">
        <v>50</v>
      </c>
      <c r="O2228" s="1" t="s">
        <v>936</v>
      </c>
      <c r="P2228" s="1">
        <v>1</v>
      </c>
    </row>
    <row r="2229" spans="1:16" x14ac:dyDescent="0.25">
      <c r="A2229" s="3">
        <v>46027</v>
      </c>
      <c r="B2229" s="4">
        <v>1143</v>
      </c>
      <c r="C2229" s="5">
        <v>1750</v>
      </c>
      <c r="D2229" s="1" t="s">
        <v>1126</v>
      </c>
      <c r="E2229" s="1" t="s">
        <v>1127</v>
      </c>
      <c r="F2229" s="1" t="s">
        <v>727</v>
      </c>
      <c r="G2229" s="1" t="s">
        <v>940</v>
      </c>
      <c r="H2229" s="3">
        <v>46041</v>
      </c>
      <c r="I2229" s="1" t="s">
        <v>933</v>
      </c>
      <c r="J2229" s="1" t="s">
        <v>66</v>
      </c>
      <c r="K2229" s="1" t="s">
        <v>308</v>
      </c>
      <c r="L2229" s="1" t="s">
        <v>3582</v>
      </c>
      <c r="M2229" s="3">
        <v>46027</v>
      </c>
      <c r="N2229" s="1" t="s">
        <v>57</v>
      </c>
      <c r="O2229" s="1" t="s">
        <v>936</v>
      </c>
      <c r="P2229" s="1">
        <v>1</v>
      </c>
    </row>
    <row r="2230" spans="1:16" x14ac:dyDescent="0.25">
      <c r="A2230" s="3">
        <v>46027</v>
      </c>
      <c r="B2230" s="4">
        <v>1143</v>
      </c>
      <c r="C2230" s="5">
        <v>580</v>
      </c>
      <c r="D2230" s="1" t="s">
        <v>1126</v>
      </c>
      <c r="E2230" s="1" t="s">
        <v>1127</v>
      </c>
      <c r="F2230" s="1" t="s">
        <v>955</v>
      </c>
      <c r="G2230" s="1" t="s">
        <v>940</v>
      </c>
      <c r="H2230" s="3">
        <v>46041</v>
      </c>
      <c r="I2230" s="1" t="s">
        <v>933</v>
      </c>
      <c r="J2230" s="1" t="s">
        <v>951</v>
      </c>
      <c r="K2230" s="1" t="s">
        <v>659</v>
      </c>
      <c r="L2230" s="1" t="s">
        <v>3583</v>
      </c>
      <c r="M2230" s="3">
        <v>46027</v>
      </c>
      <c r="N2230" s="1" t="s">
        <v>821</v>
      </c>
      <c r="O2230" s="1" t="s">
        <v>936</v>
      </c>
      <c r="P2230" s="1">
        <v>1</v>
      </c>
    </row>
    <row r="2231" spans="1:16" x14ac:dyDescent="0.25">
      <c r="A2231" s="3">
        <v>46027</v>
      </c>
      <c r="B2231" s="1">
        <v>9</v>
      </c>
      <c r="C2231" s="5">
        <v>2975</v>
      </c>
      <c r="D2231" s="1" t="s">
        <v>3584</v>
      </c>
      <c r="E2231" s="1" t="s">
        <v>3585</v>
      </c>
      <c r="F2231" s="1" t="s">
        <v>199</v>
      </c>
      <c r="G2231" s="1" t="s">
        <v>940</v>
      </c>
      <c r="H2231" s="3">
        <v>46037</v>
      </c>
      <c r="I2231" s="1" t="s">
        <v>933</v>
      </c>
      <c r="J2231" s="1" t="s">
        <v>66</v>
      </c>
      <c r="K2231" s="1" t="s">
        <v>52</v>
      </c>
      <c r="L2231" s="1" t="s">
        <v>3586</v>
      </c>
      <c r="M2231" s="3">
        <v>46027</v>
      </c>
      <c r="N2231" s="1" t="s">
        <v>175</v>
      </c>
      <c r="O2231" s="1" t="s">
        <v>936</v>
      </c>
      <c r="P2231" s="1" t="s">
        <v>937</v>
      </c>
    </row>
    <row r="2232" spans="1:16" x14ac:dyDescent="0.25">
      <c r="A2232" s="3">
        <v>46027</v>
      </c>
      <c r="B2232" s="1">
        <v>60</v>
      </c>
      <c r="C2232" s="5">
        <v>1500</v>
      </c>
      <c r="D2232" s="1" t="s">
        <v>1607</v>
      </c>
      <c r="E2232" s="1" t="s">
        <v>1608</v>
      </c>
      <c r="F2232" s="1" t="s">
        <v>955</v>
      </c>
      <c r="G2232" s="1" t="s">
        <v>932</v>
      </c>
      <c r="H2232" s="3">
        <v>46041</v>
      </c>
      <c r="I2232" s="1" t="s">
        <v>933</v>
      </c>
      <c r="J2232" s="1" t="s">
        <v>951</v>
      </c>
      <c r="K2232" s="1" t="s">
        <v>20</v>
      </c>
      <c r="L2232" s="1" t="s">
        <v>3587</v>
      </c>
      <c r="M2232" s="3">
        <v>46027</v>
      </c>
      <c r="N2232" s="1" t="s">
        <v>821</v>
      </c>
      <c r="O2232" s="1" t="s">
        <v>1497</v>
      </c>
      <c r="P2232" s="1" t="s">
        <v>937</v>
      </c>
    </row>
    <row r="2233" spans="1:16" x14ac:dyDescent="0.25">
      <c r="A2233" s="3">
        <v>46027</v>
      </c>
      <c r="B2233" s="4">
        <v>2426</v>
      </c>
      <c r="C2233" s="5">
        <v>1050</v>
      </c>
      <c r="D2233" s="1" t="s">
        <v>1182</v>
      </c>
      <c r="E2233" s="1" t="s">
        <v>1183</v>
      </c>
      <c r="F2233" s="1" t="s">
        <v>955</v>
      </c>
      <c r="G2233" s="1" t="s">
        <v>940</v>
      </c>
      <c r="H2233" s="3">
        <v>46058</v>
      </c>
      <c r="I2233" s="1" t="s">
        <v>933</v>
      </c>
      <c r="J2233" s="1" t="s">
        <v>951</v>
      </c>
      <c r="K2233" s="1" t="s">
        <v>52</v>
      </c>
      <c r="L2233" s="1" t="s">
        <v>3588</v>
      </c>
      <c r="M2233" s="3">
        <v>46027</v>
      </c>
      <c r="N2233" s="1" t="s">
        <v>821</v>
      </c>
      <c r="O2233" s="1" t="s">
        <v>936</v>
      </c>
      <c r="P2233" s="1">
        <v>1</v>
      </c>
    </row>
    <row r="2234" spans="1:16" x14ac:dyDescent="0.25">
      <c r="A2234" s="3">
        <v>46027</v>
      </c>
      <c r="B2234" s="4">
        <v>49483</v>
      </c>
      <c r="C2234" s="5">
        <v>965</v>
      </c>
      <c r="D2234" s="1" t="s">
        <v>1489</v>
      </c>
      <c r="E2234" s="1" t="s">
        <v>1490</v>
      </c>
      <c r="F2234" s="1" t="s">
        <v>430</v>
      </c>
      <c r="G2234" s="1" t="s">
        <v>940</v>
      </c>
      <c r="H2234" s="3">
        <v>46057</v>
      </c>
      <c r="I2234" s="1" t="s">
        <v>933</v>
      </c>
      <c r="J2234" s="1" t="s">
        <v>66</v>
      </c>
      <c r="K2234" s="1" t="s">
        <v>340</v>
      </c>
      <c r="L2234" s="1" t="s">
        <v>3589</v>
      </c>
      <c r="M2234" s="3">
        <v>46027</v>
      </c>
      <c r="N2234" s="1" t="s">
        <v>57</v>
      </c>
      <c r="O2234" s="1" t="s">
        <v>936</v>
      </c>
      <c r="P2234" s="1">
        <v>1</v>
      </c>
    </row>
    <row r="2235" spans="1:16" x14ac:dyDescent="0.25">
      <c r="A2235" s="3">
        <v>46027</v>
      </c>
      <c r="B2235" s="1">
        <v>85</v>
      </c>
      <c r="C2235" s="5">
        <v>379.3</v>
      </c>
      <c r="D2235" s="1" t="s">
        <v>2512</v>
      </c>
      <c r="E2235" s="1" t="s">
        <v>2513</v>
      </c>
      <c r="F2235" s="1" t="s">
        <v>955</v>
      </c>
      <c r="G2235" s="1" t="s">
        <v>940</v>
      </c>
      <c r="H2235" s="3">
        <v>46057</v>
      </c>
      <c r="I2235" s="1" t="s">
        <v>933</v>
      </c>
      <c r="J2235" s="1" t="s">
        <v>951</v>
      </c>
      <c r="K2235" s="1" t="s">
        <v>52</v>
      </c>
      <c r="L2235" s="1" t="s">
        <v>3590</v>
      </c>
      <c r="M2235" s="3">
        <v>46029</v>
      </c>
      <c r="N2235" s="1" t="s">
        <v>821</v>
      </c>
      <c r="O2235" s="1" t="s">
        <v>936</v>
      </c>
      <c r="P2235" s="1" t="s">
        <v>937</v>
      </c>
    </row>
    <row r="2236" spans="1:16" x14ac:dyDescent="0.25">
      <c r="A2236" s="3">
        <v>46027</v>
      </c>
      <c r="B2236" s="4">
        <v>1148</v>
      </c>
      <c r="C2236" s="5">
        <v>80</v>
      </c>
      <c r="D2236" s="1" t="s">
        <v>1074</v>
      </c>
      <c r="E2236" s="1" t="s">
        <v>1075</v>
      </c>
      <c r="F2236" s="1" t="s">
        <v>955</v>
      </c>
      <c r="G2236" s="1" t="s">
        <v>1058</v>
      </c>
      <c r="H2236" s="3">
        <v>46048</v>
      </c>
      <c r="I2236" s="1" t="s">
        <v>933</v>
      </c>
      <c r="J2236" s="1" t="s">
        <v>951</v>
      </c>
      <c r="K2236" s="1" t="s">
        <v>817</v>
      </c>
      <c r="L2236" s="1" t="s">
        <v>3591</v>
      </c>
      <c r="M2236" s="3">
        <v>46028</v>
      </c>
      <c r="N2236" s="1" t="s">
        <v>821</v>
      </c>
      <c r="O2236" s="1" t="s">
        <v>936</v>
      </c>
      <c r="P2236" s="1">
        <v>1</v>
      </c>
    </row>
    <row r="2237" spans="1:16" x14ac:dyDescent="0.25">
      <c r="A2237" s="3">
        <v>46027</v>
      </c>
      <c r="B2237" s="4">
        <v>1148</v>
      </c>
      <c r="C2237" s="5">
        <v>350</v>
      </c>
      <c r="D2237" s="1" t="s">
        <v>1074</v>
      </c>
      <c r="E2237" s="1" t="s">
        <v>1075</v>
      </c>
      <c r="F2237" s="1" t="s">
        <v>715</v>
      </c>
      <c r="G2237" s="1" t="s">
        <v>1058</v>
      </c>
      <c r="H2237" s="3">
        <v>46048</v>
      </c>
      <c r="I2237" s="1" t="s">
        <v>933</v>
      </c>
      <c r="J2237" s="1" t="s">
        <v>66</v>
      </c>
      <c r="K2237" s="1" t="s">
        <v>340</v>
      </c>
      <c r="L2237" s="1" t="s">
        <v>3592</v>
      </c>
      <c r="M2237" s="3">
        <v>46028</v>
      </c>
      <c r="N2237" s="1" t="s">
        <v>712</v>
      </c>
      <c r="O2237" s="1" t="s">
        <v>936</v>
      </c>
      <c r="P2237" s="1">
        <v>1</v>
      </c>
    </row>
    <row r="2238" spans="1:16" x14ac:dyDescent="0.25">
      <c r="A2238" s="3">
        <v>46027</v>
      </c>
      <c r="B2238" s="4">
        <v>1148</v>
      </c>
      <c r="C2238" s="5">
        <v>80</v>
      </c>
      <c r="D2238" s="1" t="s">
        <v>1074</v>
      </c>
      <c r="E2238" s="1" t="s">
        <v>1075</v>
      </c>
      <c r="F2238" s="1" t="s">
        <v>955</v>
      </c>
      <c r="G2238" s="1" t="s">
        <v>1058</v>
      </c>
      <c r="H2238" s="3">
        <v>46048</v>
      </c>
      <c r="I2238" s="1" t="s">
        <v>933</v>
      </c>
      <c r="J2238" s="1" t="s">
        <v>951</v>
      </c>
      <c r="K2238" s="1" t="s">
        <v>1654</v>
      </c>
      <c r="L2238" s="1" t="s">
        <v>3593</v>
      </c>
      <c r="M2238" s="3">
        <v>46028</v>
      </c>
      <c r="N2238" s="1" t="s">
        <v>821</v>
      </c>
      <c r="O2238" s="1" t="s">
        <v>936</v>
      </c>
      <c r="P2238" s="1">
        <v>1</v>
      </c>
    </row>
    <row r="2239" spans="1:16" x14ac:dyDescent="0.25">
      <c r="A2239" s="3">
        <v>46027</v>
      </c>
      <c r="B2239" s="4">
        <v>1148</v>
      </c>
      <c r="C2239" s="5">
        <v>80</v>
      </c>
      <c r="D2239" s="1" t="s">
        <v>1074</v>
      </c>
      <c r="E2239" s="1" t="s">
        <v>1075</v>
      </c>
      <c r="F2239" s="1" t="s">
        <v>955</v>
      </c>
      <c r="G2239" s="1" t="s">
        <v>1058</v>
      </c>
      <c r="H2239" s="3">
        <v>46048</v>
      </c>
      <c r="I2239" s="1" t="s">
        <v>933</v>
      </c>
      <c r="J2239" s="1" t="s">
        <v>951</v>
      </c>
      <c r="K2239" s="1" t="s">
        <v>308</v>
      </c>
      <c r="L2239" s="1" t="s">
        <v>3594</v>
      </c>
      <c r="M2239" s="3">
        <v>46028</v>
      </c>
      <c r="N2239" s="1" t="s">
        <v>821</v>
      </c>
      <c r="O2239" s="1" t="s">
        <v>936</v>
      </c>
      <c r="P2239" s="1">
        <v>1</v>
      </c>
    </row>
    <row r="2240" spans="1:16" x14ac:dyDescent="0.25">
      <c r="A2240" s="3">
        <v>46027</v>
      </c>
      <c r="B2240" s="4">
        <v>1148</v>
      </c>
      <c r="C2240" s="5">
        <v>80</v>
      </c>
      <c r="D2240" s="1" t="s">
        <v>1074</v>
      </c>
      <c r="E2240" s="1" t="s">
        <v>1075</v>
      </c>
      <c r="F2240" s="1" t="s">
        <v>955</v>
      </c>
      <c r="G2240" s="1" t="s">
        <v>1058</v>
      </c>
      <c r="H2240" s="3">
        <v>46048</v>
      </c>
      <c r="I2240" s="1" t="s">
        <v>933</v>
      </c>
      <c r="J2240" s="1" t="s">
        <v>951</v>
      </c>
      <c r="K2240" s="1" t="s">
        <v>817</v>
      </c>
      <c r="L2240" s="1" t="s">
        <v>3595</v>
      </c>
      <c r="M2240" s="3">
        <v>46028</v>
      </c>
      <c r="N2240" s="1" t="s">
        <v>821</v>
      </c>
      <c r="O2240" s="1" t="s">
        <v>936</v>
      </c>
      <c r="P2240" s="1">
        <v>1</v>
      </c>
    </row>
    <row r="2241" spans="1:16" x14ac:dyDescent="0.25">
      <c r="A2241" s="3">
        <v>46027</v>
      </c>
      <c r="B2241" s="4">
        <v>1148</v>
      </c>
      <c r="C2241" s="5">
        <v>280</v>
      </c>
      <c r="D2241" s="1" t="s">
        <v>1074</v>
      </c>
      <c r="E2241" s="1" t="s">
        <v>1075</v>
      </c>
      <c r="F2241" s="1" t="s">
        <v>955</v>
      </c>
      <c r="G2241" s="1" t="s">
        <v>1058</v>
      </c>
      <c r="H2241" s="3">
        <v>46048</v>
      </c>
      <c r="I2241" s="1" t="s">
        <v>933</v>
      </c>
      <c r="J2241" s="1" t="s">
        <v>951</v>
      </c>
      <c r="K2241" s="1" t="s">
        <v>340</v>
      </c>
      <c r="L2241" s="1" t="s">
        <v>3596</v>
      </c>
      <c r="M2241" s="3">
        <v>46028</v>
      </c>
      <c r="N2241" s="1" t="s">
        <v>821</v>
      </c>
      <c r="O2241" s="1" t="s">
        <v>936</v>
      </c>
      <c r="P2241" s="1">
        <v>1</v>
      </c>
    </row>
    <row r="2242" spans="1:16" x14ac:dyDescent="0.25">
      <c r="A2242" s="3">
        <v>46027</v>
      </c>
      <c r="B2242" s="4">
        <v>1148</v>
      </c>
      <c r="C2242" s="5">
        <v>280</v>
      </c>
      <c r="D2242" s="1" t="s">
        <v>1074</v>
      </c>
      <c r="E2242" s="1" t="s">
        <v>1075</v>
      </c>
      <c r="F2242" s="1" t="s">
        <v>157</v>
      </c>
      <c r="G2242" s="1" t="s">
        <v>1058</v>
      </c>
      <c r="H2242" s="3">
        <v>46048</v>
      </c>
      <c r="I2242" s="1" t="s">
        <v>933</v>
      </c>
      <c r="J2242" s="1" t="s">
        <v>66</v>
      </c>
      <c r="K2242" s="1" t="s">
        <v>52</v>
      </c>
      <c r="L2242" s="1" t="s">
        <v>3597</v>
      </c>
      <c r="M2242" s="3">
        <v>46028</v>
      </c>
      <c r="N2242" s="1" t="s">
        <v>161</v>
      </c>
      <c r="O2242" s="1" t="s">
        <v>936</v>
      </c>
      <c r="P2242" s="1">
        <v>1</v>
      </c>
    </row>
    <row r="2243" spans="1:16" x14ac:dyDescent="0.25">
      <c r="A2243" s="3">
        <v>46027</v>
      </c>
      <c r="B2243" s="4">
        <v>1148</v>
      </c>
      <c r="C2243" s="5">
        <v>400</v>
      </c>
      <c r="D2243" s="1" t="s">
        <v>1074</v>
      </c>
      <c r="E2243" s="1" t="s">
        <v>1075</v>
      </c>
      <c r="F2243" s="1" t="s">
        <v>619</v>
      </c>
      <c r="G2243" s="1" t="s">
        <v>1058</v>
      </c>
      <c r="H2243" s="3">
        <v>46048</v>
      </c>
      <c r="I2243" s="1" t="s">
        <v>933</v>
      </c>
      <c r="J2243" s="1" t="s">
        <v>66</v>
      </c>
      <c r="K2243" s="1" t="s">
        <v>340</v>
      </c>
      <c r="L2243" s="1" t="s">
        <v>3598</v>
      </c>
      <c r="M2243" s="3">
        <v>46028</v>
      </c>
      <c r="N2243" s="1" t="s">
        <v>383</v>
      </c>
      <c r="O2243" s="1" t="s">
        <v>936</v>
      </c>
      <c r="P2243" s="1">
        <v>1</v>
      </c>
    </row>
    <row r="2244" spans="1:16" x14ac:dyDescent="0.25">
      <c r="A2244" s="3">
        <v>46027</v>
      </c>
      <c r="B2244" s="4">
        <v>1148</v>
      </c>
      <c r="C2244" s="5">
        <v>500</v>
      </c>
      <c r="D2244" s="1" t="s">
        <v>1074</v>
      </c>
      <c r="E2244" s="1" t="s">
        <v>1075</v>
      </c>
      <c r="F2244" s="1" t="s">
        <v>650</v>
      </c>
      <c r="G2244" s="1" t="s">
        <v>1058</v>
      </c>
      <c r="H2244" s="3">
        <v>46048</v>
      </c>
      <c r="I2244" s="1" t="s">
        <v>933</v>
      </c>
      <c r="J2244" s="1" t="s">
        <v>66</v>
      </c>
      <c r="K2244" s="1" t="s">
        <v>340</v>
      </c>
      <c r="L2244" s="1" t="s">
        <v>3599</v>
      </c>
      <c r="M2244" s="3">
        <v>46028</v>
      </c>
      <c r="N2244" s="1" t="s">
        <v>57</v>
      </c>
      <c r="O2244" s="1" t="s">
        <v>936</v>
      </c>
      <c r="P2244" s="1">
        <v>1</v>
      </c>
    </row>
    <row r="2245" spans="1:16" x14ac:dyDescent="0.25">
      <c r="A2245" s="3">
        <v>46027</v>
      </c>
      <c r="B2245" s="4">
        <v>1148</v>
      </c>
      <c r="C2245" s="5">
        <v>250</v>
      </c>
      <c r="D2245" s="1" t="s">
        <v>1074</v>
      </c>
      <c r="E2245" s="1" t="s">
        <v>1075</v>
      </c>
      <c r="F2245" s="1" t="s">
        <v>229</v>
      </c>
      <c r="G2245" s="1" t="s">
        <v>1058</v>
      </c>
      <c r="H2245" s="3">
        <v>46048</v>
      </c>
      <c r="I2245" s="1" t="s">
        <v>933</v>
      </c>
      <c r="J2245" s="1" t="s">
        <v>66</v>
      </c>
      <c r="K2245" s="1" t="s">
        <v>52</v>
      </c>
      <c r="L2245" s="1" t="s">
        <v>3600</v>
      </c>
      <c r="M2245" s="3">
        <v>46028</v>
      </c>
      <c r="N2245" s="1" t="s">
        <v>233</v>
      </c>
      <c r="O2245" s="1" t="s">
        <v>936</v>
      </c>
      <c r="P2245" s="1">
        <v>1</v>
      </c>
    </row>
    <row r="2246" spans="1:16" x14ac:dyDescent="0.25">
      <c r="A2246" s="3">
        <v>46027</v>
      </c>
      <c r="B2246" s="4">
        <v>1148</v>
      </c>
      <c r="C2246" s="5">
        <v>80</v>
      </c>
      <c r="D2246" s="1" t="s">
        <v>1074</v>
      </c>
      <c r="E2246" s="1" t="s">
        <v>1075</v>
      </c>
      <c r="F2246" s="1" t="s">
        <v>955</v>
      </c>
      <c r="G2246" s="1" t="s">
        <v>1058</v>
      </c>
      <c r="H2246" s="3">
        <v>46048</v>
      </c>
      <c r="I2246" s="1" t="s">
        <v>933</v>
      </c>
      <c r="J2246" s="1" t="s">
        <v>951</v>
      </c>
      <c r="K2246" s="1" t="s">
        <v>640</v>
      </c>
      <c r="L2246" s="1" t="s">
        <v>3601</v>
      </c>
      <c r="M2246" s="3">
        <v>46028</v>
      </c>
      <c r="N2246" s="1" t="s">
        <v>821</v>
      </c>
      <c r="O2246" s="1" t="s">
        <v>936</v>
      </c>
      <c r="P2246" s="1">
        <v>1</v>
      </c>
    </row>
    <row r="2247" spans="1:16" x14ac:dyDescent="0.25">
      <c r="A2247" s="3">
        <v>46027</v>
      </c>
      <c r="B2247" s="4">
        <v>1148</v>
      </c>
      <c r="C2247" s="5">
        <v>350</v>
      </c>
      <c r="D2247" s="1" t="s">
        <v>1074</v>
      </c>
      <c r="E2247" s="1" t="s">
        <v>1075</v>
      </c>
      <c r="F2247" s="1" t="s">
        <v>400</v>
      </c>
      <c r="G2247" s="1" t="s">
        <v>1058</v>
      </c>
      <c r="H2247" s="3">
        <v>46048</v>
      </c>
      <c r="I2247" s="1" t="s">
        <v>933</v>
      </c>
      <c r="J2247" s="1" t="s">
        <v>66</v>
      </c>
      <c r="K2247" s="1" t="s">
        <v>340</v>
      </c>
      <c r="L2247" s="1" t="s">
        <v>3602</v>
      </c>
      <c r="M2247" s="3">
        <v>46028</v>
      </c>
      <c r="N2247" s="1" t="s">
        <v>57</v>
      </c>
      <c r="O2247" s="1" t="s">
        <v>936</v>
      </c>
      <c r="P2247" s="1">
        <v>1</v>
      </c>
    </row>
    <row r="2248" spans="1:16" x14ac:dyDescent="0.25">
      <c r="A2248" s="3">
        <v>46027</v>
      </c>
      <c r="B2248" s="4">
        <v>1148</v>
      </c>
      <c r="C2248" s="5">
        <v>500</v>
      </c>
      <c r="D2248" s="1" t="s">
        <v>1074</v>
      </c>
      <c r="E2248" s="1" t="s">
        <v>1075</v>
      </c>
      <c r="F2248" s="1" t="s">
        <v>837</v>
      </c>
      <c r="G2248" s="1" t="s">
        <v>1058</v>
      </c>
      <c r="H2248" s="3">
        <v>46048</v>
      </c>
      <c r="I2248" s="1" t="s">
        <v>933</v>
      </c>
      <c r="J2248" s="1" t="s">
        <v>66</v>
      </c>
      <c r="K2248" s="1" t="s">
        <v>340</v>
      </c>
      <c r="L2248" s="1" t="s">
        <v>3603</v>
      </c>
      <c r="M2248" s="3">
        <v>46028</v>
      </c>
      <c r="N2248" s="1" t="s">
        <v>50</v>
      </c>
      <c r="O2248" s="1" t="s">
        <v>936</v>
      </c>
      <c r="P2248" s="1">
        <v>1</v>
      </c>
    </row>
    <row r="2249" spans="1:16" x14ac:dyDescent="0.25">
      <c r="A2249" s="3">
        <v>46027</v>
      </c>
      <c r="B2249" s="4">
        <v>1148</v>
      </c>
      <c r="C2249" s="5">
        <v>600</v>
      </c>
      <c r="D2249" s="1" t="s">
        <v>1074</v>
      </c>
      <c r="E2249" s="1" t="s">
        <v>1075</v>
      </c>
      <c r="F2249" s="1" t="s">
        <v>745</v>
      </c>
      <c r="G2249" s="1" t="s">
        <v>1058</v>
      </c>
      <c r="H2249" s="3">
        <v>46048</v>
      </c>
      <c r="I2249" s="1" t="s">
        <v>933</v>
      </c>
      <c r="J2249" s="1" t="s">
        <v>66</v>
      </c>
      <c r="K2249" s="1" t="s">
        <v>340</v>
      </c>
      <c r="L2249" s="1" t="s">
        <v>3604</v>
      </c>
      <c r="M2249" s="3">
        <v>46028</v>
      </c>
      <c r="N2249" s="1" t="s">
        <v>50</v>
      </c>
      <c r="O2249" s="1" t="s">
        <v>936</v>
      </c>
      <c r="P2249" s="1">
        <v>1</v>
      </c>
    </row>
    <row r="2250" spans="1:16" x14ac:dyDescent="0.25">
      <c r="A2250" s="3">
        <v>46027</v>
      </c>
      <c r="B2250" s="4">
        <v>1148</v>
      </c>
      <c r="C2250" s="5">
        <v>350</v>
      </c>
      <c r="D2250" s="1" t="s">
        <v>1074</v>
      </c>
      <c r="E2250" s="1" t="s">
        <v>1075</v>
      </c>
      <c r="F2250" s="1" t="s">
        <v>719</v>
      </c>
      <c r="G2250" s="1" t="s">
        <v>1058</v>
      </c>
      <c r="H2250" s="3">
        <v>46048</v>
      </c>
      <c r="I2250" s="1" t="s">
        <v>933</v>
      </c>
      <c r="J2250" s="1" t="s">
        <v>66</v>
      </c>
      <c r="K2250" s="1" t="s">
        <v>340</v>
      </c>
      <c r="L2250" s="1" t="s">
        <v>3605</v>
      </c>
      <c r="M2250" s="3">
        <v>46028</v>
      </c>
      <c r="N2250" s="1" t="s">
        <v>712</v>
      </c>
      <c r="O2250" s="1" t="s">
        <v>936</v>
      </c>
      <c r="P2250" s="1">
        <v>1</v>
      </c>
    </row>
    <row r="2251" spans="1:16" x14ac:dyDescent="0.25">
      <c r="A2251" s="3">
        <v>46027</v>
      </c>
      <c r="B2251" s="4">
        <v>1148</v>
      </c>
      <c r="C2251" s="5">
        <v>250</v>
      </c>
      <c r="D2251" s="1" t="s">
        <v>1074</v>
      </c>
      <c r="E2251" s="1" t="s">
        <v>1075</v>
      </c>
      <c r="F2251" s="1" t="s">
        <v>857</v>
      </c>
      <c r="G2251" s="1" t="s">
        <v>1058</v>
      </c>
      <c r="H2251" s="3">
        <v>46048</v>
      </c>
      <c r="I2251" s="1" t="s">
        <v>933</v>
      </c>
      <c r="J2251" s="1" t="s">
        <v>66</v>
      </c>
      <c r="K2251" s="1" t="s">
        <v>308</v>
      </c>
      <c r="L2251" s="1" t="s">
        <v>3606</v>
      </c>
      <c r="M2251" s="3">
        <v>46028</v>
      </c>
      <c r="N2251" s="1" t="s">
        <v>506</v>
      </c>
      <c r="O2251" s="1" t="s">
        <v>936</v>
      </c>
      <c r="P2251" s="1">
        <v>1</v>
      </c>
    </row>
    <row r="2252" spans="1:16" x14ac:dyDescent="0.25">
      <c r="A2252" s="3">
        <v>46027</v>
      </c>
      <c r="B2252" s="4">
        <v>1148</v>
      </c>
      <c r="C2252" s="5">
        <v>350</v>
      </c>
      <c r="D2252" s="1" t="s">
        <v>1074</v>
      </c>
      <c r="E2252" s="1" t="s">
        <v>1075</v>
      </c>
      <c r="F2252" s="1" t="s">
        <v>201</v>
      </c>
      <c r="G2252" s="1" t="s">
        <v>1058</v>
      </c>
      <c r="H2252" s="3">
        <v>46048</v>
      </c>
      <c r="I2252" s="1" t="s">
        <v>933</v>
      </c>
      <c r="J2252" s="1" t="s">
        <v>66</v>
      </c>
      <c r="K2252" s="1" t="s">
        <v>636</v>
      </c>
      <c r="L2252" s="1" t="s">
        <v>3607</v>
      </c>
      <c r="M2252" s="3">
        <v>46028</v>
      </c>
      <c r="N2252" s="1" t="s">
        <v>57</v>
      </c>
      <c r="O2252" s="1" t="s">
        <v>936</v>
      </c>
      <c r="P2252" s="1">
        <v>1</v>
      </c>
    </row>
    <row r="2253" spans="1:16" x14ac:dyDescent="0.25">
      <c r="A2253" s="3">
        <v>46027</v>
      </c>
      <c r="B2253" s="4">
        <v>1148</v>
      </c>
      <c r="C2253" s="5">
        <v>350</v>
      </c>
      <c r="D2253" s="1" t="s">
        <v>1074</v>
      </c>
      <c r="E2253" s="1" t="s">
        <v>1075</v>
      </c>
      <c r="F2253" s="1" t="s">
        <v>844</v>
      </c>
      <c r="G2253" s="1" t="s">
        <v>1058</v>
      </c>
      <c r="H2253" s="3">
        <v>46048</v>
      </c>
      <c r="I2253" s="1" t="s">
        <v>933</v>
      </c>
      <c r="J2253" s="1" t="s">
        <v>66</v>
      </c>
      <c r="K2253" s="1" t="s">
        <v>340</v>
      </c>
      <c r="L2253" s="1" t="s">
        <v>3608</v>
      </c>
      <c r="M2253" s="3">
        <v>46028</v>
      </c>
      <c r="N2253" s="1" t="s">
        <v>836</v>
      </c>
      <c r="O2253" s="1" t="s">
        <v>936</v>
      </c>
      <c r="P2253" s="1">
        <v>1</v>
      </c>
    </row>
    <row r="2254" spans="1:16" x14ac:dyDescent="0.25">
      <c r="A2254" s="3">
        <v>46027</v>
      </c>
      <c r="B2254" s="4">
        <v>1148</v>
      </c>
      <c r="C2254" s="5">
        <v>80</v>
      </c>
      <c r="D2254" s="1" t="s">
        <v>1074</v>
      </c>
      <c r="E2254" s="1" t="s">
        <v>1075</v>
      </c>
      <c r="F2254" s="1" t="s">
        <v>955</v>
      </c>
      <c r="G2254" s="1" t="s">
        <v>1058</v>
      </c>
      <c r="H2254" s="3">
        <v>46048</v>
      </c>
      <c r="I2254" s="1" t="s">
        <v>933</v>
      </c>
      <c r="J2254" s="1" t="s">
        <v>951</v>
      </c>
      <c r="K2254" s="1" t="s">
        <v>659</v>
      </c>
      <c r="L2254" s="1" t="s">
        <v>3609</v>
      </c>
      <c r="M2254" s="3">
        <v>46028</v>
      </c>
      <c r="N2254" s="1" t="s">
        <v>821</v>
      </c>
      <c r="O2254" s="1" t="s">
        <v>936</v>
      </c>
      <c r="P2254" s="1">
        <v>1</v>
      </c>
    </row>
    <row r="2255" spans="1:16" x14ac:dyDescent="0.25">
      <c r="A2255" s="3">
        <v>46027</v>
      </c>
      <c r="B2255" s="4">
        <v>1148</v>
      </c>
      <c r="C2255" s="5">
        <v>350</v>
      </c>
      <c r="D2255" s="1" t="s">
        <v>1074</v>
      </c>
      <c r="E2255" s="1" t="s">
        <v>1075</v>
      </c>
      <c r="F2255" s="1" t="s">
        <v>516</v>
      </c>
      <c r="G2255" s="1" t="s">
        <v>1058</v>
      </c>
      <c r="H2255" s="3">
        <v>46048</v>
      </c>
      <c r="I2255" s="1" t="s">
        <v>933</v>
      </c>
      <c r="J2255" s="1" t="s">
        <v>66</v>
      </c>
      <c r="K2255" s="1" t="s">
        <v>487</v>
      </c>
      <c r="L2255" s="1" t="s">
        <v>3610</v>
      </c>
      <c r="M2255" s="3">
        <v>46028</v>
      </c>
      <c r="N2255" s="1" t="s">
        <v>520</v>
      </c>
      <c r="O2255" s="1" t="s">
        <v>936</v>
      </c>
      <c r="P2255" s="1">
        <v>1</v>
      </c>
    </row>
    <row r="2256" spans="1:16" x14ac:dyDescent="0.25">
      <c r="A2256" s="3">
        <v>46027</v>
      </c>
      <c r="B2256" s="4">
        <v>1148</v>
      </c>
      <c r="C2256" s="5">
        <v>80</v>
      </c>
      <c r="D2256" s="1" t="s">
        <v>1074</v>
      </c>
      <c r="E2256" s="1" t="s">
        <v>1075</v>
      </c>
      <c r="F2256" s="1" t="s">
        <v>955</v>
      </c>
      <c r="G2256" s="1" t="s">
        <v>1058</v>
      </c>
      <c r="H2256" s="3">
        <v>46048</v>
      </c>
      <c r="I2256" s="1" t="s">
        <v>933</v>
      </c>
      <c r="J2256" s="1" t="s">
        <v>951</v>
      </c>
      <c r="K2256" s="1" t="s">
        <v>934</v>
      </c>
      <c r="L2256" s="1" t="s">
        <v>3611</v>
      </c>
      <c r="M2256" s="3">
        <v>46028</v>
      </c>
      <c r="N2256" s="1" t="s">
        <v>821</v>
      </c>
      <c r="O2256" s="1" t="s">
        <v>936</v>
      </c>
      <c r="P2256" s="1">
        <v>1</v>
      </c>
    </row>
    <row r="2257" spans="1:16" x14ac:dyDescent="0.25">
      <c r="A2257" s="3">
        <v>46027</v>
      </c>
      <c r="B2257" s="4">
        <v>1148</v>
      </c>
      <c r="C2257" s="5">
        <v>350</v>
      </c>
      <c r="D2257" s="1" t="s">
        <v>1074</v>
      </c>
      <c r="E2257" s="1" t="s">
        <v>1075</v>
      </c>
      <c r="F2257" s="1" t="s">
        <v>721</v>
      </c>
      <c r="G2257" s="1" t="s">
        <v>1058</v>
      </c>
      <c r="H2257" s="3">
        <v>46048</v>
      </c>
      <c r="I2257" s="1" t="s">
        <v>933</v>
      </c>
      <c r="J2257" s="1" t="s">
        <v>66</v>
      </c>
      <c r="K2257" s="1" t="s">
        <v>340</v>
      </c>
      <c r="L2257" s="1" t="s">
        <v>3612</v>
      </c>
      <c r="M2257" s="3">
        <v>46028</v>
      </c>
      <c r="N2257" s="1" t="s">
        <v>712</v>
      </c>
      <c r="O2257" s="1" t="s">
        <v>936</v>
      </c>
      <c r="P2257" s="1">
        <v>1</v>
      </c>
    </row>
    <row r="2258" spans="1:16" x14ac:dyDescent="0.25">
      <c r="A2258" s="3">
        <v>46027</v>
      </c>
      <c r="B2258" s="4">
        <v>1148</v>
      </c>
      <c r="C2258" s="5">
        <v>80</v>
      </c>
      <c r="D2258" s="1" t="s">
        <v>1074</v>
      </c>
      <c r="E2258" s="1" t="s">
        <v>1075</v>
      </c>
      <c r="F2258" s="1" t="s">
        <v>955</v>
      </c>
      <c r="G2258" s="1" t="s">
        <v>1058</v>
      </c>
      <c r="H2258" s="3">
        <v>46048</v>
      </c>
      <c r="I2258" s="1" t="s">
        <v>933</v>
      </c>
      <c r="J2258" s="1" t="s">
        <v>951</v>
      </c>
      <c r="K2258" s="1" t="s">
        <v>1654</v>
      </c>
      <c r="L2258" s="1" t="s">
        <v>3613</v>
      </c>
      <c r="M2258" s="3">
        <v>46028</v>
      </c>
      <c r="N2258" s="1" t="s">
        <v>821</v>
      </c>
      <c r="O2258" s="1" t="s">
        <v>936</v>
      </c>
      <c r="P2258" s="1">
        <v>1</v>
      </c>
    </row>
    <row r="2259" spans="1:16" x14ac:dyDescent="0.25">
      <c r="A2259" s="3">
        <v>46027</v>
      </c>
      <c r="B2259" s="4">
        <v>1148</v>
      </c>
      <c r="C2259" s="5">
        <v>380</v>
      </c>
      <c r="D2259" s="1" t="s">
        <v>1074</v>
      </c>
      <c r="E2259" s="1" t="s">
        <v>1075</v>
      </c>
      <c r="F2259" s="1" t="s">
        <v>218</v>
      </c>
      <c r="G2259" s="1" t="s">
        <v>1058</v>
      </c>
      <c r="H2259" s="3">
        <v>46048</v>
      </c>
      <c r="I2259" s="1" t="s">
        <v>933</v>
      </c>
      <c r="J2259" s="1" t="s">
        <v>66</v>
      </c>
      <c r="K2259" s="1" t="s">
        <v>1654</v>
      </c>
      <c r="L2259" s="1" t="s">
        <v>3614</v>
      </c>
      <c r="M2259" s="3">
        <v>46028</v>
      </c>
      <c r="N2259" s="1" t="s">
        <v>221</v>
      </c>
      <c r="O2259" s="1" t="s">
        <v>936</v>
      </c>
      <c r="P2259" s="1">
        <v>1</v>
      </c>
    </row>
    <row r="2260" spans="1:16" x14ac:dyDescent="0.25">
      <c r="A2260" s="3">
        <v>46027</v>
      </c>
      <c r="B2260" s="4">
        <v>1148</v>
      </c>
      <c r="C2260" s="5">
        <v>250</v>
      </c>
      <c r="D2260" s="1" t="s">
        <v>1074</v>
      </c>
      <c r="E2260" s="1" t="s">
        <v>1075</v>
      </c>
      <c r="F2260" s="1" t="s">
        <v>457</v>
      </c>
      <c r="G2260" s="1" t="s">
        <v>1058</v>
      </c>
      <c r="H2260" s="3">
        <v>46048</v>
      </c>
      <c r="I2260" s="1" t="s">
        <v>933</v>
      </c>
      <c r="J2260" s="1" t="s">
        <v>66</v>
      </c>
      <c r="K2260" s="1" t="s">
        <v>308</v>
      </c>
      <c r="L2260" s="1" t="s">
        <v>3615</v>
      </c>
      <c r="M2260" s="3">
        <v>46028</v>
      </c>
      <c r="N2260" s="1" t="s">
        <v>358</v>
      </c>
      <c r="O2260" s="1" t="s">
        <v>936</v>
      </c>
      <c r="P2260" s="1">
        <v>1</v>
      </c>
    </row>
    <row r="2261" spans="1:16" x14ac:dyDescent="0.25">
      <c r="A2261" s="3">
        <v>46027</v>
      </c>
      <c r="B2261" s="4">
        <v>1148</v>
      </c>
      <c r="C2261" s="5">
        <v>350</v>
      </c>
      <c r="D2261" s="1" t="s">
        <v>1074</v>
      </c>
      <c r="E2261" s="1" t="s">
        <v>1075</v>
      </c>
      <c r="F2261" s="1" t="s">
        <v>483</v>
      </c>
      <c r="G2261" s="1" t="s">
        <v>1058</v>
      </c>
      <c r="H2261" s="3">
        <v>46048</v>
      </c>
      <c r="I2261" s="1" t="s">
        <v>933</v>
      </c>
      <c r="J2261" s="1" t="s">
        <v>66</v>
      </c>
      <c r="K2261" s="1" t="s">
        <v>308</v>
      </c>
      <c r="L2261" s="1" t="s">
        <v>3616</v>
      </c>
      <c r="M2261" s="3">
        <v>46028</v>
      </c>
      <c r="N2261" s="1" t="s">
        <v>383</v>
      </c>
      <c r="O2261" s="1" t="s">
        <v>936</v>
      </c>
      <c r="P2261" s="1">
        <v>1</v>
      </c>
    </row>
    <row r="2262" spans="1:16" x14ac:dyDescent="0.25">
      <c r="A2262" s="3">
        <v>46027</v>
      </c>
      <c r="B2262" s="4">
        <v>1148</v>
      </c>
      <c r="C2262" s="5">
        <v>350</v>
      </c>
      <c r="D2262" s="1" t="s">
        <v>1074</v>
      </c>
      <c r="E2262" s="1" t="s">
        <v>1075</v>
      </c>
      <c r="F2262" s="1" t="s">
        <v>727</v>
      </c>
      <c r="G2262" s="1" t="s">
        <v>1058</v>
      </c>
      <c r="H2262" s="3">
        <v>46048</v>
      </c>
      <c r="I2262" s="1" t="s">
        <v>933</v>
      </c>
      <c r="J2262" s="1" t="s">
        <v>66</v>
      </c>
      <c r="K2262" s="1" t="s">
        <v>308</v>
      </c>
      <c r="L2262" s="1" t="s">
        <v>3617</v>
      </c>
      <c r="M2262" s="3">
        <v>46028</v>
      </c>
      <c r="N2262" s="1" t="s">
        <v>57</v>
      </c>
      <c r="O2262" s="1" t="s">
        <v>936</v>
      </c>
      <c r="P2262" s="1">
        <v>1</v>
      </c>
    </row>
    <row r="2263" spans="1:16" x14ac:dyDescent="0.25">
      <c r="A2263" s="3">
        <v>46027</v>
      </c>
      <c r="B2263" s="4">
        <v>1148</v>
      </c>
      <c r="C2263" s="5">
        <v>80</v>
      </c>
      <c r="D2263" s="1" t="s">
        <v>1074</v>
      </c>
      <c r="E2263" s="1" t="s">
        <v>1075</v>
      </c>
      <c r="F2263" s="1" t="s">
        <v>775</v>
      </c>
      <c r="G2263" s="1" t="s">
        <v>1058</v>
      </c>
      <c r="H2263" s="3">
        <v>46048</v>
      </c>
      <c r="I2263" s="1" t="s">
        <v>933</v>
      </c>
      <c r="J2263" s="1" t="s">
        <v>66</v>
      </c>
      <c r="K2263" s="1" t="s">
        <v>308</v>
      </c>
      <c r="L2263" s="1" t="s">
        <v>3618</v>
      </c>
      <c r="M2263" s="3">
        <v>46028</v>
      </c>
      <c r="N2263" s="1" t="s">
        <v>580</v>
      </c>
      <c r="O2263" s="1" t="s">
        <v>936</v>
      </c>
      <c r="P2263" s="1">
        <v>1</v>
      </c>
    </row>
    <row r="2264" spans="1:16" x14ac:dyDescent="0.25">
      <c r="A2264" s="3">
        <v>46027</v>
      </c>
      <c r="B2264" s="4">
        <v>1148</v>
      </c>
      <c r="C2264" s="5">
        <v>350</v>
      </c>
      <c r="D2264" s="1" t="s">
        <v>1074</v>
      </c>
      <c r="E2264" s="1" t="s">
        <v>1075</v>
      </c>
      <c r="F2264" s="1" t="s">
        <v>773</v>
      </c>
      <c r="G2264" s="1" t="s">
        <v>1058</v>
      </c>
      <c r="H2264" s="3">
        <v>46048</v>
      </c>
      <c r="I2264" s="1" t="s">
        <v>933</v>
      </c>
      <c r="J2264" s="1" t="s">
        <v>66</v>
      </c>
      <c r="K2264" s="1" t="s">
        <v>308</v>
      </c>
      <c r="L2264" s="1" t="s">
        <v>3619</v>
      </c>
      <c r="M2264" s="3">
        <v>46028</v>
      </c>
      <c r="N2264" s="1" t="s">
        <v>57</v>
      </c>
      <c r="O2264" s="1" t="s">
        <v>936</v>
      </c>
      <c r="P2264" s="1">
        <v>1</v>
      </c>
    </row>
    <row r="2265" spans="1:16" x14ac:dyDescent="0.25">
      <c r="A2265" s="3">
        <v>46027</v>
      </c>
      <c r="B2265" s="4">
        <v>1148</v>
      </c>
      <c r="C2265" s="5">
        <v>280</v>
      </c>
      <c r="D2265" s="1" t="s">
        <v>1074</v>
      </c>
      <c r="E2265" s="1" t="s">
        <v>1075</v>
      </c>
      <c r="F2265" s="1" t="s">
        <v>422</v>
      </c>
      <c r="G2265" s="1" t="s">
        <v>1058</v>
      </c>
      <c r="H2265" s="3">
        <v>46048</v>
      </c>
      <c r="I2265" s="1" t="s">
        <v>933</v>
      </c>
      <c r="J2265" s="1" t="s">
        <v>66</v>
      </c>
      <c r="K2265" s="1" t="s">
        <v>308</v>
      </c>
      <c r="L2265" s="1" t="s">
        <v>3620</v>
      </c>
      <c r="M2265" s="3">
        <v>46028</v>
      </c>
      <c r="N2265" s="1" t="s">
        <v>75</v>
      </c>
      <c r="O2265" s="1" t="s">
        <v>936</v>
      </c>
      <c r="P2265" s="1">
        <v>1</v>
      </c>
    </row>
    <row r="2266" spans="1:16" x14ac:dyDescent="0.25">
      <c r="A2266" s="3">
        <v>46027</v>
      </c>
      <c r="B2266" s="4">
        <v>1148</v>
      </c>
      <c r="C2266" s="5">
        <v>280</v>
      </c>
      <c r="D2266" s="1" t="s">
        <v>1074</v>
      </c>
      <c r="E2266" s="1" t="s">
        <v>1075</v>
      </c>
      <c r="F2266" s="1" t="s">
        <v>83</v>
      </c>
      <c r="G2266" s="1" t="s">
        <v>1058</v>
      </c>
      <c r="H2266" s="3">
        <v>46048</v>
      </c>
      <c r="I2266" s="1" t="s">
        <v>933</v>
      </c>
      <c r="J2266" s="1" t="s">
        <v>66</v>
      </c>
      <c r="K2266" s="1" t="s">
        <v>52</v>
      </c>
      <c r="L2266" s="1" t="s">
        <v>3621</v>
      </c>
      <c r="M2266" s="3">
        <v>46028</v>
      </c>
      <c r="N2266" s="1" t="s">
        <v>57</v>
      </c>
      <c r="O2266" s="1" t="s">
        <v>936</v>
      </c>
      <c r="P2266" s="1">
        <v>1</v>
      </c>
    </row>
    <row r="2267" spans="1:16" x14ac:dyDescent="0.25">
      <c r="A2267" s="3">
        <v>46027</v>
      </c>
      <c r="B2267" s="4">
        <v>1148</v>
      </c>
      <c r="C2267" s="5">
        <v>280</v>
      </c>
      <c r="D2267" s="1" t="s">
        <v>1074</v>
      </c>
      <c r="E2267" s="1" t="s">
        <v>1075</v>
      </c>
      <c r="F2267" s="1" t="s">
        <v>533</v>
      </c>
      <c r="G2267" s="1" t="s">
        <v>1058</v>
      </c>
      <c r="H2267" s="3">
        <v>46048</v>
      </c>
      <c r="I2267" s="1" t="s">
        <v>933</v>
      </c>
      <c r="J2267" s="1" t="s">
        <v>66</v>
      </c>
      <c r="K2267" s="1" t="s">
        <v>308</v>
      </c>
      <c r="L2267" s="1" t="s">
        <v>3622</v>
      </c>
      <c r="M2267" s="3">
        <v>46028</v>
      </c>
      <c r="N2267" s="1" t="s">
        <v>57</v>
      </c>
      <c r="O2267" s="1" t="s">
        <v>936</v>
      </c>
      <c r="P2267" s="1">
        <v>1</v>
      </c>
    </row>
    <row r="2268" spans="1:16" x14ac:dyDescent="0.25">
      <c r="A2268" s="3">
        <v>46027</v>
      </c>
      <c r="B2268" s="4">
        <v>1148</v>
      </c>
      <c r="C2268" s="5">
        <v>380</v>
      </c>
      <c r="D2268" s="1" t="s">
        <v>1074</v>
      </c>
      <c r="E2268" s="1" t="s">
        <v>1075</v>
      </c>
      <c r="F2268" s="1" t="s">
        <v>185</v>
      </c>
      <c r="G2268" s="1" t="s">
        <v>1058</v>
      </c>
      <c r="H2268" s="3">
        <v>46048</v>
      </c>
      <c r="I2268" s="1" t="s">
        <v>933</v>
      </c>
      <c r="J2268" s="1" t="s">
        <v>66</v>
      </c>
      <c r="K2268" s="1" t="s">
        <v>308</v>
      </c>
      <c r="L2268" s="1" t="s">
        <v>3622</v>
      </c>
      <c r="M2268" s="3">
        <v>46028</v>
      </c>
      <c r="N2268" s="1" t="s">
        <v>190</v>
      </c>
      <c r="O2268" s="1" t="s">
        <v>936</v>
      </c>
      <c r="P2268" s="1">
        <v>1</v>
      </c>
    </row>
    <row r="2269" spans="1:16" x14ac:dyDescent="0.25">
      <c r="A2269" s="3">
        <v>46027</v>
      </c>
      <c r="B2269" s="4">
        <v>1148</v>
      </c>
      <c r="C2269" s="5">
        <v>380</v>
      </c>
      <c r="D2269" s="1" t="s">
        <v>1074</v>
      </c>
      <c r="E2269" s="1" t="s">
        <v>1075</v>
      </c>
      <c r="F2269" s="1" t="s">
        <v>437</v>
      </c>
      <c r="G2269" s="1" t="s">
        <v>1058</v>
      </c>
      <c r="H2269" s="3">
        <v>46048</v>
      </c>
      <c r="I2269" s="1" t="s">
        <v>933</v>
      </c>
      <c r="J2269" s="1" t="s">
        <v>66</v>
      </c>
      <c r="K2269" s="1" t="s">
        <v>308</v>
      </c>
      <c r="L2269" s="1" t="s">
        <v>3622</v>
      </c>
      <c r="M2269" s="3">
        <v>46028</v>
      </c>
      <c r="N2269" s="1" t="s">
        <v>440</v>
      </c>
      <c r="O2269" s="1" t="s">
        <v>936</v>
      </c>
      <c r="P2269" s="1">
        <v>1</v>
      </c>
    </row>
    <row r="2270" spans="1:16" x14ac:dyDescent="0.25">
      <c r="A2270" s="3">
        <v>46027</v>
      </c>
      <c r="B2270" s="4">
        <v>1148</v>
      </c>
      <c r="C2270" s="5">
        <v>250</v>
      </c>
      <c r="D2270" s="1" t="s">
        <v>1074</v>
      </c>
      <c r="E2270" s="1" t="s">
        <v>1075</v>
      </c>
      <c r="F2270" s="1" t="s">
        <v>639</v>
      </c>
      <c r="G2270" s="1" t="s">
        <v>1058</v>
      </c>
      <c r="H2270" s="3">
        <v>46048</v>
      </c>
      <c r="I2270" s="1" t="s">
        <v>933</v>
      </c>
      <c r="J2270" s="1" t="s">
        <v>66</v>
      </c>
      <c r="K2270" s="1" t="s">
        <v>308</v>
      </c>
      <c r="L2270" s="1" t="s">
        <v>3623</v>
      </c>
      <c r="M2270" s="3">
        <v>46028</v>
      </c>
      <c r="N2270" s="1" t="s">
        <v>98</v>
      </c>
      <c r="O2270" s="1" t="s">
        <v>936</v>
      </c>
      <c r="P2270" s="1">
        <v>1</v>
      </c>
    </row>
    <row r="2271" spans="1:16" x14ac:dyDescent="0.25">
      <c r="A2271" s="3">
        <v>46027</v>
      </c>
      <c r="B2271" s="4">
        <v>1148</v>
      </c>
      <c r="C2271" s="5">
        <v>350</v>
      </c>
      <c r="D2271" s="1" t="s">
        <v>1074</v>
      </c>
      <c r="E2271" s="1" t="s">
        <v>1075</v>
      </c>
      <c r="F2271" s="1" t="s">
        <v>713</v>
      </c>
      <c r="G2271" s="1" t="s">
        <v>1058</v>
      </c>
      <c r="H2271" s="3">
        <v>46048</v>
      </c>
      <c r="I2271" s="1" t="s">
        <v>933</v>
      </c>
      <c r="J2271" s="1" t="s">
        <v>66</v>
      </c>
      <c r="K2271" s="1" t="s">
        <v>340</v>
      </c>
      <c r="L2271" s="1" t="s">
        <v>3624</v>
      </c>
      <c r="M2271" s="3">
        <v>46028</v>
      </c>
      <c r="N2271" s="1" t="s">
        <v>712</v>
      </c>
      <c r="O2271" s="1" t="s">
        <v>936</v>
      </c>
      <c r="P2271" s="1">
        <v>1</v>
      </c>
    </row>
    <row r="2272" spans="1:16" x14ac:dyDescent="0.25">
      <c r="A2272" s="3">
        <v>46027</v>
      </c>
      <c r="B2272" s="4">
        <v>1148</v>
      </c>
      <c r="C2272" s="5">
        <v>400</v>
      </c>
      <c r="D2272" s="1" t="s">
        <v>1074</v>
      </c>
      <c r="E2272" s="1" t="s">
        <v>1075</v>
      </c>
      <c r="F2272" s="1" t="s">
        <v>717</v>
      </c>
      <c r="G2272" s="1" t="s">
        <v>1058</v>
      </c>
      <c r="H2272" s="3">
        <v>46048</v>
      </c>
      <c r="I2272" s="1" t="s">
        <v>933</v>
      </c>
      <c r="J2272" s="1" t="s">
        <v>66</v>
      </c>
      <c r="K2272" s="1" t="s">
        <v>340</v>
      </c>
      <c r="L2272" s="1" t="s">
        <v>3624</v>
      </c>
      <c r="M2272" s="3">
        <v>46028</v>
      </c>
      <c r="N2272" s="1" t="s">
        <v>712</v>
      </c>
      <c r="O2272" s="1" t="s">
        <v>936</v>
      </c>
      <c r="P2272" s="1">
        <v>1</v>
      </c>
    </row>
    <row r="2273" spans="1:16" x14ac:dyDescent="0.25">
      <c r="A2273" s="3">
        <v>46027</v>
      </c>
      <c r="B2273" s="4">
        <v>1148</v>
      </c>
      <c r="C2273" s="5">
        <v>80</v>
      </c>
      <c r="D2273" s="1" t="s">
        <v>1074</v>
      </c>
      <c r="E2273" s="1" t="s">
        <v>1075</v>
      </c>
      <c r="F2273" s="1" t="s">
        <v>753</v>
      </c>
      <c r="G2273" s="1" t="s">
        <v>1058</v>
      </c>
      <c r="H2273" s="3">
        <v>46048</v>
      </c>
      <c r="I2273" s="1" t="s">
        <v>933</v>
      </c>
      <c r="J2273" s="1" t="s">
        <v>66</v>
      </c>
      <c r="K2273" s="1" t="s">
        <v>308</v>
      </c>
      <c r="L2273" s="1" t="s">
        <v>3625</v>
      </c>
      <c r="M2273" s="3">
        <v>46028</v>
      </c>
      <c r="N2273" s="1" t="s">
        <v>57</v>
      </c>
      <c r="O2273" s="1" t="s">
        <v>936</v>
      </c>
      <c r="P2273" s="1">
        <v>1</v>
      </c>
    </row>
    <row r="2274" spans="1:16" x14ac:dyDescent="0.25">
      <c r="A2274" s="3">
        <v>46027</v>
      </c>
      <c r="B2274" s="4">
        <v>1148</v>
      </c>
      <c r="C2274" s="5">
        <v>80</v>
      </c>
      <c r="D2274" s="1" t="s">
        <v>1074</v>
      </c>
      <c r="E2274" s="1" t="s">
        <v>1075</v>
      </c>
      <c r="F2274" s="1" t="s">
        <v>955</v>
      </c>
      <c r="G2274" s="1" t="s">
        <v>1058</v>
      </c>
      <c r="H2274" s="3">
        <v>46048</v>
      </c>
      <c r="I2274" s="1" t="s">
        <v>933</v>
      </c>
      <c r="J2274" s="1" t="s">
        <v>951</v>
      </c>
      <c r="K2274" s="1" t="s">
        <v>817</v>
      </c>
      <c r="L2274" s="1" t="s">
        <v>3626</v>
      </c>
      <c r="M2274" s="3">
        <v>46028</v>
      </c>
      <c r="N2274" s="1" t="s">
        <v>821</v>
      </c>
      <c r="O2274" s="1" t="s">
        <v>936</v>
      </c>
      <c r="P2274" s="1">
        <v>1</v>
      </c>
    </row>
    <row r="2275" spans="1:16" x14ac:dyDescent="0.25">
      <c r="A2275" s="3">
        <v>46027</v>
      </c>
      <c r="B2275" s="4">
        <v>1148</v>
      </c>
      <c r="C2275" s="5">
        <v>280</v>
      </c>
      <c r="D2275" s="1" t="s">
        <v>1074</v>
      </c>
      <c r="E2275" s="1" t="s">
        <v>1075</v>
      </c>
      <c r="F2275" s="1" t="s">
        <v>426</v>
      </c>
      <c r="G2275" s="1" t="s">
        <v>1058</v>
      </c>
      <c r="H2275" s="3">
        <v>46048</v>
      </c>
      <c r="I2275" s="1" t="s">
        <v>933</v>
      </c>
      <c r="J2275" s="1" t="s">
        <v>66</v>
      </c>
      <c r="K2275" s="1" t="s">
        <v>340</v>
      </c>
      <c r="L2275" s="1" t="s">
        <v>3627</v>
      </c>
      <c r="M2275" s="3">
        <v>46028</v>
      </c>
      <c r="N2275" s="1" t="s">
        <v>429</v>
      </c>
      <c r="O2275" s="1" t="s">
        <v>936</v>
      </c>
      <c r="P2275" s="1">
        <v>1</v>
      </c>
    </row>
    <row r="2276" spans="1:16" x14ac:dyDescent="0.25">
      <c r="A2276" s="3">
        <v>46027</v>
      </c>
      <c r="B2276" s="4">
        <v>1148</v>
      </c>
      <c r="C2276" s="5">
        <v>400</v>
      </c>
      <c r="D2276" s="1" t="s">
        <v>1074</v>
      </c>
      <c r="E2276" s="1" t="s">
        <v>1075</v>
      </c>
      <c r="F2276" s="1" t="s">
        <v>955</v>
      </c>
      <c r="G2276" s="1" t="s">
        <v>1058</v>
      </c>
      <c r="H2276" s="3">
        <v>46048</v>
      </c>
      <c r="I2276" s="1" t="s">
        <v>933</v>
      </c>
      <c r="J2276" s="1" t="s">
        <v>951</v>
      </c>
      <c r="K2276" s="1" t="s">
        <v>308</v>
      </c>
      <c r="L2276" s="1" t="s">
        <v>3628</v>
      </c>
      <c r="M2276" s="3">
        <v>46028</v>
      </c>
      <c r="N2276" s="1" t="s">
        <v>821</v>
      </c>
      <c r="O2276" s="1" t="s">
        <v>936</v>
      </c>
      <c r="P2276" s="1">
        <v>1</v>
      </c>
    </row>
    <row r="2277" spans="1:16" x14ac:dyDescent="0.25">
      <c r="A2277" s="3">
        <v>46027</v>
      </c>
      <c r="B2277" s="4">
        <v>1148</v>
      </c>
      <c r="C2277" s="5">
        <v>600</v>
      </c>
      <c r="D2277" s="1" t="s">
        <v>1074</v>
      </c>
      <c r="E2277" s="1" t="s">
        <v>1075</v>
      </c>
      <c r="F2277" s="1" t="s">
        <v>460</v>
      </c>
      <c r="G2277" s="1" t="s">
        <v>1058</v>
      </c>
      <c r="H2277" s="3">
        <v>46048</v>
      </c>
      <c r="I2277" s="1" t="s">
        <v>933</v>
      </c>
      <c r="J2277" s="1" t="s">
        <v>66</v>
      </c>
      <c r="K2277" s="1" t="s">
        <v>308</v>
      </c>
      <c r="L2277" s="1" t="s">
        <v>3614</v>
      </c>
      <c r="M2277" s="3">
        <v>46028</v>
      </c>
      <c r="N2277" s="1" t="s">
        <v>440</v>
      </c>
      <c r="O2277" s="1" t="s">
        <v>936</v>
      </c>
      <c r="P2277" s="1">
        <v>1</v>
      </c>
    </row>
    <row r="2278" spans="1:16" x14ac:dyDescent="0.25">
      <c r="A2278" s="3">
        <v>46027</v>
      </c>
      <c r="B2278" s="4">
        <v>1148</v>
      </c>
      <c r="C2278" s="5">
        <v>400</v>
      </c>
      <c r="D2278" s="1" t="s">
        <v>1074</v>
      </c>
      <c r="E2278" s="1" t="s">
        <v>1075</v>
      </c>
      <c r="F2278" s="1" t="s">
        <v>647</v>
      </c>
      <c r="G2278" s="1" t="s">
        <v>1058</v>
      </c>
      <c r="H2278" s="3">
        <v>46048</v>
      </c>
      <c r="I2278" s="1" t="s">
        <v>933</v>
      </c>
      <c r="J2278" s="1" t="s">
        <v>66</v>
      </c>
      <c r="K2278" s="1" t="s">
        <v>340</v>
      </c>
      <c r="L2278" s="1" t="s">
        <v>3629</v>
      </c>
      <c r="M2278" s="3">
        <v>46028</v>
      </c>
      <c r="N2278" s="1" t="s">
        <v>57</v>
      </c>
      <c r="O2278" s="1" t="s">
        <v>936</v>
      </c>
      <c r="P2278" s="1">
        <v>1</v>
      </c>
    </row>
    <row r="2279" spans="1:16" x14ac:dyDescent="0.25">
      <c r="A2279" s="3">
        <v>46027</v>
      </c>
      <c r="B2279" s="4">
        <v>1148</v>
      </c>
      <c r="C2279" s="5">
        <v>380</v>
      </c>
      <c r="D2279" s="1" t="s">
        <v>1074</v>
      </c>
      <c r="E2279" s="1" t="s">
        <v>1075</v>
      </c>
      <c r="F2279" s="1" t="s">
        <v>222</v>
      </c>
      <c r="G2279" s="1" t="s">
        <v>1058</v>
      </c>
      <c r="H2279" s="3">
        <v>46048</v>
      </c>
      <c r="I2279" s="1" t="s">
        <v>933</v>
      </c>
      <c r="J2279" s="1" t="s">
        <v>66</v>
      </c>
      <c r="K2279" s="1" t="s">
        <v>52</v>
      </c>
      <c r="L2279" s="1" t="s">
        <v>3614</v>
      </c>
      <c r="M2279" s="3">
        <v>46028</v>
      </c>
      <c r="N2279" s="1" t="s">
        <v>93</v>
      </c>
      <c r="O2279" s="1" t="s">
        <v>936</v>
      </c>
      <c r="P2279" s="1">
        <v>1</v>
      </c>
    </row>
    <row r="2280" spans="1:16" x14ac:dyDescent="0.25">
      <c r="A2280" s="3">
        <v>46027</v>
      </c>
      <c r="B2280" s="4">
        <v>1148</v>
      </c>
      <c r="C2280" s="5">
        <v>80</v>
      </c>
      <c r="D2280" s="1" t="s">
        <v>1074</v>
      </c>
      <c r="E2280" s="1" t="s">
        <v>1075</v>
      </c>
      <c r="F2280" s="1" t="s">
        <v>775</v>
      </c>
      <c r="G2280" s="1" t="s">
        <v>1058</v>
      </c>
      <c r="H2280" s="3">
        <v>46048</v>
      </c>
      <c r="I2280" s="1" t="s">
        <v>933</v>
      </c>
      <c r="J2280" s="1" t="s">
        <v>66</v>
      </c>
      <c r="K2280" s="1" t="s">
        <v>308</v>
      </c>
      <c r="L2280" s="1" t="s">
        <v>3630</v>
      </c>
      <c r="M2280" s="3">
        <v>46028</v>
      </c>
      <c r="N2280" s="1" t="s">
        <v>580</v>
      </c>
      <c r="O2280" s="1" t="s">
        <v>936</v>
      </c>
      <c r="P2280" s="1">
        <v>1</v>
      </c>
    </row>
    <row r="2281" spans="1:16" x14ac:dyDescent="0.25">
      <c r="A2281" s="3">
        <v>46027</v>
      </c>
      <c r="B2281" s="4">
        <v>1148</v>
      </c>
      <c r="C2281" s="5">
        <v>40</v>
      </c>
      <c r="D2281" s="1" t="s">
        <v>1074</v>
      </c>
      <c r="E2281" s="1" t="s">
        <v>1075</v>
      </c>
      <c r="F2281" s="1" t="s">
        <v>639</v>
      </c>
      <c r="G2281" s="1" t="s">
        <v>1058</v>
      </c>
      <c r="H2281" s="3">
        <v>46048</v>
      </c>
      <c r="I2281" s="1" t="s">
        <v>933</v>
      </c>
      <c r="J2281" s="1" t="s">
        <v>66</v>
      </c>
      <c r="K2281" s="1" t="s">
        <v>308</v>
      </c>
      <c r="L2281" s="1" t="s">
        <v>3623</v>
      </c>
      <c r="M2281" s="3">
        <v>46028</v>
      </c>
      <c r="N2281" s="1" t="s">
        <v>98</v>
      </c>
      <c r="O2281" s="1" t="s">
        <v>936</v>
      </c>
      <c r="P2281" s="1">
        <v>1</v>
      </c>
    </row>
    <row r="2282" spans="1:16" x14ac:dyDescent="0.25">
      <c r="A2282" s="3">
        <v>46027</v>
      </c>
      <c r="B2282" s="4">
        <v>1148</v>
      </c>
      <c r="C2282" s="5">
        <v>500</v>
      </c>
      <c r="D2282" s="1" t="s">
        <v>1074</v>
      </c>
      <c r="E2282" s="1" t="s">
        <v>1075</v>
      </c>
      <c r="F2282" s="1" t="s">
        <v>827</v>
      </c>
      <c r="G2282" s="1" t="s">
        <v>1058</v>
      </c>
      <c r="H2282" s="3">
        <v>46048</v>
      </c>
      <c r="I2282" s="1" t="s">
        <v>933</v>
      </c>
      <c r="J2282" s="1" t="s">
        <v>66</v>
      </c>
      <c r="K2282" s="1" t="s">
        <v>340</v>
      </c>
      <c r="L2282" s="1" t="s">
        <v>3631</v>
      </c>
      <c r="M2282" s="3">
        <v>46028</v>
      </c>
      <c r="N2282" s="1" t="s">
        <v>772</v>
      </c>
      <c r="O2282" s="1" t="s">
        <v>936</v>
      </c>
      <c r="P2282" s="1">
        <v>1</v>
      </c>
    </row>
    <row r="2283" spans="1:16" x14ac:dyDescent="0.25">
      <c r="A2283" s="3">
        <v>46027</v>
      </c>
      <c r="B2283" s="4">
        <v>1148</v>
      </c>
      <c r="C2283" s="5">
        <v>700</v>
      </c>
      <c r="D2283" s="1" t="s">
        <v>1074</v>
      </c>
      <c r="E2283" s="1" t="s">
        <v>1075</v>
      </c>
      <c r="F2283" s="1" t="s">
        <v>553</v>
      </c>
      <c r="G2283" s="1" t="s">
        <v>1058</v>
      </c>
      <c r="H2283" s="3">
        <v>46048</v>
      </c>
      <c r="I2283" s="1" t="s">
        <v>933</v>
      </c>
      <c r="J2283" s="1" t="s">
        <v>66</v>
      </c>
      <c r="K2283" s="1" t="s">
        <v>340</v>
      </c>
      <c r="L2283" s="1" t="s">
        <v>3632</v>
      </c>
      <c r="M2283" s="3">
        <v>46028</v>
      </c>
      <c r="N2283" s="1" t="s">
        <v>57</v>
      </c>
      <c r="O2283" s="1" t="s">
        <v>936</v>
      </c>
      <c r="P2283" s="1">
        <v>1</v>
      </c>
    </row>
    <row r="2284" spans="1:16" x14ac:dyDescent="0.25">
      <c r="A2284" s="3">
        <v>46027</v>
      </c>
      <c r="B2284" s="4">
        <v>1148</v>
      </c>
      <c r="C2284" s="5">
        <v>600</v>
      </c>
      <c r="D2284" s="1" t="s">
        <v>1074</v>
      </c>
      <c r="E2284" s="1" t="s">
        <v>1075</v>
      </c>
      <c r="F2284" s="1" t="s">
        <v>748</v>
      </c>
      <c r="G2284" s="1" t="s">
        <v>1058</v>
      </c>
      <c r="H2284" s="3">
        <v>46048</v>
      </c>
      <c r="I2284" s="1" t="s">
        <v>933</v>
      </c>
      <c r="J2284" s="1" t="s">
        <v>66</v>
      </c>
      <c r="K2284" s="1" t="s">
        <v>340</v>
      </c>
      <c r="L2284" s="1" t="s">
        <v>3633</v>
      </c>
      <c r="M2284" s="3">
        <v>46028</v>
      </c>
      <c r="N2284" s="1" t="s">
        <v>75</v>
      </c>
      <c r="O2284" s="1" t="s">
        <v>936</v>
      </c>
      <c r="P2284" s="1">
        <v>1</v>
      </c>
    </row>
    <row r="2285" spans="1:16" x14ac:dyDescent="0.25">
      <c r="A2285" s="3">
        <v>46027</v>
      </c>
      <c r="B2285" s="4">
        <v>1148</v>
      </c>
      <c r="C2285" s="5">
        <v>400</v>
      </c>
      <c r="D2285" s="1" t="s">
        <v>1074</v>
      </c>
      <c r="E2285" s="1" t="s">
        <v>1075</v>
      </c>
      <c r="F2285" s="1" t="s">
        <v>693</v>
      </c>
      <c r="G2285" s="1" t="s">
        <v>1058</v>
      </c>
      <c r="H2285" s="3">
        <v>46048</v>
      </c>
      <c r="I2285" s="1" t="s">
        <v>933</v>
      </c>
      <c r="J2285" s="1" t="s">
        <v>66</v>
      </c>
      <c r="K2285" s="1" t="s">
        <v>340</v>
      </c>
      <c r="L2285" s="1" t="s">
        <v>3634</v>
      </c>
      <c r="M2285" s="3">
        <v>46028</v>
      </c>
      <c r="N2285" s="1" t="s">
        <v>383</v>
      </c>
      <c r="O2285" s="1" t="s">
        <v>936</v>
      </c>
      <c r="P2285" s="1">
        <v>1</v>
      </c>
    </row>
    <row r="2286" spans="1:16" x14ac:dyDescent="0.25">
      <c r="A2286" s="3">
        <v>46027</v>
      </c>
      <c r="B2286" s="4">
        <v>1148</v>
      </c>
      <c r="C2286" s="5">
        <v>400</v>
      </c>
      <c r="D2286" s="1" t="s">
        <v>1074</v>
      </c>
      <c r="E2286" s="1" t="s">
        <v>1075</v>
      </c>
      <c r="F2286" s="1" t="s">
        <v>697</v>
      </c>
      <c r="G2286" s="1" t="s">
        <v>1058</v>
      </c>
      <c r="H2286" s="3">
        <v>46048</v>
      </c>
      <c r="I2286" s="1" t="s">
        <v>933</v>
      </c>
      <c r="J2286" s="1" t="s">
        <v>66</v>
      </c>
      <c r="K2286" s="1" t="s">
        <v>340</v>
      </c>
      <c r="L2286" s="1" t="s">
        <v>3634</v>
      </c>
      <c r="M2286" s="3">
        <v>46028</v>
      </c>
      <c r="N2286" s="1" t="s">
        <v>383</v>
      </c>
      <c r="O2286" s="1" t="s">
        <v>936</v>
      </c>
      <c r="P2286" s="1">
        <v>1</v>
      </c>
    </row>
    <row r="2287" spans="1:16" x14ac:dyDescent="0.25">
      <c r="A2287" s="3">
        <v>46027</v>
      </c>
      <c r="B2287" s="4">
        <v>1148</v>
      </c>
      <c r="C2287" s="5">
        <v>280</v>
      </c>
      <c r="D2287" s="1" t="s">
        <v>1074</v>
      </c>
      <c r="E2287" s="1" t="s">
        <v>1075</v>
      </c>
      <c r="F2287" s="1" t="s">
        <v>478</v>
      </c>
      <c r="G2287" s="1" t="s">
        <v>1058</v>
      </c>
      <c r="H2287" s="3">
        <v>46048</v>
      </c>
      <c r="I2287" s="1" t="s">
        <v>933</v>
      </c>
      <c r="J2287" s="1" t="s">
        <v>66</v>
      </c>
      <c r="K2287" s="1" t="s">
        <v>340</v>
      </c>
      <c r="L2287" s="1" t="s">
        <v>3635</v>
      </c>
      <c r="M2287" s="3">
        <v>46028</v>
      </c>
      <c r="N2287" s="1" t="s">
        <v>440</v>
      </c>
      <c r="O2287" s="1" t="s">
        <v>936</v>
      </c>
      <c r="P2287" s="1">
        <v>1</v>
      </c>
    </row>
    <row r="2288" spans="1:16" x14ac:dyDescent="0.25">
      <c r="A2288" s="3">
        <v>46027</v>
      </c>
      <c r="B2288" s="4">
        <v>1148</v>
      </c>
      <c r="C2288" s="5">
        <v>80</v>
      </c>
      <c r="D2288" s="1" t="s">
        <v>1074</v>
      </c>
      <c r="E2288" s="1" t="s">
        <v>1075</v>
      </c>
      <c r="F2288" s="1" t="s">
        <v>955</v>
      </c>
      <c r="G2288" s="1" t="s">
        <v>1058</v>
      </c>
      <c r="H2288" s="3">
        <v>46048</v>
      </c>
      <c r="I2288" s="1" t="s">
        <v>933</v>
      </c>
      <c r="J2288" s="1" t="s">
        <v>951</v>
      </c>
      <c r="K2288" s="1" t="s">
        <v>934</v>
      </c>
      <c r="L2288" s="1" t="s">
        <v>3636</v>
      </c>
      <c r="M2288" s="3">
        <v>46028</v>
      </c>
      <c r="N2288" s="1" t="s">
        <v>821</v>
      </c>
      <c r="O2288" s="1" t="s">
        <v>936</v>
      </c>
      <c r="P2288" s="1">
        <v>1</v>
      </c>
    </row>
    <row r="2289" spans="1:16" x14ac:dyDescent="0.25">
      <c r="A2289" s="3">
        <v>46027</v>
      </c>
      <c r="B2289" s="4">
        <v>1148</v>
      </c>
      <c r="C2289" s="5">
        <v>400</v>
      </c>
      <c r="D2289" s="1" t="s">
        <v>1074</v>
      </c>
      <c r="E2289" s="1" t="s">
        <v>1075</v>
      </c>
      <c r="F2289" s="1" t="s">
        <v>697</v>
      </c>
      <c r="G2289" s="1" t="s">
        <v>1058</v>
      </c>
      <c r="H2289" s="3">
        <v>46048</v>
      </c>
      <c r="I2289" s="1" t="s">
        <v>933</v>
      </c>
      <c r="J2289" s="1" t="s">
        <v>66</v>
      </c>
      <c r="K2289" s="1" t="s">
        <v>340</v>
      </c>
      <c r="L2289" s="1" t="s">
        <v>3634</v>
      </c>
      <c r="M2289" s="3">
        <v>46028</v>
      </c>
      <c r="N2289" s="1" t="s">
        <v>383</v>
      </c>
      <c r="O2289" s="1" t="s">
        <v>936</v>
      </c>
      <c r="P2289" s="1">
        <v>1</v>
      </c>
    </row>
    <row r="2290" spans="1:16" x14ac:dyDescent="0.25">
      <c r="A2290" s="3">
        <v>46027</v>
      </c>
      <c r="B2290" s="4">
        <v>1148</v>
      </c>
      <c r="C2290" s="5">
        <v>280</v>
      </c>
      <c r="D2290" s="1" t="s">
        <v>1074</v>
      </c>
      <c r="E2290" s="1" t="s">
        <v>1075</v>
      </c>
      <c r="F2290" s="1" t="s">
        <v>419</v>
      </c>
      <c r="G2290" s="1" t="s">
        <v>1058</v>
      </c>
      <c r="H2290" s="3">
        <v>46048</v>
      </c>
      <c r="I2290" s="1" t="s">
        <v>933</v>
      </c>
      <c r="J2290" s="1" t="s">
        <v>66</v>
      </c>
      <c r="K2290" s="1" t="s">
        <v>308</v>
      </c>
      <c r="L2290" s="1" t="s">
        <v>3623</v>
      </c>
      <c r="M2290" s="3">
        <v>46028</v>
      </c>
      <c r="N2290" s="1" t="s">
        <v>98</v>
      </c>
      <c r="O2290" s="1" t="s">
        <v>936</v>
      </c>
      <c r="P2290" s="1">
        <v>1</v>
      </c>
    </row>
    <row r="2291" spans="1:16" x14ac:dyDescent="0.25">
      <c r="A2291" s="3">
        <v>46027</v>
      </c>
      <c r="B2291" s="4">
        <v>1148</v>
      </c>
      <c r="C2291" s="5">
        <v>380</v>
      </c>
      <c r="D2291" s="1" t="s">
        <v>1074</v>
      </c>
      <c r="E2291" s="1" t="s">
        <v>1075</v>
      </c>
      <c r="F2291" s="1" t="s">
        <v>185</v>
      </c>
      <c r="G2291" s="1" t="s">
        <v>1058</v>
      </c>
      <c r="H2291" s="3">
        <v>46048</v>
      </c>
      <c r="I2291" s="1" t="s">
        <v>933</v>
      </c>
      <c r="J2291" s="1" t="s">
        <v>66</v>
      </c>
      <c r="K2291" s="1" t="s">
        <v>52</v>
      </c>
      <c r="L2291" s="1" t="s">
        <v>3637</v>
      </c>
      <c r="M2291" s="3">
        <v>46028</v>
      </c>
      <c r="N2291" s="1" t="s">
        <v>190</v>
      </c>
      <c r="O2291" s="1" t="s">
        <v>936</v>
      </c>
      <c r="P2291" s="1">
        <v>1</v>
      </c>
    </row>
    <row r="2292" spans="1:16" x14ac:dyDescent="0.25">
      <c r="A2292" s="3">
        <v>46027</v>
      </c>
      <c r="B2292" s="4">
        <v>1148</v>
      </c>
      <c r="C2292" s="5">
        <v>80</v>
      </c>
      <c r="D2292" s="1" t="s">
        <v>1074</v>
      </c>
      <c r="E2292" s="1" t="s">
        <v>1075</v>
      </c>
      <c r="F2292" s="1" t="s">
        <v>955</v>
      </c>
      <c r="G2292" s="1" t="s">
        <v>1058</v>
      </c>
      <c r="H2292" s="3">
        <v>46048</v>
      </c>
      <c r="I2292" s="1" t="s">
        <v>933</v>
      </c>
      <c r="J2292" s="1" t="s">
        <v>951</v>
      </c>
      <c r="K2292" s="1" t="s">
        <v>817</v>
      </c>
      <c r="L2292" s="1" t="s">
        <v>3638</v>
      </c>
      <c r="M2292" s="3">
        <v>46028</v>
      </c>
      <c r="N2292" s="1" t="s">
        <v>821</v>
      </c>
      <c r="O2292" s="1" t="s">
        <v>936</v>
      </c>
      <c r="P2292" s="1">
        <v>1</v>
      </c>
    </row>
    <row r="2293" spans="1:16" x14ac:dyDescent="0.25">
      <c r="A2293" s="3">
        <v>46027</v>
      </c>
      <c r="B2293" s="4">
        <v>1148</v>
      </c>
      <c r="C2293" s="5">
        <v>80</v>
      </c>
      <c r="D2293" s="1" t="s">
        <v>1074</v>
      </c>
      <c r="E2293" s="1" t="s">
        <v>1075</v>
      </c>
      <c r="F2293" s="1" t="s">
        <v>955</v>
      </c>
      <c r="G2293" s="1" t="s">
        <v>1058</v>
      </c>
      <c r="H2293" s="3">
        <v>46048</v>
      </c>
      <c r="I2293" s="1" t="s">
        <v>933</v>
      </c>
      <c r="J2293" s="1" t="s">
        <v>951</v>
      </c>
      <c r="K2293" s="1" t="s">
        <v>340</v>
      </c>
      <c r="L2293" s="1" t="s">
        <v>3639</v>
      </c>
      <c r="M2293" s="3">
        <v>46028</v>
      </c>
      <c r="N2293" s="1" t="s">
        <v>821</v>
      </c>
      <c r="O2293" s="1" t="s">
        <v>936</v>
      </c>
      <c r="P2293" s="1">
        <v>1</v>
      </c>
    </row>
    <row r="2294" spans="1:16" x14ac:dyDescent="0.25">
      <c r="A2294" s="3">
        <v>46027</v>
      </c>
      <c r="B2294" s="4">
        <v>1148</v>
      </c>
      <c r="C2294" s="5">
        <v>600</v>
      </c>
      <c r="D2294" s="1" t="s">
        <v>1074</v>
      </c>
      <c r="E2294" s="1" t="s">
        <v>1075</v>
      </c>
      <c r="F2294" s="1" t="s">
        <v>906</v>
      </c>
      <c r="G2294" s="1" t="s">
        <v>1058</v>
      </c>
      <c r="H2294" s="3">
        <v>46048</v>
      </c>
      <c r="I2294" s="1" t="s">
        <v>933</v>
      </c>
      <c r="J2294" s="1" t="s">
        <v>66</v>
      </c>
      <c r="K2294" s="1" t="s">
        <v>308</v>
      </c>
      <c r="L2294" s="1" t="s">
        <v>3640</v>
      </c>
      <c r="M2294" s="3">
        <v>46028</v>
      </c>
      <c r="N2294" s="1" t="s">
        <v>57</v>
      </c>
      <c r="O2294" s="1" t="s">
        <v>936</v>
      </c>
      <c r="P2294" s="1">
        <v>1</v>
      </c>
    </row>
    <row r="2295" spans="1:16" x14ac:dyDescent="0.25">
      <c r="A2295" s="3">
        <v>46027</v>
      </c>
      <c r="B2295" s="4">
        <v>1148</v>
      </c>
      <c r="C2295" s="5">
        <v>280</v>
      </c>
      <c r="D2295" s="1" t="s">
        <v>1074</v>
      </c>
      <c r="E2295" s="1" t="s">
        <v>1075</v>
      </c>
      <c r="F2295" s="1" t="s">
        <v>199</v>
      </c>
      <c r="G2295" s="1" t="s">
        <v>1058</v>
      </c>
      <c r="H2295" s="3">
        <v>46048</v>
      </c>
      <c r="I2295" s="1" t="s">
        <v>933</v>
      </c>
      <c r="J2295" s="1" t="s">
        <v>66</v>
      </c>
      <c r="K2295" s="1" t="s">
        <v>340</v>
      </c>
      <c r="L2295" s="1" t="s">
        <v>3641</v>
      </c>
      <c r="M2295" s="3">
        <v>46028</v>
      </c>
      <c r="N2295" s="1" t="s">
        <v>175</v>
      </c>
      <c r="O2295" s="1" t="s">
        <v>936</v>
      </c>
      <c r="P2295" s="1">
        <v>1</v>
      </c>
    </row>
    <row r="2296" spans="1:16" x14ac:dyDescent="0.25">
      <c r="A2296" s="3">
        <v>46027</v>
      </c>
      <c r="B2296" s="4">
        <v>1148</v>
      </c>
      <c r="C2296" s="5">
        <v>280</v>
      </c>
      <c r="D2296" s="1" t="s">
        <v>1074</v>
      </c>
      <c r="E2296" s="1" t="s">
        <v>1075</v>
      </c>
      <c r="F2296" s="1" t="s">
        <v>182</v>
      </c>
      <c r="G2296" s="1" t="s">
        <v>1058</v>
      </c>
      <c r="H2296" s="3">
        <v>46048</v>
      </c>
      <c r="I2296" s="1" t="s">
        <v>933</v>
      </c>
      <c r="J2296" s="1" t="s">
        <v>66</v>
      </c>
      <c r="K2296" s="1" t="s">
        <v>340</v>
      </c>
      <c r="L2296" s="1" t="s">
        <v>3642</v>
      </c>
      <c r="M2296" s="3">
        <v>46028</v>
      </c>
      <c r="N2296" s="1" t="s">
        <v>93</v>
      </c>
      <c r="O2296" s="1" t="s">
        <v>936</v>
      </c>
      <c r="P2296" s="1">
        <v>1</v>
      </c>
    </row>
    <row r="2297" spans="1:16" x14ac:dyDescent="0.25">
      <c r="A2297" s="3">
        <v>46027</v>
      </c>
      <c r="B2297" s="4">
        <v>1148</v>
      </c>
      <c r="C2297" s="5">
        <v>280</v>
      </c>
      <c r="D2297" s="1" t="s">
        <v>1074</v>
      </c>
      <c r="E2297" s="1" t="s">
        <v>1075</v>
      </c>
      <c r="F2297" s="1" t="s">
        <v>392</v>
      </c>
      <c r="G2297" s="1" t="s">
        <v>1058</v>
      </c>
      <c r="H2297" s="3">
        <v>46048</v>
      </c>
      <c r="I2297" s="1" t="s">
        <v>933</v>
      </c>
      <c r="J2297" s="1" t="s">
        <v>66</v>
      </c>
      <c r="K2297" s="1" t="s">
        <v>340</v>
      </c>
      <c r="L2297" s="1" t="s">
        <v>3643</v>
      </c>
      <c r="M2297" s="3">
        <v>46028</v>
      </c>
      <c r="N2297" s="1" t="s">
        <v>93</v>
      </c>
      <c r="O2297" s="1" t="s">
        <v>936</v>
      </c>
      <c r="P2297" s="1">
        <v>1</v>
      </c>
    </row>
    <row r="2298" spans="1:16" x14ac:dyDescent="0.25">
      <c r="A2298" s="3">
        <v>46027</v>
      </c>
      <c r="B2298" s="4">
        <v>1148</v>
      </c>
      <c r="C2298" s="5">
        <v>380</v>
      </c>
      <c r="D2298" s="1" t="s">
        <v>1074</v>
      </c>
      <c r="E2298" s="1" t="s">
        <v>1075</v>
      </c>
      <c r="F2298" s="1" t="s">
        <v>736</v>
      </c>
      <c r="G2298" s="1" t="s">
        <v>1058</v>
      </c>
      <c r="H2298" s="3">
        <v>46048</v>
      </c>
      <c r="I2298" s="1" t="s">
        <v>933</v>
      </c>
      <c r="J2298" s="1" t="s">
        <v>66</v>
      </c>
      <c r="K2298" s="1" t="s">
        <v>308</v>
      </c>
      <c r="L2298" s="1" t="s">
        <v>3644</v>
      </c>
      <c r="M2298" s="3">
        <v>46028</v>
      </c>
      <c r="N2298" s="1" t="s">
        <v>57</v>
      </c>
      <c r="O2298" s="1" t="s">
        <v>936</v>
      </c>
      <c r="P2298" s="1">
        <v>1</v>
      </c>
    </row>
    <row r="2299" spans="1:16" x14ac:dyDescent="0.25">
      <c r="A2299" s="3">
        <v>46027</v>
      </c>
      <c r="B2299" s="4">
        <v>1148</v>
      </c>
      <c r="C2299" s="5">
        <v>280</v>
      </c>
      <c r="D2299" s="1" t="s">
        <v>1074</v>
      </c>
      <c r="E2299" s="1" t="s">
        <v>1075</v>
      </c>
      <c r="F2299" s="1" t="s">
        <v>453</v>
      </c>
      <c r="G2299" s="1" t="s">
        <v>1058</v>
      </c>
      <c r="H2299" s="3">
        <v>46048</v>
      </c>
      <c r="I2299" s="1" t="s">
        <v>933</v>
      </c>
      <c r="J2299" s="1" t="s">
        <v>66</v>
      </c>
      <c r="K2299" s="1" t="s">
        <v>308</v>
      </c>
      <c r="L2299" s="1" t="s">
        <v>3615</v>
      </c>
      <c r="M2299" s="3">
        <v>46028</v>
      </c>
      <c r="N2299" s="1" t="s">
        <v>455</v>
      </c>
      <c r="O2299" s="1" t="s">
        <v>936</v>
      </c>
      <c r="P2299" s="1">
        <v>1</v>
      </c>
    </row>
    <row r="2300" spans="1:16" x14ac:dyDescent="0.25">
      <c r="A2300" s="3">
        <v>46027</v>
      </c>
      <c r="B2300" s="4">
        <v>1148</v>
      </c>
      <c r="C2300" s="5">
        <v>80</v>
      </c>
      <c r="D2300" s="1" t="s">
        <v>1074</v>
      </c>
      <c r="E2300" s="1" t="s">
        <v>1075</v>
      </c>
      <c r="F2300" s="1" t="s">
        <v>955</v>
      </c>
      <c r="G2300" s="1" t="s">
        <v>1058</v>
      </c>
      <c r="H2300" s="3">
        <v>46048</v>
      </c>
      <c r="I2300" s="1" t="s">
        <v>933</v>
      </c>
      <c r="J2300" s="1" t="s">
        <v>951</v>
      </c>
      <c r="K2300" s="1" t="s">
        <v>817</v>
      </c>
      <c r="L2300" s="1" t="s">
        <v>3645</v>
      </c>
      <c r="M2300" s="3">
        <v>46028</v>
      </c>
      <c r="N2300" s="1" t="s">
        <v>821</v>
      </c>
      <c r="O2300" s="1" t="s">
        <v>936</v>
      </c>
      <c r="P2300" s="1">
        <v>1</v>
      </c>
    </row>
    <row r="2301" spans="1:16" x14ac:dyDescent="0.25">
      <c r="A2301" s="3">
        <v>46027</v>
      </c>
      <c r="B2301" s="4">
        <v>1149</v>
      </c>
      <c r="C2301" s="5">
        <v>100</v>
      </c>
      <c r="D2301" s="1" t="s">
        <v>1074</v>
      </c>
      <c r="E2301" s="1" t="s">
        <v>1075</v>
      </c>
      <c r="F2301" s="1" t="s">
        <v>650</v>
      </c>
      <c r="G2301" s="1" t="s">
        <v>2101</v>
      </c>
      <c r="H2301" s="3">
        <v>46041</v>
      </c>
      <c r="I2301" s="1" t="s">
        <v>933</v>
      </c>
      <c r="J2301" s="1" t="s">
        <v>66</v>
      </c>
      <c r="K2301" s="1" t="s">
        <v>340</v>
      </c>
      <c r="L2301" s="1" t="s">
        <v>3646</v>
      </c>
      <c r="M2301" s="3">
        <v>46027</v>
      </c>
      <c r="N2301" s="1" t="s">
        <v>57</v>
      </c>
      <c r="O2301" s="1" t="s">
        <v>936</v>
      </c>
      <c r="P2301" s="1">
        <v>1</v>
      </c>
    </row>
    <row r="2302" spans="1:16" x14ac:dyDescent="0.25">
      <c r="A2302" s="3">
        <v>46027</v>
      </c>
      <c r="B2302" s="4">
        <v>1149</v>
      </c>
      <c r="C2302" s="5">
        <v>100</v>
      </c>
      <c r="D2302" s="1" t="s">
        <v>1074</v>
      </c>
      <c r="E2302" s="1" t="s">
        <v>1075</v>
      </c>
      <c r="F2302" s="1" t="s">
        <v>732</v>
      </c>
      <c r="G2302" s="1" t="s">
        <v>2101</v>
      </c>
      <c r="H2302" s="3">
        <v>46041</v>
      </c>
      <c r="I2302" s="1" t="s">
        <v>933</v>
      </c>
      <c r="J2302" s="1" t="s">
        <v>66</v>
      </c>
      <c r="K2302" s="1" t="s">
        <v>340</v>
      </c>
      <c r="L2302" s="1" t="s">
        <v>3647</v>
      </c>
      <c r="M2302" s="3">
        <v>46027</v>
      </c>
      <c r="N2302" s="1" t="s">
        <v>115</v>
      </c>
      <c r="O2302" s="1" t="s">
        <v>936</v>
      </c>
      <c r="P2302" s="1">
        <v>1</v>
      </c>
    </row>
    <row r="2303" spans="1:16" x14ac:dyDescent="0.25">
      <c r="A2303" s="3">
        <v>46027</v>
      </c>
      <c r="B2303" s="4">
        <v>1149</v>
      </c>
      <c r="C2303" s="5">
        <v>390</v>
      </c>
      <c r="D2303" s="1" t="s">
        <v>1074</v>
      </c>
      <c r="E2303" s="1" t="s">
        <v>1075</v>
      </c>
      <c r="F2303" s="1" t="s">
        <v>650</v>
      </c>
      <c r="G2303" s="1" t="s">
        <v>2101</v>
      </c>
      <c r="H2303" s="3">
        <v>46041</v>
      </c>
      <c r="I2303" s="1" t="s">
        <v>933</v>
      </c>
      <c r="J2303" s="1" t="s">
        <v>66</v>
      </c>
      <c r="K2303" s="1" t="s">
        <v>340</v>
      </c>
      <c r="L2303" s="1" t="s">
        <v>3648</v>
      </c>
      <c r="M2303" s="3">
        <v>46027</v>
      </c>
      <c r="N2303" s="1" t="s">
        <v>57</v>
      </c>
      <c r="O2303" s="1" t="s">
        <v>936</v>
      </c>
      <c r="P2303" s="1">
        <v>1</v>
      </c>
    </row>
    <row r="2304" spans="1:16" x14ac:dyDescent="0.25">
      <c r="A2304" s="3">
        <v>46027</v>
      </c>
      <c r="B2304" s="4">
        <v>1149</v>
      </c>
      <c r="C2304" s="5">
        <v>130</v>
      </c>
      <c r="D2304" s="1" t="s">
        <v>1074</v>
      </c>
      <c r="E2304" s="1" t="s">
        <v>1075</v>
      </c>
      <c r="F2304" s="1" t="s">
        <v>723</v>
      </c>
      <c r="G2304" s="1" t="s">
        <v>2101</v>
      </c>
      <c r="H2304" s="3">
        <v>46041</v>
      </c>
      <c r="I2304" s="1" t="s">
        <v>933</v>
      </c>
      <c r="J2304" s="1" t="s">
        <v>66</v>
      </c>
      <c r="K2304" s="1" t="s">
        <v>340</v>
      </c>
      <c r="L2304" s="1" t="s">
        <v>3649</v>
      </c>
      <c r="M2304" s="3">
        <v>46027</v>
      </c>
      <c r="N2304" s="1" t="s">
        <v>726</v>
      </c>
      <c r="O2304" s="1" t="s">
        <v>936</v>
      </c>
      <c r="P2304" s="1">
        <v>1</v>
      </c>
    </row>
    <row r="2305" spans="1:16" x14ac:dyDescent="0.25">
      <c r="A2305" s="3">
        <v>46027</v>
      </c>
      <c r="B2305" s="4">
        <v>1149</v>
      </c>
      <c r="C2305" s="5">
        <v>20</v>
      </c>
      <c r="D2305" s="1" t="s">
        <v>1074</v>
      </c>
      <c r="E2305" s="1" t="s">
        <v>1075</v>
      </c>
      <c r="F2305" s="1" t="s">
        <v>955</v>
      </c>
      <c r="G2305" s="1" t="s">
        <v>2101</v>
      </c>
      <c r="H2305" s="3">
        <v>46041</v>
      </c>
      <c r="I2305" s="1" t="s">
        <v>933</v>
      </c>
      <c r="J2305" s="1" t="s">
        <v>951</v>
      </c>
      <c r="K2305" s="1" t="s">
        <v>640</v>
      </c>
      <c r="L2305" s="1" t="s">
        <v>3650</v>
      </c>
      <c r="M2305" s="3">
        <v>46027</v>
      </c>
      <c r="N2305" s="1" t="s">
        <v>821</v>
      </c>
      <c r="O2305" s="1" t="s">
        <v>936</v>
      </c>
      <c r="P2305" s="1">
        <v>1</v>
      </c>
    </row>
    <row r="2306" spans="1:16" x14ac:dyDescent="0.25">
      <c r="A2306" s="3">
        <v>46027</v>
      </c>
      <c r="B2306" s="4">
        <v>1149</v>
      </c>
      <c r="C2306" s="5">
        <v>720</v>
      </c>
      <c r="D2306" s="1" t="s">
        <v>1074</v>
      </c>
      <c r="E2306" s="1" t="s">
        <v>1075</v>
      </c>
      <c r="F2306" s="1" t="s">
        <v>955</v>
      </c>
      <c r="G2306" s="1" t="s">
        <v>2101</v>
      </c>
      <c r="H2306" s="3">
        <v>46041</v>
      </c>
      <c r="I2306" s="1" t="s">
        <v>933</v>
      </c>
      <c r="J2306" s="1" t="s">
        <v>951</v>
      </c>
      <c r="K2306" s="1" t="s">
        <v>817</v>
      </c>
      <c r="L2306" s="1" t="s">
        <v>3651</v>
      </c>
      <c r="M2306" s="3">
        <v>46027</v>
      </c>
      <c r="N2306" s="1" t="s">
        <v>821</v>
      </c>
      <c r="O2306" s="1" t="s">
        <v>936</v>
      </c>
      <c r="P2306" s="1">
        <v>1</v>
      </c>
    </row>
    <row r="2307" spans="1:16" x14ac:dyDescent="0.25">
      <c r="A2307" s="3">
        <v>46027</v>
      </c>
      <c r="B2307" s="4">
        <v>1149</v>
      </c>
      <c r="C2307" s="5">
        <v>25</v>
      </c>
      <c r="D2307" s="1" t="s">
        <v>1074</v>
      </c>
      <c r="E2307" s="1" t="s">
        <v>1075</v>
      </c>
      <c r="F2307" s="1" t="s">
        <v>955</v>
      </c>
      <c r="G2307" s="1" t="s">
        <v>2101</v>
      </c>
      <c r="H2307" s="3">
        <v>46041</v>
      </c>
      <c r="I2307" s="1" t="s">
        <v>933</v>
      </c>
      <c r="J2307" s="1" t="s">
        <v>951</v>
      </c>
      <c r="K2307" s="1" t="s">
        <v>2085</v>
      </c>
      <c r="L2307" s="1" t="s">
        <v>3652</v>
      </c>
      <c r="M2307" s="3">
        <v>46027</v>
      </c>
      <c r="N2307" s="1" t="s">
        <v>821</v>
      </c>
      <c r="O2307" s="1" t="s">
        <v>936</v>
      </c>
      <c r="P2307" s="1">
        <v>1</v>
      </c>
    </row>
    <row r="2308" spans="1:16" x14ac:dyDescent="0.25">
      <c r="A2308" s="3">
        <v>46027</v>
      </c>
      <c r="B2308" s="4">
        <v>1149</v>
      </c>
      <c r="C2308" s="5">
        <v>80</v>
      </c>
      <c r="D2308" s="1" t="s">
        <v>1074</v>
      </c>
      <c r="E2308" s="1" t="s">
        <v>1075</v>
      </c>
      <c r="F2308" s="1" t="s">
        <v>457</v>
      </c>
      <c r="G2308" s="1" t="s">
        <v>2101</v>
      </c>
      <c r="H2308" s="3">
        <v>46041</v>
      </c>
      <c r="I2308" s="1" t="s">
        <v>933</v>
      </c>
      <c r="J2308" s="1" t="s">
        <v>66</v>
      </c>
      <c r="K2308" s="1" t="s">
        <v>308</v>
      </c>
      <c r="L2308" s="1" t="s">
        <v>3653</v>
      </c>
      <c r="M2308" s="3">
        <v>46027</v>
      </c>
      <c r="N2308" s="1" t="s">
        <v>358</v>
      </c>
      <c r="O2308" s="1" t="s">
        <v>936</v>
      </c>
      <c r="P2308" s="1">
        <v>1</v>
      </c>
    </row>
    <row r="2309" spans="1:16" x14ac:dyDescent="0.25">
      <c r="A2309" s="3">
        <v>46027</v>
      </c>
      <c r="B2309" s="4">
        <v>1149</v>
      </c>
      <c r="C2309" s="5">
        <v>200</v>
      </c>
      <c r="D2309" s="1" t="s">
        <v>1074</v>
      </c>
      <c r="E2309" s="1" t="s">
        <v>1075</v>
      </c>
      <c r="F2309" s="1" t="s">
        <v>670</v>
      </c>
      <c r="G2309" s="1" t="s">
        <v>2101</v>
      </c>
      <c r="H2309" s="3">
        <v>46041</v>
      </c>
      <c r="I2309" s="1" t="s">
        <v>933</v>
      </c>
      <c r="J2309" s="1" t="s">
        <v>66</v>
      </c>
      <c r="K2309" s="1" t="s">
        <v>659</v>
      </c>
      <c r="L2309" s="1" t="s">
        <v>3654</v>
      </c>
      <c r="M2309" s="3">
        <v>46027</v>
      </c>
      <c r="N2309" s="1" t="s">
        <v>57</v>
      </c>
      <c r="O2309" s="1" t="s">
        <v>936</v>
      </c>
      <c r="P2309" s="1">
        <v>1</v>
      </c>
    </row>
    <row r="2310" spans="1:16" x14ac:dyDescent="0.25">
      <c r="A2310" s="3">
        <v>46027</v>
      </c>
      <c r="B2310" s="4">
        <v>1149</v>
      </c>
      <c r="C2310" s="5">
        <v>70</v>
      </c>
      <c r="D2310" s="1" t="s">
        <v>1074</v>
      </c>
      <c r="E2310" s="1" t="s">
        <v>1075</v>
      </c>
      <c r="F2310" s="1" t="s">
        <v>392</v>
      </c>
      <c r="G2310" s="1" t="s">
        <v>2101</v>
      </c>
      <c r="H2310" s="3">
        <v>46041</v>
      </c>
      <c r="I2310" s="1" t="s">
        <v>933</v>
      </c>
      <c r="J2310" s="1" t="s">
        <v>66</v>
      </c>
      <c r="K2310" s="1" t="s">
        <v>52</v>
      </c>
      <c r="L2310" s="1" t="s">
        <v>3655</v>
      </c>
      <c r="M2310" s="3">
        <v>46027</v>
      </c>
      <c r="N2310" s="1" t="s">
        <v>93</v>
      </c>
      <c r="O2310" s="1" t="s">
        <v>936</v>
      </c>
      <c r="P2310" s="1">
        <v>1</v>
      </c>
    </row>
    <row r="2311" spans="1:16" x14ac:dyDescent="0.25">
      <c r="A2311" s="3">
        <v>46027</v>
      </c>
      <c r="B2311" s="4">
        <v>1149</v>
      </c>
      <c r="C2311" s="5">
        <v>70</v>
      </c>
      <c r="D2311" s="1" t="s">
        <v>1074</v>
      </c>
      <c r="E2311" s="1" t="s">
        <v>1075</v>
      </c>
      <c r="F2311" s="1" t="s">
        <v>218</v>
      </c>
      <c r="G2311" s="1" t="s">
        <v>2101</v>
      </c>
      <c r="H2311" s="3">
        <v>46041</v>
      </c>
      <c r="I2311" s="1" t="s">
        <v>933</v>
      </c>
      <c r="J2311" s="1" t="s">
        <v>66</v>
      </c>
      <c r="K2311" s="1" t="s">
        <v>1654</v>
      </c>
      <c r="L2311" s="1" t="s">
        <v>3656</v>
      </c>
      <c r="M2311" s="3">
        <v>46027</v>
      </c>
      <c r="N2311" s="1" t="s">
        <v>221</v>
      </c>
      <c r="O2311" s="1" t="s">
        <v>936</v>
      </c>
      <c r="P2311" s="1">
        <v>1</v>
      </c>
    </row>
    <row r="2312" spans="1:16" x14ac:dyDescent="0.25">
      <c r="A2312" s="3">
        <v>46027</v>
      </c>
      <c r="B2312" s="4">
        <v>1149</v>
      </c>
      <c r="C2312" s="5">
        <v>25</v>
      </c>
      <c r="D2312" s="1" t="s">
        <v>1074</v>
      </c>
      <c r="E2312" s="1" t="s">
        <v>1075</v>
      </c>
      <c r="F2312" s="1" t="s">
        <v>955</v>
      </c>
      <c r="G2312" s="1" t="s">
        <v>2101</v>
      </c>
      <c r="H2312" s="3">
        <v>46041</v>
      </c>
      <c r="I2312" s="1" t="s">
        <v>933</v>
      </c>
      <c r="J2312" s="1" t="s">
        <v>951</v>
      </c>
      <c r="K2312" s="1" t="s">
        <v>817</v>
      </c>
      <c r="L2312" s="1" t="s">
        <v>3657</v>
      </c>
      <c r="M2312" s="3">
        <v>46027</v>
      </c>
      <c r="N2312" s="1" t="s">
        <v>821</v>
      </c>
      <c r="O2312" s="1" t="s">
        <v>936</v>
      </c>
      <c r="P2312" s="1">
        <v>1</v>
      </c>
    </row>
    <row r="2313" spans="1:16" x14ac:dyDescent="0.25">
      <c r="A2313" s="3">
        <v>46027</v>
      </c>
      <c r="B2313" s="4">
        <v>1149</v>
      </c>
      <c r="C2313" s="5">
        <v>150</v>
      </c>
      <c r="D2313" s="1" t="s">
        <v>1074</v>
      </c>
      <c r="E2313" s="1" t="s">
        <v>1075</v>
      </c>
      <c r="F2313" s="1" t="s">
        <v>955</v>
      </c>
      <c r="G2313" s="1" t="s">
        <v>2101</v>
      </c>
      <c r="H2313" s="3">
        <v>46041</v>
      </c>
      <c r="I2313" s="1" t="s">
        <v>933</v>
      </c>
      <c r="J2313" s="1" t="s">
        <v>951</v>
      </c>
      <c r="K2313" s="1" t="s">
        <v>66</v>
      </c>
      <c r="L2313" s="1" t="s">
        <v>3658</v>
      </c>
      <c r="M2313" s="3">
        <v>46027</v>
      </c>
      <c r="N2313" s="1" t="s">
        <v>821</v>
      </c>
      <c r="O2313" s="1" t="s">
        <v>936</v>
      </c>
      <c r="P2313" s="1">
        <v>1</v>
      </c>
    </row>
    <row r="2314" spans="1:16" x14ac:dyDescent="0.25">
      <c r="A2314" s="3">
        <v>46027</v>
      </c>
      <c r="B2314" s="4">
        <v>1149</v>
      </c>
      <c r="C2314" s="5">
        <v>3580</v>
      </c>
      <c r="D2314" s="1" t="s">
        <v>1074</v>
      </c>
      <c r="E2314" s="1" t="s">
        <v>1075</v>
      </c>
      <c r="F2314" s="1" t="s">
        <v>717</v>
      </c>
      <c r="G2314" s="1" t="s">
        <v>2101</v>
      </c>
      <c r="H2314" s="3">
        <v>46041</v>
      </c>
      <c r="I2314" s="1" t="s">
        <v>712</v>
      </c>
      <c r="J2314" s="1" t="s">
        <v>66</v>
      </c>
      <c r="K2314" s="1" t="s">
        <v>340</v>
      </c>
      <c r="L2314" s="1" t="s">
        <v>3659</v>
      </c>
      <c r="M2314" s="3">
        <v>46027</v>
      </c>
      <c r="N2314" s="1" t="s">
        <v>712</v>
      </c>
      <c r="O2314" s="1" t="s">
        <v>936</v>
      </c>
      <c r="P2314" s="1">
        <v>1</v>
      </c>
    </row>
    <row r="2315" spans="1:16" x14ac:dyDescent="0.25">
      <c r="A2315" s="3">
        <v>46027</v>
      </c>
      <c r="B2315" s="4">
        <v>1149</v>
      </c>
      <c r="C2315" s="5">
        <v>70</v>
      </c>
      <c r="D2315" s="1" t="s">
        <v>1074</v>
      </c>
      <c r="E2315" s="1" t="s">
        <v>1075</v>
      </c>
      <c r="F2315" s="1" t="s">
        <v>460</v>
      </c>
      <c r="G2315" s="1" t="s">
        <v>2101</v>
      </c>
      <c r="H2315" s="3">
        <v>46041</v>
      </c>
      <c r="I2315" s="1" t="s">
        <v>933</v>
      </c>
      <c r="J2315" s="1" t="s">
        <v>66</v>
      </c>
      <c r="K2315" s="1" t="s">
        <v>308</v>
      </c>
      <c r="L2315" s="1" t="s">
        <v>3660</v>
      </c>
      <c r="M2315" s="3">
        <v>46027</v>
      </c>
      <c r="N2315" s="1" t="s">
        <v>440</v>
      </c>
      <c r="O2315" s="1" t="s">
        <v>936</v>
      </c>
      <c r="P2315" s="1">
        <v>1</v>
      </c>
    </row>
    <row r="2316" spans="1:16" x14ac:dyDescent="0.25">
      <c r="A2316" s="3">
        <v>46027</v>
      </c>
      <c r="B2316" s="4">
        <v>1149</v>
      </c>
      <c r="C2316" s="5">
        <v>7000</v>
      </c>
      <c r="D2316" s="1" t="s">
        <v>1074</v>
      </c>
      <c r="E2316" s="1" t="s">
        <v>1075</v>
      </c>
      <c r="F2316" s="1" t="s">
        <v>719</v>
      </c>
      <c r="G2316" s="1" t="s">
        <v>2101</v>
      </c>
      <c r="H2316" s="3">
        <v>46041</v>
      </c>
      <c r="I2316" s="1" t="s">
        <v>712</v>
      </c>
      <c r="J2316" s="1" t="s">
        <v>66</v>
      </c>
      <c r="K2316" s="1" t="s">
        <v>340</v>
      </c>
      <c r="L2316" s="1" t="s">
        <v>3661</v>
      </c>
      <c r="M2316" s="3">
        <v>46027</v>
      </c>
      <c r="N2316" s="1" t="s">
        <v>712</v>
      </c>
      <c r="O2316" s="1" t="s">
        <v>936</v>
      </c>
      <c r="P2316" s="1">
        <v>1</v>
      </c>
    </row>
    <row r="2317" spans="1:16" x14ac:dyDescent="0.25">
      <c r="A2317" s="3">
        <v>46027</v>
      </c>
      <c r="B2317" s="4">
        <v>73326</v>
      </c>
      <c r="C2317" s="5">
        <v>7235</v>
      </c>
      <c r="D2317" s="1" t="s">
        <v>1994</v>
      </c>
      <c r="E2317" s="1" t="s">
        <v>1995</v>
      </c>
      <c r="F2317" s="1" t="s">
        <v>736</v>
      </c>
      <c r="G2317" s="1" t="s">
        <v>940</v>
      </c>
      <c r="H2317" s="3">
        <v>46055</v>
      </c>
      <c r="I2317" s="1" t="s">
        <v>933</v>
      </c>
      <c r="J2317" s="1" t="s">
        <v>66</v>
      </c>
      <c r="K2317" s="1" t="s">
        <v>308</v>
      </c>
      <c r="L2317" s="1" t="s">
        <v>3662</v>
      </c>
      <c r="M2317" s="3">
        <v>46029</v>
      </c>
      <c r="N2317" s="1" t="s">
        <v>57</v>
      </c>
      <c r="O2317" s="1" t="s">
        <v>936</v>
      </c>
      <c r="P2317" s="1">
        <v>1</v>
      </c>
    </row>
    <row r="2318" spans="1:16" x14ac:dyDescent="0.25">
      <c r="A2318" s="3">
        <v>46027</v>
      </c>
      <c r="B2318" s="4">
        <v>3405</v>
      </c>
      <c r="C2318" s="5">
        <v>2768.5</v>
      </c>
      <c r="D2318" s="1" t="s">
        <v>1134</v>
      </c>
      <c r="E2318" s="1" t="s">
        <v>1282</v>
      </c>
      <c r="F2318" s="1" t="s">
        <v>955</v>
      </c>
      <c r="G2318" s="1" t="s">
        <v>940</v>
      </c>
      <c r="H2318" s="3">
        <v>46041</v>
      </c>
      <c r="I2318" s="1" t="s">
        <v>933</v>
      </c>
      <c r="J2318" s="1" t="s">
        <v>951</v>
      </c>
      <c r="K2318" s="1" t="s">
        <v>20</v>
      </c>
      <c r="L2318" s="1" t="s">
        <v>3663</v>
      </c>
      <c r="M2318" s="3">
        <v>46028</v>
      </c>
      <c r="N2318" s="1" t="s">
        <v>821</v>
      </c>
      <c r="O2318" s="1" t="s">
        <v>936</v>
      </c>
      <c r="P2318" s="1">
        <v>1</v>
      </c>
    </row>
    <row r="2319" spans="1:16" x14ac:dyDescent="0.25">
      <c r="A2319" s="3">
        <v>46027</v>
      </c>
      <c r="B2319" s="4">
        <v>1573</v>
      </c>
      <c r="C2319" s="5">
        <v>1039.46</v>
      </c>
      <c r="D2319" s="1" t="s">
        <v>1901</v>
      </c>
      <c r="E2319" s="1" t="s">
        <v>1902</v>
      </c>
      <c r="F2319" s="1" t="s">
        <v>955</v>
      </c>
      <c r="G2319" s="1" t="s">
        <v>990</v>
      </c>
      <c r="H2319" s="3">
        <v>46055</v>
      </c>
      <c r="I2319" s="1" t="s">
        <v>933</v>
      </c>
      <c r="J2319" s="1" t="s">
        <v>951</v>
      </c>
      <c r="K2319" s="1" t="s">
        <v>20</v>
      </c>
      <c r="L2319" s="1" t="s">
        <v>3664</v>
      </c>
      <c r="M2319" s="3">
        <v>46028</v>
      </c>
      <c r="N2319" s="1" t="s">
        <v>821</v>
      </c>
      <c r="O2319" s="1" t="s">
        <v>936</v>
      </c>
      <c r="P2319" s="1">
        <v>1</v>
      </c>
    </row>
    <row r="2320" spans="1:16" x14ac:dyDescent="0.25">
      <c r="A2320" s="3">
        <v>46027</v>
      </c>
      <c r="B2320" s="1">
        <v>122</v>
      </c>
      <c r="C2320" s="5">
        <v>1960</v>
      </c>
      <c r="D2320" s="1" t="s">
        <v>1579</v>
      </c>
      <c r="E2320" s="1" t="s">
        <v>1580</v>
      </c>
      <c r="F2320" s="1" t="s">
        <v>955</v>
      </c>
      <c r="G2320" s="1" t="s">
        <v>1260</v>
      </c>
      <c r="H2320" s="3">
        <v>46048</v>
      </c>
      <c r="I2320" s="1" t="s">
        <v>933</v>
      </c>
      <c r="J2320" s="1" t="s">
        <v>951</v>
      </c>
      <c r="K2320" s="1" t="s">
        <v>52</v>
      </c>
      <c r="L2320" s="1" t="s">
        <v>3665</v>
      </c>
      <c r="M2320" s="3">
        <v>46028</v>
      </c>
      <c r="N2320" s="1" t="s">
        <v>821</v>
      </c>
      <c r="O2320" s="1" t="s">
        <v>936</v>
      </c>
      <c r="P2320" s="1">
        <v>1</v>
      </c>
    </row>
    <row r="2321" spans="1:16" x14ac:dyDescent="0.25">
      <c r="A2321" s="3">
        <v>46027</v>
      </c>
      <c r="B2321" s="1">
        <v>111</v>
      </c>
      <c r="C2321" s="5">
        <v>2386</v>
      </c>
      <c r="D2321" s="1" t="s">
        <v>1187</v>
      </c>
      <c r="E2321" s="1" t="s">
        <v>1188</v>
      </c>
      <c r="F2321" s="1" t="s">
        <v>955</v>
      </c>
      <c r="G2321" s="1" t="s">
        <v>1029</v>
      </c>
      <c r="H2321" s="3">
        <v>46038</v>
      </c>
      <c r="I2321" s="1" t="s">
        <v>933</v>
      </c>
      <c r="J2321" s="1" t="s">
        <v>951</v>
      </c>
      <c r="K2321" s="1" t="s">
        <v>934</v>
      </c>
      <c r="L2321" s="1" t="s">
        <v>3666</v>
      </c>
      <c r="M2321" s="3">
        <v>46028</v>
      </c>
      <c r="N2321" s="1" t="s">
        <v>821</v>
      </c>
      <c r="O2321" s="1" t="s">
        <v>936</v>
      </c>
      <c r="P2321" s="1" t="s">
        <v>937</v>
      </c>
    </row>
    <row r="2322" spans="1:16" x14ac:dyDescent="0.25">
      <c r="A2322" s="3">
        <v>46027</v>
      </c>
      <c r="B2322" s="1">
        <v>145</v>
      </c>
      <c r="C2322" s="5">
        <v>6000</v>
      </c>
      <c r="D2322" s="1" t="s">
        <v>2996</v>
      </c>
      <c r="E2322" s="1" t="s">
        <v>2997</v>
      </c>
      <c r="F2322" s="1" t="s">
        <v>504</v>
      </c>
      <c r="G2322" s="1" t="s">
        <v>932</v>
      </c>
      <c r="H2322" s="3">
        <v>46051</v>
      </c>
      <c r="I2322" s="1" t="s">
        <v>933</v>
      </c>
      <c r="J2322" s="1" t="s">
        <v>66</v>
      </c>
      <c r="K2322" s="1" t="s">
        <v>659</v>
      </c>
      <c r="L2322" s="1" t="s">
        <v>3667</v>
      </c>
      <c r="M2322" s="3">
        <v>46033</v>
      </c>
      <c r="N2322" s="1" t="s">
        <v>506</v>
      </c>
      <c r="O2322" s="1" t="s">
        <v>936</v>
      </c>
      <c r="P2322" s="1">
        <v>1</v>
      </c>
    </row>
    <row r="2323" spans="1:16" x14ac:dyDescent="0.25">
      <c r="A2323" s="3">
        <v>46027</v>
      </c>
      <c r="B2323" s="4">
        <v>1159</v>
      </c>
      <c r="C2323" s="5">
        <v>80</v>
      </c>
      <c r="D2323" s="1" t="s">
        <v>1074</v>
      </c>
      <c r="E2323" s="1" t="s">
        <v>1075</v>
      </c>
      <c r="F2323" s="1" t="s">
        <v>3668</v>
      </c>
      <c r="G2323" s="1" t="s">
        <v>1058</v>
      </c>
      <c r="H2323" s="3">
        <v>46059</v>
      </c>
      <c r="I2323" s="1" t="s">
        <v>933</v>
      </c>
      <c r="J2323" s="1" t="s">
        <v>937</v>
      </c>
      <c r="K2323" s="1" t="s">
        <v>340</v>
      </c>
      <c r="L2323" s="1" t="s">
        <v>3669</v>
      </c>
      <c r="M2323" s="3">
        <v>46039</v>
      </c>
      <c r="N2323" s="1" t="s">
        <v>3532</v>
      </c>
      <c r="O2323" s="1" t="s">
        <v>936</v>
      </c>
      <c r="P2323" s="1">
        <v>1</v>
      </c>
    </row>
    <row r="2324" spans="1:16" x14ac:dyDescent="0.25">
      <c r="A2324" s="3">
        <v>46027</v>
      </c>
      <c r="B2324" s="4">
        <v>1159</v>
      </c>
      <c r="C2324" s="5">
        <v>250</v>
      </c>
      <c r="D2324" s="1" t="s">
        <v>1074</v>
      </c>
      <c r="E2324" s="1" t="s">
        <v>1075</v>
      </c>
      <c r="F2324" s="1" t="s">
        <v>683</v>
      </c>
      <c r="G2324" s="1" t="s">
        <v>1058</v>
      </c>
      <c r="H2324" s="3">
        <v>46059</v>
      </c>
      <c r="I2324" s="1" t="s">
        <v>933</v>
      </c>
      <c r="J2324" s="1" t="s">
        <v>66</v>
      </c>
      <c r="K2324" s="1" t="s">
        <v>308</v>
      </c>
      <c r="L2324" s="1" t="s">
        <v>3531</v>
      </c>
      <c r="M2324" s="3">
        <v>46039</v>
      </c>
      <c r="N2324" s="1" t="s">
        <v>3532</v>
      </c>
      <c r="O2324" s="1" t="s">
        <v>936</v>
      </c>
      <c r="P2324" s="1">
        <v>1</v>
      </c>
    </row>
    <row r="2325" spans="1:16" x14ac:dyDescent="0.25">
      <c r="A2325" s="3">
        <v>46027</v>
      </c>
      <c r="B2325" s="4">
        <v>1160</v>
      </c>
      <c r="C2325" s="5">
        <v>550</v>
      </c>
      <c r="D2325" s="1" t="s">
        <v>1074</v>
      </c>
      <c r="E2325" s="1" t="s">
        <v>1075</v>
      </c>
      <c r="F2325" s="1">
        <v>18170</v>
      </c>
      <c r="G2325" s="1" t="s">
        <v>981</v>
      </c>
      <c r="H2325" s="3">
        <v>46059</v>
      </c>
      <c r="I2325" s="1" t="s">
        <v>933</v>
      </c>
      <c r="J2325" s="1" t="s">
        <v>937</v>
      </c>
      <c r="K2325" s="1" t="s">
        <v>52</v>
      </c>
      <c r="L2325" s="1" t="s">
        <v>3670</v>
      </c>
      <c r="M2325" s="3">
        <v>46039</v>
      </c>
      <c r="N2325" s="1" t="s">
        <v>3671</v>
      </c>
      <c r="O2325" s="1" t="s">
        <v>936</v>
      </c>
      <c r="P2325" s="1">
        <v>1</v>
      </c>
    </row>
    <row r="2326" spans="1:16" x14ac:dyDescent="0.25">
      <c r="A2326" s="3">
        <v>46028</v>
      </c>
      <c r="B2326" s="4">
        <v>1159</v>
      </c>
      <c r="C2326" s="5">
        <v>280</v>
      </c>
      <c r="D2326" s="1" t="s">
        <v>1074</v>
      </c>
      <c r="E2326" s="1" t="s">
        <v>1075</v>
      </c>
      <c r="F2326" s="1" t="s">
        <v>88</v>
      </c>
      <c r="G2326" s="1" t="s">
        <v>1058</v>
      </c>
      <c r="H2326" s="3">
        <v>46059</v>
      </c>
      <c r="I2326" s="1" t="s">
        <v>933</v>
      </c>
      <c r="J2326" s="1" t="s">
        <v>66</v>
      </c>
      <c r="K2326" s="1" t="s">
        <v>1654</v>
      </c>
      <c r="L2326" s="1" t="s">
        <v>3531</v>
      </c>
      <c r="M2326" s="3">
        <v>46039</v>
      </c>
      <c r="N2326" s="1" t="s">
        <v>3532</v>
      </c>
      <c r="O2326" s="1" t="s">
        <v>936</v>
      </c>
      <c r="P2326" s="1">
        <v>1</v>
      </c>
    </row>
    <row r="2327" spans="1:16" x14ac:dyDescent="0.25">
      <c r="A2327" s="3">
        <v>46028</v>
      </c>
      <c r="B2327" s="4">
        <v>1159</v>
      </c>
      <c r="C2327" s="5">
        <v>280</v>
      </c>
      <c r="D2327" s="1" t="s">
        <v>1074</v>
      </c>
      <c r="E2327" s="1" t="s">
        <v>1075</v>
      </c>
      <c r="F2327" s="1" t="s">
        <v>430</v>
      </c>
      <c r="G2327" s="1" t="s">
        <v>1058</v>
      </c>
      <c r="H2327" s="3">
        <v>46059</v>
      </c>
      <c r="I2327" s="1" t="s">
        <v>933</v>
      </c>
      <c r="J2327" s="1" t="s">
        <v>66</v>
      </c>
      <c r="K2327" s="1" t="s">
        <v>1654</v>
      </c>
      <c r="L2327" s="1" t="s">
        <v>3531</v>
      </c>
      <c r="M2327" s="3">
        <v>46039</v>
      </c>
      <c r="N2327" s="1" t="s">
        <v>3532</v>
      </c>
      <c r="O2327" s="1" t="s">
        <v>936</v>
      </c>
      <c r="P2327" s="1">
        <v>1</v>
      </c>
    </row>
    <row r="2328" spans="1:16" x14ac:dyDescent="0.25">
      <c r="A2328" s="3">
        <v>46028</v>
      </c>
      <c r="B2328" s="4">
        <v>1159</v>
      </c>
      <c r="C2328" s="5">
        <v>250</v>
      </c>
      <c r="D2328" s="1" t="s">
        <v>1074</v>
      </c>
      <c r="E2328" s="1" t="s">
        <v>1075</v>
      </c>
      <c r="F2328" s="1" t="s">
        <v>451</v>
      </c>
      <c r="G2328" s="1" t="s">
        <v>1058</v>
      </c>
      <c r="H2328" s="3">
        <v>46059</v>
      </c>
      <c r="I2328" s="1" t="s">
        <v>933</v>
      </c>
      <c r="J2328" s="1" t="s">
        <v>66</v>
      </c>
      <c r="K2328" s="1" t="s">
        <v>1654</v>
      </c>
      <c r="L2328" s="1" t="s">
        <v>3531</v>
      </c>
      <c r="M2328" s="3">
        <v>46039</v>
      </c>
      <c r="N2328" s="1" t="s">
        <v>3532</v>
      </c>
      <c r="O2328" s="1" t="s">
        <v>936</v>
      </c>
      <c r="P2328" s="1">
        <v>1</v>
      </c>
    </row>
    <row r="2329" spans="1:16" x14ac:dyDescent="0.25">
      <c r="A2329" s="3">
        <v>46028</v>
      </c>
      <c r="B2329" s="4">
        <v>2595</v>
      </c>
      <c r="C2329" s="5">
        <v>2000</v>
      </c>
      <c r="D2329" s="1" t="s">
        <v>1368</v>
      </c>
      <c r="E2329" s="1" t="s">
        <v>3672</v>
      </c>
      <c r="F2329" s="1" t="s">
        <v>955</v>
      </c>
      <c r="G2329" s="1" t="s">
        <v>20</v>
      </c>
      <c r="H2329" s="3">
        <v>46047</v>
      </c>
      <c r="I2329" s="1" t="s">
        <v>933</v>
      </c>
      <c r="J2329" s="1" t="s">
        <v>951</v>
      </c>
      <c r="K2329" s="1" t="s">
        <v>934</v>
      </c>
      <c r="L2329" s="1" t="s">
        <v>2115</v>
      </c>
      <c r="M2329" s="3">
        <v>46043</v>
      </c>
      <c r="N2329" s="1" t="s">
        <v>821</v>
      </c>
      <c r="O2329" s="1" t="s">
        <v>936</v>
      </c>
      <c r="P2329" s="1">
        <v>1</v>
      </c>
    </row>
    <row r="2330" spans="1:16" x14ac:dyDescent="0.25">
      <c r="A2330" s="3">
        <v>46028</v>
      </c>
      <c r="B2330" s="1">
        <v>151</v>
      </c>
      <c r="C2330" s="5">
        <v>1371.94</v>
      </c>
      <c r="D2330" s="1" t="s">
        <v>3673</v>
      </c>
      <c r="E2330" s="1" t="s">
        <v>3674</v>
      </c>
      <c r="F2330" s="1" t="s">
        <v>66</v>
      </c>
      <c r="G2330" s="1" t="s">
        <v>932</v>
      </c>
      <c r="H2330" s="3">
        <v>46066</v>
      </c>
      <c r="I2330" s="1" t="s">
        <v>933</v>
      </c>
      <c r="J2330" s="1" t="s">
        <v>66</v>
      </c>
      <c r="K2330" s="1" t="s">
        <v>1654</v>
      </c>
      <c r="L2330" s="1" t="s">
        <v>3675</v>
      </c>
      <c r="M2330" s="3">
        <v>46055</v>
      </c>
      <c r="N2330" s="1" t="s">
        <v>57</v>
      </c>
      <c r="O2330" s="1" t="s">
        <v>936</v>
      </c>
      <c r="P2330" s="1" t="s">
        <v>937</v>
      </c>
    </row>
    <row r="2331" spans="1:16" x14ac:dyDescent="0.25">
      <c r="A2331" s="3">
        <v>46028</v>
      </c>
      <c r="B2331" s="4">
        <v>1160</v>
      </c>
      <c r="C2331" s="5">
        <v>400</v>
      </c>
      <c r="D2331" s="1" t="s">
        <v>1074</v>
      </c>
      <c r="E2331" s="1" t="s">
        <v>1075</v>
      </c>
      <c r="F2331" s="1" t="s">
        <v>759</v>
      </c>
      <c r="G2331" s="1" t="s">
        <v>981</v>
      </c>
      <c r="H2331" s="3">
        <v>46059</v>
      </c>
      <c r="I2331" s="1" t="s">
        <v>933</v>
      </c>
      <c r="J2331" s="1" t="s">
        <v>66</v>
      </c>
      <c r="K2331" s="1" t="s">
        <v>340</v>
      </c>
      <c r="L2331" s="1" t="s">
        <v>3676</v>
      </c>
      <c r="M2331" s="3">
        <v>46039</v>
      </c>
      <c r="N2331" s="1" t="s">
        <v>3671</v>
      </c>
      <c r="O2331" s="1" t="s">
        <v>936</v>
      </c>
      <c r="P2331" s="1">
        <v>1</v>
      </c>
    </row>
    <row r="2332" spans="1:16" x14ac:dyDescent="0.25">
      <c r="A2332" s="3">
        <v>46028</v>
      </c>
      <c r="B2332" s="4">
        <v>1160</v>
      </c>
      <c r="C2332" s="5">
        <v>240</v>
      </c>
      <c r="D2332" s="1" t="s">
        <v>1074</v>
      </c>
      <c r="E2332" s="1" t="s">
        <v>1075</v>
      </c>
      <c r="F2332" s="1" t="s">
        <v>457</v>
      </c>
      <c r="G2332" s="1" t="s">
        <v>981</v>
      </c>
      <c r="H2332" s="3">
        <v>46059</v>
      </c>
      <c r="I2332" s="1" t="s">
        <v>933</v>
      </c>
      <c r="J2332" s="1" t="s">
        <v>66</v>
      </c>
      <c r="K2332" s="1" t="s">
        <v>308</v>
      </c>
      <c r="L2332" s="1" t="s">
        <v>3677</v>
      </c>
      <c r="M2332" s="3">
        <v>46039</v>
      </c>
      <c r="N2332" s="1" t="s">
        <v>3671</v>
      </c>
      <c r="O2332" s="1" t="s">
        <v>936</v>
      </c>
      <c r="P2332" s="1">
        <v>1</v>
      </c>
    </row>
    <row r="2333" spans="1:16" x14ac:dyDescent="0.25">
      <c r="A2333" s="3">
        <v>46028</v>
      </c>
      <c r="B2333" s="4">
        <v>1160</v>
      </c>
      <c r="C2333" s="5">
        <v>25</v>
      </c>
      <c r="D2333" s="1" t="s">
        <v>1074</v>
      </c>
      <c r="E2333" s="1" t="s">
        <v>1075</v>
      </c>
      <c r="F2333" s="1" t="s">
        <v>3668</v>
      </c>
      <c r="G2333" s="1" t="s">
        <v>981</v>
      </c>
      <c r="H2333" s="3">
        <v>46059</v>
      </c>
      <c r="I2333" s="1" t="s">
        <v>933</v>
      </c>
      <c r="J2333" s="1" t="s">
        <v>937</v>
      </c>
      <c r="K2333" s="1" t="s">
        <v>2085</v>
      </c>
      <c r="L2333" s="1" t="s">
        <v>3678</v>
      </c>
      <c r="M2333" s="3">
        <v>46039</v>
      </c>
      <c r="N2333" s="1" t="s">
        <v>3671</v>
      </c>
      <c r="O2333" s="1" t="s">
        <v>936</v>
      </c>
      <c r="P2333" s="1">
        <v>1</v>
      </c>
    </row>
    <row r="2334" spans="1:16" x14ac:dyDescent="0.25">
      <c r="A2334" s="3">
        <v>46028</v>
      </c>
      <c r="B2334" s="4">
        <v>1160</v>
      </c>
      <c r="C2334" s="5">
        <v>20</v>
      </c>
      <c r="D2334" s="1" t="s">
        <v>1074</v>
      </c>
      <c r="E2334" s="1" t="s">
        <v>1075</v>
      </c>
      <c r="F2334" s="1" t="s">
        <v>3668</v>
      </c>
      <c r="G2334" s="1" t="s">
        <v>981</v>
      </c>
      <c r="H2334" s="3">
        <v>46059</v>
      </c>
      <c r="I2334" s="1" t="s">
        <v>933</v>
      </c>
      <c r="J2334" s="1" t="s">
        <v>937</v>
      </c>
      <c r="K2334" s="1" t="s">
        <v>817</v>
      </c>
      <c r="L2334" s="1" t="s">
        <v>3679</v>
      </c>
      <c r="M2334" s="3">
        <v>46039</v>
      </c>
      <c r="N2334" s="1" t="s">
        <v>3671</v>
      </c>
      <c r="O2334" s="1" t="s">
        <v>936</v>
      </c>
      <c r="P2334" s="1">
        <v>1</v>
      </c>
    </row>
    <row r="2335" spans="1:16" x14ac:dyDescent="0.25">
      <c r="A2335" s="3">
        <v>46028</v>
      </c>
      <c r="B2335" s="4">
        <v>1160</v>
      </c>
      <c r="C2335" s="5">
        <v>270</v>
      </c>
      <c r="D2335" s="1" t="s">
        <v>1074</v>
      </c>
      <c r="E2335" s="1" t="s">
        <v>1075</v>
      </c>
      <c r="F2335" s="1" t="s">
        <v>753</v>
      </c>
      <c r="G2335" s="1" t="s">
        <v>981</v>
      </c>
      <c r="H2335" s="3">
        <v>46059</v>
      </c>
      <c r="I2335" s="1" t="s">
        <v>933</v>
      </c>
      <c r="J2335" s="1" t="s">
        <v>66</v>
      </c>
      <c r="K2335" s="1" t="s">
        <v>340</v>
      </c>
      <c r="L2335" s="1" t="s">
        <v>3680</v>
      </c>
      <c r="M2335" s="3">
        <v>46039</v>
      </c>
      <c r="N2335" s="1" t="s">
        <v>3671</v>
      </c>
      <c r="O2335" s="1" t="s">
        <v>936</v>
      </c>
      <c r="P2335" s="1">
        <v>1</v>
      </c>
    </row>
    <row r="2336" spans="1:16" x14ac:dyDescent="0.25">
      <c r="A2336" s="3">
        <v>46029</v>
      </c>
      <c r="B2336" s="1">
        <v>210</v>
      </c>
      <c r="C2336" s="5">
        <v>750</v>
      </c>
      <c r="D2336" s="1" t="s">
        <v>1953</v>
      </c>
      <c r="E2336" s="1" t="s">
        <v>1954</v>
      </c>
      <c r="F2336" s="1" t="s">
        <v>419</v>
      </c>
      <c r="G2336" s="1" t="s">
        <v>940</v>
      </c>
      <c r="H2336" s="3">
        <v>45958</v>
      </c>
      <c r="I2336" s="1" t="s">
        <v>933</v>
      </c>
      <c r="J2336" s="1" t="s">
        <v>66</v>
      </c>
      <c r="K2336" s="1" t="s">
        <v>308</v>
      </c>
      <c r="L2336" s="1" t="s">
        <v>3681</v>
      </c>
      <c r="M2336" s="3">
        <v>45943</v>
      </c>
      <c r="N2336" s="1" t="s">
        <v>98</v>
      </c>
      <c r="O2336" s="1" t="s">
        <v>936</v>
      </c>
      <c r="P2336" s="1">
        <v>1</v>
      </c>
    </row>
    <row r="2337" spans="1:16" x14ac:dyDescent="0.25">
      <c r="A2337" s="3">
        <v>46029</v>
      </c>
      <c r="B2337" s="1">
        <v>22</v>
      </c>
      <c r="C2337" s="5">
        <v>1500</v>
      </c>
      <c r="D2337" s="1" t="s">
        <v>3557</v>
      </c>
      <c r="E2337" s="1" t="s">
        <v>3558</v>
      </c>
      <c r="F2337" s="1" t="s">
        <v>83</v>
      </c>
      <c r="G2337" s="1" t="s">
        <v>940</v>
      </c>
      <c r="H2337" s="3">
        <v>46058</v>
      </c>
      <c r="I2337" s="1" t="s">
        <v>1100</v>
      </c>
      <c r="J2337" s="1" t="s">
        <v>66</v>
      </c>
      <c r="K2337" s="1" t="s">
        <v>52</v>
      </c>
      <c r="L2337" s="1" t="s">
        <v>3682</v>
      </c>
      <c r="M2337" s="3">
        <v>46029</v>
      </c>
      <c r="N2337" s="1" t="s">
        <v>57</v>
      </c>
      <c r="O2337" s="1" t="s">
        <v>936</v>
      </c>
      <c r="P2337" s="1" t="s">
        <v>937</v>
      </c>
    </row>
    <row r="2338" spans="1:16" x14ac:dyDescent="0.25">
      <c r="A2338" s="3">
        <v>46029</v>
      </c>
      <c r="B2338" s="4">
        <v>1159</v>
      </c>
      <c r="C2338" s="5">
        <v>280</v>
      </c>
      <c r="D2338" s="1" t="s">
        <v>1074</v>
      </c>
      <c r="E2338" s="1" t="s">
        <v>1075</v>
      </c>
      <c r="F2338" s="1" t="s">
        <v>955</v>
      </c>
      <c r="G2338" s="1" t="s">
        <v>1058</v>
      </c>
      <c r="H2338" s="3">
        <v>46059</v>
      </c>
      <c r="I2338" s="1" t="s">
        <v>933</v>
      </c>
      <c r="J2338" s="1" t="s">
        <v>951</v>
      </c>
      <c r="K2338" s="1" t="s">
        <v>1814</v>
      </c>
      <c r="L2338" s="1" t="s">
        <v>3531</v>
      </c>
      <c r="M2338" s="3">
        <v>46039</v>
      </c>
      <c r="N2338" s="1" t="s">
        <v>3532</v>
      </c>
      <c r="O2338" s="1" t="s">
        <v>936</v>
      </c>
      <c r="P2338" s="1">
        <v>1</v>
      </c>
    </row>
    <row r="2339" spans="1:16" x14ac:dyDescent="0.25">
      <c r="A2339" s="3">
        <v>46029</v>
      </c>
      <c r="B2339" s="4">
        <v>52868</v>
      </c>
      <c r="C2339" s="5">
        <v>1294.02</v>
      </c>
      <c r="D2339" s="1" t="s">
        <v>1504</v>
      </c>
      <c r="E2339" s="1" t="s">
        <v>1505</v>
      </c>
      <c r="F2339" s="1" t="s">
        <v>773</v>
      </c>
      <c r="G2339" s="1" t="s">
        <v>940</v>
      </c>
      <c r="H2339" s="3">
        <v>46058</v>
      </c>
      <c r="I2339" s="1" t="s">
        <v>1100</v>
      </c>
      <c r="J2339" s="1" t="s">
        <v>66</v>
      </c>
      <c r="K2339" s="1" t="s">
        <v>308</v>
      </c>
      <c r="L2339" s="1" t="s">
        <v>3683</v>
      </c>
      <c r="M2339" s="3">
        <v>46029</v>
      </c>
      <c r="N2339" s="1" t="s">
        <v>57</v>
      </c>
      <c r="O2339" s="1" t="s">
        <v>936</v>
      </c>
      <c r="P2339" s="1">
        <v>1</v>
      </c>
    </row>
    <row r="2340" spans="1:16" x14ac:dyDescent="0.25">
      <c r="A2340" s="3">
        <v>46029</v>
      </c>
      <c r="B2340" s="1">
        <v>32</v>
      </c>
      <c r="C2340" s="5">
        <v>4085</v>
      </c>
      <c r="D2340" s="1" t="s">
        <v>1730</v>
      </c>
      <c r="E2340" s="1" t="s">
        <v>2927</v>
      </c>
      <c r="F2340" s="1" t="s">
        <v>955</v>
      </c>
      <c r="G2340" s="1" t="s">
        <v>1082</v>
      </c>
      <c r="H2340" s="3">
        <v>46041</v>
      </c>
      <c r="I2340" s="1" t="s">
        <v>933</v>
      </c>
      <c r="J2340" s="1" t="s">
        <v>951</v>
      </c>
      <c r="K2340" s="1" t="s">
        <v>20</v>
      </c>
      <c r="L2340" s="1" t="s">
        <v>3684</v>
      </c>
      <c r="M2340" s="3">
        <v>46029</v>
      </c>
      <c r="N2340" s="1" t="s">
        <v>821</v>
      </c>
      <c r="O2340" s="1" t="s">
        <v>936</v>
      </c>
      <c r="P2340" s="1" t="s">
        <v>937</v>
      </c>
    </row>
    <row r="2341" spans="1:16" x14ac:dyDescent="0.25">
      <c r="A2341" s="3">
        <v>46029</v>
      </c>
      <c r="B2341" s="1">
        <v>89</v>
      </c>
      <c r="C2341" s="5">
        <v>3500</v>
      </c>
      <c r="D2341" s="1" t="s">
        <v>3685</v>
      </c>
      <c r="E2341" s="1" t="s">
        <v>3686</v>
      </c>
      <c r="F2341" s="1" t="s">
        <v>955</v>
      </c>
      <c r="G2341" s="1" t="s">
        <v>940</v>
      </c>
      <c r="H2341" s="3">
        <v>46069</v>
      </c>
      <c r="I2341" s="1" t="s">
        <v>440</v>
      </c>
      <c r="J2341" s="1" t="s">
        <v>951</v>
      </c>
      <c r="K2341" s="1" t="s">
        <v>308</v>
      </c>
      <c r="L2341" s="1" t="s">
        <v>3687</v>
      </c>
      <c r="M2341" s="3">
        <v>46029</v>
      </c>
      <c r="N2341" s="1" t="s">
        <v>821</v>
      </c>
      <c r="O2341" s="1" t="s">
        <v>936</v>
      </c>
      <c r="P2341" s="1" t="s">
        <v>937</v>
      </c>
    </row>
    <row r="2342" spans="1:16" x14ac:dyDescent="0.25">
      <c r="A2342" s="3">
        <v>46029</v>
      </c>
      <c r="B2342" s="1">
        <v>17</v>
      </c>
      <c r="C2342" s="5">
        <v>15000</v>
      </c>
      <c r="D2342" s="1" t="s">
        <v>1262</v>
      </c>
      <c r="E2342" s="1" t="s">
        <v>1263</v>
      </c>
      <c r="F2342" s="1" t="s">
        <v>955</v>
      </c>
      <c r="G2342" s="1" t="s">
        <v>20</v>
      </c>
      <c r="H2342" s="3">
        <v>46041</v>
      </c>
      <c r="I2342" s="1" t="s">
        <v>933</v>
      </c>
      <c r="J2342" s="1" t="s">
        <v>951</v>
      </c>
      <c r="K2342" s="1" t="s">
        <v>1654</v>
      </c>
      <c r="L2342" s="1" t="s">
        <v>3688</v>
      </c>
      <c r="M2342" s="3">
        <v>46029</v>
      </c>
      <c r="N2342" s="1" t="s">
        <v>821</v>
      </c>
      <c r="O2342" s="1" t="s">
        <v>936</v>
      </c>
      <c r="P2342" s="1" t="s">
        <v>937</v>
      </c>
    </row>
    <row r="2343" spans="1:16" x14ac:dyDescent="0.25">
      <c r="A2343" s="3">
        <v>46029</v>
      </c>
      <c r="B2343" s="4">
        <v>1575</v>
      </c>
      <c r="C2343" s="5">
        <v>55.6</v>
      </c>
      <c r="D2343" s="1" t="s">
        <v>1901</v>
      </c>
      <c r="E2343" s="1" t="s">
        <v>1902</v>
      </c>
      <c r="F2343" s="1" t="s">
        <v>955</v>
      </c>
      <c r="G2343" s="1" t="s">
        <v>990</v>
      </c>
      <c r="H2343" s="3">
        <v>46029</v>
      </c>
      <c r="I2343" s="1" t="s">
        <v>933</v>
      </c>
      <c r="J2343" s="1" t="s">
        <v>951</v>
      </c>
      <c r="K2343" s="1" t="s">
        <v>20</v>
      </c>
      <c r="L2343" s="1" t="s">
        <v>3689</v>
      </c>
      <c r="M2343" s="3">
        <v>46029</v>
      </c>
      <c r="N2343" s="1" t="s">
        <v>821</v>
      </c>
      <c r="O2343" s="1" t="s">
        <v>936</v>
      </c>
      <c r="P2343" s="1">
        <v>1</v>
      </c>
    </row>
    <row r="2344" spans="1:16" x14ac:dyDescent="0.25">
      <c r="A2344" s="3">
        <v>46029</v>
      </c>
      <c r="B2344" s="4">
        <v>9919</v>
      </c>
      <c r="C2344" s="5">
        <v>5411.73</v>
      </c>
      <c r="D2344" s="1" t="s">
        <v>973</v>
      </c>
      <c r="E2344" s="1" t="s">
        <v>1053</v>
      </c>
      <c r="F2344" s="1" t="s">
        <v>1814</v>
      </c>
      <c r="G2344" s="1" t="s">
        <v>998</v>
      </c>
      <c r="H2344" s="3">
        <v>46059</v>
      </c>
      <c r="I2344" s="1" t="s">
        <v>933</v>
      </c>
      <c r="J2344" s="1" t="s">
        <v>66</v>
      </c>
      <c r="K2344" s="1" t="s">
        <v>340</v>
      </c>
      <c r="L2344" s="1" t="s">
        <v>3690</v>
      </c>
      <c r="M2344" s="3">
        <v>46030</v>
      </c>
      <c r="N2344" s="1" t="s">
        <v>1814</v>
      </c>
      <c r="O2344" s="1" t="s">
        <v>937</v>
      </c>
      <c r="P2344" s="1" t="s">
        <v>937</v>
      </c>
    </row>
    <row r="2345" spans="1:16" x14ac:dyDescent="0.25">
      <c r="A2345" s="3">
        <v>46029</v>
      </c>
      <c r="B2345" s="4">
        <v>12307</v>
      </c>
      <c r="C2345" s="5">
        <v>2635.2</v>
      </c>
      <c r="D2345" s="1" t="s">
        <v>1291</v>
      </c>
      <c r="E2345" s="1" t="s">
        <v>3691</v>
      </c>
      <c r="F2345" s="1" t="s">
        <v>66</v>
      </c>
      <c r="G2345" s="1" t="s">
        <v>1082</v>
      </c>
      <c r="H2345" s="3">
        <v>46059</v>
      </c>
      <c r="I2345" s="1" t="s">
        <v>933</v>
      </c>
      <c r="J2345" s="1" t="s">
        <v>66</v>
      </c>
      <c r="K2345" s="1" t="s">
        <v>340</v>
      </c>
      <c r="L2345" s="1" t="s">
        <v>3692</v>
      </c>
      <c r="M2345" s="3">
        <v>46035</v>
      </c>
      <c r="N2345" s="1" t="s">
        <v>821</v>
      </c>
      <c r="O2345" s="1" t="s">
        <v>937</v>
      </c>
      <c r="P2345" s="1" t="s">
        <v>937</v>
      </c>
    </row>
    <row r="2346" spans="1:16" x14ac:dyDescent="0.25">
      <c r="A2346" s="3">
        <v>46029</v>
      </c>
      <c r="B2346" s="4">
        <v>3833</v>
      </c>
      <c r="C2346" s="5">
        <v>6130</v>
      </c>
      <c r="D2346" s="1" t="s">
        <v>1179</v>
      </c>
      <c r="E2346" s="1" t="s">
        <v>1180</v>
      </c>
      <c r="F2346" s="1" t="s">
        <v>683</v>
      </c>
      <c r="G2346" s="1" t="s">
        <v>940</v>
      </c>
      <c r="H2346" s="3">
        <v>46050</v>
      </c>
      <c r="I2346" s="1" t="s">
        <v>1484</v>
      </c>
      <c r="J2346" s="1" t="s">
        <v>66</v>
      </c>
      <c r="K2346" s="1" t="s">
        <v>308</v>
      </c>
      <c r="L2346" s="1" t="s">
        <v>3693</v>
      </c>
      <c r="M2346" s="3">
        <v>46034</v>
      </c>
      <c r="N2346" s="1" t="s">
        <v>75</v>
      </c>
      <c r="O2346" s="1" t="s">
        <v>936</v>
      </c>
      <c r="P2346" s="1">
        <v>1</v>
      </c>
    </row>
    <row r="2347" spans="1:16" x14ac:dyDescent="0.25">
      <c r="A2347" s="3">
        <v>46029</v>
      </c>
      <c r="B2347" s="4">
        <v>3832</v>
      </c>
      <c r="C2347" s="5">
        <v>830</v>
      </c>
      <c r="D2347" s="1" t="s">
        <v>1179</v>
      </c>
      <c r="E2347" s="1" t="s">
        <v>1180</v>
      </c>
      <c r="F2347" s="1" t="s">
        <v>307</v>
      </c>
      <c r="G2347" s="1" t="s">
        <v>940</v>
      </c>
      <c r="H2347" s="3">
        <v>46050</v>
      </c>
      <c r="I2347" s="1" t="s">
        <v>933</v>
      </c>
      <c r="J2347" s="1" t="s">
        <v>66</v>
      </c>
      <c r="K2347" s="1" t="s">
        <v>340</v>
      </c>
      <c r="L2347" s="1" t="s">
        <v>3694</v>
      </c>
      <c r="M2347" s="3">
        <v>46034</v>
      </c>
      <c r="N2347" s="1" t="s">
        <v>57</v>
      </c>
      <c r="O2347" s="1" t="s">
        <v>936</v>
      </c>
      <c r="P2347" s="1">
        <v>1</v>
      </c>
    </row>
    <row r="2348" spans="1:16" x14ac:dyDescent="0.25">
      <c r="A2348" s="3">
        <v>46029</v>
      </c>
      <c r="B2348" s="4">
        <v>3419</v>
      </c>
      <c r="C2348" s="5">
        <v>200</v>
      </c>
      <c r="D2348" s="1" t="s">
        <v>1179</v>
      </c>
      <c r="E2348" s="1" t="s">
        <v>1180</v>
      </c>
      <c r="F2348" s="1" t="s">
        <v>713</v>
      </c>
      <c r="G2348" s="1" t="s">
        <v>940</v>
      </c>
      <c r="H2348" s="3">
        <v>46050</v>
      </c>
      <c r="I2348" s="1" t="s">
        <v>933</v>
      </c>
      <c r="J2348" s="1" t="s">
        <v>66</v>
      </c>
      <c r="K2348" s="1" t="s">
        <v>340</v>
      </c>
      <c r="L2348" s="1" t="s">
        <v>3696</v>
      </c>
      <c r="M2348" s="3">
        <v>46034</v>
      </c>
      <c r="N2348" s="1" t="s">
        <v>712</v>
      </c>
      <c r="O2348" s="1" t="s">
        <v>936</v>
      </c>
      <c r="P2348" s="1">
        <v>1</v>
      </c>
    </row>
    <row r="2349" spans="1:16" x14ac:dyDescent="0.25">
      <c r="A2349" s="3">
        <v>46029</v>
      </c>
      <c r="B2349" s="4">
        <v>3831</v>
      </c>
      <c r="C2349" s="5">
        <v>2480</v>
      </c>
      <c r="D2349" s="1" t="s">
        <v>1179</v>
      </c>
      <c r="E2349" s="1" t="s">
        <v>1180</v>
      </c>
      <c r="F2349" s="1" t="s">
        <v>307</v>
      </c>
      <c r="G2349" s="1" t="s">
        <v>1667</v>
      </c>
      <c r="H2349" s="3">
        <v>46050</v>
      </c>
      <c r="I2349" s="1" t="s">
        <v>1100</v>
      </c>
      <c r="J2349" s="1" t="s">
        <v>66</v>
      </c>
      <c r="K2349" s="1" t="s">
        <v>308</v>
      </c>
      <c r="L2349" s="1" t="s">
        <v>3477</v>
      </c>
      <c r="M2349" s="3">
        <v>46034</v>
      </c>
      <c r="N2349" s="1" t="s">
        <v>57</v>
      </c>
      <c r="O2349" s="1" t="s">
        <v>936</v>
      </c>
      <c r="P2349" s="1">
        <v>1</v>
      </c>
    </row>
    <row r="2350" spans="1:16" x14ac:dyDescent="0.25">
      <c r="A2350" s="3">
        <v>46029</v>
      </c>
      <c r="B2350" s="4">
        <v>1160</v>
      </c>
      <c r="C2350" s="5">
        <v>40</v>
      </c>
      <c r="D2350" s="1" t="s">
        <v>1074</v>
      </c>
      <c r="E2350" s="1" t="s">
        <v>1075</v>
      </c>
      <c r="F2350" s="1" t="s">
        <v>775</v>
      </c>
      <c r="G2350" s="1" t="s">
        <v>981</v>
      </c>
      <c r="H2350" s="3">
        <v>46059</v>
      </c>
      <c r="I2350" s="1" t="s">
        <v>933</v>
      </c>
      <c r="J2350" s="1" t="s">
        <v>66</v>
      </c>
      <c r="K2350" s="1" t="s">
        <v>340</v>
      </c>
      <c r="L2350" s="1" t="s">
        <v>3697</v>
      </c>
      <c r="M2350" s="3">
        <v>46039</v>
      </c>
      <c r="N2350" s="1" t="s">
        <v>3671</v>
      </c>
      <c r="O2350" s="1" t="s">
        <v>936</v>
      </c>
      <c r="P2350" s="1">
        <v>1</v>
      </c>
    </row>
    <row r="2351" spans="1:16" x14ac:dyDescent="0.25">
      <c r="A2351" s="3">
        <v>46029</v>
      </c>
      <c r="B2351" s="4">
        <v>3834</v>
      </c>
      <c r="C2351" s="5">
        <v>3665</v>
      </c>
      <c r="D2351" s="1" t="s">
        <v>1179</v>
      </c>
      <c r="E2351" s="1" t="s">
        <v>1180</v>
      </c>
      <c r="F2351" s="1" t="s">
        <v>274</v>
      </c>
      <c r="G2351" s="1" t="s">
        <v>940</v>
      </c>
      <c r="H2351" s="3">
        <v>46050</v>
      </c>
      <c r="I2351" s="1" t="s">
        <v>933</v>
      </c>
      <c r="J2351" s="1" t="s">
        <v>66</v>
      </c>
      <c r="K2351" s="1" t="s">
        <v>340</v>
      </c>
      <c r="L2351" s="1" t="s">
        <v>4224</v>
      </c>
      <c r="M2351" s="3">
        <v>46034</v>
      </c>
      <c r="N2351" s="1" t="s">
        <v>264</v>
      </c>
      <c r="O2351" s="1" t="s">
        <v>936</v>
      </c>
      <c r="P2351" s="1">
        <v>1</v>
      </c>
    </row>
    <row r="2352" spans="1:16" x14ac:dyDescent="0.25">
      <c r="A2352" s="3">
        <v>46030</v>
      </c>
      <c r="B2352" s="4">
        <v>1159</v>
      </c>
      <c r="C2352" s="5">
        <v>250</v>
      </c>
      <c r="D2352" s="1" t="s">
        <v>1074</v>
      </c>
      <c r="E2352" s="1" t="s">
        <v>1075</v>
      </c>
      <c r="F2352" s="1" t="s">
        <v>683</v>
      </c>
      <c r="G2352" s="1" t="s">
        <v>1058</v>
      </c>
      <c r="H2352" s="3">
        <v>46059</v>
      </c>
      <c r="I2352" s="1" t="s">
        <v>933</v>
      </c>
      <c r="J2352" s="1" t="s">
        <v>66</v>
      </c>
      <c r="K2352" s="1" t="s">
        <v>308</v>
      </c>
      <c r="L2352" s="1" t="s">
        <v>3531</v>
      </c>
      <c r="M2352" s="3">
        <v>46039</v>
      </c>
      <c r="N2352" s="1" t="s">
        <v>3532</v>
      </c>
      <c r="O2352" s="1" t="s">
        <v>936</v>
      </c>
      <c r="P2352" s="1">
        <v>1</v>
      </c>
    </row>
    <row r="2353" spans="1:16" x14ac:dyDescent="0.25">
      <c r="A2353" s="3">
        <v>46030</v>
      </c>
      <c r="B2353" s="4">
        <v>9918</v>
      </c>
      <c r="C2353" s="5">
        <v>9918</v>
      </c>
      <c r="D2353" s="1" t="s">
        <v>973</v>
      </c>
      <c r="E2353" s="1" t="s">
        <v>1053</v>
      </c>
      <c r="F2353" s="1" t="s">
        <v>304</v>
      </c>
      <c r="G2353" s="1" t="s">
        <v>998</v>
      </c>
      <c r="H2353" s="3">
        <v>46058</v>
      </c>
      <c r="I2353" s="1" t="s">
        <v>933</v>
      </c>
      <c r="J2353" s="1" t="s">
        <v>66</v>
      </c>
      <c r="K2353" s="1" t="s">
        <v>996</v>
      </c>
      <c r="L2353" s="1">
        <v>5000</v>
      </c>
      <c r="M2353" s="3">
        <v>46030</v>
      </c>
      <c r="N2353" s="1" t="s">
        <v>57</v>
      </c>
      <c r="O2353" s="1" t="s">
        <v>937</v>
      </c>
      <c r="P2353" s="1" t="s">
        <v>937</v>
      </c>
    </row>
    <row r="2354" spans="1:16" x14ac:dyDescent="0.25">
      <c r="A2354" s="3">
        <v>46030</v>
      </c>
      <c r="B2354" s="1">
        <v>920</v>
      </c>
      <c r="C2354" s="5">
        <v>2951</v>
      </c>
      <c r="D2354" s="1" t="s">
        <v>3698</v>
      </c>
      <c r="E2354" s="1" t="s">
        <v>1180</v>
      </c>
      <c r="F2354" s="1" t="s">
        <v>83</v>
      </c>
      <c r="G2354" s="1" t="s">
        <v>940</v>
      </c>
      <c r="H2354" s="3">
        <v>46038</v>
      </c>
      <c r="I2354" s="1" t="s">
        <v>1100</v>
      </c>
      <c r="J2354" s="1" t="s">
        <v>3699</v>
      </c>
      <c r="K2354" s="1" t="s">
        <v>52</v>
      </c>
      <c r="L2354" s="1" t="s">
        <v>3700</v>
      </c>
      <c r="M2354" s="3">
        <v>46030</v>
      </c>
      <c r="N2354" s="1" t="s">
        <v>57</v>
      </c>
      <c r="O2354" s="1" t="s">
        <v>936</v>
      </c>
      <c r="P2354" s="1">
        <v>1</v>
      </c>
    </row>
    <row r="2355" spans="1:16" x14ac:dyDescent="0.25">
      <c r="A2355" s="3">
        <v>46030</v>
      </c>
      <c r="B2355" s="4">
        <v>3418</v>
      </c>
      <c r="C2355" s="5">
        <v>1530</v>
      </c>
      <c r="D2355" s="1" t="s">
        <v>1179</v>
      </c>
      <c r="E2355" s="1" t="s">
        <v>1180</v>
      </c>
      <c r="F2355" s="1" t="s">
        <v>683</v>
      </c>
      <c r="G2355" s="1" t="s">
        <v>940</v>
      </c>
      <c r="H2355" s="3">
        <v>46050</v>
      </c>
      <c r="I2355" s="1" t="s">
        <v>1484</v>
      </c>
      <c r="J2355" s="1" t="s">
        <v>66</v>
      </c>
      <c r="K2355" s="1" t="s">
        <v>308</v>
      </c>
      <c r="L2355" s="1" t="s">
        <v>3701</v>
      </c>
      <c r="M2355" s="3">
        <v>46034</v>
      </c>
      <c r="N2355" s="1" t="s">
        <v>75</v>
      </c>
      <c r="O2355" s="1" t="s">
        <v>936</v>
      </c>
      <c r="P2355" s="1">
        <v>1</v>
      </c>
    </row>
    <row r="2356" spans="1:16" x14ac:dyDescent="0.25">
      <c r="A2356" s="3">
        <v>46030</v>
      </c>
      <c r="B2356" s="4">
        <v>3417</v>
      </c>
      <c r="C2356" s="5">
        <v>750</v>
      </c>
      <c r="D2356" s="1" t="s">
        <v>1179</v>
      </c>
      <c r="E2356" s="1" t="s">
        <v>1180</v>
      </c>
      <c r="F2356" s="1" t="s">
        <v>307</v>
      </c>
      <c r="G2356" s="1" t="s">
        <v>950</v>
      </c>
      <c r="H2356" s="3">
        <v>46050</v>
      </c>
      <c r="I2356" s="1" t="s">
        <v>933</v>
      </c>
      <c r="J2356" s="1" t="s">
        <v>66</v>
      </c>
      <c r="K2356" s="1" t="s">
        <v>340</v>
      </c>
      <c r="L2356" s="1" t="s">
        <v>3703</v>
      </c>
      <c r="M2356" s="3">
        <v>46034</v>
      </c>
      <c r="N2356" s="1" t="s">
        <v>57</v>
      </c>
      <c r="O2356" s="1" t="s">
        <v>936</v>
      </c>
      <c r="P2356" s="1">
        <v>1</v>
      </c>
    </row>
    <row r="2357" spans="1:16" x14ac:dyDescent="0.25">
      <c r="A2357" s="3">
        <v>46030</v>
      </c>
      <c r="B2357" s="4">
        <v>2951</v>
      </c>
      <c r="C2357" s="5">
        <v>920</v>
      </c>
      <c r="D2357" s="1" t="s">
        <v>3704</v>
      </c>
      <c r="E2357" s="1" t="s">
        <v>3561</v>
      </c>
      <c r="F2357" s="1" t="s">
        <v>83</v>
      </c>
      <c r="G2357" s="1" t="s">
        <v>940</v>
      </c>
      <c r="H2357" s="3">
        <v>46038</v>
      </c>
      <c r="I2357" s="1" t="s">
        <v>1100</v>
      </c>
      <c r="J2357" s="1" t="s">
        <v>66</v>
      </c>
      <c r="K2357" s="1" t="s">
        <v>340</v>
      </c>
      <c r="L2357" s="1" t="s">
        <v>3705</v>
      </c>
      <c r="M2357" s="3">
        <v>46064</v>
      </c>
      <c r="N2357" s="1" t="s">
        <v>57</v>
      </c>
      <c r="O2357" s="1" t="s">
        <v>937</v>
      </c>
      <c r="P2357" s="1" t="s">
        <v>937</v>
      </c>
    </row>
    <row r="2358" spans="1:16" x14ac:dyDescent="0.25">
      <c r="A2358" s="3">
        <v>46030</v>
      </c>
      <c r="B2358" s="4">
        <v>1160</v>
      </c>
      <c r="C2358" s="5">
        <v>140</v>
      </c>
      <c r="D2358" s="1" t="s">
        <v>1074</v>
      </c>
      <c r="E2358" s="1" t="s">
        <v>1075</v>
      </c>
      <c r="F2358" s="1" t="s">
        <v>185</v>
      </c>
      <c r="G2358" s="1" t="s">
        <v>981</v>
      </c>
      <c r="H2358" s="3">
        <v>46059</v>
      </c>
      <c r="I2358" s="1" t="s">
        <v>933</v>
      </c>
      <c r="J2358" s="1" t="s">
        <v>66</v>
      </c>
      <c r="K2358" s="1" t="s">
        <v>52</v>
      </c>
      <c r="L2358" s="1" t="s">
        <v>3706</v>
      </c>
      <c r="M2358" s="3">
        <v>46039</v>
      </c>
      <c r="N2358" s="1" t="s">
        <v>3671</v>
      </c>
      <c r="O2358" s="1" t="s">
        <v>936</v>
      </c>
      <c r="P2358" s="1">
        <v>1</v>
      </c>
    </row>
    <row r="2359" spans="1:16" x14ac:dyDescent="0.25">
      <c r="A2359" s="3">
        <v>46030</v>
      </c>
      <c r="B2359" s="4">
        <v>1160</v>
      </c>
      <c r="C2359" s="5">
        <v>250</v>
      </c>
      <c r="D2359" s="1" t="s">
        <v>1074</v>
      </c>
      <c r="E2359" s="1" t="s">
        <v>1075</v>
      </c>
      <c r="F2359" s="1" t="s">
        <v>650</v>
      </c>
      <c r="G2359" s="1" t="s">
        <v>981</v>
      </c>
      <c r="H2359" s="3">
        <v>46059</v>
      </c>
      <c r="I2359" s="1" t="s">
        <v>933</v>
      </c>
      <c r="J2359" s="1" t="s">
        <v>66</v>
      </c>
      <c r="K2359" s="1" t="s">
        <v>340</v>
      </c>
      <c r="L2359" s="1" t="s">
        <v>3707</v>
      </c>
      <c r="M2359" s="3">
        <v>46039</v>
      </c>
      <c r="N2359" s="1" t="s">
        <v>3671</v>
      </c>
      <c r="O2359" s="1" t="s">
        <v>936</v>
      </c>
      <c r="P2359" s="1">
        <v>1</v>
      </c>
    </row>
    <row r="2360" spans="1:16" x14ac:dyDescent="0.25">
      <c r="A2360" s="3">
        <v>46030</v>
      </c>
      <c r="B2360" s="4">
        <v>3420</v>
      </c>
      <c r="C2360" s="5">
        <v>1450</v>
      </c>
      <c r="D2360" s="1" t="s">
        <v>1179</v>
      </c>
      <c r="E2360" s="1" t="s">
        <v>1180</v>
      </c>
      <c r="F2360" s="1" t="s">
        <v>274</v>
      </c>
      <c r="G2360" s="1" t="s">
        <v>1667</v>
      </c>
      <c r="H2360" s="3">
        <v>46050</v>
      </c>
      <c r="I2360" s="1" t="s">
        <v>933</v>
      </c>
      <c r="J2360" s="1" t="s">
        <v>66</v>
      </c>
      <c r="K2360" s="1" t="s">
        <v>340</v>
      </c>
      <c r="L2360" s="1" t="s">
        <v>4225</v>
      </c>
      <c r="M2360" s="3">
        <v>46034</v>
      </c>
      <c r="N2360" s="1" t="s">
        <v>264</v>
      </c>
      <c r="O2360" s="1" t="s">
        <v>936</v>
      </c>
      <c r="P2360" s="1">
        <v>1</v>
      </c>
    </row>
    <row r="2361" spans="1:16" x14ac:dyDescent="0.25">
      <c r="A2361" s="3">
        <v>46031</v>
      </c>
      <c r="B2361" s="4">
        <v>9927</v>
      </c>
      <c r="C2361" s="5">
        <v>17124.34</v>
      </c>
      <c r="D2361" s="1" t="s">
        <v>973</v>
      </c>
      <c r="E2361" s="1" t="s">
        <v>1053</v>
      </c>
      <c r="F2361" s="1" t="s">
        <v>1814</v>
      </c>
      <c r="G2361" s="1" t="s">
        <v>998</v>
      </c>
      <c r="H2361" s="3">
        <v>46061</v>
      </c>
      <c r="I2361" s="1" t="s">
        <v>933</v>
      </c>
      <c r="J2361" s="1" t="s">
        <v>66</v>
      </c>
      <c r="K2361" s="1" t="s">
        <v>340</v>
      </c>
      <c r="L2361" s="1" t="s">
        <v>3708</v>
      </c>
      <c r="M2361" s="3">
        <v>46030</v>
      </c>
      <c r="N2361" s="1" t="s">
        <v>1814</v>
      </c>
      <c r="O2361" s="1" t="s">
        <v>937</v>
      </c>
      <c r="P2361" s="1" t="s">
        <v>937</v>
      </c>
    </row>
    <row r="2362" spans="1:16" x14ac:dyDescent="0.25">
      <c r="A2362" s="3">
        <v>46031</v>
      </c>
      <c r="B2362" s="1">
        <v>21880</v>
      </c>
      <c r="C2362" s="5">
        <v>13800</v>
      </c>
      <c r="D2362" s="1" t="s">
        <v>2667</v>
      </c>
      <c r="E2362" s="1" t="s">
        <v>2668</v>
      </c>
      <c r="F2362" s="1" t="s">
        <v>955</v>
      </c>
      <c r="G2362" s="1" t="s">
        <v>1667</v>
      </c>
      <c r="H2362" s="3">
        <v>46235</v>
      </c>
      <c r="I2362" s="1" t="s">
        <v>933</v>
      </c>
      <c r="J2362" s="1" t="s">
        <v>951</v>
      </c>
      <c r="K2362" s="1" t="s">
        <v>20</v>
      </c>
      <c r="L2362" s="1" t="s">
        <v>3709</v>
      </c>
      <c r="M2362" s="3">
        <v>46030</v>
      </c>
      <c r="N2362" s="1" t="s">
        <v>821</v>
      </c>
      <c r="O2362" s="1" t="s">
        <v>936</v>
      </c>
      <c r="P2362" s="1">
        <v>1</v>
      </c>
    </row>
    <row r="2363" spans="1:16" x14ac:dyDescent="0.25">
      <c r="A2363" s="3">
        <v>46031</v>
      </c>
      <c r="B2363" s="1">
        <v>32</v>
      </c>
      <c r="C2363" s="5">
        <v>300</v>
      </c>
      <c r="D2363" s="1" t="s">
        <v>3710</v>
      </c>
      <c r="E2363" s="1" t="s">
        <v>3711</v>
      </c>
      <c r="F2363" s="1" t="s">
        <v>185</v>
      </c>
      <c r="G2363" s="1" t="s">
        <v>1260</v>
      </c>
      <c r="H2363" s="3">
        <v>46061</v>
      </c>
      <c r="I2363" s="1" t="s">
        <v>3712</v>
      </c>
      <c r="J2363" s="1" t="s">
        <v>66</v>
      </c>
      <c r="K2363" s="1" t="s">
        <v>52</v>
      </c>
      <c r="L2363" s="1" t="s">
        <v>3713</v>
      </c>
      <c r="M2363" s="3">
        <v>46029</v>
      </c>
      <c r="N2363" s="1" t="s">
        <v>190</v>
      </c>
      <c r="O2363" s="1" t="s">
        <v>937</v>
      </c>
      <c r="P2363" s="1">
        <v>1</v>
      </c>
    </row>
    <row r="2364" spans="1:16" x14ac:dyDescent="0.25">
      <c r="A2364" s="3">
        <v>46031</v>
      </c>
      <c r="B2364" s="1">
        <v>749</v>
      </c>
      <c r="C2364" s="5">
        <v>18850</v>
      </c>
      <c r="D2364" s="1" t="s">
        <v>3714</v>
      </c>
      <c r="E2364" s="1" t="s">
        <v>3715</v>
      </c>
      <c r="F2364" s="1" t="s">
        <v>547</v>
      </c>
      <c r="G2364" s="1" t="s">
        <v>1029</v>
      </c>
      <c r="H2364" s="3">
        <v>46045</v>
      </c>
      <c r="I2364" s="1" t="s">
        <v>933</v>
      </c>
      <c r="J2364" s="1" t="s">
        <v>66</v>
      </c>
      <c r="K2364" s="1" t="s">
        <v>340</v>
      </c>
      <c r="L2364" s="1" t="s">
        <v>3716</v>
      </c>
      <c r="M2364" s="3">
        <v>46034</v>
      </c>
      <c r="N2364" s="1" t="s">
        <v>57</v>
      </c>
      <c r="O2364" s="1" t="s">
        <v>936</v>
      </c>
      <c r="P2364" s="1">
        <v>1</v>
      </c>
    </row>
    <row r="2365" spans="1:16" x14ac:dyDescent="0.25">
      <c r="A2365" s="3">
        <v>46031</v>
      </c>
      <c r="B2365" s="4">
        <v>3213</v>
      </c>
      <c r="C2365" s="5">
        <v>300</v>
      </c>
      <c r="D2365" s="1" t="s">
        <v>3717</v>
      </c>
      <c r="E2365" s="1" t="s">
        <v>3711</v>
      </c>
      <c r="F2365" s="1" t="s">
        <v>201</v>
      </c>
      <c r="G2365" s="1" t="s">
        <v>940</v>
      </c>
      <c r="H2365" s="3">
        <v>46045</v>
      </c>
      <c r="I2365" s="1" t="s">
        <v>1100</v>
      </c>
      <c r="J2365" s="1" t="s">
        <v>66</v>
      </c>
      <c r="K2365" s="1" t="s">
        <v>308</v>
      </c>
      <c r="L2365" s="1" t="s">
        <v>3718</v>
      </c>
      <c r="M2365" s="3">
        <v>46034</v>
      </c>
      <c r="N2365" s="1" t="s">
        <v>57</v>
      </c>
      <c r="O2365" s="1" t="s">
        <v>936</v>
      </c>
      <c r="P2365" s="1" t="s">
        <v>937</v>
      </c>
    </row>
    <row r="2366" spans="1:16" x14ac:dyDescent="0.25">
      <c r="A2366" s="3">
        <v>46031</v>
      </c>
      <c r="B2366" s="4">
        <v>3212</v>
      </c>
      <c r="C2366" s="5">
        <v>300</v>
      </c>
      <c r="D2366" s="1" t="s">
        <v>3717</v>
      </c>
      <c r="E2366" s="1" t="s">
        <v>3711</v>
      </c>
      <c r="F2366" s="1" t="s">
        <v>185</v>
      </c>
      <c r="G2366" s="1" t="s">
        <v>940</v>
      </c>
      <c r="H2366" s="3">
        <v>46045</v>
      </c>
      <c r="I2366" s="1" t="s">
        <v>933</v>
      </c>
      <c r="J2366" s="1" t="s">
        <v>66</v>
      </c>
      <c r="K2366" s="1" t="s">
        <v>308</v>
      </c>
      <c r="L2366" s="1" t="s">
        <v>3718</v>
      </c>
      <c r="M2366" s="3">
        <v>46034</v>
      </c>
      <c r="N2366" s="1" t="s">
        <v>190</v>
      </c>
      <c r="O2366" s="1" t="s">
        <v>936</v>
      </c>
      <c r="P2366" s="1" t="s">
        <v>937</v>
      </c>
    </row>
    <row r="2367" spans="1:16" x14ac:dyDescent="0.25">
      <c r="A2367" s="3">
        <v>46031</v>
      </c>
      <c r="B2367" s="4">
        <v>1027</v>
      </c>
      <c r="C2367" s="5">
        <v>1800</v>
      </c>
      <c r="D2367" s="1" t="s">
        <v>1080</v>
      </c>
      <c r="E2367" s="1" t="s">
        <v>3046</v>
      </c>
      <c r="F2367" s="1" t="s">
        <v>955</v>
      </c>
      <c r="G2367" s="1" t="s">
        <v>1082</v>
      </c>
      <c r="H2367" s="3">
        <v>46055</v>
      </c>
      <c r="I2367" s="1" t="s">
        <v>933</v>
      </c>
      <c r="J2367" s="1" t="s">
        <v>951</v>
      </c>
      <c r="K2367" s="1" t="s">
        <v>934</v>
      </c>
      <c r="L2367" s="1" t="s">
        <v>3719</v>
      </c>
      <c r="M2367" s="3">
        <v>46064</v>
      </c>
      <c r="N2367" s="1" t="s">
        <v>821</v>
      </c>
      <c r="O2367" s="1" t="s">
        <v>936</v>
      </c>
      <c r="P2367" s="1">
        <v>1</v>
      </c>
    </row>
    <row r="2368" spans="1:16" x14ac:dyDescent="0.25">
      <c r="A2368" s="3">
        <v>46031</v>
      </c>
      <c r="B2368" s="4">
        <v>1027</v>
      </c>
      <c r="C2368" s="5">
        <v>7000</v>
      </c>
      <c r="D2368" s="1" t="s">
        <v>1080</v>
      </c>
      <c r="E2368" s="1" t="s">
        <v>3046</v>
      </c>
      <c r="F2368" s="1" t="s">
        <v>732</v>
      </c>
      <c r="G2368" s="1" t="s">
        <v>1082</v>
      </c>
      <c r="H2368" s="3">
        <v>46055</v>
      </c>
      <c r="I2368" s="1" t="s">
        <v>933</v>
      </c>
      <c r="J2368" s="1" t="s">
        <v>66</v>
      </c>
      <c r="K2368" s="1" t="s">
        <v>340</v>
      </c>
      <c r="L2368" s="1" t="s">
        <v>3719</v>
      </c>
      <c r="M2368" s="3">
        <v>46064</v>
      </c>
      <c r="N2368" s="1" t="s">
        <v>115</v>
      </c>
      <c r="O2368" s="1" t="s">
        <v>936</v>
      </c>
      <c r="P2368" s="1">
        <v>1</v>
      </c>
    </row>
    <row r="2369" spans="1:16" x14ac:dyDescent="0.25">
      <c r="A2369" s="3">
        <v>46031</v>
      </c>
      <c r="B2369" s="4">
        <v>1027</v>
      </c>
      <c r="C2369" s="5">
        <v>9000</v>
      </c>
      <c r="D2369" s="1" t="s">
        <v>1080</v>
      </c>
      <c r="E2369" s="1" t="s">
        <v>3046</v>
      </c>
      <c r="F2369" s="1" t="s">
        <v>255</v>
      </c>
      <c r="G2369" s="1" t="s">
        <v>1082</v>
      </c>
      <c r="H2369" s="3">
        <v>46055</v>
      </c>
      <c r="I2369" s="1" t="s">
        <v>933</v>
      </c>
      <c r="J2369" s="1" t="s">
        <v>66</v>
      </c>
      <c r="K2369" s="1" t="s">
        <v>934</v>
      </c>
      <c r="L2369" s="1" t="s">
        <v>3719</v>
      </c>
      <c r="M2369" s="3">
        <v>46064</v>
      </c>
      <c r="N2369" s="1" t="s">
        <v>57</v>
      </c>
      <c r="O2369" s="1" t="s">
        <v>936</v>
      </c>
      <c r="P2369" s="1">
        <v>1</v>
      </c>
    </row>
    <row r="2370" spans="1:16" x14ac:dyDescent="0.25">
      <c r="A2370" s="3">
        <v>46031</v>
      </c>
      <c r="B2370" s="4">
        <v>1027</v>
      </c>
      <c r="C2370" s="5">
        <v>600</v>
      </c>
      <c r="D2370" s="1" t="s">
        <v>1080</v>
      </c>
      <c r="E2370" s="1" t="s">
        <v>3046</v>
      </c>
      <c r="F2370" s="1" t="s">
        <v>955</v>
      </c>
      <c r="G2370" s="1" t="s">
        <v>1082</v>
      </c>
      <c r="H2370" s="3">
        <v>46055</v>
      </c>
      <c r="I2370" s="1" t="s">
        <v>933</v>
      </c>
      <c r="J2370" s="1" t="s">
        <v>951</v>
      </c>
      <c r="K2370" s="1" t="s">
        <v>934</v>
      </c>
      <c r="L2370" s="1" t="s">
        <v>3719</v>
      </c>
      <c r="M2370" s="3">
        <v>46064</v>
      </c>
      <c r="N2370" s="1" t="s">
        <v>821</v>
      </c>
      <c r="O2370" s="1" t="s">
        <v>936</v>
      </c>
      <c r="P2370" s="1">
        <v>1</v>
      </c>
    </row>
    <row r="2371" spans="1:16" x14ac:dyDescent="0.25">
      <c r="A2371" s="3">
        <v>46031</v>
      </c>
      <c r="B2371" s="4">
        <v>1027</v>
      </c>
      <c r="C2371" s="5">
        <v>80</v>
      </c>
      <c r="D2371" s="1" t="s">
        <v>1080</v>
      </c>
      <c r="E2371" s="1" t="s">
        <v>3046</v>
      </c>
      <c r="F2371" s="1" t="s">
        <v>775</v>
      </c>
      <c r="G2371" s="1" t="s">
        <v>1082</v>
      </c>
      <c r="H2371" s="3">
        <v>46055</v>
      </c>
      <c r="I2371" s="1" t="s">
        <v>933</v>
      </c>
      <c r="J2371" s="1" t="s">
        <v>66</v>
      </c>
      <c r="K2371" s="1" t="s">
        <v>308</v>
      </c>
      <c r="L2371" s="1" t="s">
        <v>3719</v>
      </c>
      <c r="M2371" s="3">
        <v>46064</v>
      </c>
      <c r="N2371" s="1" t="s">
        <v>580</v>
      </c>
      <c r="O2371" s="1" t="s">
        <v>936</v>
      </c>
      <c r="P2371" s="1">
        <v>1</v>
      </c>
    </row>
    <row r="2372" spans="1:16" x14ac:dyDescent="0.25">
      <c r="A2372" s="3">
        <v>46031</v>
      </c>
      <c r="B2372" s="4">
        <v>1027</v>
      </c>
      <c r="C2372" s="5">
        <v>2700</v>
      </c>
      <c r="D2372" s="1" t="s">
        <v>1080</v>
      </c>
      <c r="E2372" s="1" t="s">
        <v>3046</v>
      </c>
      <c r="F2372" s="1" t="s">
        <v>759</v>
      </c>
      <c r="G2372" s="1" t="s">
        <v>1082</v>
      </c>
      <c r="H2372" s="3">
        <v>46055</v>
      </c>
      <c r="I2372" s="1" t="s">
        <v>933</v>
      </c>
      <c r="J2372" s="1" t="s">
        <v>66</v>
      </c>
      <c r="K2372" s="1" t="s">
        <v>340</v>
      </c>
      <c r="L2372" s="1" t="s">
        <v>3719</v>
      </c>
      <c r="M2372" s="3">
        <v>46064</v>
      </c>
      <c r="N2372" s="1" t="s">
        <v>75</v>
      </c>
      <c r="O2372" s="1" t="s">
        <v>936</v>
      </c>
      <c r="P2372" s="1">
        <v>1</v>
      </c>
    </row>
    <row r="2373" spans="1:16" x14ac:dyDescent="0.25">
      <c r="A2373" s="3">
        <v>46031</v>
      </c>
      <c r="B2373" s="4">
        <v>1027</v>
      </c>
      <c r="C2373" s="5">
        <v>1800</v>
      </c>
      <c r="D2373" s="1" t="s">
        <v>1080</v>
      </c>
      <c r="E2373" s="1" t="s">
        <v>3046</v>
      </c>
      <c r="F2373" s="1" t="s">
        <v>553</v>
      </c>
      <c r="G2373" s="1" t="s">
        <v>1082</v>
      </c>
      <c r="H2373" s="3">
        <v>46055</v>
      </c>
      <c r="I2373" s="1" t="s">
        <v>933</v>
      </c>
      <c r="J2373" s="1" t="s">
        <v>66</v>
      </c>
      <c r="K2373" s="1" t="s">
        <v>858</v>
      </c>
      <c r="L2373" s="1" t="s">
        <v>3719</v>
      </c>
      <c r="M2373" s="3">
        <v>46064</v>
      </c>
      <c r="N2373" s="1" t="s">
        <v>57</v>
      </c>
      <c r="O2373" s="1" t="s">
        <v>936</v>
      </c>
      <c r="P2373" s="1">
        <v>1</v>
      </c>
    </row>
    <row r="2374" spans="1:16" x14ac:dyDescent="0.25">
      <c r="A2374" s="3">
        <v>46031</v>
      </c>
      <c r="B2374" s="4">
        <v>1027</v>
      </c>
      <c r="C2374" s="5">
        <v>450</v>
      </c>
      <c r="D2374" s="1" t="s">
        <v>1080</v>
      </c>
      <c r="E2374" s="1" t="s">
        <v>3046</v>
      </c>
      <c r="F2374" s="1" t="s">
        <v>955</v>
      </c>
      <c r="G2374" s="1" t="s">
        <v>1082</v>
      </c>
      <c r="H2374" s="3">
        <v>46055</v>
      </c>
      <c r="I2374" s="1" t="s">
        <v>933</v>
      </c>
      <c r="J2374" s="1" t="s">
        <v>951</v>
      </c>
      <c r="K2374" s="1" t="s">
        <v>934</v>
      </c>
      <c r="L2374" s="1" t="s">
        <v>3719</v>
      </c>
      <c r="M2374" s="3">
        <v>46064</v>
      </c>
      <c r="N2374" s="1" t="s">
        <v>821</v>
      </c>
      <c r="O2374" s="1" t="s">
        <v>936</v>
      </c>
      <c r="P2374" s="1">
        <v>1</v>
      </c>
    </row>
    <row r="2375" spans="1:16" x14ac:dyDescent="0.25">
      <c r="A2375" s="3">
        <v>46031</v>
      </c>
      <c r="B2375" s="4">
        <v>1027</v>
      </c>
      <c r="C2375" s="5">
        <v>100</v>
      </c>
      <c r="D2375" s="1" t="s">
        <v>1080</v>
      </c>
      <c r="E2375" s="1" t="s">
        <v>3046</v>
      </c>
      <c r="F2375" s="1" t="s">
        <v>255</v>
      </c>
      <c r="G2375" s="1" t="s">
        <v>1082</v>
      </c>
      <c r="H2375" s="3">
        <v>46055</v>
      </c>
      <c r="I2375" s="1" t="s">
        <v>933</v>
      </c>
      <c r="J2375" s="1" t="s">
        <v>66</v>
      </c>
      <c r="K2375" s="1" t="s">
        <v>308</v>
      </c>
      <c r="L2375" s="1" t="s">
        <v>3719</v>
      </c>
      <c r="M2375" s="3">
        <v>46064</v>
      </c>
      <c r="N2375" s="1" t="s">
        <v>57</v>
      </c>
      <c r="O2375" s="1" t="s">
        <v>936</v>
      </c>
      <c r="P2375" s="1">
        <v>1</v>
      </c>
    </row>
    <row r="2376" spans="1:16" x14ac:dyDescent="0.25">
      <c r="A2376" s="3">
        <v>46031</v>
      </c>
      <c r="B2376" s="4">
        <v>21882</v>
      </c>
      <c r="C2376" s="5">
        <v>13800</v>
      </c>
      <c r="D2376" s="1" t="s">
        <v>2345</v>
      </c>
      <c r="E2376" s="1" t="s">
        <v>2346</v>
      </c>
      <c r="F2376" s="1" t="s">
        <v>871</v>
      </c>
      <c r="G2376" s="1" t="s">
        <v>932</v>
      </c>
      <c r="H2376" s="3">
        <v>46061</v>
      </c>
      <c r="I2376" s="1" t="s">
        <v>933</v>
      </c>
      <c r="J2376" s="1" t="s">
        <v>66</v>
      </c>
      <c r="K2376" s="1" t="s">
        <v>659</v>
      </c>
      <c r="L2376" s="1" t="s">
        <v>3720</v>
      </c>
      <c r="M2376" s="3">
        <v>46035</v>
      </c>
      <c r="N2376" s="1" t="s">
        <v>767</v>
      </c>
      <c r="O2376" s="1" t="s">
        <v>936</v>
      </c>
      <c r="P2376" s="1" t="s">
        <v>937</v>
      </c>
    </row>
    <row r="2377" spans="1:16" x14ac:dyDescent="0.25">
      <c r="A2377" s="3">
        <v>46031</v>
      </c>
      <c r="B2377" s="4">
        <v>1160</v>
      </c>
      <c r="C2377" s="5">
        <v>40</v>
      </c>
      <c r="D2377" s="1" t="s">
        <v>1074</v>
      </c>
      <c r="E2377" s="1" t="s">
        <v>1075</v>
      </c>
      <c r="F2377" s="1" t="s">
        <v>304</v>
      </c>
      <c r="G2377" s="1" t="s">
        <v>981</v>
      </c>
      <c r="H2377" s="3">
        <v>46059</v>
      </c>
      <c r="I2377" s="1" t="s">
        <v>933</v>
      </c>
      <c r="J2377" s="1" t="s">
        <v>66</v>
      </c>
      <c r="K2377" s="1" t="s">
        <v>340</v>
      </c>
      <c r="L2377" s="1" t="s">
        <v>2055</v>
      </c>
      <c r="M2377" s="3">
        <v>46039</v>
      </c>
      <c r="N2377" s="1" t="s">
        <v>3671</v>
      </c>
      <c r="O2377" s="1" t="s">
        <v>936</v>
      </c>
      <c r="P2377" s="1">
        <v>1</v>
      </c>
    </row>
    <row r="2378" spans="1:16" x14ac:dyDescent="0.25">
      <c r="A2378" s="3">
        <v>46032</v>
      </c>
      <c r="B2378" s="4">
        <v>1159</v>
      </c>
      <c r="C2378" s="5">
        <v>80</v>
      </c>
      <c r="D2378" s="1" t="s">
        <v>1074</v>
      </c>
      <c r="E2378" s="1" t="s">
        <v>1075</v>
      </c>
      <c r="F2378" s="1" t="s">
        <v>3668</v>
      </c>
      <c r="G2378" s="1" t="s">
        <v>1058</v>
      </c>
      <c r="H2378" s="3">
        <v>46059</v>
      </c>
      <c r="I2378" s="1" t="s">
        <v>933</v>
      </c>
      <c r="J2378" s="1" t="s">
        <v>937</v>
      </c>
      <c r="K2378" s="1" t="s">
        <v>340</v>
      </c>
      <c r="L2378" s="1" t="s">
        <v>3721</v>
      </c>
      <c r="M2378" s="3">
        <v>46039</v>
      </c>
      <c r="N2378" s="1" t="s">
        <v>3532</v>
      </c>
      <c r="O2378" s="1" t="s">
        <v>936</v>
      </c>
      <c r="P2378" s="1">
        <v>1</v>
      </c>
    </row>
    <row r="2379" spans="1:16" x14ac:dyDescent="0.25">
      <c r="A2379" s="3">
        <v>46032</v>
      </c>
      <c r="B2379" s="1">
        <v>149</v>
      </c>
      <c r="C2379" s="5">
        <v>12000</v>
      </c>
      <c r="D2379" s="1" t="s">
        <v>1034</v>
      </c>
      <c r="E2379" s="1" t="s">
        <v>1035</v>
      </c>
      <c r="F2379" s="1" t="s">
        <v>591</v>
      </c>
      <c r="G2379" s="1" t="s">
        <v>1029</v>
      </c>
      <c r="H2379" s="3">
        <v>46055</v>
      </c>
      <c r="I2379" s="1" t="s">
        <v>933</v>
      </c>
      <c r="J2379" s="1" t="s">
        <v>66</v>
      </c>
      <c r="K2379" s="1" t="s">
        <v>308</v>
      </c>
      <c r="L2379" s="1" t="s">
        <v>3722</v>
      </c>
      <c r="M2379" s="3">
        <v>46034</v>
      </c>
      <c r="N2379" s="1" t="s">
        <v>57</v>
      </c>
      <c r="O2379" s="1" t="s">
        <v>932</v>
      </c>
      <c r="P2379" s="1">
        <v>1</v>
      </c>
    </row>
    <row r="2380" spans="1:16" x14ac:dyDescent="0.25">
      <c r="A2380" s="3">
        <v>46032</v>
      </c>
      <c r="B2380" s="4">
        <v>1160</v>
      </c>
      <c r="C2380" s="5">
        <v>250</v>
      </c>
      <c r="D2380" s="1" t="s">
        <v>1074</v>
      </c>
      <c r="E2380" s="1" t="s">
        <v>1075</v>
      </c>
      <c r="F2380" s="1" t="s">
        <v>736</v>
      </c>
      <c r="G2380" s="1" t="s">
        <v>981</v>
      </c>
      <c r="H2380" s="3">
        <v>46059</v>
      </c>
      <c r="I2380" s="1" t="s">
        <v>933</v>
      </c>
      <c r="J2380" s="1" t="s">
        <v>66</v>
      </c>
      <c r="K2380" s="1" t="s">
        <v>308</v>
      </c>
      <c r="L2380" s="1" t="s">
        <v>3723</v>
      </c>
      <c r="M2380" s="3">
        <v>46039</v>
      </c>
      <c r="N2380" s="1" t="s">
        <v>3671</v>
      </c>
      <c r="O2380" s="1" t="s">
        <v>936</v>
      </c>
      <c r="P2380" s="1">
        <v>1</v>
      </c>
    </row>
    <row r="2381" spans="1:16" x14ac:dyDescent="0.25">
      <c r="A2381" s="3">
        <v>46032</v>
      </c>
      <c r="B2381" s="4">
        <v>1160</v>
      </c>
      <c r="C2381" s="5">
        <v>410</v>
      </c>
      <c r="D2381" s="1" t="s">
        <v>1074</v>
      </c>
      <c r="E2381" s="1" t="s">
        <v>1075</v>
      </c>
      <c r="F2381" s="1" t="s">
        <v>753</v>
      </c>
      <c r="G2381" s="1" t="s">
        <v>981</v>
      </c>
      <c r="H2381" s="3">
        <v>46059</v>
      </c>
      <c r="I2381" s="1" t="s">
        <v>933</v>
      </c>
      <c r="J2381" s="1" t="s">
        <v>66</v>
      </c>
      <c r="K2381" s="1" t="s">
        <v>340</v>
      </c>
      <c r="L2381" s="1" t="s">
        <v>3724</v>
      </c>
      <c r="M2381" s="3">
        <v>46039</v>
      </c>
      <c r="N2381" s="1" t="s">
        <v>3671</v>
      </c>
      <c r="O2381" s="1" t="s">
        <v>936</v>
      </c>
      <c r="P2381" s="1">
        <v>1</v>
      </c>
    </row>
    <row r="2382" spans="1:16" x14ac:dyDescent="0.25">
      <c r="A2382" s="3">
        <v>46034</v>
      </c>
      <c r="B2382" s="4">
        <v>1159</v>
      </c>
      <c r="C2382" s="5">
        <v>280</v>
      </c>
      <c r="D2382" s="1" t="s">
        <v>1074</v>
      </c>
      <c r="E2382" s="1" t="s">
        <v>1075</v>
      </c>
      <c r="F2382" s="1" t="s">
        <v>265</v>
      </c>
      <c r="G2382" s="1" t="s">
        <v>1058</v>
      </c>
      <c r="H2382" s="3">
        <v>46059</v>
      </c>
      <c r="I2382" s="1" t="s">
        <v>933</v>
      </c>
      <c r="J2382" s="1" t="s">
        <v>66</v>
      </c>
      <c r="K2382" s="1" t="s">
        <v>340</v>
      </c>
      <c r="L2382" s="1" t="s">
        <v>3531</v>
      </c>
      <c r="M2382" s="3">
        <v>46039</v>
      </c>
      <c r="N2382" s="1" t="s">
        <v>3532</v>
      </c>
      <c r="O2382" s="1" t="s">
        <v>936</v>
      </c>
      <c r="P2382" s="1">
        <v>1</v>
      </c>
    </row>
    <row r="2383" spans="1:16" x14ac:dyDescent="0.25">
      <c r="A2383" s="3">
        <v>46034</v>
      </c>
      <c r="B2383" s="4">
        <v>1159</v>
      </c>
      <c r="C2383" s="5">
        <v>80</v>
      </c>
      <c r="D2383" s="1" t="s">
        <v>1074</v>
      </c>
      <c r="E2383" s="1" t="s">
        <v>1075</v>
      </c>
      <c r="F2383" s="1" t="s">
        <v>3668</v>
      </c>
      <c r="G2383" s="1" t="s">
        <v>1058</v>
      </c>
      <c r="H2383" s="3">
        <v>46059</v>
      </c>
      <c r="I2383" s="1" t="s">
        <v>933</v>
      </c>
      <c r="J2383" s="1" t="s">
        <v>937</v>
      </c>
      <c r="K2383" s="1" t="s">
        <v>1654</v>
      </c>
      <c r="L2383" s="1" t="s">
        <v>3728</v>
      </c>
      <c r="M2383" s="3">
        <v>46039</v>
      </c>
      <c r="N2383" s="1" t="s">
        <v>3729</v>
      </c>
      <c r="O2383" s="1" t="s">
        <v>936</v>
      </c>
      <c r="P2383" s="1">
        <v>1</v>
      </c>
    </row>
    <row r="2384" spans="1:16" x14ac:dyDescent="0.25">
      <c r="A2384" s="3">
        <v>46034</v>
      </c>
      <c r="B2384" s="4">
        <v>1028</v>
      </c>
      <c r="C2384" s="5">
        <v>932</v>
      </c>
      <c r="D2384" s="1" t="s">
        <v>1080</v>
      </c>
      <c r="E2384" s="1" t="s">
        <v>3046</v>
      </c>
      <c r="F2384" s="1" t="s">
        <v>955</v>
      </c>
      <c r="G2384" s="1" t="s">
        <v>940</v>
      </c>
      <c r="H2384" s="3">
        <v>46055</v>
      </c>
      <c r="I2384" s="1" t="s">
        <v>933</v>
      </c>
      <c r="J2384" s="1" t="s">
        <v>951</v>
      </c>
      <c r="K2384" s="1" t="s">
        <v>934</v>
      </c>
      <c r="L2384" s="1" t="s">
        <v>3730</v>
      </c>
      <c r="M2384" s="3">
        <v>46064</v>
      </c>
      <c r="N2384" s="1" t="s">
        <v>821</v>
      </c>
      <c r="O2384" s="1" t="s">
        <v>936</v>
      </c>
      <c r="P2384" s="1">
        <v>1</v>
      </c>
    </row>
    <row r="2385" spans="1:16" x14ac:dyDescent="0.25">
      <c r="A2385" s="3">
        <v>46034</v>
      </c>
      <c r="B2385" s="4">
        <v>4896</v>
      </c>
      <c r="C2385" s="5">
        <v>526.04</v>
      </c>
      <c r="D2385" s="1" t="s">
        <v>938</v>
      </c>
      <c r="E2385" s="1" t="s">
        <v>939</v>
      </c>
      <c r="F2385" s="1" t="s">
        <v>955</v>
      </c>
      <c r="G2385" s="1" t="s">
        <v>20</v>
      </c>
      <c r="H2385" s="3">
        <v>46065</v>
      </c>
      <c r="I2385" s="1" t="s">
        <v>933</v>
      </c>
      <c r="J2385" s="1" t="s">
        <v>951</v>
      </c>
      <c r="K2385" s="1" t="s">
        <v>934</v>
      </c>
      <c r="L2385" s="1" t="s">
        <v>3731</v>
      </c>
      <c r="M2385" s="3">
        <v>46064</v>
      </c>
      <c r="N2385" s="1" t="s">
        <v>821</v>
      </c>
      <c r="O2385" s="1" t="s">
        <v>936</v>
      </c>
      <c r="P2385" s="1">
        <v>1</v>
      </c>
    </row>
    <row r="2386" spans="1:16" x14ac:dyDescent="0.25">
      <c r="A2386" s="3">
        <v>46034</v>
      </c>
      <c r="B2386" s="1">
        <v>749</v>
      </c>
      <c r="C2386" s="5">
        <v>8000</v>
      </c>
      <c r="D2386" s="1" t="s">
        <v>3732</v>
      </c>
      <c r="E2386" s="1" t="s">
        <v>3715</v>
      </c>
      <c r="F2386" s="1" t="s">
        <v>547</v>
      </c>
      <c r="G2386" s="1" t="s">
        <v>1029</v>
      </c>
      <c r="H2386" s="3">
        <v>46045</v>
      </c>
      <c r="I2386" s="1" t="s">
        <v>933</v>
      </c>
      <c r="J2386" s="1" t="s">
        <v>66</v>
      </c>
      <c r="K2386" s="1" t="s">
        <v>340</v>
      </c>
      <c r="L2386" s="1" t="s">
        <v>3733</v>
      </c>
      <c r="M2386" s="3">
        <v>46034</v>
      </c>
      <c r="N2386" s="1" t="s">
        <v>57</v>
      </c>
      <c r="O2386" s="1" t="s">
        <v>937</v>
      </c>
      <c r="P2386" s="1">
        <v>1</v>
      </c>
    </row>
    <row r="2387" spans="1:16" x14ac:dyDescent="0.25">
      <c r="A2387" s="3">
        <v>46034</v>
      </c>
      <c r="B2387" s="1">
        <v>125</v>
      </c>
      <c r="C2387" s="5">
        <v>336</v>
      </c>
      <c r="D2387" s="1" t="s">
        <v>1579</v>
      </c>
      <c r="E2387" s="1" t="s">
        <v>1580</v>
      </c>
      <c r="F2387" s="1" t="s">
        <v>955</v>
      </c>
      <c r="G2387" s="1" t="s">
        <v>940</v>
      </c>
      <c r="H2387" s="3">
        <v>46051</v>
      </c>
      <c r="I2387" s="1" t="s">
        <v>933</v>
      </c>
      <c r="J2387" s="1" t="s">
        <v>951</v>
      </c>
      <c r="K2387" s="1" t="s">
        <v>640</v>
      </c>
      <c r="L2387" s="1" t="s">
        <v>3734</v>
      </c>
      <c r="M2387" s="1"/>
      <c r="N2387" s="1" t="s">
        <v>821</v>
      </c>
      <c r="O2387" s="1" t="s">
        <v>936</v>
      </c>
      <c r="P2387" s="1">
        <v>0</v>
      </c>
    </row>
    <row r="2388" spans="1:16" x14ac:dyDescent="0.25">
      <c r="A2388" s="3">
        <v>46034</v>
      </c>
      <c r="B2388" s="1">
        <v>124</v>
      </c>
      <c r="C2388" s="5">
        <v>1460</v>
      </c>
      <c r="D2388" s="1" t="s">
        <v>1579</v>
      </c>
      <c r="E2388" s="1" t="s">
        <v>1580</v>
      </c>
      <c r="F2388" s="1" t="s">
        <v>748</v>
      </c>
      <c r="G2388" s="1" t="s">
        <v>1260</v>
      </c>
      <c r="H2388" s="3">
        <v>46051</v>
      </c>
      <c r="I2388" s="1" t="s">
        <v>933</v>
      </c>
      <c r="J2388" s="1" t="s">
        <v>66</v>
      </c>
      <c r="K2388" s="1" t="s">
        <v>340</v>
      </c>
      <c r="L2388" s="1" t="s">
        <v>3735</v>
      </c>
      <c r="M2388" s="1"/>
      <c r="N2388" s="1" t="s">
        <v>75</v>
      </c>
      <c r="O2388" s="1" t="s">
        <v>936</v>
      </c>
      <c r="P2388" s="1">
        <v>0</v>
      </c>
    </row>
    <row r="2389" spans="1:16" x14ac:dyDescent="0.25">
      <c r="A2389" s="3">
        <v>46034</v>
      </c>
      <c r="B2389" s="1">
        <v>168</v>
      </c>
      <c r="C2389" s="5">
        <v>1100</v>
      </c>
      <c r="D2389" s="1" t="s">
        <v>1197</v>
      </c>
      <c r="E2389" s="1" t="s">
        <v>1198</v>
      </c>
      <c r="F2389" s="1" t="s">
        <v>650</v>
      </c>
      <c r="G2389" s="1" t="s">
        <v>940</v>
      </c>
      <c r="H2389" s="3">
        <v>46052</v>
      </c>
      <c r="I2389" s="1" t="s">
        <v>933</v>
      </c>
      <c r="J2389" s="1" t="s">
        <v>66</v>
      </c>
      <c r="K2389" s="1" t="s">
        <v>340</v>
      </c>
      <c r="L2389" s="1" t="s">
        <v>3736</v>
      </c>
      <c r="M2389" s="3">
        <v>46035</v>
      </c>
      <c r="N2389" s="1" t="s">
        <v>57</v>
      </c>
      <c r="O2389" s="1" t="s">
        <v>936</v>
      </c>
      <c r="P2389" s="1">
        <v>2</v>
      </c>
    </row>
    <row r="2390" spans="1:16" x14ac:dyDescent="0.25">
      <c r="A2390" s="3">
        <v>46034</v>
      </c>
      <c r="B2390" s="1">
        <v>123</v>
      </c>
      <c r="C2390" s="5">
        <v>5780</v>
      </c>
      <c r="D2390" s="1" t="s">
        <v>1579</v>
      </c>
      <c r="E2390" s="1" t="s">
        <v>1580</v>
      </c>
      <c r="F2390" s="1" t="s">
        <v>966</v>
      </c>
      <c r="G2390" s="1" t="s">
        <v>1621</v>
      </c>
      <c r="H2390" s="3">
        <v>46052</v>
      </c>
      <c r="I2390" s="1" t="s">
        <v>933</v>
      </c>
      <c r="J2390" s="1" t="s">
        <v>66</v>
      </c>
      <c r="K2390" s="1" t="s">
        <v>308</v>
      </c>
      <c r="L2390" s="1" t="s">
        <v>3737</v>
      </c>
      <c r="M2390" s="1"/>
      <c r="N2390" s="1" t="s">
        <v>821</v>
      </c>
      <c r="O2390" s="1" t="s">
        <v>936</v>
      </c>
      <c r="P2390" s="1">
        <v>0</v>
      </c>
    </row>
    <row r="2391" spans="1:16" x14ac:dyDescent="0.25">
      <c r="A2391" s="3">
        <v>46034</v>
      </c>
      <c r="B2391" s="4">
        <v>155727</v>
      </c>
      <c r="C2391" s="5">
        <v>2032.87</v>
      </c>
      <c r="D2391" s="1" t="s">
        <v>2670</v>
      </c>
      <c r="E2391" s="1" t="s">
        <v>2873</v>
      </c>
      <c r="F2391" s="1" t="s">
        <v>51</v>
      </c>
      <c r="G2391" s="1" t="s">
        <v>1667</v>
      </c>
      <c r="H2391" s="3">
        <v>46050</v>
      </c>
      <c r="I2391" s="1" t="s">
        <v>1100</v>
      </c>
      <c r="J2391" s="1" t="s">
        <v>66</v>
      </c>
      <c r="K2391" s="1" t="s">
        <v>52</v>
      </c>
      <c r="L2391" s="1" t="s">
        <v>3738</v>
      </c>
      <c r="M2391" s="3">
        <v>46035</v>
      </c>
      <c r="N2391" s="1" t="s">
        <v>57</v>
      </c>
      <c r="O2391" s="1" t="s">
        <v>936</v>
      </c>
      <c r="P2391" s="1">
        <v>1</v>
      </c>
    </row>
    <row r="2392" spans="1:16" x14ac:dyDescent="0.25">
      <c r="A2392" s="3">
        <v>46034</v>
      </c>
      <c r="B2392" s="4">
        <v>155719</v>
      </c>
      <c r="C2392" s="5">
        <v>14177</v>
      </c>
      <c r="D2392" s="1" t="s">
        <v>2670</v>
      </c>
      <c r="E2392" s="1" t="s">
        <v>2873</v>
      </c>
      <c r="F2392" s="1" t="s">
        <v>533</v>
      </c>
      <c r="G2392" s="1" t="s">
        <v>940</v>
      </c>
      <c r="H2392" s="3">
        <v>46050</v>
      </c>
      <c r="I2392" s="1" t="s">
        <v>1100</v>
      </c>
      <c r="J2392" s="1" t="s">
        <v>66</v>
      </c>
      <c r="K2392" s="1" t="s">
        <v>308</v>
      </c>
      <c r="L2392" s="1" t="s">
        <v>3739</v>
      </c>
      <c r="M2392" s="3">
        <v>46035</v>
      </c>
      <c r="N2392" s="1" t="s">
        <v>57</v>
      </c>
      <c r="O2392" s="1" t="s">
        <v>936</v>
      </c>
      <c r="P2392" s="1">
        <v>1</v>
      </c>
    </row>
    <row r="2393" spans="1:16" x14ac:dyDescent="0.25">
      <c r="A2393" s="3">
        <v>46034</v>
      </c>
      <c r="B2393" s="1">
        <v>150</v>
      </c>
      <c r="C2393" s="5">
        <v>1000</v>
      </c>
      <c r="D2393" s="1" t="s">
        <v>1034</v>
      </c>
      <c r="E2393" s="1" t="s">
        <v>1035</v>
      </c>
      <c r="F2393" s="1" t="s">
        <v>955</v>
      </c>
      <c r="G2393" s="1" t="s">
        <v>1029</v>
      </c>
      <c r="H2393" s="3">
        <v>46056</v>
      </c>
      <c r="I2393" s="1" t="s">
        <v>933</v>
      </c>
      <c r="J2393" s="1" t="s">
        <v>951</v>
      </c>
      <c r="K2393" s="1" t="s">
        <v>340</v>
      </c>
      <c r="L2393" s="1" t="s">
        <v>3740</v>
      </c>
      <c r="M2393" s="3">
        <v>46042</v>
      </c>
      <c r="N2393" s="1" t="s">
        <v>821</v>
      </c>
      <c r="O2393" s="1" t="s">
        <v>932</v>
      </c>
      <c r="P2393" s="1">
        <v>1</v>
      </c>
    </row>
    <row r="2394" spans="1:16" x14ac:dyDescent="0.25">
      <c r="A2394" s="3">
        <v>46034</v>
      </c>
      <c r="B2394" s="1">
        <v>151</v>
      </c>
      <c r="C2394" s="5">
        <v>6000</v>
      </c>
      <c r="D2394" s="1" t="s">
        <v>1034</v>
      </c>
      <c r="E2394" s="1" t="s">
        <v>1035</v>
      </c>
      <c r="F2394" s="1" t="s">
        <v>955</v>
      </c>
      <c r="G2394" s="1" t="s">
        <v>1029</v>
      </c>
      <c r="H2394" s="3">
        <v>46056</v>
      </c>
      <c r="I2394" s="1" t="s">
        <v>933</v>
      </c>
      <c r="J2394" s="1" t="s">
        <v>951</v>
      </c>
      <c r="K2394" s="1" t="s">
        <v>340</v>
      </c>
      <c r="L2394" s="1" t="s">
        <v>3741</v>
      </c>
      <c r="M2394" s="3">
        <v>46042</v>
      </c>
      <c r="N2394" s="1" t="s">
        <v>821</v>
      </c>
      <c r="O2394" s="1" t="s">
        <v>932</v>
      </c>
      <c r="P2394" s="1">
        <v>1</v>
      </c>
    </row>
    <row r="2395" spans="1:16" x14ac:dyDescent="0.25">
      <c r="A2395" s="3">
        <v>46034</v>
      </c>
      <c r="B2395" s="4">
        <v>1160</v>
      </c>
      <c r="C2395" s="5">
        <v>30</v>
      </c>
      <c r="D2395" s="1" t="s">
        <v>1074</v>
      </c>
      <c r="E2395" s="1" t="s">
        <v>1075</v>
      </c>
      <c r="F2395" s="1" t="s">
        <v>453</v>
      </c>
      <c r="G2395" s="1" t="s">
        <v>981</v>
      </c>
      <c r="H2395" s="3">
        <v>46059</v>
      </c>
      <c r="I2395" s="1" t="s">
        <v>933</v>
      </c>
      <c r="J2395" s="1" t="s">
        <v>66</v>
      </c>
      <c r="K2395" s="1" t="s">
        <v>52</v>
      </c>
      <c r="L2395" s="1" t="s">
        <v>3742</v>
      </c>
      <c r="M2395" s="3">
        <v>46039</v>
      </c>
      <c r="N2395" s="1" t="s">
        <v>455</v>
      </c>
      <c r="O2395" s="1" t="s">
        <v>936</v>
      </c>
      <c r="P2395" s="1">
        <v>1</v>
      </c>
    </row>
    <row r="2396" spans="1:16" x14ac:dyDescent="0.25">
      <c r="A2396" s="3">
        <v>46034</v>
      </c>
      <c r="B2396" s="1">
        <v>168</v>
      </c>
      <c r="C2396" s="5">
        <v>1100</v>
      </c>
      <c r="D2396" s="1" t="s">
        <v>1197</v>
      </c>
      <c r="E2396" s="1" t="s">
        <v>1198</v>
      </c>
      <c r="F2396" s="1" t="s">
        <v>650</v>
      </c>
      <c r="G2396" s="1" t="s">
        <v>940</v>
      </c>
      <c r="H2396" s="3">
        <v>46081</v>
      </c>
      <c r="I2396" s="1" t="s">
        <v>933</v>
      </c>
      <c r="J2396" s="1" t="s">
        <v>66</v>
      </c>
      <c r="K2396" s="1" t="s">
        <v>340</v>
      </c>
      <c r="L2396" s="1" t="s">
        <v>3743</v>
      </c>
      <c r="M2396" s="3">
        <v>46066</v>
      </c>
      <c r="N2396" s="1" t="s">
        <v>57</v>
      </c>
      <c r="O2396" s="1" t="s">
        <v>936</v>
      </c>
      <c r="P2396" s="1">
        <v>2</v>
      </c>
    </row>
    <row r="2397" spans="1:16" x14ac:dyDescent="0.25">
      <c r="A2397" s="3">
        <v>46035</v>
      </c>
      <c r="B2397" s="1">
        <v>5</v>
      </c>
      <c r="C2397" s="5">
        <v>7350</v>
      </c>
      <c r="D2397" s="1" t="s">
        <v>3552</v>
      </c>
      <c r="E2397" s="1" t="s">
        <v>3553</v>
      </c>
      <c r="F2397" s="1" t="s">
        <v>265</v>
      </c>
      <c r="G2397" s="1" t="s">
        <v>1029</v>
      </c>
      <c r="H2397" s="1"/>
      <c r="I2397" s="1" t="s">
        <v>933</v>
      </c>
      <c r="J2397" s="1" t="s">
        <v>66</v>
      </c>
      <c r="K2397" s="1" t="s">
        <v>340</v>
      </c>
      <c r="L2397" s="1" t="s">
        <v>3554</v>
      </c>
      <c r="M2397" s="3">
        <v>46035</v>
      </c>
      <c r="N2397" s="1" t="s">
        <v>264</v>
      </c>
      <c r="O2397" s="1" t="s">
        <v>1031</v>
      </c>
      <c r="P2397" s="1">
        <v>1</v>
      </c>
    </row>
    <row r="2398" spans="1:16" x14ac:dyDescent="0.25">
      <c r="A2398" s="3">
        <v>46035</v>
      </c>
      <c r="B2398" s="4">
        <v>1159</v>
      </c>
      <c r="C2398" s="5">
        <v>600</v>
      </c>
      <c r="D2398" s="1" t="s">
        <v>1074</v>
      </c>
      <c r="E2398" s="1" t="s">
        <v>1075</v>
      </c>
      <c r="F2398" s="1" t="s">
        <v>547</v>
      </c>
      <c r="G2398" s="1" t="s">
        <v>1058</v>
      </c>
      <c r="H2398" s="3">
        <v>46059</v>
      </c>
      <c r="I2398" s="1" t="s">
        <v>933</v>
      </c>
      <c r="J2398" s="1" t="s">
        <v>66</v>
      </c>
      <c r="K2398" s="1" t="s">
        <v>858</v>
      </c>
      <c r="L2398" s="1" t="s">
        <v>3744</v>
      </c>
      <c r="M2398" s="3">
        <v>46039</v>
      </c>
      <c r="N2398" s="1" t="s">
        <v>3729</v>
      </c>
      <c r="O2398" s="1" t="s">
        <v>936</v>
      </c>
      <c r="P2398" s="1">
        <v>1</v>
      </c>
    </row>
    <row r="2399" spans="1:16" x14ac:dyDescent="0.25">
      <c r="A2399" s="3">
        <v>46035</v>
      </c>
      <c r="B2399" s="4">
        <v>1159</v>
      </c>
      <c r="C2399" s="5">
        <v>500</v>
      </c>
      <c r="D2399" s="1" t="s">
        <v>1074</v>
      </c>
      <c r="E2399" s="1" t="s">
        <v>1075</v>
      </c>
      <c r="F2399" s="1" t="s">
        <v>837</v>
      </c>
      <c r="G2399" s="1" t="s">
        <v>1058</v>
      </c>
      <c r="H2399" s="3">
        <v>46059</v>
      </c>
      <c r="I2399" s="1" t="s">
        <v>933</v>
      </c>
      <c r="J2399" s="1" t="s">
        <v>66</v>
      </c>
      <c r="K2399" s="1" t="s">
        <v>340</v>
      </c>
      <c r="L2399" s="1" t="s">
        <v>3531</v>
      </c>
      <c r="M2399" s="3">
        <v>46039</v>
      </c>
      <c r="N2399" s="1" t="s">
        <v>3729</v>
      </c>
      <c r="O2399" s="1" t="s">
        <v>936</v>
      </c>
      <c r="P2399" s="1">
        <v>1</v>
      </c>
    </row>
    <row r="2400" spans="1:16" x14ac:dyDescent="0.25">
      <c r="A2400" s="3">
        <v>46035</v>
      </c>
      <c r="B2400" s="4">
        <v>4905</v>
      </c>
      <c r="C2400" s="5">
        <v>311.3</v>
      </c>
      <c r="D2400" s="1" t="s">
        <v>3745</v>
      </c>
      <c r="E2400" s="1" t="s">
        <v>1198</v>
      </c>
      <c r="F2400" s="1" t="s">
        <v>949</v>
      </c>
      <c r="G2400" s="1" t="s">
        <v>950</v>
      </c>
      <c r="H2400" s="3">
        <v>46052</v>
      </c>
      <c r="I2400" s="1" t="s">
        <v>933</v>
      </c>
      <c r="J2400" s="1" t="s">
        <v>951</v>
      </c>
      <c r="K2400" s="1" t="s">
        <v>20</v>
      </c>
      <c r="L2400" s="1" t="s">
        <v>3746</v>
      </c>
      <c r="M2400" s="3">
        <v>46035</v>
      </c>
      <c r="N2400" s="1" t="s">
        <v>821</v>
      </c>
      <c r="O2400" s="1" t="s">
        <v>937</v>
      </c>
      <c r="P2400" s="1">
        <v>1</v>
      </c>
    </row>
    <row r="2401" spans="1:16" x14ac:dyDescent="0.25">
      <c r="A2401" s="3">
        <v>46035</v>
      </c>
      <c r="B2401" s="1">
        <v>34</v>
      </c>
      <c r="C2401" s="5">
        <v>1630</v>
      </c>
      <c r="D2401" s="1" t="s">
        <v>1730</v>
      </c>
      <c r="E2401" s="1" t="s">
        <v>2927</v>
      </c>
      <c r="F2401" s="1" t="s">
        <v>955</v>
      </c>
      <c r="G2401" s="1" t="s">
        <v>20</v>
      </c>
      <c r="H2401" s="3">
        <v>46052</v>
      </c>
      <c r="I2401" s="1" t="s">
        <v>933</v>
      </c>
      <c r="J2401" s="1" t="s">
        <v>951</v>
      </c>
      <c r="K2401" s="1" t="s">
        <v>20</v>
      </c>
      <c r="L2401" s="1" t="s">
        <v>3748</v>
      </c>
      <c r="M2401" s="3">
        <v>46035</v>
      </c>
      <c r="N2401" s="1" t="s">
        <v>821</v>
      </c>
      <c r="O2401" s="1" t="s">
        <v>936</v>
      </c>
      <c r="P2401" s="1" t="s">
        <v>937</v>
      </c>
    </row>
    <row r="2402" spans="1:16" x14ac:dyDescent="0.25">
      <c r="A2402" s="3">
        <v>46035</v>
      </c>
      <c r="B2402" s="1">
        <v>511</v>
      </c>
      <c r="C2402" s="5">
        <v>90</v>
      </c>
      <c r="D2402" s="1" t="s">
        <v>1953</v>
      </c>
      <c r="E2402" s="1" t="s">
        <v>3326</v>
      </c>
      <c r="F2402" s="1" t="s">
        <v>683</v>
      </c>
      <c r="G2402" s="1" t="s">
        <v>990</v>
      </c>
      <c r="H2402" s="3">
        <v>46056</v>
      </c>
      <c r="I2402" s="1" t="s">
        <v>933</v>
      </c>
      <c r="J2402" s="1" t="s">
        <v>66</v>
      </c>
      <c r="K2402" s="1" t="s">
        <v>1654</v>
      </c>
      <c r="L2402" s="1" t="s">
        <v>3749</v>
      </c>
      <c r="M2402" s="3">
        <v>46036</v>
      </c>
      <c r="N2402" s="1" t="s">
        <v>75</v>
      </c>
      <c r="O2402" s="1" t="s">
        <v>936</v>
      </c>
      <c r="P2402" s="1">
        <v>1</v>
      </c>
    </row>
    <row r="2403" spans="1:16" x14ac:dyDescent="0.25">
      <c r="A2403" s="3">
        <v>46035</v>
      </c>
      <c r="B2403" s="1">
        <v>511</v>
      </c>
      <c r="C2403" s="5">
        <v>125</v>
      </c>
      <c r="D2403" s="1" t="s">
        <v>1953</v>
      </c>
      <c r="E2403" s="1" t="s">
        <v>3326</v>
      </c>
      <c r="F2403" s="1" t="s">
        <v>713</v>
      </c>
      <c r="G2403" s="1" t="s">
        <v>990</v>
      </c>
      <c r="H2403" s="3">
        <v>46056</v>
      </c>
      <c r="I2403" s="1" t="s">
        <v>933</v>
      </c>
      <c r="J2403" s="1" t="s">
        <v>66</v>
      </c>
      <c r="K2403" s="1" t="s">
        <v>1654</v>
      </c>
      <c r="L2403" s="1" t="s">
        <v>3750</v>
      </c>
      <c r="M2403" s="3">
        <v>46036</v>
      </c>
      <c r="N2403" s="1" t="s">
        <v>712</v>
      </c>
      <c r="O2403" s="1" t="s">
        <v>936</v>
      </c>
      <c r="P2403" s="1">
        <v>1</v>
      </c>
    </row>
    <row r="2404" spans="1:16" x14ac:dyDescent="0.25">
      <c r="A2404" s="3">
        <v>46035</v>
      </c>
      <c r="B2404" s="1">
        <v>511</v>
      </c>
      <c r="C2404" s="5">
        <v>285</v>
      </c>
      <c r="D2404" s="1" t="s">
        <v>1953</v>
      </c>
      <c r="E2404" s="1" t="s">
        <v>3326</v>
      </c>
      <c r="F2404" s="1" t="s">
        <v>753</v>
      </c>
      <c r="G2404" s="1" t="s">
        <v>990</v>
      </c>
      <c r="H2404" s="3">
        <v>46056</v>
      </c>
      <c r="I2404" s="1" t="s">
        <v>933</v>
      </c>
      <c r="J2404" s="1" t="s">
        <v>66</v>
      </c>
      <c r="K2404" s="1" t="s">
        <v>308</v>
      </c>
      <c r="L2404" s="1" t="s">
        <v>3751</v>
      </c>
      <c r="M2404" s="3">
        <v>46036</v>
      </c>
      <c r="N2404" s="1" t="s">
        <v>57</v>
      </c>
      <c r="O2404" s="1" t="s">
        <v>936</v>
      </c>
      <c r="P2404" s="1">
        <v>1</v>
      </c>
    </row>
    <row r="2405" spans="1:16" x14ac:dyDescent="0.25">
      <c r="A2405" s="3">
        <v>46035</v>
      </c>
      <c r="B2405" s="1">
        <v>511</v>
      </c>
      <c r="C2405" s="5">
        <v>837</v>
      </c>
      <c r="D2405" s="1" t="s">
        <v>1953</v>
      </c>
      <c r="E2405" s="1" t="s">
        <v>3326</v>
      </c>
      <c r="F2405" s="1" t="s">
        <v>955</v>
      </c>
      <c r="G2405" s="1" t="s">
        <v>990</v>
      </c>
      <c r="H2405" s="3">
        <v>46056</v>
      </c>
      <c r="I2405" s="1" t="s">
        <v>933</v>
      </c>
      <c r="J2405" s="1" t="s">
        <v>951</v>
      </c>
      <c r="K2405" s="1" t="s">
        <v>308</v>
      </c>
      <c r="L2405" s="1" t="s">
        <v>3752</v>
      </c>
      <c r="M2405" s="3">
        <v>46036</v>
      </c>
      <c r="N2405" s="1" t="s">
        <v>821</v>
      </c>
      <c r="O2405" s="1" t="s">
        <v>936</v>
      </c>
      <c r="P2405" s="1">
        <v>1</v>
      </c>
    </row>
    <row r="2406" spans="1:16" x14ac:dyDescent="0.25">
      <c r="A2406" s="3">
        <v>46035</v>
      </c>
      <c r="B2406" s="1">
        <v>511</v>
      </c>
      <c r="C2406" s="5">
        <v>40</v>
      </c>
      <c r="D2406" s="1" t="s">
        <v>1953</v>
      </c>
      <c r="E2406" s="1" t="s">
        <v>3326</v>
      </c>
      <c r="F2406" s="1" t="s">
        <v>483</v>
      </c>
      <c r="G2406" s="1" t="s">
        <v>990</v>
      </c>
      <c r="H2406" s="3">
        <v>46056</v>
      </c>
      <c r="I2406" s="1" t="s">
        <v>933</v>
      </c>
      <c r="J2406" s="1" t="s">
        <v>66</v>
      </c>
      <c r="K2406" s="1" t="s">
        <v>934</v>
      </c>
      <c r="L2406" s="1" t="s">
        <v>3753</v>
      </c>
      <c r="M2406" s="3">
        <v>46036</v>
      </c>
      <c r="N2406" s="1" t="s">
        <v>383</v>
      </c>
      <c r="O2406" s="1" t="s">
        <v>936</v>
      </c>
      <c r="P2406" s="1">
        <v>1</v>
      </c>
    </row>
    <row r="2407" spans="1:16" x14ac:dyDescent="0.25">
      <c r="A2407" s="3">
        <v>46035</v>
      </c>
      <c r="B2407" s="1">
        <v>511</v>
      </c>
      <c r="C2407" s="5">
        <v>155</v>
      </c>
      <c r="D2407" s="1" t="s">
        <v>1953</v>
      </c>
      <c r="E2407" s="1" t="s">
        <v>3326</v>
      </c>
      <c r="F2407" s="1" t="s">
        <v>773</v>
      </c>
      <c r="G2407" s="1" t="s">
        <v>990</v>
      </c>
      <c r="H2407" s="3">
        <v>46056</v>
      </c>
      <c r="I2407" s="1" t="s">
        <v>933</v>
      </c>
      <c r="J2407" s="1" t="s">
        <v>66</v>
      </c>
      <c r="K2407" s="1" t="s">
        <v>308</v>
      </c>
      <c r="L2407" s="1" t="s">
        <v>3749</v>
      </c>
      <c r="M2407" s="3">
        <v>46036</v>
      </c>
      <c r="N2407" s="1" t="s">
        <v>57</v>
      </c>
      <c r="O2407" s="1" t="s">
        <v>936</v>
      </c>
      <c r="P2407" s="1">
        <v>1</v>
      </c>
    </row>
    <row r="2408" spans="1:16" x14ac:dyDescent="0.25">
      <c r="A2408" s="3">
        <v>46035</v>
      </c>
      <c r="B2408" s="1">
        <v>511</v>
      </c>
      <c r="C2408" s="5">
        <v>180</v>
      </c>
      <c r="D2408" s="1" t="s">
        <v>1953</v>
      </c>
      <c r="E2408" s="1" t="s">
        <v>3326</v>
      </c>
      <c r="F2408" s="1" t="s">
        <v>430</v>
      </c>
      <c r="G2408" s="1" t="s">
        <v>990</v>
      </c>
      <c r="H2408" s="3">
        <v>46056</v>
      </c>
      <c r="I2408" s="1" t="s">
        <v>933</v>
      </c>
      <c r="J2408" s="1" t="s">
        <v>66</v>
      </c>
      <c r="K2408" s="1" t="s">
        <v>1654</v>
      </c>
      <c r="L2408" s="1" t="s">
        <v>3754</v>
      </c>
      <c r="M2408" s="3">
        <v>46036</v>
      </c>
      <c r="N2408" s="1" t="s">
        <v>57</v>
      </c>
      <c r="O2408" s="1" t="s">
        <v>936</v>
      </c>
      <c r="P2408" s="1">
        <v>1</v>
      </c>
    </row>
    <row r="2409" spans="1:16" x14ac:dyDescent="0.25">
      <c r="A2409" s="3">
        <v>46035</v>
      </c>
      <c r="B2409" s="1">
        <v>511</v>
      </c>
      <c r="C2409" s="5">
        <v>90</v>
      </c>
      <c r="D2409" s="1" t="s">
        <v>1953</v>
      </c>
      <c r="E2409" s="1" t="s">
        <v>3326</v>
      </c>
      <c r="F2409" s="1" t="s">
        <v>955</v>
      </c>
      <c r="G2409" s="1" t="s">
        <v>990</v>
      </c>
      <c r="H2409" s="3">
        <v>46056</v>
      </c>
      <c r="I2409" s="1" t="s">
        <v>933</v>
      </c>
      <c r="J2409" s="1" t="s">
        <v>951</v>
      </c>
      <c r="K2409" s="1" t="s">
        <v>934</v>
      </c>
      <c r="L2409" s="1" t="s">
        <v>3755</v>
      </c>
      <c r="M2409" s="3">
        <v>46036</v>
      </c>
      <c r="N2409" s="1" t="s">
        <v>821</v>
      </c>
      <c r="O2409" s="1" t="s">
        <v>936</v>
      </c>
      <c r="P2409" s="1">
        <v>1</v>
      </c>
    </row>
    <row r="2410" spans="1:16" x14ac:dyDescent="0.25">
      <c r="A2410" s="3">
        <v>46035</v>
      </c>
      <c r="B2410" s="1">
        <v>511</v>
      </c>
      <c r="C2410" s="5">
        <v>40</v>
      </c>
      <c r="D2410" s="1" t="s">
        <v>1953</v>
      </c>
      <c r="E2410" s="1" t="s">
        <v>3326</v>
      </c>
      <c r="F2410" s="1" t="s">
        <v>955</v>
      </c>
      <c r="G2410" s="1" t="s">
        <v>990</v>
      </c>
      <c r="H2410" s="3">
        <v>46056</v>
      </c>
      <c r="I2410" s="1" t="s">
        <v>933</v>
      </c>
      <c r="J2410" s="1" t="s">
        <v>951</v>
      </c>
      <c r="K2410" s="1" t="s">
        <v>934</v>
      </c>
      <c r="L2410" s="1" t="s">
        <v>3756</v>
      </c>
      <c r="M2410" s="3">
        <v>46036</v>
      </c>
      <c r="N2410" s="1" t="s">
        <v>821</v>
      </c>
      <c r="O2410" s="1" t="s">
        <v>936</v>
      </c>
      <c r="P2410" s="1">
        <v>1</v>
      </c>
    </row>
    <row r="2411" spans="1:16" x14ac:dyDescent="0.25">
      <c r="A2411" s="3">
        <v>46035</v>
      </c>
      <c r="B2411" s="1">
        <v>511</v>
      </c>
      <c r="C2411" s="5">
        <v>240</v>
      </c>
      <c r="D2411" s="1" t="s">
        <v>1953</v>
      </c>
      <c r="E2411" s="1" t="s">
        <v>3326</v>
      </c>
      <c r="F2411" s="1" t="s">
        <v>426</v>
      </c>
      <c r="G2411" s="1" t="s">
        <v>990</v>
      </c>
      <c r="H2411" s="3">
        <v>46056</v>
      </c>
      <c r="I2411" s="1" t="s">
        <v>933</v>
      </c>
      <c r="J2411" s="1" t="s">
        <v>66</v>
      </c>
      <c r="K2411" s="1" t="s">
        <v>308</v>
      </c>
      <c r="L2411" s="1" t="s">
        <v>3757</v>
      </c>
      <c r="M2411" s="3">
        <v>46036</v>
      </c>
      <c r="N2411" s="1" t="s">
        <v>429</v>
      </c>
      <c r="O2411" s="1" t="s">
        <v>936</v>
      </c>
      <c r="P2411" s="1">
        <v>1</v>
      </c>
    </row>
    <row r="2412" spans="1:16" x14ac:dyDescent="0.25">
      <c r="A2412" s="3">
        <v>46035</v>
      </c>
      <c r="B2412" s="1">
        <v>511</v>
      </c>
      <c r="C2412" s="5">
        <v>270</v>
      </c>
      <c r="D2412" s="1" t="s">
        <v>1953</v>
      </c>
      <c r="E2412" s="1" t="s">
        <v>3326</v>
      </c>
      <c r="F2412" s="1" t="s">
        <v>955</v>
      </c>
      <c r="G2412" s="1" t="s">
        <v>990</v>
      </c>
      <c r="H2412" s="3">
        <v>46056</v>
      </c>
      <c r="I2412" s="1" t="s">
        <v>933</v>
      </c>
      <c r="J2412" s="1" t="s">
        <v>951</v>
      </c>
      <c r="K2412" s="1" t="s">
        <v>934</v>
      </c>
      <c r="L2412" s="1" t="s">
        <v>3758</v>
      </c>
      <c r="M2412" s="3">
        <v>46036</v>
      </c>
      <c r="N2412" s="1" t="s">
        <v>821</v>
      </c>
      <c r="O2412" s="1" t="s">
        <v>936</v>
      </c>
      <c r="P2412" s="1">
        <v>1</v>
      </c>
    </row>
    <row r="2413" spans="1:16" x14ac:dyDescent="0.25">
      <c r="A2413" s="3">
        <v>46035</v>
      </c>
      <c r="B2413" s="1">
        <v>511</v>
      </c>
      <c r="C2413" s="5">
        <v>260</v>
      </c>
      <c r="D2413" s="1" t="s">
        <v>1953</v>
      </c>
      <c r="E2413" s="1" t="s">
        <v>3326</v>
      </c>
      <c r="F2413" s="1" t="s">
        <v>717</v>
      </c>
      <c r="G2413" s="1" t="s">
        <v>990</v>
      </c>
      <c r="H2413" s="3">
        <v>46056</v>
      </c>
      <c r="I2413" s="1" t="s">
        <v>933</v>
      </c>
      <c r="J2413" s="1" t="s">
        <v>66</v>
      </c>
      <c r="K2413" s="1" t="s">
        <v>340</v>
      </c>
      <c r="L2413" s="1" t="s">
        <v>3759</v>
      </c>
      <c r="M2413" s="3">
        <v>46036</v>
      </c>
      <c r="N2413" s="1" t="s">
        <v>712</v>
      </c>
      <c r="O2413" s="1" t="s">
        <v>936</v>
      </c>
      <c r="P2413" s="1">
        <v>1</v>
      </c>
    </row>
    <row r="2414" spans="1:16" x14ac:dyDescent="0.25">
      <c r="A2414" s="3">
        <v>46035</v>
      </c>
      <c r="B2414" s="1">
        <v>511</v>
      </c>
      <c r="C2414" s="5">
        <v>290</v>
      </c>
      <c r="D2414" s="1" t="s">
        <v>1953</v>
      </c>
      <c r="E2414" s="1" t="s">
        <v>3326</v>
      </c>
      <c r="F2414" s="1" t="s">
        <v>650</v>
      </c>
      <c r="G2414" s="1" t="s">
        <v>990</v>
      </c>
      <c r="H2414" s="3">
        <v>46056</v>
      </c>
      <c r="I2414" s="1" t="s">
        <v>933</v>
      </c>
      <c r="J2414" s="1" t="s">
        <v>66</v>
      </c>
      <c r="K2414" s="1" t="s">
        <v>340</v>
      </c>
      <c r="L2414" s="1" t="s">
        <v>3760</v>
      </c>
      <c r="M2414" s="3">
        <v>46036</v>
      </c>
      <c r="N2414" s="1" t="s">
        <v>57</v>
      </c>
      <c r="O2414" s="1" t="s">
        <v>936</v>
      </c>
      <c r="P2414" s="1">
        <v>1</v>
      </c>
    </row>
    <row r="2415" spans="1:16" x14ac:dyDescent="0.25">
      <c r="A2415" s="3">
        <v>46035</v>
      </c>
      <c r="B2415" s="1">
        <v>511</v>
      </c>
      <c r="C2415" s="5">
        <v>995</v>
      </c>
      <c r="D2415" s="1" t="s">
        <v>1953</v>
      </c>
      <c r="E2415" s="1" t="s">
        <v>3326</v>
      </c>
      <c r="F2415" s="1" t="s">
        <v>697</v>
      </c>
      <c r="G2415" s="1" t="s">
        <v>990</v>
      </c>
      <c r="H2415" s="3">
        <v>46056</v>
      </c>
      <c r="I2415" s="1" t="s">
        <v>933</v>
      </c>
      <c r="J2415" s="1" t="s">
        <v>66</v>
      </c>
      <c r="K2415" s="1" t="s">
        <v>340</v>
      </c>
      <c r="L2415" s="1" t="s">
        <v>3761</v>
      </c>
      <c r="M2415" s="3">
        <v>46036</v>
      </c>
      <c r="N2415" s="1" t="s">
        <v>383</v>
      </c>
      <c r="O2415" s="1" t="s">
        <v>936</v>
      </c>
      <c r="P2415" s="1">
        <v>1</v>
      </c>
    </row>
    <row r="2416" spans="1:16" x14ac:dyDescent="0.25">
      <c r="A2416" s="3">
        <v>46035</v>
      </c>
      <c r="B2416" s="1">
        <v>511</v>
      </c>
      <c r="C2416" s="5">
        <v>630</v>
      </c>
      <c r="D2416" s="1" t="s">
        <v>1953</v>
      </c>
      <c r="E2416" s="1" t="s">
        <v>3326</v>
      </c>
      <c r="F2416" s="1" t="s">
        <v>245</v>
      </c>
      <c r="G2416" s="1" t="s">
        <v>990</v>
      </c>
      <c r="H2416" s="3">
        <v>46056</v>
      </c>
      <c r="I2416" s="1" t="s">
        <v>933</v>
      </c>
      <c r="J2416" s="1" t="s">
        <v>66</v>
      </c>
      <c r="K2416" s="1" t="s">
        <v>308</v>
      </c>
      <c r="L2416" s="1" t="s">
        <v>3762</v>
      </c>
      <c r="M2416" s="3">
        <v>46036</v>
      </c>
      <c r="N2416" s="1" t="s">
        <v>57</v>
      </c>
      <c r="O2416" s="1" t="s">
        <v>936</v>
      </c>
      <c r="P2416" s="1">
        <v>1</v>
      </c>
    </row>
    <row r="2417" spans="1:16" x14ac:dyDescent="0.25">
      <c r="A2417" s="3">
        <v>46035</v>
      </c>
      <c r="B2417" s="1">
        <v>511</v>
      </c>
      <c r="C2417" s="5">
        <v>1570</v>
      </c>
      <c r="D2417" s="1" t="s">
        <v>1953</v>
      </c>
      <c r="E2417" s="1" t="s">
        <v>3326</v>
      </c>
      <c r="F2417" s="1" t="s">
        <v>419</v>
      </c>
      <c r="G2417" s="1" t="s">
        <v>990</v>
      </c>
      <c r="H2417" s="3">
        <v>46056</v>
      </c>
      <c r="I2417" s="1" t="s">
        <v>994</v>
      </c>
      <c r="J2417" s="1" t="s">
        <v>66</v>
      </c>
      <c r="K2417" s="1" t="s">
        <v>308</v>
      </c>
      <c r="L2417" s="1" t="s">
        <v>3763</v>
      </c>
      <c r="M2417" s="3">
        <v>46036</v>
      </c>
      <c r="N2417" s="1" t="s">
        <v>98</v>
      </c>
      <c r="O2417" s="1" t="s">
        <v>936</v>
      </c>
      <c r="P2417" s="1">
        <v>1</v>
      </c>
    </row>
    <row r="2418" spans="1:16" x14ac:dyDescent="0.25">
      <c r="A2418" s="3">
        <v>46035</v>
      </c>
      <c r="B2418" s="1">
        <v>511</v>
      </c>
      <c r="C2418" s="5">
        <v>75</v>
      </c>
      <c r="D2418" s="1" t="s">
        <v>1953</v>
      </c>
      <c r="E2418" s="1" t="s">
        <v>3326</v>
      </c>
      <c r="F2418" s="1" t="s">
        <v>721</v>
      </c>
      <c r="G2418" s="1" t="s">
        <v>990</v>
      </c>
      <c r="H2418" s="3">
        <v>46056</v>
      </c>
      <c r="I2418" s="1" t="s">
        <v>933</v>
      </c>
      <c r="J2418" s="1" t="s">
        <v>66</v>
      </c>
      <c r="K2418" s="1" t="s">
        <v>340</v>
      </c>
      <c r="L2418" s="1" t="s">
        <v>3764</v>
      </c>
      <c r="M2418" s="3">
        <v>46036</v>
      </c>
      <c r="N2418" s="1" t="s">
        <v>712</v>
      </c>
      <c r="O2418" s="1" t="s">
        <v>936</v>
      </c>
      <c r="P2418" s="1">
        <v>1</v>
      </c>
    </row>
    <row r="2419" spans="1:16" x14ac:dyDescent="0.25">
      <c r="A2419" s="3">
        <v>46035</v>
      </c>
      <c r="B2419" s="1">
        <v>511</v>
      </c>
      <c r="C2419" s="5">
        <v>535</v>
      </c>
      <c r="D2419" s="1" t="s">
        <v>1953</v>
      </c>
      <c r="E2419" s="1" t="s">
        <v>3326</v>
      </c>
      <c r="F2419" s="1" t="s">
        <v>222</v>
      </c>
      <c r="G2419" s="1" t="s">
        <v>990</v>
      </c>
      <c r="H2419" s="3">
        <v>46056</v>
      </c>
      <c r="I2419" s="1" t="s">
        <v>933</v>
      </c>
      <c r="J2419" s="1" t="s">
        <v>66</v>
      </c>
      <c r="K2419" s="1" t="s">
        <v>1654</v>
      </c>
      <c r="L2419" s="1" t="s">
        <v>3765</v>
      </c>
      <c r="M2419" s="3">
        <v>46036</v>
      </c>
      <c r="N2419" s="1" t="s">
        <v>93</v>
      </c>
      <c r="O2419" s="1" t="s">
        <v>936</v>
      </c>
      <c r="P2419" s="1">
        <v>1</v>
      </c>
    </row>
    <row r="2420" spans="1:16" x14ac:dyDescent="0.25">
      <c r="A2420" s="3">
        <v>46035</v>
      </c>
      <c r="B2420" s="1">
        <v>511</v>
      </c>
      <c r="C2420" s="5">
        <v>80</v>
      </c>
      <c r="D2420" s="1" t="s">
        <v>1953</v>
      </c>
      <c r="E2420" s="1" t="s">
        <v>3326</v>
      </c>
      <c r="F2420" s="1" t="s">
        <v>955</v>
      </c>
      <c r="G2420" s="1" t="s">
        <v>990</v>
      </c>
      <c r="H2420" s="3">
        <v>46056</v>
      </c>
      <c r="I2420" s="1" t="s">
        <v>933</v>
      </c>
      <c r="J2420" s="1" t="s">
        <v>951</v>
      </c>
      <c r="K2420" s="1" t="s">
        <v>934</v>
      </c>
      <c r="L2420" s="1" t="s">
        <v>3766</v>
      </c>
      <c r="M2420" s="3">
        <v>46036</v>
      </c>
      <c r="N2420" s="1" t="s">
        <v>821</v>
      </c>
      <c r="O2420" s="1" t="s">
        <v>936</v>
      </c>
      <c r="P2420" s="1">
        <v>1</v>
      </c>
    </row>
    <row r="2421" spans="1:16" x14ac:dyDescent="0.25">
      <c r="A2421" s="3">
        <v>46035</v>
      </c>
      <c r="B2421" s="1">
        <v>511</v>
      </c>
      <c r="C2421" s="5">
        <v>130</v>
      </c>
      <c r="D2421" s="1" t="s">
        <v>1953</v>
      </c>
      <c r="E2421" s="1" t="s">
        <v>3326</v>
      </c>
      <c r="F2421" s="1" t="s">
        <v>750</v>
      </c>
      <c r="G2421" s="1" t="s">
        <v>990</v>
      </c>
      <c r="H2421" s="3">
        <v>46056</v>
      </c>
      <c r="I2421" s="1" t="s">
        <v>933</v>
      </c>
      <c r="J2421" s="1" t="s">
        <v>66</v>
      </c>
      <c r="K2421" s="1" t="s">
        <v>340</v>
      </c>
      <c r="L2421" s="1" t="s">
        <v>3767</v>
      </c>
      <c r="M2421" s="3">
        <v>46036</v>
      </c>
      <c r="N2421" s="1" t="s">
        <v>752</v>
      </c>
      <c r="O2421" s="1" t="s">
        <v>936</v>
      </c>
      <c r="P2421" s="1">
        <v>1</v>
      </c>
    </row>
    <row r="2422" spans="1:16" x14ac:dyDescent="0.25">
      <c r="A2422" s="3">
        <v>46035</v>
      </c>
      <c r="B2422" s="1">
        <v>511</v>
      </c>
      <c r="C2422" s="5">
        <v>95</v>
      </c>
      <c r="D2422" s="1" t="s">
        <v>1953</v>
      </c>
      <c r="E2422" s="1" t="s">
        <v>3326</v>
      </c>
      <c r="F2422" s="1" t="s">
        <v>827</v>
      </c>
      <c r="G2422" s="1" t="s">
        <v>990</v>
      </c>
      <c r="H2422" s="3">
        <v>46056</v>
      </c>
      <c r="I2422" s="1" t="s">
        <v>933</v>
      </c>
      <c r="J2422" s="1" t="s">
        <v>66</v>
      </c>
      <c r="K2422" s="1" t="s">
        <v>340</v>
      </c>
      <c r="L2422" s="1" t="s">
        <v>3749</v>
      </c>
      <c r="M2422" s="3">
        <v>46036</v>
      </c>
      <c r="N2422" s="1" t="s">
        <v>772</v>
      </c>
      <c r="O2422" s="1" t="s">
        <v>936</v>
      </c>
      <c r="P2422" s="1">
        <v>1</v>
      </c>
    </row>
    <row r="2423" spans="1:16" x14ac:dyDescent="0.25">
      <c r="A2423" s="3">
        <v>46035</v>
      </c>
      <c r="B2423" s="1">
        <v>510</v>
      </c>
      <c r="C2423" s="5">
        <v>175</v>
      </c>
      <c r="D2423" s="1" t="s">
        <v>1953</v>
      </c>
      <c r="E2423" s="1" t="s">
        <v>3326</v>
      </c>
      <c r="F2423" s="1" t="s">
        <v>732</v>
      </c>
      <c r="G2423" s="1" t="s">
        <v>990</v>
      </c>
      <c r="H2423" s="3">
        <v>46052</v>
      </c>
      <c r="I2423" s="1" t="s">
        <v>933</v>
      </c>
      <c r="J2423" s="1" t="s">
        <v>66</v>
      </c>
      <c r="K2423" s="1" t="s">
        <v>340</v>
      </c>
      <c r="L2423" s="1" t="s">
        <v>3768</v>
      </c>
      <c r="M2423" s="3">
        <v>46037</v>
      </c>
      <c r="N2423" s="1" t="s">
        <v>115</v>
      </c>
      <c r="O2423" s="1" t="s">
        <v>936</v>
      </c>
      <c r="P2423" s="1">
        <v>1</v>
      </c>
    </row>
    <row r="2424" spans="1:16" x14ac:dyDescent="0.25">
      <c r="A2424" s="3">
        <v>46035</v>
      </c>
      <c r="B2424" s="1">
        <v>510</v>
      </c>
      <c r="C2424" s="5">
        <v>100</v>
      </c>
      <c r="D2424" s="1" t="s">
        <v>1953</v>
      </c>
      <c r="E2424" s="1" t="s">
        <v>3326</v>
      </c>
      <c r="F2424" s="1" t="s">
        <v>245</v>
      </c>
      <c r="G2424" s="1" t="s">
        <v>990</v>
      </c>
      <c r="H2424" s="3">
        <v>46052</v>
      </c>
      <c r="I2424" s="1" t="s">
        <v>933</v>
      </c>
      <c r="J2424" s="1" t="s">
        <v>66</v>
      </c>
      <c r="K2424" s="1" t="s">
        <v>308</v>
      </c>
      <c r="L2424" s="1" t="s">
        <v>3770</v>
      </c>
      <c r="M2424" s="3">
        <v>46037</v>
      </c>
      <c r="N2424" s="1" t="s">
        <v>57</v>
      </c>
      <c r="O2424" s="1" t="s">
        <v>936</v>
      </c>
      <c r="P2424" s="1">
        <v>1</v>
      </c>
    </row>
    <row r="2425" spans="1:16" x14ac:dyDescent="0.25">
      <c r="A2425" s="3">
        <v>46035</v>
      </c>
      <c r="B2425" s="1">
        <v>510</v>
      </c>
      <c r="C2425" s="5">
        <v>140</v>
      </c>
      <c r="D2425" s="1" t="s">
        <v>1953</v>
      </c>
      <c r="E2425" s="1" t="s">
        <v>3326</v>
      </c>
      <c r="F2425" s="1" t="s">
        <v>670</v>
      </c>
      <c r="G2425" s="1" t="s">
        <v>990</v>
      </c>
      <c r="H2425" s="3">
        <v>46052</v>
      </c>
      <c r="I2425" s="1" t="s">
        <v>933</v>
      </c>
      <c r="J2425" s="1" t="s">
        <v>66</v>
      </c>
      <c r="K2425" s="1" t="s">
        <v>659</v>
      </c>
      <c r="L2425" s="1" t="s">
        <v>3771</v>
      </c>
      <c r="M2425" s="3">
        <v>46037</v>
      </c>
      <c r="N2425" s="1" t="s">
        <v>57</v>
      </c>
      <c r="O2425" s="1" t="s">
        <v>936</v>
      </c>
      <c r="P2425" s="1">
        <v>1</v>
      </c>
    </row>
    <row r="2426" spans="1:16" x14ac:dyDescent="0.25">
      <c r="A2426" s="3">
        <v>46035</v>
      </c>
      <c r="B2426" s="1">
        <v>510</v>
      </c>
      <c r="C2426" s="5">
        <v>130</v>
      </c>
      <c r="D2426" s="1" t="s">
        <v>1953</v>
      </c>
      <c r="E2426" s="1" t="s">
        <v>3326</v>
      </c>
      <c r="F2426" s="1" t="s">
        <v>727</v>
      </c>
      <c r="G2426" s="1" t="s">
        <v>990</v>
      </c>
      <c r="H2426" s="3">
        <v>46052</v>
      </c>
      <c r="I2426" s="1" t="s">
        <v>933</v>
      </c>
      <c r="J2426" s="1" t="s">
        <v>66</v>
      </c>
      <c r="K2426" s="1" t="s">
        <v>308</v>
      </c>
      <c r="L2426" s="1" t="s">
        <v>3772</v>
      </c>
      <c r="M2426" s="3">
        <v>46037</v>
      </c>
      <c r="N2426" s="1" t="s">
        <v>57</v>
      </c>
      <c r="O2426" s="1" t="s">
        <v>936</v>
      </c>
      <c r="P2426" s="1">
        <v>1</v>
      </c>
    </row>
    <row r="2427" spans="1:16" x14ac:dyDescent="0.25">
      <c r="A2427" s="3">
        <v>46035</v>
      </c>
      <c r="B2427" s="1">
        <v>510</v>
      </c>
      <c r="C2427" s="5">
        <v>35</v>
      </c>
      <c r="D2427" s="1" t="s">
        <v>1953</v>
      </c>
      <c r="E2427" s="1" t="s">
        <v>3326</v>
      </c>
      <c r="F2427" s="1" t="s">
        <v>457</v>
      </c>
      <c r="G2427" s="1" t="s">
        <v>990</v>
      </c>
      <c r="H2427" s="3">
        <v>46052</v>
      </c>
      <c r="I2427" s="1" t="s">
        <v>933</v>
      </c>
      <c r="J2427" s="1" t="s">
        <v>66</v>
      </c>
      <c r="K2427" s="1" t="s">
        <v>308</v>
      </c>
      <c r="L2427" s="1" t="s">
        <v>3773</v>
      </c>
      <c r="M2427" s="3">
        <v>46037</v>
      </c>
      <c r="N2427" s="1" t="s">
        <v>358</v>
      </c>
      <c r="O2427" s="1" t="s">
        <v>936</v>
      </c>
      <c r="P2427" s="1">
        <v>1</v>
      </c>
    </row>
    <row r="2428" spans="1:16" x14ac:dyDescent="0.25">
      <c r="A2428" s="3">
        <v>46035</v>
      </c>
      <c r="B2428" s="1">
        <v>510</v>
      </c>
      <c r="C2428" s="5">
        <v>420</v>
      </c>
      <c r="D2428" s="1" t="s">
        <v>1953</v>
      </c>
      <c r="E2428" s="1" t="s">
        <v>3326</v>
      </c>
      <c r="F2428" s="1" t="s">
        <v>422</v>
      </c>
      <c r="G2428" s="1" t="s">
        <v>990</v>
      </c>
      <c r="H2428" s="3">
        <v>46052</v>
      </c>
      <c r="I2428" s="1" t="s">
        <v>933</v>
      </c>
      <c r="J2428" s="1" t="s">
        <v>66</v>
      </c>
      <c r="K2428" s="1" t="s">
        <v>340</v>
      </c>
      <c r="L2428" s="1" t="s">
        <v>3770</v>
      </c>
      <c r="M2428" s="3">
        <v>46037</v>
      </c>
      <c r="N2428" s="1" t="s">
        <v>75</v>
      </c>
      <c r="O2428" s="1" t="s">
        <v>936</v>
      </c>
      <c r="P2428" s="1">
        <v>1</v>
      </c>
    </row>
    <row r="2429" spans="1:16" x14ac:dyDescent="0.25">
      <c r="A2429" s="3">
        <v>46035</v>
      </c>
      <c r="B2429" s="1">
        <v>510</v>
      </c>
      <c r="C2429" s="5">
        <v>760</v>
      </c>
      <c r="D2429" s="1" t="s">
        <v>1953</v>
      </c>
      <c r="E2429" s="1" t="s">
        <v>3326</v>
      </c>
      <c r="F2429" s="1" t="s">
        <v>906</v>
      </c>
      <c r="G2429" s="1" t="s">
        <v>990</v>
      </c>
      <c r="H2429" s="3">
        <v>46052</v>
      </c>
      <c r="I2429" s="1" t="s">
        <v>933</v>
      </c>
      <c r="J2429" s="1" t="s">
        <v>66</v>
      </c>
      <c r="K2429" s="1" t="s">
        <v>308</v>
      </c>
      <c r="L2429" s="1" t="s">
        <v>3774</v>
      </c>
      <c r="M2429" s="3">
        <v>46037</v>
      </c>
      <c r="N2429" s="1" t="s">
        <v>57</v>
      </c>
      <c r="O2429" s="1" t="s">
        <v>936</v>
      </c>
      <c r="P2429" s="1">
        <v>1</v>
      </c>
    </row>
    <row r="2430" spans="1:16" x14ac:dyDescent="0.25">
      <c r="A2430" s="3">
        <v>46035</v>
      </c>
      <c r="B2430" s="1">
        <v>510</v>
      </c>
      <c r="C2430" s="5">
        <v>100</v>
      </c>
      <c r="D2430" s="1" t="s">
        <v>1953</v>
      </c>
      <c r="E2430" s="1" t="s">
        <v>3326</v>
      </c>
      <c r="F2430" s="1" t="s">
        <v>683</v>
      </c>
      <c r="G2430" s="1" t="s">
        <v>990</v>
      </c>
      <c r="H2430" s="3">
        <v>46052</v>
      </c>
      <c r="I2430" s="1" t="s">
        <v>933</v>
      </c>
      <c r="J2430" s="1" t="s">
        <v>66</v>
      </c>
      <c r="K2430" s="1" t="s">
        <v>1654</v>
      </c>
      <c r="L2430" s="1" t="s">
        <v>3775</v>
      </c>
      <c r="M2430" s="3">
        <v>46037</v>
      </c>
      <c r="N2430" s="1" t="s">
        <v>75</v>
      </c>
      <c r="O2430" s="1" t="s">
        <v>936</v>
      </c>
      <c r="P2430" s="1">
        <v>1</v>
      </c>
    </row>
    <row r="2431" spans="1:16" x14ac:dyDescent="0.25">
      <c r="A2431" s="3">
        <v>46035</v>
      </c>
      <c r="B2431" s="1">
        <v>510</v>
      </c>
      <c r="C2431" s="5">
        <v>420</v>
      </c>
      <c r="D2431" s="1" t="s">
        <v>1953</v>
      </c>
      <c r="E2431" s="1" t="s">
        <v>3326</v>
      </c>
      <c r="F2431" s="1" t="s">
        <v>686</v>
      </c>
      <c r="G2431" s="1" t="s">
        <v>990</v>
      </c>
      <c r="H2431" s="3">
        <v>46052</v>
      </c>
      <c r="I2431" s="1" t="s">
        <v>933</v>
      </c>
      <c r="J2431" s="1" t="s">
        <v>66</v>
      </c>
      <c r="K2431" s="1" t="s">
        <v>308</v>
      </c>
      <c r="L2431" s="1" t="s">
        <v>3777</v>
      </c>
      <c r="M2431" s="3">
        <v>46037</v>
      </c>
      <c r="N2431" s="1" t="s">
        <v>57</v>
      </c>
      <c r="O2431" s="1" t="s">
        <v>936</v>
      </c>
      <c r="P2431" s="1">
        <v>1</v>
      </c>
    </row>
    <row r="2432" spans="1:16" x14ac:dyDescent="0.25">
      <c r="A2432" s="3">
        <v>46035</v>
      </c>
      <c r="B2432" s="1">
        <v>510</v>
      </c>
      <c r="C2432" s="5">
        <v>720</v>
      </c>
      <c r="D2432" s="1" t="s">
        <v>1953</v>
      </c>
      <c r="E2432" s="1" t="s">
        <v>3326</v>
      </c>
      <c r="F2432" s="1" t="s">
        <v>218</v>
      </c>
      <c r="G2432" s="1" t="s">
        <v>990</v>
      </c>
      <c r="H2432" s="3">
        <v>46052</v>
      </c>
      <c r="I2432" s="1" t="s">
        <v>3778</v>
      </c>
      <c r="J2432" s="1" t="s">
        <v>66</v>
      </c>
      <c r="K2432" s="1" t="s">
        <v>1654</v>
      </c>
      <c r="L2432" s="1" t="s">
        <v>3779</v>
      </c>
      <c r="M2432" s="3">
        <v>46037</v>
      </c>
      <c r="N2432" s="1" t="s">
        <v>221</v>
      </c>
      <c r="O2432" s="1" t="s">
        <v>936</v>
      </c>
      <c r="P2432" s="1">
        <v>1</v>
      </c>
    </row>
    <row r="2433" spans="1:16" x14ac:dyDescent="0.25">
      <c r="A2433" s="3">
        <v>46035</v>
      </c>
      <c r="B2433" s="4">
        <v>51837520</v>
      </c>
      <c r="C2433" s="5">
        <v>12160</v>
      </c>
      <c r="D2433" s="1" t="s">
        <v>1604</v>
      </c>
      <c r="E2433" s="1" t="s">
        <v>1605</v>
      </c>
      <c r="F2433" s="1" t="s">
        <v>955</v>
      </c>
      <c r="G2433" s="1" t="s">
        <v>472</v>
      </c>
      <c r="H2433" s="3">
        <v>46050</v>
      </c>
      <c r="I2433" s="1" t="s">
        <v>933</v>
      </c>
      <c r="J2433" s="1" t="s">
        <v>951</v>
      </c>
      <c r="K2433" s="1" t="s">
        <v>934</v>
      </c>
      <c r="L2433" s="1" t="s">
        <v>3780</v>
      </c>
      <c r="M2433" s="3">
        <v>46038</v>
      </c>
      <c r="N2433" s="1" t="s">
        <v>821</v>
      </c>
      <c r="O2433" s="1" t="s">
        <v>932</v>
      </c>
      <c r="P2433" s="1">
        <v>1</v>
      </c>
    </row>
    <row r="2434" spans="1:16" x14ac:dyDescent="0.25">
      <c r="A2434" s="3">
        <v>46035</v>
      </c>
      <c r="B2434" s="1">
        <v>6</v>
      </c>
      <c r="C2434" s="5">
        <v>7500</v>
      </c>
      <c r="D2434" s="1" t="s">
        <v>1376</v>
      </c>
      <c r="E2434" s="1" t="s">
        <v>1377</v>
      </c>
      <c r="F2434" s="1" t="s">
        <v>955</v>
      </c>
      <c r="G2434" s="1" t="s">
        <v>1029</v>
      </c>
      <c r="H2434" s="3">
        <v>46035</v>
      </c>
      <c r="I2434" s="1" t="s">
        <v>933</v>
      </c>
      <c r="J2434" s="1" t="s">
        <v>951</v>
      </c>
      <c r="K2434" s="1" t="s">
        <v>66</v>
      </c>
      <c r="L2434" s="1" t="s">
        <v>3781</v>
      </c>
      <c r="M2434" s="3">
        <v>46038</v>
      </c>
      <c r="N2434" s="1" t="s">
        <v>821</v>
      </c>
      <c r="O2434" s="1" t="s">
        <v>936</v>
      </c>
      <c r="P2434" s="1" t="s">
        <v>937</v>
      </c>
    </row>
    <row r="2435" spans="1:16" x14ac:dyDescent="0.25">
      <c r="A2435" s="3">
        <v>46035</v>
      </c>
      <c r="B2435" s="1">
        <v>5</v>
      </c>
      <c r="C2435" s="5">
        <v>7350</v>
      </c>
      <c r="D2435" s="1" t="s">
        <v>1376</v>
      </c>
      <c r="E2435" s="1" t="s">
        <v>1377</v>
      </c>
      <c r="F2435" s="1" t="s">
        <v>955</v>
      </c>
      <c r="G2435" s="1" t="s">
        <v>1029</v>
      </c>
      <c r="H2435" s="3">
        <v>46052</v>
      </c>
      <c r="I2435" s="1" t="s">
        <v>933</v>
      </c>
      <c r="J2435" s="1" t="s">
        <v>951</v>
      </c>
      <c r="K2435" s="1" t="s">
        <v>66</v>
      </c>
      <c r="L2435" s="1" t="s">
        <v>3782</v>
      </c>
      <c r="M2435" s="3">
        <v>46038</v>
      </c>
      <c r="N2435" s="1" t="s">
        <v>821</v>
      </c>
      <c r="O2435" s="1" t="s">
        <v>936</v>
      </c>
      <c r="P2435" s="1" t="s">
        <v>937</v>
      </c>
    </row>
    <row r="2436" spans="1:16" x14ac:dyDescent="0.25">
      <c r="A2436" s="3">
        <v>46035</v>
      </c>
      <c r="B2436" s="1">
        <v>509</v>
      </c>
      <c r="C2436" s="5">
        <v>680</v>
      </c>
      <c r="D2436" s="1" t="s">
        <v>1953</v>
      </c>
      <c r="E2436" s="1" t="s">
        <v>3326</v>
      </c>
      <c r="F2436" s="1" t="s">
        <v>775</v>
      </c>
      <c r="G2436" s="1" t="s">
        <v>990</v>
      </c>
      <c r="H2436" s="3">
        <v>46052</v>
      </c>
      <c r="I2436" s="1" t="s">
        <v>933</v>
      </c>
      <c r="J2436" s="1" t="s">
        <v>66</v>
      </c>
      <c r="K2436" s="1" t="s">
        <v>340</v>
      </c>
      <c r="L2436" s="1" t="s">
        <v>3783</v>
      </c>
      <c r="M2436" s="3">
        <v>46039</v>
      </c>
      <c r="N2436" s="1" t="s">
        <v>580</v>
      </c>
      <c r="O2436" s="1" t="s">
        <v>936</v>
      </c>
      <c r="P2436" s="1">
        <v>1</v>
      </c>
    </row>
    <row r="2437" spans="1:16" x14ac:dyDescent="0.25">
      <c r="A2437" s="3">
        <v>46035</v>
      </c>
      <c r="B2437" s="1">
        <v>509</v>
      </c>
      <c r="C2437" s="5">
        <v>80</v>
      </c>
      <c r="D2437" s="1" t="s">
        <v>1953</v>
      </c>
      <c r="E2437" s="1" t="s">
        <v>3326</v>
      </c>
      <c r="F2437" s="1" t="s">
        <v>639</v>
      </c>
      <c r="G2437" s="1" t="s">
        <v>990</v>
      </c>
      <c r="H2437" s="3">
        <v>46052</v>
      </c>
      <c r="I2437" s="1" t="s">
        <v>933</v>
      </c>
      <c r="J2437" s="1" t="s">
        <v>66</v>
      </c>
      <c r="K2437" s="1" t="s">
        <v>640</v>
      </c>
      <c r="L2437" s="1" t="s">
        <v>3784</v>
      </c>
      <c r="M2437" s="3">
        <v>46039</v>
      </c>
      <c r="N2437" s="1" t="s">
        <v>98</v>
      </c>
      <c r="O2437" s="1" t="s">
        <v>936</v>
      </c>
      <c r="P2437" s="1">
        <v>1</v>
      </c>
    </row>
    <row r="2438" spans="1:16" x14ac:dyDescent="0.25">
      <c r="A2438" s="3">
        <v>46035</v>
      </c>
      <c r="B2438" s="1">
        <v>509</v>
      </c>
      <c r="C2438" s="5">
        <v>40</v>
      </c>
      <c r="D2438" s="1" t="s">
        <v>1953</v>
      </c>
      <c r="E2438" s="1" t="s">
        <v>3326</v>
      </c>
      <c r="F2438" s="1" t="s">
        <v>110</v>
      </c>
      <c r="G2438" s="1" t="s">
        <v>990</v>
      </c>
      <c r="H2438" s="3">
        <v>46052</v>
      </c>
      <c r="I2438" s="1" t="s">
        <v>933</v>
      </c>
      <c r="J2438" s="1" t="s">
        <v>66</v>
      </c>
      <c r="K2438" s="1" t="s">
        <v>52</v>
      </c>
      <c r="L2438" s="1" t="s">
        <v>3785</v>
      </c>
      <c r="M2438" s="3">
        <v>46039</v>
      </c>
      <c r="N2438" s="1" t="s">
        <v>115</v>
      </c>
      <c r="O2438" s="1" t="s">
        <v>936</v>
      </c>
      <c r="P2438" s="1">
        <v>1</v>
      </c>
    </row>
    <row r="2439" spans="1:16" x14ac:dyDescent="0.25">
      <c r="A2439" s="3">
        <v>46035</v>
      </c>
      <c r="B2439" s="1">
        <v>509</v>
      </c>
      <c r="C2439" s="5">
        <v>250</v>
      </c>
      <c r="D2439" s="1" t="s">
        <v>1953</v>
      </c>
      <c r="E2439" s="1" t="s">
        <v>3326</v>
      </c>
      <c r="F2439" s="1" t="s">
        <v>533</v>
      </c>
      <c r="G2439" s="1" t="s">
        <v>990</v>
      </c>
      <c r="H2439" s="3">
        <v>46052</v>
      </c>
      <c r="I2439" s="1" t="s">
        <v>933</v>
      </c>
      <c r="J2439" s="1" t="s">
        <v>66</v>
      </c>
      <c r="K2439" s="1" t="s">
        <v>308</v>
      </c>
      <c r="L2439" s="1" t="s">
        <v>3786</v>
      </c>
      <c r="M2439" s="3">
        <v>46039</v>
      </c>
      <c r="N2439" s="1" t="s">
        <v>57</v>
      </c>
      <c r="O2439" s="1" t="s">
        <v>936</v>
      </c>
      <c r="P2439" s="1">
        <v>1</v>
      </c>
    </row>
    <row r="2440" spans="1:16" x14ac:dyDescent="0.25">
      <c r="A2440" s="3">
        <v>46035</v>
      </c>
      <c r="B2440" s="1">
        <v>509</v>
      </c>
      <c r="C2440" s="5">
        <v>470</v>
      </c>
      <c r="D2440" s="1" t="s">
        <v>1953</v>
      </c>
      <c r="E2440" s="1" t="s">
        <v>3326</v>
      </c>
      <c r="F2440" s="1" t="s">
        <v>422</v>
      </c>
      <c r="G2440" s="1" t="s">
        <v>990</v>
      </c>
      <c r="H2440" s="3">
        <v>46052</v>
      </c>
      <c r="I2440" s="1" t="s">
        <v>933</v>
      </c>
      <c r="J2440" s="1" t="s">
        <v>66</v>
      </c>
      <c r="K2440" s="1" t="s">
        <v>308</v>
      </c>
      <c r="L2440" s="1" t="s">
        <v>3787</v>
      </c>
      <c r="M2440" s="3">
        <v>46039</v>
      </c>
      <c r="N2440" s="1" t="s">
        <v>75</v>
      </c>
      <c r="O2440" s="1" t="s">
        <v>936</v>
      </c>
      <c r="P2440" s="1">
        <v>1</v>
      </c>
    </row>
    <row r="2441" spans="1:16" x14ac:dyDescent="0.25">
      <c r="A2441" s="3">
        <v>46035</v>
      </c>
      <c r="B2441" s="1">
        <v>509</v>
      </c>
      <c r="C2441" s="5">
        <v>200</v>
      </c>
      <c r="D2441" s="1" t="s">
        <v>1953</v>
      </c>
      <c r="E2441" s="1" t="s">
        <v>3326</v>
      </c>
      <c r="F2441" s="1" t="s">
        <v>827</v>
      </c>
      <c r="G2441" s="1" t="s">
        <v>990</v>
      </c>
      <c r="H2441" s="3">
        <v>46052</v>
      </c>
      <c r="I2441" s="1" t="s">
        <v>933</v>
      </c>
      <c r="J2441" s="1" t="s">
        <v>66</v>
      </c>
      <c r="K2441" s="1" t="s">
        <v>340</v>
      </c>
      <c r="L2441" s="1" t="s">
        <v>3788</v>
      </c>
      <c r="M2441" s="3">
        <v>46039</v>
      </c>
      <c r="N2441" s="1" t="s">
        <v>772</v>
      </c>
      <c r="O2441" s="1" t="s">
        <v>936</v>
      </c>
      <c r="P2441" s="1">
        <v>1</v>
      </c>
    </row>
    <row r="2442" spans="1:16" x14ac:dyDescent="0.25">
      <c r="A2442" s="3">
        <v>46035</v>
      </c>
      <c r="B2442" s="1">
        <v>509</v>
      </c>
      <c r="C2442" s="5">
        <v>250</v>
      </c>
      <c r="D2442" s="1" t="s">
        <v>1953</v>
      </c>
      <c r="E2442" s="1" t="s">
        <v>3326</v>
      </c>
      <c r="F2442" s="1" t="s">
        <v>201</v>
      </c>
      <c r="G2442" s="1" t="s">
        <v>990</v>
      </c>
      <c r="H2442" s="3">
        <v>46052</v>
      </c>
      <c r="I2442" s="1" t="s">
        <v>933</v>
      </c>
      <c r="J2442" s="1" t="s">
        <v>66</v>
      </c>
      <c r="K2442" s="1" t="s">
        <v>308</v>
      </c>
      <c r="L2442" s="1" t="s">
        <v>3789</v>
      </c>
      <c r="M2442" s="3">
        <v>46039</v>
      </c>
      <c r="N2442" s="1" t="s">
        <v>57</v>
      </c>
      <c r="O2442" s="1" t="s">
        <v>936</v>
      </c>
      <c r="P2442" s="1">
        <v>1</v>
      </c>
    </row>
    <row r="2443" spans="1:16" x14ac:dyDescent="0.25">
      <c r="A2443" s="3">
        <v>46035</v>
      </c>
      <c r="B2443" s="1">
        <v>509</v>
      </c>
      <c r="C2443" s="5">
        <v>120</v>
      </c>
      <c r="D2443" s="1" t="s">
        <v>1953</v>
      </c>
      <c r="E2443" s="1" t="s">
        <v>3326</v>
      </c>
      <c r="F2443" s="1" t="s">
        <v>837</v>
      </c>
      <c r="G2443" s="1" t="s">
        <v>990</v>
      </c>
      <c r="H2443" s="3">
        <v>46052</v>
      </c>
      <c r="I2443" s="1" t="s">
        <v>933</v>
      </c>
      <c r="J2443" s="1" t="s">
        <v>66</v>
      </c>
      <c r="K2443" s="1" t="s">
        <v>340</v>
      </c>
      <c r="L2443" s="1" t="s">
        <v>3790</v>
      </c>
      <c r="M2443" s="3">
        <v>46039</v>
      </c>
      <c r="N2443" s="1" t="s">
        <v>50</v>
      </c>
      <c r="O2443" s="1" t="s">
        <v>936</v>
      </c>
      <c r="P2443" s="1">
        <v>1</v>
      </c>
    </row>
    <row r="2444" spans="1:16" x14ac:dyDescent="0.25">
      <c r="A2444" s="3">
        <v>46035</v>
      </c>
      <c r="B2444" s="1">
        <v>509</v>
      </c>
      <c r="C2444" s="5">
        <v>160</v>
      </c>
      <c r="D2444" s="1" t="s">
        <v>1953</v>
      </c>
      <c r="E2444" s="1" t="s">
        <v>3326</v>
      </c>
      <c r="F2444" s="1" t="s">
        <v>516</v>
      </c>
      <c r="G2444" s="1" t="s">
        <v>990</v>
      </c>
      <c r="H2444" s="3">
        <v>46052</v>
      </c>
      <c r="I2444" s="1" t="s">
        <v>933</v>
      </c>
      <c r="J2444" s="1" t="s">
        <v>66</v>
      </c>
      <c r="K2444" s="1" t="s">
        <v>487</v>
      </c>
      <c r="L2444" s="1" t="s">
        <v>3791</v>
      </c>
      <c r="M2444" s="3">
        <v>46039</v>
      </c>
      <c r="N2444" s="1" t="s">
        <v>520</v>
      </c>
      <c r="O2444" s="1" t="s">
        <v>936</v>
      </c>
      <c r="P2444" s="1">
        <v>1</v>
      </c>
    </row>
    <row r="2445" spans="1:16" x14ac:dyDescent="0.25">
      <c r="A2445" s="3">
        <v>46035</v>
      </c>
      <c r="B2445" s="1">
        <v>509</v>
      </c>
      <c r="C2445" s="5">
        <v>590</v>
      </c>
      <c r="D2445" s="1" t="s">
        <v>1953</v>
      </c>
      <c r="E2445" s="1" t="s">
        <v>3326</v>
      </c>
      <c r="F2445" s="1" t="s">
        <v>430</v>
      </c>
      <c r="G2445" s="1" t="s">
        <v>990</v>
      </c>
      <c r="H2445" s="3">
        <v>46052</v>
      </c>
      <c r="I2445" s="1" t="s">
        <v>933</v>
      </c>
      <c r="J2445" s="1" t="s">
        <v>66</v>
      </c>
      <c r="K2445" s="1" t="s">
        <v>1654</v>
      </c>
      <c r="L2445" s="1" t="s">
        <v>3792</v>
      </c>
      <c r="M2445" s="3">
        <v>46039</v>
      </c>
      <c r="N2445" s="1" t="s">
        <v>57</v>
      </c>
      <c r="O2445" s="1" t="s">
        <v>936</v>
      </c>
      <c r="P2445" s="1">
        <v>1</v>
      </c>
    </row>
    <row r="2446" spans="1:16" x14ac:dyDescent="0.25">
      <c r="A2446" s="3">
        <v>46035</v>
      </c>
      <c r="B2446" s="1">
        <v>509</v>
      </c>
      <c r="C2446" s="5">
        <v>140</v>
      </c>
      <c r="D2446" s="1" t="s">
        <v>1953</v>
      </c>
      <c r="E2446" s="1" t="s">
        <v>3326</v>
      </c>
      <c r="F2446" s="1" t="s">
        <v>426</v>
      </c>
      <c r="G2446" s="1" t="s">
        <v>990</v>
      </c>
      <c r="H2446" s="3">
        <v>46052</v>
      </c>
      <c r="I2446" s="1" t="s">
        <v>933</v>
      </c>
      <c r="J2446" s="1" t="s">
        <v>66</v>
      </c>
      <c r="K2446" s="1" t="s">
        <v>308</v>
      </c>
      <c r="L2446" s="1" t="s">
        <v>3793</v>
      </c>
      <c r="M2446" s="3">
        <v>46039</v>
      </c>
      <c r="N2446" s="1" t="s">
        <v>429</v>
      </c>
      <c r="O2446" s="1" t="s">
        <v>936</v>
      </c>
      <c r="P2446" s="1">
        <v>1</v>
      </c>
    </row>
    <row r="2447" spans="1:16" x14ac:dyDescent="0.25">
      <c r="A2447" s="3">
        <v>46035</v>
      </c>
      <c r="B2447" s="1">
        <v>509</v>
      </c>
      <c r="C2447" s="5">
        <v>120</v>
      </c>
      <c r="D2447" s="1" t="s">
        <v>1953</v>
      </c>
      <c r="E2447" s="1" t="s">
        <v>3326</v>
      </c>
      <c r="F2447" s="1" t="s">
        <v>697</v>
      </c>
      <c r="G2447" s="1" t="s">
        <v>990</v>
      </c>
      <c r="H2447" s="3">
        <v>46052</v>
      </c>
      <c r="I2447" s="1" t="s">
        <v>933</v>
      </c>
      <c r="J2447" s="1" t="s">
        <v>66</v>
      </c>
      <c r="K2447" s="1" t="s">
        <v>340</v>
      </c>
      <c r="L2447" s="1" t="s">
        <v>3794</v>
      </c>
      <c r="M2447" s="3">
        <v>46039</v>
      </c>
      <c r="N2447" s="1" t="s">
        <v>383</v>
      </c>
      <c r="O2447" s="1" t="s">
        <v>936</v>
      </c>
      <c r="P2447" s="1">
        <v>1</v>
      </c>
    </row>
    <row r="2448" spans="1:16" x14ac:dyDescent="0.25">
      <c r="A2448" s="3">
        <v>46035</v>
      </c>
      <c r="B2448" s="1">
        <v>509</v>
      </c>
      <c r="C2448" s="5">
        <v>630</v>
      </c>
      <c r="D2448" s="1" t="s">
        <v>1953</v>
      </c>
      <c r="E2448" s="1" t="s">
        <v>3326</v>
      </c>
      <c r="F2448" s="1" t="s">
        <v>732</v>
      </c>
      <c r="G2448" s="1" t="s">
        <v>990</v>
      </c>
      <c r="H2448" s="3">
        <v>46052</v>
      </c>
      <c r="I2448" s="1" t="s">
        <v>933</v>
      </c>
      <c r="J2448" s="1" t="s">
        <v>66</v>
      </c>
      <c r="K2448" s="1" t="s">
        <v>640</v>
      </c>
      <c r="L2448" s="1" t="s">
        <v>3795</v>
      </c>
      <c r="M2448" s="3">
        <v>46039</v>
      </c>
      <c r="N2448" s="1" t="s">
        <v>115</v>
      </c>
      <c r="O2448" s="1" t="s">
        <v>936</v>
      </c>
      <c r="P2448" s="1">
        <v>1</v>
      </c>
    </row>
    <row r="2449" spans="1:16" x14ac:dyDescent="0.25">
      <c r="A2449" s="3">
        <v>46035</v>
      </c>
      <c r="B2449" s="1">
        <v>509</v>
      </c>
      <c r="C2449" s="5">
        <v>40</v>
      </c>
      <c r="D2449" s="1" t="s">
        <v>1953</v>
      </c>
      <c r="E2449" s="1" t="s">
        <v>3326</v>
      </c>
      <c r="F2449" s="1" t="s">
        <v>3668</v>
      </c>
      <c r="G2449" s="1" t="s">
        <v>990</v>
      </c>
      <c r="H2449" s="3">
        <v>46052</v>
      </c>
      <c r="I2449" s="1" t="s">
        <v>933</v>
      </c>
      <c r="J2449" s="1" t="s">
        <v>937</v>
      </c>
      <c r="K2449" s="1" t="s">
        <v>640</v>
      </c>
      <c r="L2449" s="1" t="s">
        <v>3796</v>
      </c>
      <c r="M2449" s="3">
        <v>46039</v>
      </c>
      <c r="N2449" s="1" t="s">
        <v>937</v>
      </c>
      <c r="O2449" s="1" t="s">
        <v>936</v>
      </c>
      <c r="P2449" s="1">
        <v>1</v>
      </c>
    </row>
    <row r="2450" spans="1:16" x14ac:dyDescent="0.25">
      <c r="A2450" s="3">
        <v>46035</v>
      </c>
      <c r="B2450" s="1">
        <v>509</v>
      </c>
      <c r="C2450" s="5">
        <v>1440</v>
      </c>
      <c r="D2450" s="1" t="s">
        <v>1953</v>
      </c>
      <c r="E2450" s="1" t="s">
        <v>3326</v>
      </c>
      <c r="F2450" s="1" t="s">
        <v>516</v>
      </c>
      <c r="G2450" s="1" t="s">
        <v>990</v>
      </c>
      <c r="H2450" s="3">
        <v>46052</v>
      </c>
      <c r="I2450" s="1" t="s">
        <v>3797</v>
      </c>
      <c r="J2450" s="1" t="s">
        <v>66</v>
      </c>
      <c r="K2450" s="1" t="s">
        <v>487</v>
      </c>
      <c r="L2450" s="1" t="s">
        <v>3798</v>
      </c>
      <c r="M2450" s="3">
        <v>46039</v>
      </c>
      <c r="N2450" s="1" t="s">
        <v>520</v>
      </c>
      <c r="O2450" s="1" t="s">
        <v>936</v>
      </c>
      <c r="P2450" s="1">
        <v>1</v>
      </c>
    </row>
    <row r="2451" spans="1:16" x14ac:dyDescent="0.25">
      <c r="A2451" s="3">
        <v>46035</v>
      </c>
      <c r="B2451" s="1">
        <v>509</v>
      </c>
      <c r="C2451" s="5">
        <v>1440</v>
      </c>
      <c r="D2451" s="1" t="s">
        <v>1953</v>
      </c>
      <c r="E2451" s="1" t="s">
        <v>3326</v>
      </c>
      <c r="F2451" s="1" t="s">
        <v>451</v>
      </c>
      <c r="G2451" s="1" t="s">
        <v>990</v>
      </c>
      <c r="H2451" s="3">
        <v>46052</v>
      </c>
      <c r="I2451" s="1" t="s">
        <v>1484</v>
      </c>
      <c r="J2451" s="1" t="s">
        <v>66</v>
      </c>
      <c r="K2451" s="1" t="s">
        <v>340</v>
      </c>
      <c r="L2451" s="1" t="s">
        <v>3798</v>
      </c>
      <c r="M2451" s="3">
        <v>46039</v>
      </c>
      <c r="N2451" s="1" t="s">
        <v>212</v>
      </c>
      <c r="O2451" s="1" t="s">
        <v>936</v>
      </c>
      <c r="P2451" s="1">
        <v>1</v>
      </c>
    </row>
    <row r="2452" spans="1:16" x14ac:dyDescent="0.25">
      <c r="A2452" s="3">
        <v>46035</v>
      </c>
      <c r="B2452" s="1">
        <v>509</v>
      </c>
      <c r="C2452" s="5">
        <v>230</v>
      </c>
      <c r="D2452" s="1" t="s">
        <v>1953</v>
      </c>
      <c r="E2452" s="1" t="s">
        <v>3326</v>
      </c>
      <c r="F2452" s="1" t="s">
        <v>83</v>
      </c>
      <c r="G2452" s="1" t="s">
        <v>990</v>
      </c>
      <c r="H2452" s="3">
        <v>46052</v>
      </c>
      <c r="I2452" s="1" t="s">
        <v>933</v>
      </c>
      <c r="J2452" s="1" t="s">
        <v>66</v>
      </c>
      <c r="K2452" s="1" t="s">
        <v>52</v>
      </c>
      <c r="L2452" s="1" t="s">
        <v>3799</v>
      </c>
      <c r="M2452" s="3">
        <v>46039</v>
      </c>
      <c r="N2452" s="1" t="s">
        <v>57</v>
      </c>
      <c r="O2452" s="1" t="s">
        <v>936</v>
      </c>
      <c r="P2452" s="1">
        <v>1</v>
      </c>
    </row>
    <row r="2453" spans="1:16" x14ac:dyDescent="0.25">
      <c r="A2453" s="3">
        <v>46035</v>
      </c>
      <c r="B2453" s="1">
        <v>509</v>
      </c>
      <c r="C2453" s="5">
        <v>80</v>
      </c>
      <c r="D2453" s="1" t="s">
        <v>1953</v>
      </c>
      <c r="E2453" s="1" t="s">
        <v>3326</v>
      </c>
      <c r="F2453" s="1" t="s">
        <v>478</v>
      </c>
      <c r="G2453" s="1" t="s">
        <v>990</v>
      </c>
      <c r="H2453" s="3">
        <v>46052</v>
      </c>
      <c r="I2453" s="1" t="s">
        <v>933</v>
      </c>
      <c r="J2453" s="1" t="s">
        <v>66</v>
      </c>
      <c r="K2453" s="1" t="s">
        <v>340</v>
      </c>
      <c r="L2453" s="1" t="s">
        <v>2780</v>
      </c>
      <c r="M2453" s="3">
        <v>46039</v>
      </c>
      <c r="N2453" s="1" t="s">
        <v>440</v>
      </c>
      <c r="O2453" s="1" t="s">
        <v>936</v>
      </c>
      <c r="P2453" s="1">
        <v>1</v>
      </c>
    </row>
    <row r="2454" spans="1:16" x14ac:dyDescent="0.25">
      <c r="A2454" s="3">
        <v>46035</v>
      </c>
      <c r="B2454" s="1">
        <v>509</v>
      </c>
      <c r="C2454" s="5">
        <v>280</v>
      </c>
      <c r="D2454" s="1" t="s">
        <v>1953</v>
      </c>
      <c r="E2454" s="1" t="s">
        <v>3326</v>
      </c>
      <c r="F2454" s="1" t="s">
        <v>430</v>
      </c>
      <c r="G2454" s="1" t="s">
        <v>990</v>
      </c>
      <c r="H2454" s="3">
        <v>46052</v>
      </c>
      <c r="I2454" s="1" t="s">
        <v>933</v>
      </c>
      <c r="J2454" s="1" t="s">
        <v>66</v>
      </c>
      <c r="K2454" s="1" t="s">
        <v>340</v>
      </c>
      <c r="L2454" s="1" t="s">
        <v>3800</v>
      </c>
      <c r="M2454" s="3">
        <v>46039</v>
      </c>
      <c r="N2454" s="1" t="s">
        <v>57</v>
      </c>
      <c r="O2454" s="1" t="s">
        <v>936</v>
      </c>
      <c r="P2454" s="1">
        <v>1</v>
      </c>
    </row>
    <row r="2455" spans="1:16" x14ac:dyDescent="0.25">
      <c r="A2455" s="3">
        <v>46035</v>
      </c>
      <c r="B2455" s="4">
        <v>1160</v>
      </c>
      <c r="C2455" s="5">
        <v>30</v>
      </c>
      <c r="D2455" s="1" t="s">
        <v>1074</v>
      </c>
      <c r="E2455" s="1" t="s">
        <v>1075</v>
      </c>
      <c r="F2455" s="1" t="s">
        <v>3668</v>
      </c>
      <c r="G2455" s="1" t="s">
        <v>981</v>
      </c>
      <c r="H2455" s="3">
        <v>46059</v>
      </c>
      <c r="I2455" s="1" t="s">
        <v>933</v>
      </c>
      <c r="J2455" s="1" t="s">
        <v>937</v>
      </c>
      <c r="K2455" s="1" t="s">
        <v>2085</v>
      </c>
      <c r="L2455" s="1" t="s">
        <v>3801</v>
      </c>
      <c r="M2455" s="3">
        <v>46039</v>
      </c>
      <c r="N2455" s="1" t="s">
        <v>3671</v>
      </c>
      <c r="O2455" s="1" t="s">
        <v>936</v>
      </c>
      <c r="P2455" s="1">
        <v>1</v>
      </c>
    </row>
    <row r="2456" spans="1:16" x14ac:dyDescent="0.25">
      <c r="A2456" s="3">
        <v>46035</v>
      </c>
      <c r="B2456" s="1">
        <v>510</v>
      </c>
      <c r="C2456" s="5">
        <v>430</v>
      </c>
      <c r="D2456" s="1" t="s">
        <v>1953</v>
      </c>
      <c r="E2456" s="1" t="s">
        <v>3326</v>
      </c>
      <c r="F2456" s="1" t="s">
        <v>274</v>
      </c>
      <c r="G2456" s="1" t="s">
        <v>990</v>
      </c>
      <c r="H2456" s="3">
        <v>46052</v>
      </c>
      <c r="I2456" s="1" t="s">
        <v>933</v>
      </c>
      <c r="J2456" s="1" t="s">
        <v>66</v>
      </c>
      <c r="K2456" s="1" t="s">
        <v>340</v>
      </c>
      <c r="L2456" s="1" t="s">
        <v>4226</v>
      </c>
      <c r="M2456" s="3">
        <v>46037</v>
      </c>
      <c r="N2456" s="1" t="s">
        <v>264</v>
      </c>
      <c r="O2456" s="1" t="s">
        <v>936</v>
      </c>
      <c r="P2456" s="1">
        <v>1</v>
      </c>
    </row>
    <row r="2457" spans="1:16" x14ac:dyDescent="0.25">
      <c r="A2457" s="3">
        <v>46035</v>
      </c>
      <c r="B2457" s="1">
        <v>510</v>
      </c>
      <c r="C2457" s="5">
        <v>1440</v>
      </c>
      <c r="D2457" s="1" t="s">
        <v>1953</v>
      </c>
      <c r="E2457" s="1" t="s">
        <v>3326</v>
      </c>
      <c r="F2457" s="1" t="s">
        <v>289</v>
      </c>
      <c r="G2457" s="1" t="s">
        <v>990</v>
      </c>
      <c r="H2457" s="3">
        <v>46052</v>
      </c>
      <c r="I2457" s="1" t="s">
        <v>933</v>
      </c>
      <c r="J2457" s="1" t="s">
        <v>66</v>
      </c>
      <c r="K2457" s="1" t="s">
        <v>340</v>
      </c>
      <c r="L2457" s="1" t="s">
        <v>5151</v>
      </c>
      <c r="M2457" s="3">
        <v>46037</v>
      </c>
      <c r="N2457" s="1" t="s">
        <v>264</v>
      </c>
      <c r="O2457" s="1" t="s">
        <v>936</v>
      </c>
      <c r="P2457" s="1">
        <v>1</v>
      </c>
    </row>
    <row r="2458" spans="1:16" x14ac:dyDescent="0.25">
      <c r="A2458" s="3">
        <v>46036</v>
      </c>
      <c r="B2458" s="4">
        <v>7118</v>
      </c>
      <c r="C2458" s="5">
        <v>2242.4699999999998</v>
      </c>
      <c r="D2458" s="1" t="s">
        <v>2667</v>
      </c>
      <c r="E2458" s="1" t="s">
        <v>2668</v>
      </c>
      <c r="F2458" s="1" t="s">
        <v>647</v>
      </c>
      <c r="G2458" s="1" t="s">
        <v>1667</v>
      </c>
      <c r="H2458" s="3">
        <v>45974</v>
      </c>
      <c r="I2458" s="1" t="s">
        <v>1100</v>
      </c>
      <c r="J2458" s="1" t="s">
        <v>66</v>
      </c>
      <c r="K2458" s="1" t="s">
        <v>659</v>
      </c>
      <c r="L2458" s="1" t="s">
        <v>3802</v>
      </c>
      <c r="M2458" s="3">
        <v>45947</v>
      </c>
      <c r="N2458" s="1" t="s">
        <v>57</v>
      </c>
      <c r="O2458" s="1" t="s">
        <v>936</v>
      </c>
      <c r="P2458" s="1">
        <v>1</v>
      </c>
    </row>
    <row r="2459" spans="1:16" x14ac:dyDescent="0.25">
      <c r="A2459" s="3">
        <v>46036</v>
      </c>
      <c r="B2459" s="1">
        <v>7</v>
      </c>
      <c r="C2459" s="5">
        <v>1150</v>
      </c>
      <c r="D2459" s="1" t="s">
        <v>2696</v>
      </c>
      <c r="E2459" s="1" t="s">
        <v>2697</v>
      </c>
      <c r="F2459" s="1" t="s">
        <v>732</v>
      </c>
      <c r="G2459" s="1" t="s">
        <v>3022</v>
      </c>
      <c r="H2459" s="3">
        <v>46052</v>
      </c>
      <c r="I2459" s="1" t="s">
        <v>933</v>
      </c>
      <c r="J2459" s="1" t="s">
        <v>66</v>
      </c>
      <c r="K2459" s="1" t="s">
        <v>340</v>
      </c>
      <c r="L2459" s="1" t="s">
        <v>3803</v>
      </c>
      <c r="M2459" s="3">
        <v>46035</v>
      </c>
      <c r="N2459" s="1" t="s">
        <v>115</v>
      </c>
      <c r="O2459" s="1" t="s">
        <v>936</v>
      </c>
      <c r="P2459" s="1">
        <v>1</v>
      </c>
    </row>
    <row r="2460" spans="1:16" x14ac:dyDescent="0.25">
      <c r="A2460" s="3">
        <v>46036</v>
      </c>
      <c r="B2460" s="1">
        <v>57</v>
      </c>
      <c r="C2460" s="5">
        <v>4140</v>
      </c>
      <c r="D2460" s="1" t="s">
        <v>3804</v>
      </c>
      <c r="E2460" s="1" t="s">
        <v>3805</v>
      </c>
      <c r="F2460" s="1" t="s">
        <v>1131</v>
      </c>
      <c r="G2460" s="1" t="s">
        <v>940</v>
      </c>
      <c r="H2460" s="3">
        <v>46052</v>
      </c>
      <c r="I2460" s="1" t="s">
        <v>933</v>
      </c>
      <c r="J2460" s="1" t="s">
        <v>1131</v>
      </c>
      <c r="K2460" s="1" t="s">
        <v>52</v>
      </c>
      <c r="L2460" s="1" t="s">
        <v>3806</v>
      </c>
      <c r="M2460" s="3">
        <v>46038</v>
      </c>
      <c r="N2460" s="1" t="s">
        <v>821</v>
      </c>
      <c r="O2460" s="1" t="s">
        <v>936</v>
      </c>
      <c r="P2460" s="1">
        <v>1</v>
      </c>
    </row>
    <row r="2461" spans="1:16" x14ac:dyDescent="0.25">
      <c r="A2461" s="3">
        <v>46036</v>
      </c>
      <c r="B2461" s="4">
        <v>4915</v>
      </c>
      <c r="C2461" s="5">
        <v>236.15</v>
      </c>
      <c r="D2461" s="1" t="s">
        <v>938</v>
      </c>
      <c r="E2461" s="1" t="s">
        <v>939</v>
      </c>
      <c r="F2461" s="1" t="s">
        <v>955</v>
      </c>
      <c r="G2461" s="1" t="s">
        <v>20</v>
      </c>
      <c r="H2461" s="3">
        <v>46067</v>
      </c>
      <c r="I2461" s="1" t="s">
        <v>933</v>
      </c>
      <c r="J2461" s="1" t="s">
        <v>951</v>
      </c>
      <c r="K2461" s="1" t="s">
        <v>20</v>
      </c>
      <c r="L2461" s="1" t="s">
        <v>3807</v>
      </c>
      <c r="M2461" s="3">
        <v>46038</v>
      </c>
      <c r="N2461" s="1" t="s">
        <v>821</v>
      </c>
      <c r="O2461" s="1" t="s">
        <v>936</v>
      </c>
      <c r="P2461" s="1">
        <v>1</v>
      </c>
    </row>
    <row r="2462" spans="1:16" x14ac:dyDescent="0.25">
      <c r="A2462" s="3">
        <v>46036</v>
      </c>
      <c r="B2462" s="4">
        <v>8424</v>
      </c>
      <c r="C2462" s="5">
        <v>1320</v>
      </c>
      <c r="D2462" s="1" t="s">
        <v>2990</v>
      </c>
      <c r="E2462" s="1" t="s">
        <v>3808</v>
      </c>
      <c r="F2462" s="1" t="s">
        <v>483</v>
      </c>
      <c r="G2462" s="1" t="s">
        <v>1260</v>
      </c>
      <c r="H2462" s="3">
        <v>46055</v>
      </c>
      <c r="I2462" s="1" t="s">
        <v>933</v>
      </c>
      <c r="J2462" s="1" t="s">
        <v>66</v>
      </c>
      <c r="K2462" s="1" t="s">
        <v>308</v>
      </c>
      <c r="L2462" s="1" t="s">
        <v>3809</v>
      </c>
      <c r="M2462" s="3">
        <v>46040</v>
      </c>
      <c r="N2462" s="1" t="s">
        <v>383</v>
      </c>
      <c r="O2462" s="1" t="s">
        <v>936</v>
      </c>
      <c r="P2462" s="1" t="s">
        <v>937</v>
      </c>
    </row>
    <row r="2463" spans="1:16" x14ac:dyDescent="0.25">
      <c r="A2463" s="3">
        <v>46036</v>
      </c>
      <c r="B2463" s="4">
        <v>14059</v>
      </c>
      <c r="C2463" s="5">
        <v>669.88</v>
      </c>
      <c r="D2463" s="1" t="s">
        <v>1801</v>
      </c>
      <c r="E2463" s="1" t="s">
        <v>1802</v>
      </c>
      <c r="F2463" s="1" t="s">
        <v>121</v>
      </c>
      <c r="G2463" s="1" t="s">
        <v>998</v>
      </c>
      <c r="H2463" s="3">
        <v>46058</v>
      </c>
      <c r="I2463" s="1" t="s">
        <v>933</v>
      </c>
      <c r="J2463" s="1" t="s">
        <v>66</v>
      </c>
      <c r="K2463" s="1" t="s">
        <v>308</v>
      </c>
      <c r="L2463" s="1" t="s">
        <v>3810</v>
      </c>
      <c r="M2463" s="3">
        <v>46040</v>
      </c>
      <c r="N2463" s="1" t="s">
        <v>50</v>
      </c>
      <c r="O2463" s="1" t="s">
        <v>998</v>
      </c>
      <c r="P2463" s="1">
        <v>1</v>
      </c>
    </row>
    <row r="2464" spans="1:16" x14ac:dyDescent="0.25">
      <c r="A2464" s="3">
        <v>46036</v>
      </c>
      <c r="B2464" s="4">
        <v>14057</v>
      </c>
      <c r="C2464" s="5">
        <v>1868.47</v>
      </c>
      <c r="D2464" s="1" t="s">
        <v>1801</v>
      </c>
      <c r="E2464" s="1" t="s">
        <v>1802</v>
      </c>
      <c r="F2464" s="1" t="s">
        <v>759</v>
      </c>
      <c r="G2464" s="1" t="s">
        <v>998</v>
      </c>
      <c r="H2464" s="3">
        <v>46058</v>
      </c>
      <c r="I2464" s="1" t="s">
        <v>933</v>
      </c>
      <c r="J2464" s="1" t="s">
        <v>66</v>
      </c>
      <c r="K2464" s="1" t="s">
        <v>308</v>
      </c>
      <c r="L2464" s="1" t="s">
        <v>3811</v>
      </c>
      <c r="M2464" s="3">
        <v>46040</v>
      </c>
      <c r="N2464" s="1" t="s">
        <v>75</v>
      </c>
      <c r="O2464" s="1" t="s">
        <v>998</v>
      </c>
      <c r="P2464" s="1">
        <v>1</v>
      </c>
    </row>
    <row r="2465" spans="1:16" x14ac:dyDescent="0.25">
      <c r="A2465" s="3">
        <v>46037</v>
      </c>
      <c r="B2465" s="4">
        <v>12005</v>
      </c>
      <c r="C2465" s="5">
        <v>4100</v>
      </c>
      <c r="D2465" s="1" t="s">
        <v>3812</v>
      </c>
      <c r="E2465" s="1" t="s">
        <v>3813</v>
      </c>
      <c r="F2465" s="1" t="s">
        <v>1131</v>
      </c>
      <c r="G2465" s="1" t="s">
        <v>940</v>
      </c>
      <c r="H2465" s="3">
        <v>46067</v>
      </c>
      <c r="I2465" s="1" t="s">
        <v>933</v>
      </c>
      <c r="J2465" s="1" t="s">
        <v>1131</v>
      </c>
      <c r="K2465" s="1" t="s">
        <v>66</v>
      </c>
      <c r="L2465" s="1" t="s">
        <v>3814</v>
      </c>
      <c r="M2465" s="3">
        <v>46038</v>
      </c>
      <c r="N2465" s="1" t="s">
        <v>821</v>
      </c>
      <c r="O2465" s="1" t="s">
        <v>936</v>
      </c>
      <c r="P2465" s="1">
        <v>1</v>
      </c>
    </row>
    <row r="2466" spans="1:16" x14ac:dyDescent="0.25">
      <c r="A2466" s="3">
        <v>46037</v>
      </c>
      <c r="B2466" s="1">
        <v>288</v>
      </c>
      <c r="C2466" s="5">
        <v>2000</v>
      </c>
      <c r="D2466" s="1" t="s">
        <v>2232</v>
      </c>
      <c r="E2466" s="1" t="s">
        <v>2233</v>
      </c>
      <c r="F2466" s="1" t="s">
        <v>955</v>
      </c>
      <c r="G2466" s="1" t="s">
        <v>932</v>
      </c>
      <c r="H2466" s="3">
        <v>46052</v>
      </c>
      <c r="I2466" s="1" t="s">
        <v>933</v>
      </c>
      <c r="J2466" s="1" t="s">
        <v>951</v>
      </c>
      <c r="K2466" s="1" t="s">
        <v>308</v>
      </c>
      <c r="L2466" s="1" t="s">
        <v>3815</v>
      </c>
      <c r="M2466" s="3">
        <v>46038</v>
      </c>
      <c r="N2466" s="1" t="s">
        <v>821</v>
      </c>
      <c r="O2466" s="1" t="s">
        <v>936</v>
      </c>
      <c r="P2466" s="1">
        <v>1</v>
      </c>
    </row>
    <row r="2467" spans="1:16" x14ac:dyDescent="0.25">
      <c r="A2467" s="3">
        <v>46037</v>
      </c>
      <c r="B2467" s="4">
        <v>1589</v>
      </c>
      <c r="C2467" s="5">
        <v>572.5</v>
      </c>
      <c r="D2467" s="1" t="s">
        <v>1901</v>
      </c>
      <c r="E2467" s="1" t="s">
        <v>1902</v>
      </c>
      <c r="F2467" s="1" t="s">
        <v>955</v>
      </c>
      <c r="G2467" s="1" t="s">
        <v>20</v>
      </c>
      <c r="H2467" s="1"/>
      <c r="I2467" s="1" t="s">
        <v>933</v>
      </c>
      <c r="J2467" s="1" t="s">
        <v>951</v>
      </c>
      <c r="K2467" s="1" t="s">
        <v>20</v>
      </c>
      <c r="L2467" s="1" t="s">
        <v>3816</v>
      </c>
      <c r="M2467" s="3">
        <v>46039</v>
      </c>
      <c r="N2467" s="1" t="s">
        <v>821</v>
      </c>
      <c r="O2467" s="1" t="s">
        <v>936</v>
      </c>
      <c r="P2467" s="1">
        <v>2</v>
      </c>
    </row>
    <row r="2468" spans="1:16" x14ac:dyDescent="0.25">
      <c r="A2468" s="3">
        <v>46037</v>
      </c>
      <c r="B2468" s="4">
        <v>1590</v>
      </c>
      <c r="C2468" s="5">
        <v>54.9</v>
      </c>
      <c r="D2468" s="1" t="s">
        <v>1901</v>
      </c>
      <c r="E2468" s="1" t="s">
        <v>1902</v>
      </c>
      <c r="F2468" s="1" t="s">
        <v>955</v>
      </c>
      <c r="G2468" s="1" t="s">
        <v>20</v>
      </c>
      <c r="H2468" s="1"/>
      <c r="I2468" s="1" t="s">
        <v>933</v>
      </c>
      <c r="J2468" s="1" t="s">
        <v>951</v>
      </c>
      <c r="K2468" s="1" t="s">
        <v>20</v>
      </c>
      <c r="L2468" s="1" t="s">
        <v>3816</v>
      </c>
      <c r="M2468" s="3">
        <v>46039</v>
      </c>
      <c r="N2468" s="1" t="s">
        <v>821</v>
      </c>
      <c r="O2468" s="1" t="s">
        <v>936</v>
      </c>
      <c r="P2468" s="1">
        <v>2</v>
      </c>
    </row>
    <row r="2469" spans="1:16" x14ac:dyDescent="0.25">
      <c r="A2469" s="3">
        <v>46037</v>
      </c>
      <c r="B2469" s="1">
        <v>120</v>
      </c>
      <c r="C2469" s="5">
        <v>480</v>
      </c>
      <c r="D2469" s="1" t="s">
        <v>1471</v>
      </c>
      <c r="E2469" s="1" t="s">
        <v>1870</v>
      </c>
      <c r="F2469" s="1" t="s">
        <v>955</v>
      </c>
      <c r="G2469" s="1" t="s">
        <v>950</v>
      </c>
      <c r="H2469" s="3">
        <v>46052</v>
      </c>
      <c r="I2469" s="1" t="s">
        <v>933</v>
      </c>
      <c r="J2469" s="1" t="s">
        <v>951</v>
      </c>
      <c r="K2469" s="1" t="s">
        <v>817</v>
      </c>
      <c r="L2469" s="1" t="s">
        <v>3817</v>
      </c>
      <c r="M2469" s="3">
        <v>46040</v>
      </c>
      <c r="N2469" s="1" t="s">
        <v>821</v>
      </c>
      <c r="O2469" s="1" t="s">
        <v>936</v>
      </c>
      <c r="P2469" s="1">
        <v>1</v>
      </c>
    </row>
    <row r="2470" spans="1:16" x14ac:dyDescent="0.25">
      <c r="A2470" s="3">
        <v>46037</v>
      </c>
      <c r="B2470" s="4">
        <v>1589</v>
      </c>
      <c r="C2470" s="5">
        <v>572.5</v>
      </c>
      <c r="D2470" s="1" t="s">
        <v>1901</v>
      </c>
      <c r="E2470" s="1" t="s">
        <v>1902</v>
      </c>
      <c r="F2470" s="1" t="s">
        <v>955</v>
      </c>
      <c r="G2470" s="1" t="s">
        <v>20</v>
      </c>
      <c r="H2470" s="3">
        <v>46071</v>
      </c>
      <c r="I2470" s="1" t="s">
        <v>933</v>
      </c>
      <c r="J2470" s="1" t="s">
        <v>951</v>
      </c>
      <c r="K2470" s="1" t="s">
        <v>934</v>
      </c>
      <c r="L2470" s="1" t="s">
        <v>3818</v>
      </c>
      <c r="M2470" s="3">
        <v>46043</v>
      </c>
      <c r="N2470" s="1" t="s">
        <v>821</v>
      </c>
      <c r="O2470" s="1" t="s">
        <v>936</v>
      </c>
      <c r="P2470" s="1">
        <v>2</v>
      </c>
    </row>
    <row r="2471" spans="1:16" x14ac:dyDescent="0.25">
      <c r="A2471" s="3">
        <v>46037</v>
      </c>
      <c r="B2471" s="4">
        <v>1590</v>
      </c>
      <c r="C2471" s="5">
        <v>54.9</v>
      </c>
      <c r="D2471" s="1" t="s">
        <v>1901</v>
      </c>
      <c r="E2471" s="1" t="s">
        <v>1902</v>
      </c>
      <c r="F2471" s="1" t="s">
        <v>955</v>
      </c>
      <c r="G2471" s="1" t="s">
        <v>20</v>
      </c>
      <c r="H2471" s="3">
        <v>46071</v>
      </c>
      <c r="I2471" s="1" t="s">
        <v>933</v>
      </c>
      <c r="J2471" s="1" t="s">
        <v>951</v>
      </c>
      <c r="K2471" s="1" t="s">
        <v>934</v>
      </c>
      <c r="L2471" s="1" t="s">
        <v>3819</v>
      </c>
      <c r="M2471" s="3">
        <v>46043</v>
      </c>
      <c r="N2471" s="1" t="s">
        <v>821</v>
      </c>
      <c r="O2471" s="1" t="s">
        <v>936</v>
      </c>
      <c r="P2471" s="1">
        <v>2</v>
      </c>
    </row>
    <row r="2472" spans="1:16" x14ac:dyDescent="0.25">
      <c r="A2472" s="3">
        <v>46038</v>
      </c>
      <c r="B2472" s="4">
        <v>10102</v>
      </c>
      <c r="C2472" s="5">
        <v>1990</v>
      </c>
      <c r="D2472" s="1" t="s">
        <v>1573</v>
      </c>
      <c r="E2472" s="1" t="s">
        <v>2130</v>
      </c>
      <c r="F2472" s="1" t="s">
        <v>1131</v>
      </c>
      <c r="G2472" s="1" t="s">
        <v>940</v>
      </c>
      <c r="H2472" s="3">
        <v>46068</v>
      </c>
      <c r="I2472" s="1" t="s">
        <v>933</v>
      </c>
      <c r="J2472" s="1" t="s">
        <v>1131</v>
      </c>
      <c r="K2472" s="1" t="s">
        <v>66</v>
      </c>
      <c r="L2472" s="1" t="s">
        <v>3820</v>
      </c>
      <c r="M2472" s="3">
        <v>46038</v>
      </c>
      <c r="N2472" s="1" t="s">
        <v>821</v>
      </c>
      <c r="O2472" s="1" t="s">
        <v>936</v>
      </c>
      <c r="P2472" s="1">
        <v>1</v>
      </c>
    </row>
    <row r="2473" spans="1:16" x14ac:dyDescent="0.25">
      <c r="A2473" s="3">
        <v>46038</v>
      </c>
      <c r="B2473" s="4">
        <v>1591</v>
      </c>
      <c r="C2473" s="5">
        <v>965.9</v>
      </c>
      <c r="D2473" s="1" t="s">
        <v>1901</v>
      </c>
      <c r="E2473" s="1" t="s">
        <v>1902</v>
      </c>
      <c r="F2473" s="1" t="s">
        <v>955</v>
      </c>
      <c r="G2473" s="1" t="s">
        <v>20</v>
      </c>
      <c r="H2473" s="1"/>
      <c r="I2473" s="1" t="s">
        <v>933</v>
      </c>
      <c r="J2473" s="1" t="s">
        <v>951</v>
      </c>
      <c r="K2473" s="1" t="s">
        <v>20</v>
      </c>
      <c r="L2473" s="1" t="s">
        <v>3816</v>
      </c>
      <c r="M2473" s="3">
        <v>46039</v>
      </c>
      <c r="N2473" s="1" t="s">
        <v>821</v>
      </c>
      <c r="O2473" s="1" t="s">
        <v>936</v>
      </c>
      <c r="P2473" s="1">
        <v>2</v>
      </c>
    </row>
    <row r="2474" spans="1:16" x14ac:dyDescent="0.25">
      <c r="A2474" s="3">
        <v>46038</v>
      </c>
      <c r="B2474" s="4">
        <v>1592</v>
      </c>
      <c r="C2474" s="5">
        <v>1678.1</v>
      </c>
      <c r="D2474" s="1" t="s">
        <v>1901</v>
      </c>
      <c r="E2474" s="1" t="s">
        <v>1902</v>
      </c>
      <c r="F2474" s="1" t="s">
        <v>955</v>
      </c>
      <c r="G2474" s="1" t="s">
        <v>20</v>
      </c>
      <c r="H2474" s="1"/>
      <c r="I2474" s="1" t="s">
        <v>933</v>
      </c>
      <c r="J2474" s="1" t="s">
        <v>951</v>
      </c>
      <c r="K2474" s="1" t="s">
        <v>20</v>
      </c>
      <c r="L2474" s="1" t="s">
        <v>3816</v>
      </c>
      <c r="M2474" s="3">
        <v>46039</v>
      </c>
      <c r="N2474" s="1" t="s">
        <v>821</v>
      </c>
      <c r="O2474" s="1" t="s">
        <v>936</v>
      </c>
      <c r="P2474" s="1">
        <v>2</v>
      </c>
    </row>
    <row r="2475" spans="1:16" x14ac:dyDescent="0.25">
      <c r="A2475" s="3">
        <v>46038</v>
      </c>
      <c r="B2475" s="4">
        <v>8433</v>
      </c>
      <c r="C2475" s="5">
        <v>970</v>
      </c>
      <c r="D2475" s="1" t="s">
        <v>3821</v>
      </c>
      <c r="E2475" s="1" t="s">
        <v>3808</v>
      </c>
      <c r="F2475" s="1" t="s">
        <v>460</v>
      </c>
      <c r="G2475" s="1" t="s">
        <v>1260</v>
      </c>
      <c r="H2475" s="3">
        <v>46058</v>
      </c>
      <c r="I2475" s="1" t="s">
        <v>933</v>
      </c>
      <c r="J2475" s="1" t="s">
        <v>66</v>
      </c>
      <c r="K2475" s="1" t="s">
        <v>858</v>
      </c>
      <c r="L2475" s="1" t="s">
        <v>3822</v>
      </c>
      <c r="M2475" s="3">
        <v>46040</v>
      </c>
      <c r="N2475" s="1" t="s">
        <v>440</v>
      </c>
      <c r="O2475" s="1" t="s">
        <v>937</v>
      </c>
      <c r="P2475" s="1" t="s">
        <v>937</v>
      </c>
    </row>
    <row r="2476" spans="1:16" x14ac:dyDescent="0.25">
      <c r="A2476" s="3">
        <v>46038</v>
      </c>
      <c r="B2476" s="4">
        <v>14196</v>
      </c>
      <c r="C2476" s="5">
        <v>1390.09</v>
      </c>
      <c r="D2476" s="1" t="s">
        <v>1801</v>
      </c>
      <c r="E2476" s="1" t="s">
        <v>1802</v>
      </c>
      <c r="F2476" s="1" t="s">
        <v>166</v>
      </c>
      <c r="G2476" s="1" t="s">
        <v>998</v>
      </c>
      <c r="H2476" s="1"/>
      <c r="I2476" s="1" t="s">
        <v>933</v>
      </c>
      <c r="J2476" s="1" t="s">
        <v>66</v>
      </c>
      <c r="K2476" s="1" t="s">
        <v>308</v>
      </c>
      <c r="L2476" s="1" t="s">
        <v>3823</v>
      </c>
      <c r="M2476" s="3">
        <v>46039</v>
      </c>
      <c r="N2476" s="1" t="s">
        <v>170</v>
      </c>
      <c r="O2476" s="1" t="s">
        <v>998</v>
      </c>
      <c r="P2476" s="1">
        <v>2</v>
      </c>
    </row>
    <row r="2477" spans="1:16" x14ac:dyDescent="0.25">
      <c r="A2477" s="3">
        <v>46038</v>
      </c>
      <c r="B2477" s="1">
        <v>169</v>
      </c>
      <c r="C2477" s="5">
        <v>5000</v>
      </c>
      <c r="D2477" s="1" t="s">
        <v>1197</v>
      </c>
      <c r="E2477" s="1" t="s">
        <v>1198</v>
      </c>
      <c r="F2477" s="1" t="s">
        <v>949</v>
      </c>
      <c r="G2477" s="1" t="s">
        <v>940</v>
      </c>
      <c r="H2477" s="3">
        <v>46052</v>
      </c>
      <c r="I2477" s="1" t="s">
        <v>933</v>
      </c>
      <c r="J2477" s="1" t="s">
        <v>951</v>
      </c>
      <c r="K2477" s="1" t="s">
        <v>817</v>
      </c>
      <c r="L2477" s="1" t="s">
        <v>3824</v>
      </c>
      <c r="M2477" s="3">
        <v>46040</v>
      </c>
      <c r="N2477" s="1" t="s">
        <v>821</v>
      </c>
      <c r="O2477" s="1" t="s">
        <v>936</v>
      </c>
      <c r="P2477" s="1">
        <v>1</v>
      </c>
    </row>
    <row r="2478" spans="1:16" x14ac:dyDescent="0.25">
      <c r="A2478" s="3">
        <v>46038</v>
      </c>
      <c r="B2478" s="4">
        <v>2440</v>
      </c>
      <c r="C2478" s="5">
        <v>1050</v>
      </c>
      <c r="D2478" s="1" t="s">
        <v>1182</v>
      </c>
      <c r="E2478" s="1" t="s">
        <v>1183</v>
      </c>
      <c r="F2478" s="1" t="s">
        <v>3668</v>
      </c>
      <c r="G2478" s="1" t="s">
        <v>1260</v>
      </c>
      <c r="H2478" s="3">
        <v>46069</v>
      </c>
      <c r="I2478" s="1" t="s">
        <v>933</v>
      </c>
      <c r="J2478" s="1" t="s">
        <v>937</v>
      </c>
      <c r="K2478" s="1" t="s">
        <v>487</v>
      </c>
      <c r="L2478" s="1" t="s">
        <v>3825</v>
      </c>
      <c r="M2478" s="3">
        <v>46040</v>
      </c>
      <c r="N2478" s="1" t="s">
        <v>937</v>
      </c>
      <c r="O2478" s="1" t="s">
        <v>936</v>
      </c>
      <c r="P2478" s="1">
        <v>1</v>
      </c>
    </row>
    <row r="2479" spans="1:16" x14ac:dyDescent="0.25">
      <c r="A2479" s="3">
        <v>46038</v>
      </c>
      <c r="B2479" s="4">
        <v>1592</v>
      </c>
      <c r="C2479" s="5">
        <v>1678.1</v>
      </c>
      <c r="D2479" s="1" t="s">
        <v>1901</v>
      </c>
      <c r="E2479" s="1" t="s">
        <v>1902</v>
      </c>
      <c r="F2479" s="1" t="s">
        <v>955</v>
      </c>
      <c r="G2479" s="1" t="s">
        <v>20</v>
      </c>
      <c r="H2479" s="3">
        <v>46071</v>
      </c>
      <c r="I2479" s="1" t="s">
        <v>933</v>
      </c>
      <c r="J2479" s="1" t="s">
        <v>951</v>
      </c>
      <c r="K2479" s="1" t="s">
        <v>934</v>
      </c>
      <c r="L2479" s="1" t="s">
        <v>3826</v>
      </c>
      <c r="M2479" s="3">
        <v>46043</v>
      </c>
      <c r="N2479" s="1" t="s">
        <v>821</v>
      </c>
      <c r="O2479" s="1" t="s">
        <v>936</v>
      </c>
      <c r="P2479" s="1">
        <v>2</v>
      </c>
    </row>
    <row r="2480" spans="1:16" x14ac:dyDescent="0.25">
      <c r="A2480" s="3">
        <v>46038</v>
      </c>
      <c r="B2480" s="4">
        <v>1591</v>
      </c>
      <c r="C2480" s="5">
        <v>965.9</v>
      </c>
      <c r="D2480" s="1" t="s">
        <v>1901</v>
      </c>
      <c r="E2480" s="1" t="s">
        <v>1902</v>
      </c>
      <c r="F2480" s="1" t="s">
        <v>955</v>
      </c>
      <c r="G2480" s="1" t="s">
        <v>20</v>
      </c>
      <c r="H2480" s="3">
        <v>46071</v>
      </c>
      <c r="I2480" s="1" t="s">
        <v>933</v>
      </c>
      <c r="J2480" s="1" t="s">
        <v>951</v>
      </c>
      <c r="K2480" s="1" t="s">
        <v>934</v>
      </c>
      <c r="L2480" s="1" t="s">
        <v>3827</v>
      </c>
      <c r="M2480" s="3">
        <v>46043</v>
      </c>
      <c r="N2480" s="1" t="s">
        <v>821</v>
      </c>
      <c r="O2480" s="1" t="s">
        <v>936</v>
      </c>
      <c r="P2480" s="1">
        <v>2</v>
      </c>
    </row>
    <row r="2481" spans="1:16" x14ac:dyDescent="0.25">
      <c r="A2481" s="3">
        <v>46039</v>
      </c>
      <c r="B2481" s="1">
        <v>18</v>
      </c>
      <c r="C2481" s="5">
        <v>5200</v>
      </c>
      <c r="D2481" s="1" t="s">
        <v>1262</v>
      </c>
      <c r="E2481" s="1" t="s">
        <v>1507</v>
      </c>
      <c r="F2481" s="1" t="s">
        <v>659</v>
      </c>
      <c r="G2481" s="1" t="s">
        <v>940</v>
      </c>
      <c r="H2481" s="3">
        <v>46055</v>
      </c>
      <c r="I2481" s="1" t="s">
        <v>933</v>
      </c>
      <c r="J2481" s="1" t="s">
        <v>951</v>
      </c>
      <c r="K2481" s="1" t="s">
        <v>20</v>
      </c>
      <c r="L2481" s="1" t="s">
        <v>3828</v>
      </c>
      <c r="M2481" s="3">
        <v>46042</v>
      </c>
      <c r="N2481" s="1"/>
      <c r="O2481" s="1" t="s">
        <v>936</v>
      </c>
      <c r="P2481" s="1" t="s">
        <v>937</v>
      </c>
    </row>
    <row r="2482" spans="1:16" x14ac:dyDescent="0.25">
      <c r="A2482" s="3">
        <v>46039</v>
      </c>
      <c r="B2482" s="1">
        <v>18</v>
      </c>
      <c r="C2482" s="5">
        <v>8980</v>
      </c>
      <c r="D2482" s="1" t="s">
        <v>1262</v>
      </c>
      <c r="E2482" s="1" t="s">
        <v>1507</v>
      </c>
      <c r="F2482" s="1" t="s">
        <v>955</v>
      </c>
      <c r="G2482" s="1" t="s">
        <v>940</v>
      </c>
      <c r="H2482" s="3">
        <v>46055</v>
      </c>
      <c r="I2482" s="1" t="s">
        <v>933</v>
      </c>
      <c r="J2482" s="1" t="s">
        <v>951</v>
      </c>
      <c r="K2482" s="1" t="s">
        <v>20</v>
      </c>
      <c r="L2482" s="1" t="s">
        <v>3829</v>
      </c>
      <c r="M2482" s="3">
        <v>46042</v>
      </c>
      <c r="N2482" s="1" t="s">
        <v>821</v>
      </c>
      <c r="O2482" s="1" t="s">
        <v>936</v>
      </c>
      <c r="P2482" s="1" t="s">
        <v>937</v>
      </c>
    </row>
    <row r="2483" spans="1:16" x14ac:dyDescent="0.25">
      <c r="A2483" s="3">
        <v>46041</v>
      </c>
      <c r="B2483" s="1">
        <v>35</v>
      </c>
      <c r="C2483" s="5">
        <v>8710</v>
      </c>
      <c r="D2483" s="1" t="s">
        <v>3833</v>
      </c>
      <c r="E2483" s="1" t="s">
        <v>3834</v>
      </c>
      <c r="F2483" s="1" t="s">
        <v>955</v>
      </c>
      <c r="G2483" s="1" t="s">
        <v>20</v>
      </c>
      <c r="H2483" s="3">
        <v>46055</v>
      </c>
      <c r="I2483" s="1" t="s">
        <v>933</v>
      </c>
      <c r="J2483" s="1" t="s">
        <v>951</v>
      </c>
      <c r="K2483" s="1" t="s">
        <v>20</v>
      </c>
      <c r="L2483" s="1" t="s">
        <v>3835</v>
      </c>
      <c r="M2483" s="3">
        <v>46042</v>
      </c>
      <c r="N2483" s="1" t="s">
        <v>821</v>
      </c>
      <c r="O2483" s="1" t="s">
        <v>937</v>
      </c>
      <c r="P2483" s="1" t="s">
        <v>937</v>
      </c>
    </row>
    <row r="2484" spans="1:16" x14ac:dyDescent="0.25">
      <c r="A2484" s="3">
        <v>46041</v>
      </c>
      <c r="B2484" s="4">
        <v>1145</v>
      </c>
      <c r="C2484" s="5">
        <v>1185</v>
      </c>
      <c r="D2484" s="1" t="s">
        <v>1126</v>
      </c>
      <c r="E2484" s="1" t="s">
        <v>1620</v>
      </c>
      <c r="F2484" s="1" t="s">
        <v>955</v>
      </c>
      <c r="G2484" s="1" t="s">
        <v>940</v>
      </c>
      <c r="H2484" s="3">
        <v>46055</v>
      </c>
      <c r="I2484" s="1" t="s">
        <v>933</v>
      </c>
      <c r="J2484" s="1" t="s">
        <v>951</v>
      </c>
      <c r="K2484" s="1" t="s">
        <v>640</v>
      </c>
      <c r="L2484" s="1" t="s">
        <v>3836</v>
      </c>
      <c r="M2484" s="3">
        <v>46042</v>
      </c>
      <c r="N2484" s="1" t="s">
        <v>821</v>
      </c>
      <c r="O2484" s="1" t="s">
        <v>936</v>
      </c>
      <c r="P2484" s="1">
        <v>1</v>
      </c>
    </row>
    <row r="2485" spans="1:16" x14ac:dyDescent="0.25">
      <c r="A2485" s="3">
        <v>46041</v>
      </c>
      <c r="B2485" s="4">
        <v>1145</v>
      </c>
      <c r="C2485" s="5">
        <v>1800</v>
      </c>
      <c r="D2485" s="1" t="s">
        <v>1126</v>
      </c>
      <c r="E2485" s="1" t="s">
        <v>1620</v>
      </c>
      <c r="F2485" s="1" t="s">
        <v>639</v>
      </c>
      <c r="G2485" s="1" t="s">
        <v>940</v>
      </c>
      <c r="H2485" s="3">
        <v>46055</v>
      </c>
      <c r="I2485" s="1" t="s">
        <v>933</v>
      </c>
      <c r="J2485" s="1" t="s">
        <v>66</v>
      </c>
      <c r="K2485" s="1" t="s">
        <v>640</v>
      </c>
      <c r="L2485" s="1" t="s">
        <v>3837</v>
      </c>
      <c r="M2485" s="3">
        <v>46042</v>
      </c>
      <c r="N2485" s="1" t="s">
        <v>98</v>
      </c>
      <c r="O2485" s="1" t="s">
        <v>936</v>
      </c>
      <c r="P2485" s="1">
        <v>1</v>
      </c>
    </row>
    <row r="2486" spans="1:16" x14ac:dyDescent="0.25">
      <c r="A2486" s="3">
        <v>46041</v>
      </c>
      <c r="B2486" s="4">
        <v>1145</v>
      </c>
      <c r="C2486" s="5">
        <v>795</v>
      </c>
      <c r="D2486" s="1" t="s">
        <v>1126</v>
      </c>
      <c r="E2486" s="1" t="s">
        <v>1620</v>
      </c>
      <c r="F2486" s="1" t="s">
        <v>453</v>
      </c>
      <c r="G2486" s="1" t="s">
        <v>940</v>
      </c>
      <c r="H2486" s="3">
        <v>46055</v>
      </c>
      <c r="I2486" s="1" t="s">
        <v>933</v>
      </c>
      <c r="J2486" s="1" t="s">
        <v>66</v>
      </c>
      <c r="K2486" s="1" t="s">
        <v>308</v>
      </c>
      <c r="L2486" s="1" t="s">
        <v>3838</v>
      </c>
      <c r="M2486" s="3">
        <v>46042</v>
      </c>
      <c r="N2486" s="1" t="s">
        <v>455</v>
      </c>
      <c r="O2486" s="1" t="s">
        <v>936</v>
      </c>
      <c r="P2486" s="1">
        <v>1</v>
      </c>
    </row>
    <row r="2487" spans="1:16" x14ac:dyDescent="0.25">
      <c r="A2487" s="3">
        <v>46041</v>
      </c>
      <c r="B2487" s="4">
        <v>1145</v>
      </c>
      <c r="C2487" s="5">
        <v>480</v>
      </c>
      <c r="D2487" s="1" t="s">
        <v>1126</v>
      </c>
      <c r="E2487" s="1" t="s">
        <v>1620</v>
      </c>
      <c r="F2487" s="1" t="s">
        <v>906</v>
      </c>
      <c r="G2487" s="1" t="s">
        <v>940</v>
      </c>
      <c r="H2487" s="3">
        <v>46055</v>
      </c>
      <c r="I2487" s="1" t="s">
        <v>933</v>
      </c>
      <c r="J2487" s="1" t="s">
        <v>66</v>
      </c>
      <c r="K2487" s="1" t="s">
        <v>308</v>
      </c>
      <c r="L2487" s="1" t="s">
        <v>3839</v>
      </c>
      <c r="M2487" s="3">
        <v>46042</v>
      </c>
      <c r="N2487" s="1" t="s">
        <v>57</v>
      </c>
      <c r="O2487" s="1" t="s">
        <v>936</v>
      </c>
      <c r="P2487" s="1">
        <v>1</v>
      </c>
    </row>
    <row r="2488" spans="1:16" x14ac:dyDescent="0.25">
      <c r="A2488" s="3">
        <v>46041</v>
      </c>
      <c r="B2488" s="4">
        <v>1145</v>
      </c>
      <c r="C2488" s="5">
        <v>2130</v>
      </c>
      <c r="D2488" s="1" t="s">
        <v>1126</v>
      </c>
      <c r="E2488" s="1" t="s">
        <v>1620</v>
      </c>
      <c r="F2488" s="1" t="s">
        <v>478</v>
      </c>
      <c r="G2488" s="1" t="s">
        <v>940</v>
      </c>
      <c r="H2488" s="3">
        <v>46055</v>
      </c>
      <c r="I2488" s="1" t="s">
        <v>933</v>
      </c>
      <c r="J2488" s="1" t="s">
        <v>66</v>
      </c>
      <c r="K2488" s="1" t="s">
        <v>308</v>
      </c>
      <c r="L2488" s="1" t="s">
        <v>3840</v>
      </c>
      <c r="M2488" s="3">
        <v>46042</v>
      </c>
      <c r="N2488" s="1" t="s">
        <v>440</v>
      </c>
      <c r="O2488" s="1" t="s">
        <v>936</v>
      </c>
      <c r="P2488" s="1">
        <v>1</v>
      </c>
    </row>
    <row r="2489" spans="1:16" x14ac:dyDescent="0.25">
      <c r="A2489" s="3">
        <v>46041</v>
      </c>
      <c r="B2489" s="4">
        <v>1145</v>
      </c>
      <c r="C2489" s="5">
        <v>2185</v>
      </c>
      <c r="D2489" s="1" t="s">
        <v>1126</v>
      </c>
      <c r="E2489" s="1" t="s">
        <v>1620</v>
      </c>
      <c r="F2489" s="1" t="s">
        <v>745</v>
      </c>
      <c r="G2489" s="1" t="s">
        <v>940</v>
      </c>
      <c r="H2489" s="3">
        <v>46055</v>
      </c>
      <c r="I2489" s="1" t="s">
        <v>933</v>
      </c>
      <c r="J2489" s="1" t="s">
        <v>66</v>
      </c>
      <c r="K2489" s="1" t="s">
        <v>340</v>
      </c>
      <c r="L2489" s="1" t="s">
        <v>3841</v>
      </c>
      <c r="M2489" s="3">
        <v>46042</v>
      </c>
      <c r="N2489" s="1" t="s">
        <v>50</v>
      </c>
      <c r="O2489" s="1" t="s">
        <v>936</v>
      </c>
      <c r="P2489" s="1">
        <v>1</v>
      </c>
    </row>
    <row r="2490" spans="1:16" x14ac:dyDescent="0.25">
      <c r="A2490" s="3">
        <v>46041</v>
      </c>
      <c r="B2490" s="4">
        <v>1145</v>
      </c>
      <c r="C2490" s="5">
        <v>234</v>
      </c>
      <c r="D2490" s="1" t="s">
        <v>1126</v>
      </c>
      <c r="E2490" s="1" t="s">
        <v>1620</v>
      </c>
      <c r="F2490" s="1" t="s">
        <v>245</v>
      </c>
      <c r="G2490" s="1" t="s">
        <v>940</v>
      </c>
      <c r="H2490" s="3">
        <v>46055</v>
      </c>
      <c r="I2490" s="1" t="s">
        <v>933</v>
      </c>
      <c r="J2490" s="1" t="s">
        <v>66</v>
      </c>
      <c r="K2490" s="1" t="s">
        <v>340</v>
      </c>
      <c r="L2490" s="1" t="s">
        <v>3842</v>
      </c>
      <c r="M2490" s="3">
        <v>46042</v>
      </c>
      <c r="N2490" s="1" t="s">
        <v>57</v>
      </c>
      <c r="O2490" s="1" t="s">
        <v>936</v>
      </c>
      <c r="P2490" s="1">
        <v>1</v>
      </c>
    </row>
    <row r="2491" spans="1:16" x14ac:dyDescent="0.25">
      <c r="A2491" s="3">
        <v>46041</v>
      </c>
      <c r="B2491" s="4">
        <v>1145</v>
      </c>
      <c r="C2491" s="5">
        <v>130</v>
      </c>
      <c r="D2491" s="1" t="s">
        <v>1126</v>
      </c>
      <c r="E2491" s="1" t="s">
        <v>1620</v>
      </c>
      <c r="F2491" s="1" t="s">
        <v>955</v>
      </c>
      <c r="G2491" s="1" t="s">
        <v>940</v>
      </c>
      <c r="H2491" s="3">
        <v>46055</v>
      </c>
      <c r="I2491" s="1" t="s">
        <v>933</v>
      </c>
      <c r="J2491" s="1" t="s">
        <v>951</v>
      </c>
      <c r="K2491" s="1" t="s">
        <v>2085</v>
      </c>
      <c r="L2491" s="1" t="s">
        <v>3843</v>
      </c>
      <c r="M2491" s="3">
        <v>46042</v>
      </c>
      <c r="N2491" s="1" t="s">
        <v>821</v>
      </c>
      <c r="O2491" s="1" t="s">
        <v>936</v>
      </c>
      <c r="P2491" s="1">
        <v>1</v>
      </c>
    </row>
    <row r="2492" spans="1:16" x14ac:dyDescent="0.25">
      <c r="A2492" s="3">
        <v>46041</v>
      </c>
      <c r="B2492" s="4">
        <v>1145</v>
      </c>
      <c r="C2492" s="5">
        <v>338</v>
      </c>
      <c r="D2492" s="1" t="s">
        <v>1126</v>
      </c>
      <c r="E2492" s="1" t="s">
        <v>1620</v>
      </c>
      <c r="F2492" s="1" t="s">
        <v>955</v>
      </c>
      <c r="G2492" s="1" t="s">
        <v>940</v>
      </c>
      <c r="H2492" s="3">
        <v>46055</v>
      </c>
      <c r="I2492" s="1" t="s">
        <v>933</v>
      </c>
      <c r="J2492" s="1" t="s">
        <v>951</v>
      </c>
      <c r="K2492" s="1" t="s">
        <v>308</v>
      </c>
      <c r="L2492" s="1" t="s">
        <v>3844</v>
      </c>
      <c r="M2492" s="3">
        <v>46042</v>
      </c>
      <c r="N2492" s="1" t="s">
        <v>821</v>
      </c>
      <c r="O2492" s="1" t="s">
        <v>936</v>
      </c>
      <c r="P2492" s="1">
        <v>1</v>
      </c>
    </row>
    <row r="2493" spans="1:16" x14ac:dyDescent="0.25">
      <c r="A2493" s="3">
        <v>46041</v>
      </c>
      <c r="B2493" s="4">
        <v>1145</v>
      </c>
      <c r="C2493" s="5">
        <v>455</v>
      </c>
      <c r="D2493" s="1" t="s">
        <v>1126</v>
      </c>
      <c r="E2493" s="1" t="s">
        <v>1620</v>
      </c>
      <c r="F2493" s="1" t="s">
        <v>732</v>
      </c>
      <c r="G2493" s="1" t="s">
        <v>940</v>
      </c>
      <c r="H2493" s="3">
        <v>46055</v>
      </c>
      <c r="I2493" s="1" t="s">
        <v>933</v>
      </c>
      <c r="J2493" s="1" t="s">
        <v>66</v>
      </c>
      <c r="K2493" s="1" t="s">
        <v>340</v>
      </c>
      <c r="L2493" s="1" t="s">
        <v>3845</v>
      </c>
      <c r="M2493" s="3">
        <v>46042</v>
      </c>
      <c r="N2493" s="1" t="s">
        <v>115</v>
      </c>
      <c r="O2493" s="1" t="s">
        <v>936</v>
      </c>
      <c r="P2493" s="1">
        <v>1</v>
      </c>
    </row>
    <row r="2494" spans="1:16" x14ac:dyDescent="0.25">
      <c r="A2494" s="3">
        <v>46041</v>
      </c>
      <c r="B2494" s="4">
        <v>1145</v>
      </c>
      <c r="C2494" s="5">
        <v>715</v>
      </c>
      <c r="D2494" s="1" t="s">
        <v>1126</v>
      </c>
      <c r="E2494" s="1" t="s">
        <v>1620</v>
      </c>
      <c r="F2494" s="1" t="s">
        <v>955</v>
      </c>
      <c r="G2494" s="1" t="s">
        <v>940</v>
      </c>
      <c r="H2494" s="3">
        <v>46055</v>
      </c>
      <c r="I2494" s="1" t="s">
        <v>933</v>
      </c>
      <c r="J2494" s="1" t="s">
        <v>951</v>
      </c>
      <c r="K2494" s="1" t="s">
        <v>340</v>
      </c>
      <c r="L2494" s="1" t="s">
        <v>977</v>
      </c>
      <c r="M2494" s="3">
        <v>46042</v>
      </c>
      <c r="N2494" s="1" t="s">
        <v>821</v>
      </c>
      <c r="O2494" s="1" t="s">
        <v>936</v>
      </c>
      <c r="P2494" s="1">
        <v>1</v>
      </c>
    </row>
    <row r="2495" spans="1:16" x14ac:dyDescent="0.25">
      <c r="A2495" s="3">
        <v>46041</v>
      </c>
      <c r="B2495" s="4">
        <v>1145</v>
      </c>
      <c r="C2495" s="5">
        <v>1170</v>
      </c>
      <c r="D2495" s="1" t="s">
        <v>1126</v>
      </c>
      <c r="E2495" s="1" t="s">
        <v>1620</v>
      </c>
      <c r="F2495" s="1" t="s">
        <v>419</v>
      </c>
      <c r="G2495" s="1" t="s">
        <v>940</v>
      </c>
      <c r="H2495" s="3">
        <v>46055</v>
      </c>
      <c r="I2495" s="1" t="s">
        <v>933</v>
      </c>
      <c r="J2495" s="1" t="s">
        <v>66</v>
      </c>
      <c r="K2495" s="1" t="s">
        <v>340</v>
      </c>
      <c r="L2495" s="1" t="s">
        <v>3846</v>
      </c>
      <c r="M2495" s="3">
        <v>46042</v>
      </c>
      <c r="N2495" s="1" t="s">
        <v>98</v>
      </c>
      <c r="O2495" s="1" t="s">
        <v>936</v>
      </c>
      <c r="P2495" s="1">
        <v>1</v>
      </c>
    </row>
    <row r="2496" spans="1:16" x14ac:dyDescent="0.25">
      <c r="A2496" s="3">
        <v>46041</v>
      </c>
      <c r="B2496" s="4">
        <v>1145</v>
      </c>
      <c r="C2496" s="5">
        <v>765</v>
      </c>
      <c r="D2496" s="1" t="s">
        <v>1126</v>
      </c>
      <c r="E2496" s="1" t="s">
        <v>1620</v>
      </c>
      <c r="F2496" s="1" t="s">
        <v>437</v>
      </c>
      <c r="G2496" s="1" t="s">
        <v>940</v>
      </c>
      <c r="H2496" s="3">
        <v>46055</v>
      </c>
      <c r="I2496" s="1" t="s">
        <v>933</v>
      </c>
      <c r="J2496" s="1" t="s">
        <v>66</v>
      </c>
      <c r="K2496" s="1" t="s">
        <v>340</v>
      </c>
      <c r="L2496" s="1" t="s">
        <v>3847</v>
      </c>
      <c r="M2496" s="3">
        <v>46042</v>
      </c>
      <c r="N2496" s="1" t="s">
        <v>440</v>
      </c>
      <c r="O2496" s="1" t="s">
        <v>936</v>
      </c>
      <c r="P2496" s="1">
        <v>1</v>
      </c>
    </row>
    <row r="2497" spans="1:16" x14ac:dyDescent="0.25">
      <c r="A2497" s="3">
        <v>46041</v>
      </c>
      <c r="B2497" s="4">
        <v>1145</v>
      </c>
      <c r="C2497" s="5">
        <v>505</v>
      </c>
      <c r="D2497" s="1" t="s">
        <v>1126</v>
      </c>
      <c r="E2497" s="1" t="s">
        <v>1620</v>
      </c>
      <c r="F2497" s="1" t="s">
        <v>650</v>
      </c>
      <c r="G2497" s="1" t="s">
        <v>940</v>
      </c>
      <c r="H2497" s="3">
        <v>46055</v>
      </c>
      <c r="I2497" s="1" t="s">
        <v>933</v>
      </c>
      <c r="J2497" s="1" t="s">
        <v>66</v>
      </c>
      <c r="K2497" s="1" t="s">
        <v>340</v>
      </c>
      <c r="L2497" s="1" t="s">
        <v>3848</v>
      </c>
      <c r="M2497" s="3">
        <v>46042</v>
      </c>
      <c r="N2497" s="1" t="s">
        <v>57</v>
      </c>
      <c r="O2497" s="1" t="s">
        <v>936</v>
      </c>
      <c r="P2497" s="1">
        <v>1</v>
      </c>
    </row>
    <row r="2498" spans="1:16" x14ac:dyDescent="0.25">
      <c r="A2498" s="3">
        <v>46041</v>
      </c>
      <c r="B2498" s="4">
        <v>1145</v>
      </c>
      <c r="C2498" s="5">
        <v>1670</v>
      </c>
      <c r="D2498" s="1" t="s">
        <v>1126</v>
      </c>
      <c r="E2498" s="1" t="s">
        <v>1620</v>
      </c>
      <c r="F2498" s="1" t="s">
        <v>182</v>
      </c>
      <c r="G2498" s="1" t="s">
        <v>940</v>
      </c>
      <c r="H2498" s="3">
        <v>46055</v>
      </c>
      <c r="I2498" s="1" t="s">
        <v>933</v>
      </c>
      <c r="J2498" s="1" t="s">
        <v>66</v>
      </c>
      <c r="K2498" s="1" t="s">
        <v>308</v>
      </c>
      <c r="L2498" s="1" t="s">
        <v>3849</v>
      </c>
      <c r="M2498" s="3">
        <v>46042</v>
      </c>
      <c r="N2498" s="1" t="s">
        <v>93</v>
      </c>
      <c r="O2498" s="1" t="s">
        <v>936</v>
      </c>
      <c r="P2498" s="1">
        <v>1</v>
      </c>
    </row>
    <row r="2499" spans="1:16" x14ac:dyDescent="0.25">
      <c r="A2499" s="3">
        <v>46041</v>
      </c>
      <c r="B2499" s="1">
        <v>50</v>
      </c>
      <c r="C2499" s="5">
        <v>3990</v>
      </c>
      <c r="D2499" s="1" t="s">
        <v>1950</v>
      </c>
      <c r="E2499" s="1" t="s">
        <v>1951</v>
      </c>
      <c r="F2499" s="1" t="s">
        <v>3668</v>
      </c>
      <c r="G2499" s="1" t="s">
        <v>1058</v>
      </c>
      <c r="H2499" s="3">
        <v>46056</v>
      </c>
      <c r="I2499" s="1" t="s">
        <v>933</v>
      </c>
      <c r="J2499" s="1" t="s">
        <v>937</v>
      </c>
      <c r="K2499" s="1" t="s">
        <v>934</v>
      </c>
      <c r="L2499" s="1" t="s">
        <v>3850</v>
      </c>
      <c r="M2499" s="3">
        <v>46042</v>
      </c>
      <c r="N2499" s="1" t="s">
        <v>937</v>
      </c>
      <c r="O2499" s="1" t="s">
        <v>936</v>
      </c>
      <c r="P2499" s="1" t="s">
        <v>937</v>
      </c>
    </row>
    <row r="2500" spans="1:16" x14ac:dyDescent="0.25">
      <c r="A2500" s="3">
        <v>46041</v>
      </c>
      <c r="B2500" s="1">
        <v>158</v>
      </c>
      <c r="C2500" s="5">
        <v>300</v>
      </c>
      <c r="D2500" s="1" t="s">
        <v>1229</v>
      </c>
      <c r="E2500" s="1" t="s">
        <v>1230</v>
      </c>
      <c r="F2500" s="1" t="s">
        <v>955</v>
      </c>
      <c r="G2500" s="1" t="s">
        <v>990</v>
      </c>
      <c r="H2500" s="3">
        <v>46055</v>
      </c>
      <c r="I2500" s="1" t="s">
        <v>933</v>
      </c>
      <c r="J2500" s="1" t="s">
        <v>951</v>
      </c>
      <c r="K2500" s="1" t="s">
        <v>340</v>
      </c>
      <c r="L2500" s="1" t="s">
        <v>3851</v>
      </c>
      <c r="M2500" s="3">
        <v>46043</v>
      </c>
      <c r="N2500" s="1" t="s">
        <v>821</v>
      </c>
      <c r="O2500" s="1" t="s">
        <v>990</v>
      </c>
      <c r="P2500" s="1">
        <v>1</v>
      </c>
    </row>
    <row r="2501" spans="1:16" x14ac:dyDescent="0.25">
      <c r="A2501" s="3">
        <v>46041</v>
      </c>
      <c r="B2501" s="1">
        <v>159</v>
      </c>
      <c r="C2501" s="5">
        <v>150</v>
      </c>
      <c r="D2501" s="1" t="s">
        <v>1229</v>
      </c>
      <c r="E2501" s="1" t="s">
        <v>1230</v>
      </c>
      <c r="F2501" s="1" t="s">
        <v>955</v>
      </c>
      <c r="G2501" s="1" t="s">
        <v>990</v>
      </c>
      <c r="H2501" s="3">
        <v>46055</v>
      </c>
      <c r="I2501" s="1" t="s">
        <v>933</v>
      </c>
      <c r="J2501" s="1" t="s">
        <v>951</v>
      </c>
      <c r="K2501" s="1" t="s">
        <v>934</v>
      </c>
      <c r="L2501" s="1" t="s">
        <v>3852</v>
      </c>
      <c r="M2501" s="3">
        <v>46043</v>
      </c>
      <c r="N2501" s="1" t="s">
        <v>821</v>
      </c>
      <c r="O2501" s="1" t="s">
        <v>990</v>
      </c>
      <c r="P2501" s="1">
        <v>1</v>
      </c>
    </row>
    <row r="2502" spans="1:16" x14ac:dyDescent="0.25">
      <c r="A2502" s="3">
        <v>46041</v>
      </c>
      <c r="B2502" s="1">
        <v>160</v>
      </c>
      <c r="C2502" s="5">
        <v>320</v>
      </c>
      <c r="D2502" s="1" t="s">
        <v>1229</v>
      </c>
      <c r="E2502" s="1" t="s">
        <v>1230</v>
      </c>
      <c r="F2502" s="1" t="s">
        <v>955</v>
      </c>
      <c r="G2502" s="1" t="s">
        <v>990</v>
      </c>
      <c r="H2502" s="3">
        <v>46055</v>
      </c>
      <c r="I2502" s="1" t="s">
        <v>933</v>
      </c>
      <c r="J2502" s="1" t="s">
        <v>951</v>
      </c>
      <c r="K2502" s="1" t="s">
        <v>934</v>
      </c>
      <c r="L2502" s="1" t="s">
        <v>3853</v>
      </c>
      <c r="M2502" s="3">
        <v>46043</v>
      </c>
      <c r="N2502" s="1" t="s">
        <v>821</v>
      </c>
      <c r="O2502" s="1" t="s">
        <v>990</v>
      </c>
      <c r="P2502" s="1">
        <v>1</v>
      </c>
    </row>
    <row r="2503" spans="1:16" x14ac:dyDescent="0.25">
      <c r="A2503" s="3">
        <v>46041</v>
      </c>
      <c r="B2503" s="4">
        <v>1594</v>
      </c>
      <c r="C2503" s="5">
        <v>198.7</v>
      </c>
      <c r="D2503" s="1" t="s">
        <v>1901</v>
      </c>
      <c r="E2503" s="1" t="s">
        <v>1902</v>
      </c>
      <c r="F2503" s="1" t="s">
        <v>955</v>
      </c>
      <c r="G2503" s="1" t="s">
        <v>20</v>
      </c>
      <c r="H2503" s="3">
        <v>46071</v>
      </c>
      <c r="I2503" s="1" t="s">
        <v>933</v>
      </c>
      <c r="J2503" s="1" t="s">
        <v>951</v>
      </c>
      <c r="K2503" s="1" t="s">
        <v>934</v>
      </c>
      <c r="L2503" s="1" t="s">
        <v>3854</v>
      </c>
      <c r="M2503" s="3">
        <v>46043</v>
      </c>
      <c r="N2503" s="1" t="s">
        <v>821</v>
      </c>
      <c r="O2503" s="1" t="s">
        <v>936</v>
      </c>
      <c r="P2503" s="1">
        <v>1</v>
      </c>
    </row>
    <row r="2504" spans="1:16" x14ac:dyDescent="0.25">
      <c r="A2504" s="3">
        <v>46041</v>
      </c>
      <c r="B2504" s="4">
        <v>1593</v>
      </c>
      <c r="C2504" s="5">
        <v>458.68</v>
      </c>
      <c r="D2504" s="1" t="s">
        <v>1901</v>
      </c>
      <c r="E2504" s="1" t="s">
        <v>1902</v>
      </c>
      <c r="F2504" s="1" t="s">
        <v>955</v>
      </c>
      <c r="G2504" s="1" t="s">
        <v>20</v>
      </c>
      <c r="H2504" s="3">
        <v>46071</v>
      </c>
      <c r="I2504" s="1" t="s">
        <v>933</v>
      </c>
      <c r="J2504" s="1" t="s">
        <v>951</v>
      </c>
      <c r="K2504" s="1" t="s">
        <v>934</v>
      </c>
      <c r="L2504" s="1" t="s">
        <v>3855</v>
      </c>
      <c r="M2504" s="3">
        <v>46043</v>
      </c>
      <c r="N2504" s="1" t="s">
        <v>821</v>
      </c>
      <c r="O2504" s="1" t="s">
        <v>936</v>
      </c>
      <c r="P2504" s="1">
        <v>1</v>
      </c>
    </row>
    <row r="2505" spans="1:16" x14ac:dyDescent="0.25">
      <c r="A2505" s="3">
        <v>46042</v>
      </c>
      <c r="B2505" s="4">
        <v>2019</v>
      </c>
      <c r="C2505" s="5">
        <v>2082.5</v>
      </c>
      <c r="D2505" s="1" t="s">
        <v>3856</v>
      </c>
      <c r="E2505" s="1" t="s">
        <v>3857</v>
      </c>
      <c r="F2505" s="1" t="s">
        <v>732</v>
      </c>
      <c r="G2505" s="1" t="s">
        <v>940</v>
      </c>
      <c r="H2505" s="3">
        <v>46055</v>
      </c>
      <c r="I2505" s="1" t="s">
        <v>933</v>
      </c>
      <c r="J2505" s="1" t="s">
        <v>66</v>
      </c>
      <c r="K2505" s="1" t="s">
        <v>340</v>
      </c>
      <c r="L2505" s="1" t="s">
        <v>3858</v>
      </c>
      <c r="M2505" s="3">
        <v>46043</v>
      </c>
      <c r="N2505" s="1" t="s">
        <v>115</v>
      </c>
      <c r="O2505" s="1" t="s">
        <v>936</v>
      </c>
      <c r="P2505" s="1">
        <v>1</v>
      </c>
    </row>
    <row r="2506" spans="1:16" x14ac:dyDescent="0.25">
      <c r="A2506" s="3">
        <v>46042</v>
      </c>
      <c r="B2506" s="4">
        <v>155967</v>
      </c>
      <c r="C2506" s="5">
        <v>3658.24</v>
      </c>
      <c r="D2506" s="1" t="s">
        <v>2670</v>
      </c>
      <c r="E2506" s="1" t="s">
        <v>2873</v>
      </c>
      <c r="F2506" s="1" t="s">
        <v>304</v>
      </c>
      <c r="G2506" s="1" t="s">
        <v>940</v>
      </c>
      <c r="H2506" s="3">
        <v>46072</v>
      </c>
      <c r="I2506" s="1" t="s">
        <v>1100</v>
      </c>
      <c r="J2506" s="1" t="s">
        <v>66</v>
      </c>
      <c r="K2506" s="1" t="s">
        <v>340</v>
      </c>
      <c r="L2506" s="1" t="s">
        <v>3859</v>
      </c>
      <c r="M2506" s="3">
        <v>46043</v>
      </c>
      <c r="N2506" s="1" t="s">
        <v>57</v>
      </c>
      <c r="O2506" s="1" t="s">
        <v>936</v>
      </c>
      <c r="P2506" s="1">
        <v>1</v>
      </c>
    </row>
    <row r="2507" spans="1:16" x14ac:dyDescent="0.25">
      <c r="A2507" s="3">
        <v>46042</v>
      </c>
      <c r="B2507" s="1">
        <v>516</v>
      </c>
      <c r="C2507" s="5">
        <v>2530</v>
      </c>
      <c r="D2507" s="1" t="s">
        <v>1953</v>
      </c>
      <c r="E2507" s="1" t="s">
        <v>3326</v>
      </c>
      <c r="F2507" s="1" t="s">
        <v>966</v>
      </c>
      <c r="G2507" s="1" t="s">
        <v>990</v>
      </c>
      <c r="H2507" s="3">
        <v>46057</v>
      </c>
      <c r="I2507" s="1" t="s">
        <v>933</v>
      </c>
      <c r="J2507" s="1" t="s">
        <v>951</v>
      </c>
      <c r="K2507" s="1" t="s">
        <v>340</v>
      </c>
      <c r="L2507" s="1" t="s">
        <v>3860</v>
      </c>
      <c r="M2507" s="3">
        <v>46043</v>
      </c>
      <c r="N2507" s="1" t="s">
        <v>821</v>
      </c>
      <c r="O2507" s="1" t="s">
        <v>936</v>
      </c>
      <c r="P2507" s="1">
        <v>1</v>
      </c>
    </row>
    <row r="2508" spans="1:16" x14ac:dyDescent="0.25">
      <c r="A2508" s="3">
        <v>46042</v>
      </c>
      <c r="B2508" s="1">
        <v>515</v>
      </c>
      <c r="C2508" s="5">
        <v>1890</v>
      </c>
      <c r="D2508" s="1" t="s">
        <v>1953</v>
      </c>
      <c r="E2508" s="1" t="s">
        <v>3326</v>
      </c>
      <c r="F2508" s="1" t="s">
        <v>966</v>
      </c>
      <c r="G2508" s="1" t="s">
        <v>990</v>
      </c>
      <c r="H2508" s="3">
        <v>46057</v>
      </c>
      <c r="I2508" s="1" t="s">
        <v>933</v>
      </c>
      <c r="J2508" s="1" t="s">
        <v>951</v>
      </c>
      <c r="K2508" s="1" t="s">
        <v>340</v>
      </c>
      <c r="L2508" s="1" t="s">
        <v>3861</v>
      </c>
      <c r="M2508" s="3">
        <v>46043</v>
      </c>
      <c r="N2508" s="1" t="s">
        <v>821</v>
      </c>
      <c r="O2508" s="1" t="s">
        <v>936</v>
      </c>
      <c r="P2508" s="1">
        <v>1</v>
      </c>
    </row>
    <row r="2509" spans="1:16" x14ac:dyDescent="0.25">
      <c r="A2509" s="3">
        <v>46042</v>
      </c>
      <c r="B2509" s="1">
        <v>514</v>
      </c>
      <c r="C2509" s="5">
        <v>2910</v>
      </c>
      <c r="D2509" s="1" t="s">
        <v>1953</v>
      </c>
      <c r="E2509" s="1" t="s">
        <v>3326</v>
      </c>
      <c r="F2509" s="1" t="s">
        <v>966</v>
      </c>
      <c r="G2509" s="1" t="s">
        <v>990</v>
      </c>
      <c r="H2509" s="3">
        <v>46057</v>
      </c>
      <c r="I2509" s="1" t="s">
        <v>933</v>
      </c>
      <c r="J2509" s="1" t="s">
        <v>951</v>
      </c>
      <c r="K2509" s="1" t="s">
        <v>340</v>
      </c>
      <c r="L2509" s="1" t="s">
        <v>3862</v>
      </c>
      <c r="M2509" s="3">
        <v>46043</v>
      </c>
      <c r="N2509" s="1" t="s">
        <v>821</v>
      </c>
      <c r="O2509" s="1" t="s">
        <v>936</v>
      </c>
      <c r="P2509" s="1">
        <v>1</v>
      </c>
    </row>
    <row r="2510" spans="1:16" x14ac:dyDescent="0.25">
      <c r="A2510" s="3">
        <v>46042</v>
      </c>
      <c r="B2510" s="4">
        <v>337671</v>
      </c>
      <c r="C2510" s="5">
        <v>560</v>
      </c>
      <c r="D2510" s="1" t="s">
        <v>3274</v>
      </c>
      <c r="E2510" s="1" t="s">
        <v>3275</v>
      </c>
      <c r="F2510" s="1" t="s">
        <v>430</v>
      </c>
      <c r="G2510" s="1" t="s">
        <v>940</v>
      </c>
      <c r="H2510" s="3">
        <v>46070</v>
      </c>
      <c r="I2510" s="1" t="s">
        <v>933</v>
      </c>
      <c r="J2510" s="1" t="s">
        <v>66</v>
      </c>
      <c r="K2510" s="1" t="s">
        <v>1654</v>
      </c>
      <c r="L2510" s="1" t="s">
        <v>3863</v>
      </c>
      <c r="M2510" s="3">
        <v>46048</v>
      </c>
      <c r="N2510" s="1" t="s">
        <v>57</v>
      </c>
      <c r="O2510" s="1" t="s">
        <v>936</v>
      </c>
      <c r="P2510" s="1">
        <v>1</v>
      </c>
    </row>
    <row r="2511" spans="1:16" x14ac:dyDescent="0.25">
      <c r="A2511" s="3">
        <v>46042</v>
      </c>
      <c r="B2511" s="4">
        <v>2379</v>
      </c>
      <c r="C2511" s="5">
        <v>21000</v>
      </c>
      <c r="D2511" s="1" t="s">
        <v>3864</v>
      </c>
      <c r="E2511" s="1" t="s">
        <v>3865</v>
      </c>
      <c r="F2511" s="1" t="s">
        <v>955</v>
      </c>
      <c r="G2511" s="1" t="s">
        <v>1029</v>
      </c>
      <c r="H2511" s="3">
        <v>46059</v>
      </c>
      <c r="I2511" s="1" t="s">
        <v>933</v>
      </c>
      <c r="J2511" s="1" t="s">
        <v>951</v>
      </c>
      <c r="K2511" s="1" t="s">
        <v>659</v>
      </c>
      <c r="L2511" s="1" t="s">
        <v>3866</v>
      </c>
      <c r="M2511" s="3">
        <v>46048</v>
      </c>
      <c r="N2511" s="1" t="s">
        <v>821</v>
      </c>
      <c r="O2511" s="1" t="s">
        <v>937</v>
      </c>
      <c r="P2511" s="1">
        <v>1</v>
      </c>
    </row>
    <row r="2512" spans="1:16" x14ac:dyDescent="0.25">
      <c r="A2512" s="3">
        <v>46043</v>
      </c>
      <c r="B2512" s="4">
        <v>75536</v>
      </c>
      <c r="C2512" s="5">
        <v>1844.06</v>
      </c>
      <c r="D2512" s="1" t="s">
        <v>1959</v>
      </c>
      <c r="E2512" s="1" t="s">
        <v>1960</v>
      </c>
      <c r="F2512" s="1" t="s">
        <v>966</v>
      </c>
      <c r="G2512" s="1" t="s">
        <v>940</v>
      </c>
      <c r="H2512" s="3">
        <v>46073</v>
      </c>
      <c r="I2512" s="1" t="s">
        <v>933</v>
      </c>
      <c r="J2512" s="1" t="s">
        <v>951</v>
      </c>
      <c r="K2512" s="1" t="s">
        <v>340</v>
      </c>
      <c r="L2512" s="1" t="s">
        <v>3867</v>
      </c>
      <c r="M2512" s="3">
        <v>46043</v>
      </c>
      <c r="N2512" s="1" t="s">
        <v>821</v>
      </c>
      <c r="O2512" s="1" t="s">
        <v>936</v>
      </c>
      <c r="P2512" s="1">
        <v>1</v>
      </c>
    </row>
    <row r="2513" spans="1:16" x14ac:dyDescent="0.25">
      <c r="A2513" s="3">
        <v>46043</v>
      </c>
      <c r="B2513" s="1">
        <v>57</v>
      </c>
      <c r="C2513" s="5">
        <v>21479</v>
      </c>
      <c r="D2513" s="1" t="s">
        <v>3868</v>
      </c>
      <c r="E2513" s="1" t="s">
        <v>3869</v>
      </c>
      <c r="F2513" s="1" t="s">
        <v>955</v>
      </c>
      <c r="G2513" s="1" t="s">
        <v>2860</v>
      </c>
      <c r="H2513" s="3">
        <v>46071</v>
      </c>
      <c r="I2513" s="1" t="s">
        <v>933</v>
      </c>
      <c r="J2513" s="1" t="s">
        <v>951</v>
      </c>
      <c r="K2513" s="1" t="s">
        <v>1654</v>
      </c>
      <c r="L2513" s="1" t="s">
        <v>3870</v>
      </c>
      <c r="M2513" s="3">
        <v>46044</v>
      </c>
      <c r="N2513" s="1" t="s">
        <v>821</v>
      </c>
      <c r="O2513" s="1" t="s">
        <v>936</v>
      </c>
      <c r="P2513" s="1" t="s">
        <v>937</v>
      </c>
    </row>
    <row r="2514" spans="1:16" x14ac:dyDescent="0.25">
      <c r="A2514" s="3">
        <v>46043</v>
      </c>
      <c r="B2514" s="1">
        <v>145</v>
      </c>
      <c r="C2514" s="5">
        <v>800</v>
      </c>
      <c r="D2514" s="1" t="s">
        <v>1867</v>
      </c>
      <c r="E2514" s="1" t="s">
        <v>1971</v>
      </c>
      <c r="F2514" s="1" t="s">
        <v>955</v>
      </c>
      <c r="G2514" s="1" t="s">
        <v>3022</v>
      </c>
      <c r="H2514" s="3">
        <v>46050</v>
      </c>
      <c r="I2514" s="1" t="s">
        <v>933</v>
      </c>
      <c r="J2514" s="1" t="s">
        <v>951</v>
      </c>
      <c r="K2514" s="1" t="s">
        <v>659</v>
      </c>
      <c r="L2514" s="1" t="s">
        <v>3871</v>
      </c>
      <c r="M2514" s="3">
        <v>46044</v>
      </c>
      <c r="N2514" s="1" t="s">
        <v>821</v>
      </c>
      <c r="O2514" s="1" t="s">
        <v>936</v>
      </c>
      <c r="P2514" s="1">
        <v>1</v>
      </c>
    </row>
    <row r="2515" spans="1:16" x14ac:dyDescent="0.25">
      <c r="A2515" s="3">
        <v>46043</v>
      </c>
      <c r="B2515" s="1">
        <v>27</v>
      </c>
      <c r="C2515" s="5">
        <v>1420</v>
      </c>
      <c r="D2515" s="1" t="s">
        <v>3872</v>
      </c>
      <c r="E2515" s="1" t="s">
        <v>3873</v>
      </c>
      <c r="F2515" s="1" t="s">
        <v>1131</v>
      </c>
      <c r="G2515" s="1" t="s">
        <v>1131</v>
      </c>
      <c r="H2515" s="3">
        <v>46063</v>
      </c>
      <c r="I2515" s="1" t="s">
        <v>933</v>
      </c>
      <c r="J2515" s="1" t="s">
        <v>1131</v>
      </c>
      <c r="K2515" s="1" t="s">
        <v>817</v>
      </c>
      <c r="L2515" s="1" t="s">
        <v>3874</v>
      </c>
      <c r="M2515" s="3">
        <v>46044</v>
      </c>
      <c r="N2515" s="1" t="s">
        <v>821</v>
      </c>
      <c r="O2515" s="1" t="s">
        <v>936</v>
      </c>
      <c r="P2515" s="1" t="s">
        <v>937</v>
      </c>
    </row>
    <row r="2516" spans="1:16" x14ac:dyDescent="0.25">
      <c r="A2516" s="3">
        <v>46043</v>
      </c>
      <c r="B2516" s="1">
        <v>978</v>
      </c>
      <c r="C2516" s="5">
        <v>4700</v>
      </c>
      <c r="D2516" s="1" t="s">
        <v>2227</v>
      </c>
      <c r="E2516" s="1" t="s">
        <v>2228</v>
      </c>
      <c r="F2516" s="1" t="s">
        <v>153</v>
      </c>
      <c r="G2516" s="1" t="s">
        <v>1260</v>
      </c>
      <c r="H2516" s="3">
        <v>46057</v>
      </c>
      <c r="I2516" s="1" t="s">
        <v>933</v>
      </c>
      <c r="J2516" s="1" t="s">
        <v>66</v>
      </c>
      <c r="K2516" s="1" t="s">
        <v>52</v>
      </c>
      <c r="L2516" s="1" t="s">
        <v>3875</v>
      </c>
      <c r="M2516" s="3">
        <v>46048</v>
      </c>
      <c r="N2516" s="1" t="s">
        <v>82</v>
      </c>
      <c r="O2516" s="1" t="s">
        <v>932</v>
      </c>
      <c r="P2516" s="1">
        <v>1</v>
      </c>
    </row>
    <row r="2517" spans="1:16" x14ac:dyDescent="0.25">
      <c r="A2517" s="3">
        <v>46043</v>
      </c>
      <c r="B2517" s="1">
        <v>977</v>
      </c>
      <c r="C2517" s="5">
        <v>2509.08</v>
      </c>
      <c r="D2517" s="1" t="s">
        <v>2227</v>
      </c>
      <c r="E2517" s="1" t="s">
        <v>2228</v>
      </c>
      <c r="F2517" s="1" t="s">
        <v>153</v>
      </c>
      <c r="G2517" s="1" t="s">
        <v>1029</v>
      </c>
      <c r="H2517" s="3">
        <v>46057</v>
      </c>
      <c r="I2517" s="1" t="s">
        <v>933</v>
      </c>
      <c r="J2517" s="1" t="s">
        <v>66</v>
      </c>
      <c r="K2517" s="1" t="s">
        <v>52</v>
      </c>
      <c r="L2517" s="1" t="s">
        <v>3876</v>
      </c>
      <c r="M2517" s="3">
        <v>46048</v>
      </c>
      <c r="N2517" s="1" t="s">
        <v>82</v>
      </c>
      <c r="O2517" s="1" t="s">
        <v>932</v>
      </c>
      <c r="P2517" s="1">
        <v>1</v>
      </c>
    </row>
    <row r="2518" spans="1:16" x14ac:dyDescent="0.25">
      <c r="A2518" s="3">
        <v>46043</v>
      </c>
      <c r="B2518" s="4">
        <v>153064</v>
      </c>
      <c r="C2518" s="5">
        <v>728.05</v>
      </c>
      <c r="D2518" s="1" t="s">
        <v>1492</v>
      </c>
      <c r="E2518" s="1" t="s">
        <v>1493</v>
      </c>
      <c r="F2518" s="1" t="s">
        <v>719</v>
      </c>
      <c r="G2518" s="1" t="s">
        <v>940</v>
      </c>
      <c r="H2518" s="3">
        <v>46073</v>
      </c>
      <c r="I2518" s="1" t="s">
        <v>933</v>
      </c>
      <c r="J2518" s="1" t="s">
        <v>66</v>
      </c>
      <c r="K2518" s="1" t="s">
        <v>340</v>
      </c>
      <c r="L2518" s="1" t="s">
        <v>3877</v>
      </c>
      <c r="M2518" s="3">
        <v>46048</v>
      </c>
      <c r="N2518" s="1" t="s">
        <v>712</v>
      </c>
      <c r="O2518" s="1" t="s">
        <v>936</v>
      </c>
      <c r="P2518" s="1">
        <v>1</v>
      </c>
    </row>
    <row r="2519" spans="1:16" x14ac:dyDescent="0.25">
      <c r="A2519" s="3">
        <v>46043</v>
      </c>
      <c r="B2519" s="4">
        <v>1163</v>
      </c>
      <c r="C2519" s="5">
        <v>4320</v>
      </c>
      <c r="D2519" s="1" t="s">
        <v>1074</v>
      </c>
      <c r="E2519" s="1" t="s">
        <v>1075</v>
      </c>
      <c r="F2519" s="1" t="s">
        <v>955</v>
      </c>
      <c r="G2519" s="1" t="s">
        <v>1058</v>
      </c>
      <c r="H2519" s="3">
        <v>46068</v>
      </c>
      <c r="I2519" s="1" t="s">
        <v>933</v>
      </c>
      <c r="J2519" s="1" t="s">
        <v>951</v>
      </c>
      <c r="K2519" s="1" t="s">
        <v>934</v>
      </c>
      <c r="L2519" s="1" t="s">
        <v>3878</v>
      </c>
      <c r="M2519" s="3">
        <v>46048</v>
      </c>
      <c r="N2519" s="1" t="s">
        <v>57</v>
      </c>
      <c r="O2519" s="1" t="s">
        <v>936</v>
      </c>
      <c r="P2519" s="1">
        <v>1</v>
      </c>
    </row>
    <row r="2520" spans="1:16" x14ac:dyDescent="0.25">
      <c r="A2520" s="3">
        <v>46043</v>
      </c>
      <c r="B2520" s="4">
        <v>1164</v>
      </c>
      <c r="C2520" s="5">
        <v>13620</v>
      </c>
      <c r="D2520" s="1" t="s">
        <v>1074</v>
      </c>
      <c r="E2520" s="1" t="s">
        <v>1075</v>
      </c>
      <c r="F2520" s="1" t="s">
        <v>949</v>
      </c>
      <c r="G2520" s="1" t="s">
        <v>981</v>
      </c>
      <c r="H2520" s="3">
        <v>46068</v>
      </c>
      <c r="I2520" s="1" t="s">
        <v>933</v>
      </c>
      <c r="J2520" s="1" t="s">
        <v>951</v>
      </c>
      <c r="K2520" s="1" t="s">
        <v>340</v>
      </c>
      <c r="L2520" s="1" t="s">
        <v>3879</v>
      </c>
      <c r="M2520" s="3">
        <v>46048</v>
      </c>
      <c r="N2520" s="1" t="s">
        <v>57</v>
      </c>
      <c r="O2520" s="1" t="s">
        <v>936</v>
      </c>
      <c r="P2520" s="1">
        <v>1</v>
      </c>
    </row>
    <row r="2521" spans="1:16" x14ac:dyDescent="0.25">
      <c r="A2521" s="3">
        <v>46044</v>
      </c>
      <c r="B2521" s="1">
        <v>5</v>
      </c>
      <c r="C2521" s="5">
        <v>12500</v>
      </c>
      <c r="D2521" s="1" t="s">
        <v>3880</v>
      </c>
      <c r="E2521" s="1" t="s">
        <v>3881</v>
      </c>
      <c r="F2521" s="1" t="s">
        <v>794</v>
      </c>
      <c r="G2521" s="1" t="s">
        <v>940</v>
      </c>
      <c r="H2521" s="3">
        <v>46059</v>
      </c>
      <c r="I2521" s="1" t="s">
        <v>1100</v>
      </c>
      <c r="J2521" s="1" t="s">
        <v>66</v>
      </c>
      <c r="K2521" s="1" t="s">
        <v>308</v>
      </c>
      <c r="L2521" s="1" t="s">
        <v>3882</v>
      </c>
      <c r="M2521" s="3">
        <v>46048</v>
      </c>
      <c r="N2521" s="1" t="s">
        <v>57</v>
      </c>
      <c r="O2521" s="1" t="s">
        <v>936</v>
      </c>
      <c r="P2521" s="1">
        <v>1</v>
      </c>
    </row>
    <row r="2522" spans="1:16" x14ac:dyDescent="0.25">
      <c r="A2522" s="3">
        <v>46044</v>
      </c>
      <c r="B2522" s="4">
        <v>1600</v>
      </c>
      <c r="C2522" s="5">
        <v>1732.3</v>
      </c>
      <c r="D2522" s="1" t="s">
        <v>1901</v>
      </c>
      <c r="E2522" s="1" t="s">
        <v>1902</v>
      </c>
      <c r="F2522" s="1" t="s">
        <v>955</v>
      </c>
      <c r="G2522" s="1" t="s">
        <v>20</v>
      </c>
      <c r="H2522" s="3">
        <v>46072</v>
      </c>
      <c r="I2522" s="1" t="s">
        <v>933</v>
      </c>
      <c r="J2522" s="1" t="s">
        <v>951</v>
      </c>
      <c r="K2522" s="1" t="s">
        <v>20</v>
      </c>
      <c r="L2522" s="1" t="s">
        <v>3883</v>
      </c>
      <c r="M2522" s="3">
        <v>46048</v>
      </c>
      <c r="N2522" s="1" t="s">
        <v>821</v>
      </c>
      <c r="O2522" s="1" t="s">
        <v>937</v>
      </c>
      <c r="P2522" s="1" t="s">
        <v>937</v>
      </c>
    </row>
    <row r="2523" spans="1:16" x14ac:dyDescent="0.25">
      <c r="A2523" s="3">
        <v>46044</v>
      </c>
      <c r="B2523" s="4">
        <v>1603</v>
      </c>
      <c r="C2523" s="5">
        <v>563.20000000000005</v>
      </c>
      <c r="D2523" s="1" t="s">
        <v>1901</v>
      </c>
      <c r="E2523" s="1" t="s">
        <v>1902</v>
      </c>
      <c r="F2523" s="1" t="s">
        <v>955</v>
      </c>
      <c r="G2523" s="1" t="s">
        <v>20</v>
      </c>
      <c r="H2523" s="3">
        <v>46074</v>
      </c>
      <c r="I2523" s="1" t="s">
        <v>933</v>
      </c>
      <c r="J2523" s="1" t="s">
        <v>951</v>
      </c>
      <c r="K2523" s="1" t="s">
        <v>20</v>
      </c>
      <c r="L2523" s="1" t="s">
        <v>3884</v>
      </c>
      <c r="M2523" s="3">
        <v>46048</v>
      </c>
      <c r="N2523" s="1" t="s">
        <v>821</v>
      </c>
      <c r="O2523" s="1" t="s">
        <v>937</v>
      </c>
      <c r="P2523" s="1" t="s">
        <v>937</v>
      </c>
    </row>
    <row r="2524" spans="1:16" x14ac:dyDescent="0.25">
      <c r="A2524" s="3">
        <v>46044</v>
      </c>
      <c r="B2524" s="4">
        <v>72577</v>
      </c>
      <c r="C2524" s="5">
        <v>8069.52</v>
      </c>
      <c r="D2524" s="1" t="s">
        <v>1253</v>
      </c>
      <c r="E2524" s="1" t="s">
        <v>1487</v>
      </c>
      <c r="F2524" s="1" t="s">
        <v>650</v>
      </c>
      <c r="G2524" s="1" t="s">
        <v>940</v>
      </c>
      <c r="H2524" s="3">
        <v>46076</v>
      </c>
      <c r="I2524" s="1" t="s">
        <v>933</v>
      </c>
      <c r="J2524" s="1" t="s">
        <v>66</v>
      </c>
      <c r="K2524" s="1" t="s">
        <v>340</v>
      </c>
      <c r="L2524" s="1" t="s">
        <v>3885</v>
      </c>
      <c r="M2524" s="3">
        <v>46048</v>
      </c>
      <c r="N2524" s="1" t="s">
        <v>57</v>
      </c>
      <c r="O2524" s="1" t="s">
        <v>936</v>
      </c>
      <c r="P2524" s="1">
        <v>1</v>
      </c>
    </row>
    <row r="2525" spans="1:16" x14ac:dyDescent="0.25">
      <c r="A2525" s="3">
        <v>46044</v>
      </c>
      <c r="B2525" s="4">
        <v>2446</v>
      </c>
      <c r="C2525" s="5">
        <v>300</v>
      </c>
      <c r="D2525" s="1" t="s">
        <v>1182</v>
      </c>
      <c r="E2525" s="1" t="s">
        <v>1183</v>
      </c>
      <c r="F2525" s="1" t="s">
        <v>955</v>
      </c>
      <c r="G2525" s="1" t="s">
        <v>940</v>
      </c>
      <c r="H2525" s="3">
        <v>46075</v>
      </c>
      <c r="I2525" s="1" t="s">
        <v>933</v>
      </c>
      <c r="J2525" s="1" t="s">
        <v>951</v>
      </c>
      <c r="K2525" s="1" t="s">
        <v>817</v>
      </c>
      <c r="L2525" s="1" t="s">
        <v>3886</v>
      </c>
      <c r="M2525" s="3">
        <v>46048</v>
      </c>
      <c r="N2525" s="1" t="s">
        <v>821</v>
      </c>
      <c r="O2525" s="1" t="s">
        <v>936</v>
      </c>
      <c r="P2525" s="1">
        <v>1</v>
      </c>
    </row>
    <row r="2526" spans="1:16" x14ac:dyDescent="0.25">
      <c r="A2526" s="3">
        <v>46044</v>
      </c>
      <c r="B2526" s="1">
        <v>101</v>
      </c>
      <c r="C2526" s="5">
        <v>3797</v>
      </c>
      <c r="D2526" s="1" t="s">
        <v>3887</v>
      </c>
      <c r="E2526" s="1" t="s">
        <v>3888</v>
      </c>
      <c r="F2526" s="1" t="s">
        <v>949</v>
      </c>
      <c r="G2526" s="1" t="s">
        <v>1029</v>
      </c>
      <c r="H2526" s="3">
        <v>46061</v>
      </c>
      <c r="I2526" s="1" t="s">
        <v>933</v>
      </c>
      <c r="J2526" s="1" t="s">
        <v>951</v>
      </c>
      <c r="K2526" s="1" t="s">
        <v>817</v>
      </c>
      <c r="L2526" s="1" t="s">
        <v>3889</v>
      </c>
      <c r="M2526" s="3">
        <v>46048</v>
      </c>
      <c r="N2526" s="1" t="s">
        <v>821</v>
      </c>
      <c r="O2526" s="1" t="s">
        <v>936</v>
      </c>
      <c r="P2526" s="1">
        <v>1</v>
      </c>
    </row>
    <row r="2527" spans="1:16" x14ac:dyDescent="0.25">
      <c r="A2527" s="3">
        <v>46044</v>
      </c>
      <c r="B2527" s="1">
        <v>102</v>
      </c>
      <c r="C2527" s="5">
        <v>3999</v>
      </c>
      <c r="D2527" s="1" t="s">
        <v>3887</v>
      </c>
      <c r="E2527" s="1" t="s">
        <v>3888</v>
      </c>
      <c r="F2527" s="1" t="s">
        <v>949</v>
      </c>
      <c r="G2527" s="1" t="s">
        <v>1029</v>
      </c>
      <c r="H2527" s="3">
        <v>46061</v>
      </c>
      <c r="I2527" s="1" t="s">
        <v>933</v>
      </c>
      <c r="J2527" s="1" t="s">
        <v>951</v>
      </c>
      <c r="K2527" s="1" t="s">
        <v>817</v>
      </c>
      <c r="L2527" s="1" t="s">
        <v>3889</v>
      </c>
      <c r="M2527" s="3">
        <v>46048</v>
      </c>
      <c r="N2527" s="1" t="s">
        <v>821</v>
      </c>
      <c r="O2527" s="1" t="s">
        <v>936</v>
      </c>
      <c r="P2527" s="1">
        <v>1</v>
      </c>
    </row>
    <row r="2528" spans="1:16" x14ac:dyDescent="0.25">
      <c r="A2528" s="3">
        <v>46045</v>
      </c>
      <c r="B2528" s="1">
        <v>1</v>
      </c>
      <c r="C2528" s="5">
        <v>1500</v>
      </c>
      <c r="D2528" s="1" t="s">
        <v>3890</v>
      </c>
      <c r="E2528" s="1" t="s">
        <v>3891</v>
      </c>
      <c r="F2528" s="1" t="s">
        <v>83</v>
      </c>
      <c r="G2528" s="1" t="s">
        <v>940</v>
      </c>
      <c r="H2528" s="3">
        <v>46059</v>
      </c>
      <c r="I2528" s="1" t="s">
        <v>933</v>
      </c>
      <c r="J2528" s="1" t="s">
        <v>66</v>
      </c>
      <c r="K2528" s="1" t="s">
        <v>52</v>
      </c>
      <c r="L2528" s="1" t="s">
        <v>3892</v>
      </c>
      <c r="M2528" s="3">
        <v>46048</v>
      </c>
      <c r="N2528" s="1" t="s">
        <v>57</v>
      </c>
      <c r="O2528" s="1" t="s">
        <v>936</v>
      </c>
      <c r="P2528" s="1" t="s">
        <v>937</v>
      </c>
    </row>
    <row r="2529" spans="1:16" x14ac:dyDescent="0.25">
      <c r="A2529" s="3">
        <v>46045</v>
      </c>
      <c r="B2529" s="4">
        <v>95727</v>
      </c>
      <c r="C2529" s="5">
        <v>2760</v>
      </c>
      <c r="D2529" s="1" t="s">
        <v>1094</v>
      </c>
      <c r="E2529" s="1" t="s">
        <v>1095</v>
      </c>
      <c r="F2529" s="1" t="s">
        <v>1131</v>
      </c>
      <c r="G2529" s="1" t="s">
        <v>1010</v>
      </c>
      <c r="H2529" s="3">
        <v>46076</v>
      </c>
      <c r="I2529" s="1" t="s">
        <v>933</v>
      </c>
      <c r="J2529" s="1" t="s">
        <v>1131</v>
      </c>
      <c r="K2529" s="1" t="s">
        <v>340</v>
      </c>
      <c r="L2529" s="1" t="s">
        <v>3893</v>
      </c>
      <c r="M2529" s="3">
        <v>46048</v>
      </c>
      <c r="N2529" s="1" t="s">
        <v>821</v>
      </c>
      <c r="O2529" s="1" t="s">
        <v>998</v>
      </c>
      <c r="P2529" s="1">
        <v>1</v>
      </c>
    </row>
    <row r="2530" spans="1:16" x14ac:dyDescent="0.25">
      <c r="A2530" s="3">
        <v>46045</v>
      </c>
      <c r="B2530" s="1">
        <v>12</v>
      </c>
      <c r="C2530" s="5">
        <v>170</v>
      </c>
      <c r="D2530" s="1" t="s">
        <v>3894</v>
      </c>
      <c r="E2530" s="1" t="s">
        <v>3895</v>
      </c>
      <c r="F2530" s="1" t="s">
        <v>430</v>
      </c>
      <c r="G2530" s="1" t="s">
        <v>940</v>
      </c>
      <c r="H2530" s="3">
        <v>46062</v>
      </c>
      <c r="I2530" s="1" t="s">
        <v>933</v>
      </c>
      <c r="J2530" s="1" t="s">
        <v>66</v>
      </c>
      <c r="K2530" s="1" t="s">
        <v>1654</v>
      </c>
      <c r="L2530" s="1" t="s">
        <v>3896</v>
      </c>
      <c r="M2530" s="3">
        <v>46048</v>
      </c>
      <c r="N2530" s="1" t="s">
        <v>57</v>
      </c>
      <c r="O2530" s="1" t="s">
        <v>937</v>
      </c>
      <c r="P2530" s="1" t="s">
        <v>937</v>
      </c>
    </row>
    <row r="2531" spans="1:16" x14ac:dyDescent="0.25">
      <c r="A2531" s="3">
        <v>46045</v>
      </c>
      <c r="B2531" s="1">
        <v>35</v>
      </c>
      <c r="C2531" s="5">
        <v>4100</v>
      </c>
      <c r="D2531" s="1" t="s">
        <v>1730</v>
      </c>
      <c r="E2531" s="1" t="s">
        <v>2927</v>
      </c>
      <c r="F2531" s="1" t="s">
        <v>955</v>
      </c>
      <c r="G2531" s="1" t="s">
        <v>20</v>
      </c>
      <c r="H2531" s="3">
        <v>46061</v>
      </c>
      <c r="I2531" s="1" t="s">
        <v>933</v>
      </c>
      <c r="J2531" s="1" t="s">
        <v>951</v>
      </c>
      <c r="K2531" s="1" t="s">
        <v>20</v>
      </c>
      <c r="L2531" s="1" t="s">
        <v>3897</v>
      </c>
      <c r="M2531" s="3">
        <v>46048</v>
      </c>
      <c r="N2531" s="1" t="s">
        <v>821</v>
      </c>
      <c r="O2531" s="1" t="s">
        <v>936</v>
      </c>
      <c r="P2531" s="1" t="s">
        <v>937</v>
      </c>
    </row>
    <row r="2532" spans="1:16" x14ac:dyDescent="0.25">
      <c r="A2532" s="3">
        <v>46045</v>
      </c>
      <c r="B2532" s="4">
        <v>95740</v>
      </c>
      <c r="C2532" s="5">
        <v>57500</v>
      </c>
      <c r="D2532" s="1" t="s">
        <v>1094</v>
      </c>
      <c r="E2532" s="1" t="s">
        <v>1095</v>
      </c>
      <c r="F2532" s="1" t="s">
        <v>66</v>
      </c>
      <c r="G2532" s="1" t="s">
        <v>998</v>
      </c>
      <c r="H2532" s="3">
        <v>46076</v>
      </c>
      <c r="I2532" s="1" t="s">
        <v>933</v>
      </c>
      <c r="J2532" s="1" t="s">
        <v>66</v>
      </c>
      <c r="K2532" s="1" t="s">
        <v>998</v>
      </c>
      <c r="L2532" s="1" t="s">
        <v>3898</v>
      </c>
      <c r="M2532" s="3">
        <v>46048</v>
      </c>
      <c r="N2532" s="1" t="s">
        <v>3899</v>
      </c>
      <c r="O2532" s="1" t="s">
        <v>998</v>
      </c>
      <c r="P2532" s="1">
        <v>1</v>
      </c>
    </row>
    <row r="2533" spans="1:16" x14ac:dyDescent="0.25">
      <c r="A2533" s="3">
        <v>46048</v>
      </c>
      <c r="B2533" s="4">
        <v>1604</v>
      </c>
      <c r="C2533" s="5">
        <v>157</v>
      </c>
      <c r="D2533" s="1" t="s">
        <v>1901</v>
      </c>
      <c r="E2533" s="1" t="s">
        <v>1902</v>
      </c>
      <c r="F2533" s="1" t="s">
        <v>955</v>
      </c>
      <c r="G2533" s="1" t="s">
        <v>20</v>
      </c>
      <c r="H2533" s="3">
        <v>46076</v>
      </c>
      <c r="I2533" s="1" t="s">
        <v>933</v>
      </c>
      <c r="J2533" s="1" t="s">
        <v>951</v>
      </c>
      <c r="K2533" s="1" t="s">
        <v>20</v>
      </c>
      <c r="L2533" s="1" t="s">
        <v>3900</v>
      </c>
      <c r="M2533" s="3">
        <v>46048</v>
      </c>
      <c r="N2533" s="1" t="s">
        <v>821</v>
      </c>
      <c r="O2533" s="1" t="s">
        <v>937</v>
      </c>
      <c r="P2533" s="1" t="s">
        <v>937</v>
      </c>
    </row>
    <row r="2534" spans="1:16" x14ac:dyDescent="0.25">
      <c r="A2534" s="3">
        <v>46048</v>
      </c>
      <c r="B2534" s="4">
        <v>50447</v>
      </c>
      <c r="C2534" s="5">
        <v>1085</v>
      </c>
      <c r="D2534" s="1" t="s">
        <v>1489</v>
      </c>
      <c r="E2534" s="1" t="s">
        <v>1490</v>
      </c>
      <c r="F2534" s="1" t="s">
        <v>304</v>
      </c>
      <c r="G2534" s="1" t="s">
        <v>950</v>
      </c>
      <c r="H2534" s="3">
        <v>46078</v>
      </c>
      <c r="I2534" s="1" t="s">
        <v>933</v>
      </c>
      <c r="J2534" s="1" t="s">
        <v>66</v>
      </c>
      <c r="K2534" s="1" t="s">
        <v>340</v>
      </c>
      <c r="L2534" s="1" t="s">
        <v>3902</v>
      </c>
      <c r="M2534" s="3">
        <v>46048</v>
      </c>
      <c r="N2534" s="1" t="s">
        <v>57</v>
      </c>
      <c r="O2534" s="1" t="s">
        <v>936</v>
      </c>
      <c r="P2534" s="1">
        <v>1</v>
      </c>
    </row>
    <row r="2535" spans="1:16" x14ac:dyDescent="0.25">
      <c r="A2535" s="3">
        <v>46048</v>
      </c>
      <c r="B2535" s="1">
        <v>11</v>
      </c>
      <c r="C2535" s="5">
        <v>15599</v>
      </c>
      <c r="D2535" s="1" t="s">
        <v>3903</v>
      </c>
      <c r="E2535" s="1" t="s">
        <v>3904</v>
      </c>
      <c r="F2535" s="1" t="s">
        <v>949</v>
      </c>
      <c r="G2535" s="1" t="s">
        <v>940</v>
      </c>
      <c r="H2535" s="3">
        <v>46078</v>
      </c>
      <c r="I2535" s="1" t="s">
        <v>933</v>
      </c>
      <c r="J2535" s="1" t="s">
        <v>951</v>
      </c>
      <c r="K2535" s="1" t="s">
        <v>308</v>
      </c>
      <c r="L2535" s="1" t="s">
        <v>3905</v>
      </c>
      <c r="M2535" s="3">
        <v>46048</v>
      </c>
      <c r="N2535" s="1" t="s">
        <v>57</v>
      </c>
      <c r="O2535" s="1" t="s">
        <v>936</v>
      </c>
      <c r="P2535" s="1">
        <v>1</v>
      </c>
    </row>
    <row r="2536" spans="1:16" x14ac:dyDescent="0.25">
      <c r="A2536" s="3">
        <v>46048</v>
      </c>
      <c r="B2536" s="4">
        <v>95791</v>
      </c>
      <c r="C2536" s="5">
        <v>69000</v>
      </c>
      <c r="D2536" s="1" t="s">
        <v>1094</v>
      </c>
      <c r="E2536" s="1" t="s">
        <v>1095</v>
      </c>
      <c r="F2536" s="1" t="s">
        <v>66</v>
      </c>
      <c r="G2536" s="1" t="s">
        <v>998</v>
      </c>
      <c r="H2536" s="3">
        <v>46078</v>
      </c>
      <c r="I2536" s="1" t="s">
        <v>933</v>
      </c>
      <c r="J2536" s="1" t="s">
        <v>66</v>
      </c>
      <c r="K2536" s="1" t="s">
        <v>998</v>
      </c>
      <c r="L2536" s="1" t="s">
        <v>3898</v>
      </c>
      <c r="M2536" s="3">
        <v>46048</v>
      </c>
      <c r="N2536" s="1" t="s">
        <v>3899</v>
      </c>
      <c r="O2536" s="1" t="s">
        <v>998</v>
      </c>
      <c r="P2536" s="1">
        <v>1</v>
      </c>
    </row>
    <row r="2537" spans="1:16" x14ac:dyDescent="0.25">
      <c r="A2537" s="3">
        <v>46048</v>
      </c>
      <c r="B2537" s="4">
        <v>1605</v>
      </c>
      <c r="C2537" s="5">
        <v>516.4</v>
      </c>
      <c r="D2537" s="1" t="s">
        <v>1901</v>
      </c>
      <c r="E2537" s="1" t="s">
        <v>1902</v>
      </c>
      <c r="F2537" s="1" t="s">
        <v>955</v>
      </c>
      <c r="G2537" s="1" t="s">
        <v>990</v>
      </c>
      <c r="H2537" s="3">
        <v>46076</v>
      </c>
      <c r="I2537" s="1" t="s">
        <v>933</v>
      </c>
      <c r="J2537" s="1" t="s">
        <v>951</v>
      </c>
      <c r="K2537" s="1" t="s">
        <v>934</v>
      </c>
      <c r="L2537" s="1" t="s">
        <v>3906</v>
      </c>
      <c r="M2537" s="3">
        <v>46048</v>
      </c>
      <c r="N2537" s="1" t="s">
        <v>57</v>
      </c>
      <c r="O2537" s="1" t="s">
        <v>936</v>
      </c>
      <c r="P2537" s="1">
        <v>1</v>
      </c>
    </row>
    <row r="2538" spans="1:16" x14ac:dyDescent="0.25">
      <c r="A2538" s="3">
        <v>46048</v>
      </c>
      <c r="B2538" s="4">
        <v>12163</v>
      </c>
      <c r="C2538" s="5">
        <v>890</v>
      </c>
      <c r="D2538" s="1" t="s">
        <v>3812</v>
      </c>
      <c r="E2538" s="1" t="s">
        <v>3907</v>
      </c>
      <c r="F2538" s="1" t="s">
        <v>1131</v>
      </c>
      <c r="G2538" s="1" t="s">
        <v>1131</v>
      </c>
      <c r="H2538" s="3">
        <v>46078</v>
      </c>
      <c r="I2538" s="1" t="s">
        <v>933</v>
      </c>
      <c r="J2538" s="1" t="s">
        <v>1131</v>
      </c>
      <c r="K2538" s="1" t="s">
        <v>308</v>
      </c>
      <c r="L2538" s="1" t="s">
        <v>3908</v>
      </c>
      <c r="M2538" s="3">
        <v>46048</v>
      </c>
      <c r="N2538" s="1" t="s">
        <v>57</v>
      </c>
      <c r="O2538" s="1" t="s">
        <v>936</v>
      </c>
      <c r="P2538" s="1">
        <v>1</v>
      </c>
    </row>
    <row r="2539" spans="1:16" x14ac:dyDescent="0.25">
      <c r="A2539" s="3">
        <v>46049</v>
      </c>
      <c r="B2539" s="1">
        <v>2</v>
      </c>
      <c r="C2539" s="5">
        <v>14180</v>
      </c>
      <c r="D2539" s="1" t="s">
        <v>1262</v>
      </c>
      <c r="E2539" s="1" t="s">
        <v>3909</v>
      </c>
      <c r="F2539" s="1" t="s">
        <v>1567</v>
      </c>
      <c r="G2539" s="1" t="s">
        <v>940</v>
      </c>
      <c r="H2539" s="3">
        <v>46061</v>
      </c>
      <c r="I2539" s="1" t="s">
        <v>933</v>
      </c>
      <c r="J2539" s="1" t="s">
        <v>951</v>
      </c>
      <c r="K2539" s="1" t="s">
        <v>934</v>
      </c>
      <c r="L2539" s="1" t="s">
        <v>3910</v>
      </c>
      <c r="M2539" s="3">
        <v>46049</v>
      </c>
      <c r="N2539" s="1" t="s">
        <v>57</v>
      </c>
      <c r="O2539" s="1" t="s">
        <v>936</v>
      </c>
      <c r="P2539" s="1" t="s">
        <v>937</v>
      </c>
    </row>
    <row r="2540" spans="1:16" x14ac:dyDescent="0.25">
      <c r="A2540" s="3">
        <v>46049</v>
      </c>
      <c r="B2540" s="1">
        <v>147</v>
      </c>
      <c r="C2540" s="5">
        <v>1200</v>
      </c>
      <c r="D2540" s="1" t="s">
        <v>1867</v>
      </c>
      <c r="E2540" s="1" t="s">
        <v>1971</v>
      </c>
      <c r="F2540" s="1" t="s">
        <v>1567</v>
      </c>
      <c r="G2540" s="1" t="s">
        <v>3022</v>
      </c>
      <c r="H2540" s="3">
        <v>46063</v>
      </c>
      <c r="I2540" s="1" t="s">
        <v>933</v>
      </c>
      <c r="J2540" s="1" t="s">
        <v>951</v>
      </c>
      <c r="K2540" s="1" t="s">
        <v>1654</v>
      </c>
      <c r="L2540" s="1" t="s">
        <v>3911</v>
      </c>
      <c r="M2540" s="3">
        <v>46048</v>
      </c>
      <c r="N2540" s="1" t="s">
        <v>57</v>
      </c>
      <c r="O2540" s="1" t="s">
        <v>936</v>
      </c>
      <c r="P2540" s="1">
        <v>1</v>
      </c>
    </row>
    <row r="2541" spans="1:16" x14ac:dyDescent="0.25">
      <c r="A2541" s="3">
        <v>46049</v>
      </c>
      <c r="B2541" s="1">
        <v>109</v>
      </c>
      <c r="C2541" s="5">
        <v>1513</v>
      </c>
      <c r="D2541" s="1" t="s">
        <v>3887</v>
      </c>
      <c r="E2541" s="1" t="s">
        <v>3888</v>
      </c>
      <c r="F2541" s="1" t="s">
        <v>949</v>
      </c>
      <c r="G2541" s="1" t="s">
        <v>1029</v>
      </c>
      <c r="H2541" s="3">
        <v>46062</v>
      </c>
      <c r="I2541" s="1" t="s">
        <v>933</v>
      </c>
      <c r="J2541" s="1" t="s">
        <v>951</v>
      </c>
      <c r="K2541" s="1" t="s">
        <v>817</v>
      </c>
      <c r="L2541" s="1" t="s">
        <v>3912</v>
      </c>
      <c r="M2541" s="3">
        <v>46050</v>
      </c>
      <c r="N2541" s="1" t="s">
        <v>57</v>
      </c>
      <c r="O2541" s="1" t="s">
        <v>936</v>
      </c>
      <c r="P2541" s="1">
        <v>1</v>
      </c>
    </row>
    <row r="2542" spans="1:16" x14ac:dyDescent="0.25">
      <c r="A2542" s="3">
        <v>46049</v>
      </c>
      <c r="B2542" s="1">
        <v>111</v>
      </c>
      <c r="C2542" s="5">
        <v>3898</v>
      </c>
      <c r="D2542" s="1" t="s">
        <v>3887</v>
      </c>
      <c r="E2542" s="1" t="s">
        <v>3888</v>
      </c>
      <c r="F2542" s="1" t="s">
        <v>949</v>
      </c>
      <c r="G2542" s="1" t="s">
        <v>1029</v>
      </c>
      <c r="H2542" s="3">
        <v>46062</v>
      </c>
      <c r="I2542" s="1" t="s">
        <v>933</v>
      </c>
      <c r="J2542" s="1" t="s">
        <v>951</v>
      </c>
      <c r="K2542" s="1" t="s">
        <v>817</v>
      </c>
      <c r="L2542" s="1" t="s">
        <v>3912</v>
      </c>
      <c r="M2542" s="3">
        <v>46050</v>
      </c>
      <c r="N2542" s="1" t="s">
        <v>57</v>
      </c>
      <c r="O2542" s="1" t="s">
        <v>936</v>
      </c>
      <c r="P2542" s="1">
        <v>1</v>
      </c>
    </row>
    <row r="2543" spans="1:16" x14ac:dyDescent="0.25">
      <c r="A2543" s="3">
        <v>46049</v>
      </c>
      <c r="B2543" s="1">
        <v>4048</v>
      </c>
      <c r="C2543" s="5">
        <v>13180</v>
      </c>
      <c r="D2543" s="1" t="s">
        <v>3138</v>
      </c>
      <c r="E2543" s="1" t="s">
        <v>3139</v>
      </c>
      <c r="F2543" s="1" t="s">
        <v>66</v>
      </c>
      <c r="G2543" s="1" t="s">
        <v>1131</v>
      </c>
      <c r="H2543" s="3">
        <v>46079</v>
      </c>
      <c r="I2543" s="1" t="s">
        <v>933</v>
      </c>
      <c r="J2543" s="1" t="s">
        <v>66</v>
      </c>
      <c r="K2543" s="1" t="s">
        <v>308</v>
      </c>
      <c r="L2543" s="1" t="s">
        <v>3913</v>
      </c>
      <c r="M2543" s="3">
        <v>46048</v>
      </c>
      <c r="N2543" s="1" t="s">
        <v>57</v>
      </c>
      <c r="O2543" s="1" t="s">
        <v>936</v>
      </c>
      <c r="P2543" s="1">
        <v>1</v>
      </c>
    </row>
    <row r="2544" spans="1:16" x14ac:dyDescent="0.25">
      <c r="A2544" s="3">
        <v>46049</v>
      </c>
      <c r="B2544" s="4">
        <v>1061141</v>
      </c>
      <c r="C2544" s="5">
        <v>3582</v>
      </c>
      <c r="D2544" s="1" t="s">
        <v>2670</v>
      </c>
      <c r="E2544" s="1" t="s">
        <v>2873</v>
      </c>
      <c r="F2544" s="1" t="s">
        <v>51</v>
      </c>
      <c r="G2544" s="1" t="s">
        <v>1667</v>
      </c>
      <c r="H2544" s="3">
        <v>46064</v>
      </c>
      <c r="I2544" s="1" t="s">
        <v>1100</v>
      </c>
      <c r="J2544" s="1" t="s">
        <v>66</v>
      </c>
      <c r="K2544" s="1" t="s">
        <v>52</v>
      </c>
      <c r="L2544" s="1" t="s">
        <v>3914</v>
      </c>
      <c r="M2544" s="3">
        <v>46056</v>
      </c>
      <c r="N2544" s="1" t="s">
        <v>57</v>
      </c>
      <c r="O2544" s="1" t="s">
        <v>936</v>
      </c>
      <c r="P2544" s="1">
        <v>1</v>
      </c>
    </row>
    <row r="2545" spans="1:16" x14ac:dyDescent="0.25">
      <c r="A2545" s="3">
        <v>46049</v>
      </c>
      <c r="B2545" s="4">
        <v>1061260</v>
      </c>
      <c r="C2545" s="5">
        <v>1529</v>
      </c>
      <c r="D2545" s="1" t="s">
        <v>2670</v>
      </c>
      <c r="E2545" s="1" t="s">
        <v>2873</v>
      </c>
      <c r="F2545" s="1" t="s">
        <v>533</v>
      </c>
      <c r="G2545" s="1" t="s">
        <v>940</v>
      </c>
      <c r="H2545" s="3">
        <v>46064</v>
      </c>
      <c r="I2545" s="1" t="s">
        <v>1100</v>
      </c>
      <c r="J2545" s="1" t="s">
        <v>66</v>
      </c>
      <c r="K2545" s="1" t="s">
        <v>308</v>
      </c>
      <c r="L2545" s="1" t="s">
        <v>3915</v>
      </c>
      <c r="M2545" s="3">
        <v>46056</v>
      </c>
      <c r="N2545" s="1" t="s">
        <v>57</v>
      </c>
      <c r="O2545" s="1" t="s">
        <v>936</v>
      </c>
      <c r="P2545" s="1">
        <v>1</v>
      </c>
    </row>
    <row r="2546" spans="1:16" x14ac:dyDescent="0.25">
      <c r="A2546" s="3">
        <v>46049</v>
      </c>
      <c r="B2546" s="4">
        <v>1061144</v>
      </c>
      <c r="C2546" s="5">
        <v>2259</v>
      </c>
      <c r="D2546" s="1" t="s">
        <v>2670</v>
      </c>
      <c r="E2546" s="1" t="s">
        <v>2873</v>
      </c>
      <c r="F2546" s="1" t="s">
        <v>304</v>
      </c>
      <c r="G2546" s="1" t="s">
        <v>1667</v>
      </c>
      <c r="H2546" s="3">
        <v>46072</v>
      </c>
      <c r="I2546" s="1" t="s">
        <v>1100</v>
      </c>
      <c r="J2546" s="1" t="s">
        <v>66</v>
      </c>
      <c r="K2546" s="1" t="s">
        <v>340</v>
      </c>
      <c r="L2546" s="1" t="s">
        <v>3477</v>
      </c>
      <c r="M2546" s="3">
        <v>46056</v>
      </c>
      <c r="N2546" s="1" t="s">
        <v>57</v>
      </c>
      <c r="O2546" s="1" t="s">
        <v>936</v>
      </c>
      <c r="P2546" s="1">
        <v>1</v>
      </c>
    </row>
    <row r="2547" spans="1:16" x14ac:dyDescent="0.25">
      <c r="A2547" s="3">
        <v>46049</v>
      </c>
      <c r="B2547" s="4">
        <v>1173</v>
      </c>
      <c r="C2547" s="5">
        <v>1070</v>
      </c>
      <c r="D2547" s="1" t="s">
        <v>1074</v>
      </c>
      <c r="E2547" s="1" t="s">
        <v>1075</v>
      </c>
      <c r="F2547" s="1" t="s">
        <v>66</v>
      </c>
      <c r="G2547" s="1" t="s">
        <v>981</v>
      </c>
      <c r="H2547" s="3">
        <v>46071</v>
      </c>
      <c r="I2547" s="1" t="s">
        <v>933</v>
      </c>
      <c r="J2547" s="1"/>
      <c r="K2547" s="1" t="s">
        <v>340</v>
      </c>
      <c r="L2547" s="1" t="s">
        <v>3916</v>
      </c>
      <c r="M2547" s="3">
        <v>46049</v>
      </c>
      <c r="N2547" s="1"/>
      <c r="O2547" s="1"/>
      <c r="P2547" s="1"/>
    </row>
    <row r="2548" spans="1:16" x14ac:dyDescent="0.25">
      <c r="A2548" s="3">
        <v>46050</v>
      </c>
      <c r="B2548" s="4">
        <v>3842</v>
      </c>
      <c r="C2548" s="5">
        <v>3730</v>
      </c>
      <c r="D2548" s="1" t="s">
        <v>1179</v>
      </c>
      <c r="E2548" s="1" t="s">
        <v>1180</v>
      </c>
      <c r="F2548" s="1" t="s">
        <v>265</v>
      </c>
      <c r="G2548" s="1" t="s">
        <v>940</v>
      </c>
      <c r="H2548" s="3">
        <v>46070</v>
      </c>
      <c r="I2548" s="1" t="s">
        <v>933</v>
      </c>
      <c r="J2548" s="1" t="s">
        <v>66</v>
      </c>
      <c r="K2548" s="1" t="s">
        <v>340</v>
      </c>
      <c r="L2548" s="1" t="s">
        <v>3695</v>
      </c>
      <c r="M2548" s="3">
        <v>46050</v>
      </c>
      <c r="N2548" s="1" t="s">
        <v>264</v>
      </c>
      <c r="O2548" s="1" t="s">
        <v>936</v>
      </c>
      <c r="P2548" s="1">
        <v>1</v>
      </c>
    </row>
    <row r="2549" spans="1:16" x14ac:dyDescent="0.25">
      <c r="A2549" s="3">
        <v>46050</v>
      </c>
      <c r="B2549" s="1">
        <v>112</v>
      </c>
      <c r="C2549" s="5">
        <v>2026.6</v>
      </c>
      <c r="D2549" s="1" t="s">
        <v>1187</v>
      </c>
      <c r="E2549" s="1" t="s">
        <v>1188</v>
      </c>
      <c r="F2549" s="1" t="s">
        <v>43</v>
      </c>
      <c r="G2549" s="1" t="s">
        <v>1029</v>
      </c>
      <c r="H2549" s="3">
        <v>46063</v>
      </c>
      <c r="I2549" s="1" t="s">
        <v>933</v>
      </c>
      <c r="J2549" s="1" t="s">
        <v>66</v>
      </c>
      <c r="K2549" s="1" t="s">
        <v>1654</v>
      </c>
      <c r="L2549" s="1" t="s">
        <v>3917</v>
      </c>
      <c r="M2549" s="3">
        <v>46050</v>
      </c>
      <c r="N2549" s="1" t="s">
        <v>57</v>
      </c>
      <c r="O2549" s="1" t="s">
        <v>936</v>
      </c>
      <c r="P2549" s="1">
        <v>1</v>
      </c>
    </row>
    <row r="2550" spans="1:16" x14ac:dyDescent="0.25">
      <c r="A2550" s="3">
        <v>46050</v>
      </c>
      <c r="B2550" s="1">
        <v>110</v>
      </c>
      <c r="C2550" s="5">
        <v>3210</v>
      </c>
      <c r="D2550" s="1" t="s">
        <v>3887</v>
      </c>
      <c r="E2550" s="1" t="s">
        <v>3888</v>
      </c>
      <c r="F2550" s="1" t="s">
        <v>949</v>
      </c>
      <c r="G2550" s="1" t="s">
        <v>1029</v>
      </c>
      <c r="H2550" s="3">
        <v>46062</v>
      </c>
      <c r="I2550" s="1" t="s">
        <v>933</v>
      </c>
      <c r="J2550" s="1" t="s">
        <v>951</v>
      </c>
      <c r="K2550" s="1" t="s">
        <v>340</v>
      </c>
      <c r="L2550" s="1" t="s">
        <v>3918</v>
      </c>
      <c r="M2550" s="3">
        <v>46050</v>
      </c>
      <c r="N2550" s="1" t="s">
        <v>57</v>
      </c>
      <c r="O2550" s="1" t="s">
        <v>936</v>
      </c>
      <c r="P2550" s="1">
        <v>1</v>
      </c>
    </row>
    <row r="2551" spans="1:16" x14ac:dyDescent="0.25">
      <c r="A2551" s="3">
        <v>46050</v>
      </c>
      <c r="B2551" s="1">
        <v>36</v>
      </c>
      <c r="C2551" s="5">
        <v>29400</v>
      </c>
      <c r="D2551" s="1" t="s">
        <v>2274</v>
      </c>
      <c r="E2551" s="1" t="s">
        <v>2275</v>
      </c>
      <c r="F2551" s="1" t="s">
        <v>966</v>
      </c>
      <c r="G2551" s="1" t="s">
        <v>20</v>
      </c>
      <c r="H2551" s="3">
        <v>46063</v>
      </c>
      <c r="I2551" s="1" t="s">
        <v>933</v>
      </c>
      <c r="J2551" s="1" t="s">
        <v>951</v>
      </c>
      <c r="K2551" s="1" t="s">
        <v>934</v>
      </c>
      <c r="L2551" s="1" t="s">
        <v>3919</v>
      </c>
      <c r="M2551" s="3">
        <v>46050</v>
      </c>
      <c r="N2551" s="1" t="s">
        <v>57</v>
      </c>
      <c r="O2551" s="1" t="s">
        <v>936</v>
      </c>
      <c r="P2551" s="1" t="s">
        <v>937</v>
      </c>
    </row>
    <row r="2552" spans="1:16" x14ac:dyDescent="0.25">
      <c r="A2552" s="3">
        <v>46050</v>
      </c>
      <c r="B2552" s="4">
        <v>3432</v>
      </c>
      <c r="C2552" s="5">
        <v>1940</v>
      </c>
      <c r="D2552" s="1" t="s">
        <v>1179</v>
      </c>
      <c r="E2552" s="1" t="s">
        <v>1180</v>
      </c>
      <c r="F2552" s="1" t="s">
        <v>430</v>
      </c>
      <c r="G2552" s="1" t="s">
        <v>940</v>
      </c>
      <c r="H2552" s="3">
        <v>46070</v>
      </c>
      <c r="I2552" s="1" t="s">
        <v>933</v>
      </c>
      <c r="J2552" s="1" t="s">
        <v>66</v>
      </c>
      <c r="K2552" s="1" t="s">
        <v>1654</v>
      </c>
      <c r="L2552" s="1" t="s">
        <v>3920</v>
      </c>
      <c r="M2552" s="3">
        <v>46050</v>
      </c>
      <c r="N2552" s="1" t="s">
        <v>57</v>
      </c>
      <c r="O2552" s="1" t="s">
        <v>936</v>
      </c>
      <c r="P2552" s="1">
        <v>1</v>
      </c>
    </row>
    <row r="2553" spans="1:16" x14ac:dyDescent="0.25">
      <c r="A2553" s="3">
        <v>46050</v>
      </c>
      <c r="B2553" s="4">
        <v>3844</v>
      </c>
      <c r="C2553" s="5">
        <v>240</v>
      </c>
      <c r="D2553" s="1" t="s">
        <v>1179</v>
      </c>
      <c r="E2553" s="1" t="s">
        <v>1180</v>
      </c>
      <c r="F2553" s="1" t="s">
        <v>66</v>
      </c>
      <c r="G2553" s="1" t="s">
        <v>950</v>
      </c>
      <c r="H2553" s="3">
        <v>46070</v>
      </c>
      <c r="I2553" s="1" t="s">
        <v>933</v>
      </c>
      <c r="J2553" s="1" t="s">
        <v>66</v>
      </c>
      <c r="K2553" s="1" t="s">
        <v>340</v>
      </c>
      <c r="L2553" s="1" t="s">
        <v>3922</v>
      </c>
      <c r="M2553" s="3">
        <v>46050</v>
      </c>
      <c r="N2553" s="1" t="s">
        <v>57</v>
      </c>
      <c r="O2553" s="1" t="s">
        <v>936</v>
      </c>
      <c r="P2553" s="1">
        <v>1</v>
      </c>
    </row>
    <row r="2554" spans="1:16" x14ac:dyDescent="0.25">
      <c r="A2554" s="3">
        <v>46050</v>
      </c>
      <c r="B2554" s="4">
        <v>3846</v>
      </c>
      <c r="C2554" s="5">
        <v>1200</v>
      </c>
      <c r="D2554" s="1" t="s">
        <v>1179</v>
      </c>
      <c r="E2554" s="1" t="s">
        <v>1180</v>
      </c>
      <c r="F2554" s="1" t="s">
        <v>659</v>
      </c>
      <c r="G2554" s="1" t="s">
        <v>940</v>
      </c>
      <c r="H2554" s="3">
        <v>46070</v>
      </c>
      <c r="I2554" s="1" t="s">
        <v>933</v>
      </c>
      <c r="J2554" s="1" t="s">
        <v>951</v>
      </c>
      <c r="K2554" s="1" t="s">
        <v>659</v>
      </c>
      <c r="L2554" s="1" t="s">
        <v>3923</v>
      </c>
      <c r="M2554" s="3">
        <v>46050</v>
      </c>
      <c r="N2554" s="1" t="s">
        <v>57</v>
      </c>
      <c r="O2554" s="1" t="s">
        <v>936</v>
      </c>
      <c r="P2554" s="1">
        <v>1</v>
      </c>
    </row>
    <row r="2555" spans="1:16" x14ac:dyDescent="0.25">
      <c r="A2555" s="3">
        <v>46050</v>
      </c>
      <c r="B2555" s="4">
        <v>3848</v>
      </c>
      <c r="C2555" s="5">
        <v>180</v>
      </c>
      <c r="D2555" s="1" t="s">
        <v>1179</v>
      </c>
      <c r="E2555" s="1" t="s">
        <v>1180</v>
      </c>
      <c r="F2555" s="1" t="s">
        <v>966</v>
      </c>
      <c r="G2555" s="1" t="s">
        <v>940</v>
      </c>
      <c r="H2555" s="3">
        <v>46070</v>
      </c>
      <c r="I2555" s="1" t="s">
        <v>933</v>
      </c>
      <c r="J2555" s="1" t="s">
        <v>951</v>
      </c>
      <c r="K2555" s="1" t="s">
        <v>858</v>
      </c>
      <c r="L2555" s="1" t="s">
        <v>3927</v>
      </c>
      <c r="M2555" s="3">
        <v>46050</v>
      </c>
      <c r="N2555" s="1" t="s">
        <v>57</v>
      </c>
      <c r="O2555" s="1" t="s">
        <v>936</v>
      </c>
      <c r="P2555" s="1">
        <v>1</v>
      </c>
    </row>
    <row r="2556" spans="1:16" x14ac:dyDescent="0.25">
      <c r="A2556" s="3">
        <v>46050</v>
      </c>
      <c r="B2556" s="4">
        <v>3849</v>
      </c>
      <c r="C2556" s="5">
        <v>700</v>
      </c>
      <c r="D2556" s="1" t="s">
        <v>1179</v>
      </c>
      <c r="E2556" s="1" t="s">
        <v>1180</v>
      </c>
      <c r="F2556" s="1" t="s">
        <v>83</v>
      </c>
      <c r="G2556" s="1" t="s">
        <v>940</v>
      </c>
      <c r="H2556" s="3">
        <v>46070</v>
      </c>
      <c r="I2556" s="1" t="s">
        <v>933</v>
      </c>
      <c r="J2556" s="1" t="s">
        <v>66</v>
      </c>
      <c r="K2556" s="1" t="s">
        <v>340</v>
      </c>
      <c r="L2556" s="1" t="s">
        <v>3928</v>
      </c>
      <c r="M2556" s="3">
        <v>46050</v>
      </c>
      <c r="N2556" s="1" t="s">
        <v>57</v>
      </c>
      <c r="O2556" s="1" t="s">
        <v>936</v>
      </c>
      <c r="P2556" s="1">
        <v>1</v>
      </c>
    </row>
    <row r="2557" spans="1:16" x14ac:dyDescent="0.25">
      <c r="A2557" s="3">
        <v>46050</v>
      </c>
      <c r="B2557" s="4">
        <v>3840</v>
      </c>
      <c r="C2557" s="5">
        <v>1020</v>
      </c>
      <c r="D2557" s="1" t="s">
        <v>1179</v>
      </c>
      <c r="E2557" s="1" t="s">
        <v>1180</v>
      </c>
      <c r="F2557" s="1" t="s">
        <v>1131</v>
      </c>
      <c r="G2557" s="1" t="s">
        <v>1131</v>
      </c>
      <c r="H2557" s="3">
        <v>46070</v>
      </c>
      <c r="I2557" s="1" t="s">
        <v>933</v>
      </c>
      <c r="J2557" s="1" t="s">
        <v>1131</v>
      </c>
      <c r="K2557" s="1" t="s">
        <v>340</v>
      </c>
      <c r="L2557" s="1" t="s">
        <v>3929</v>
      </c>
      <c r="M2557" s="3">
        <v>46050</v>
      </c>
      <c r="N2557" s="1" t="s">
        <v>57</v>
      </c>
      <c r="O2557" s="1" t="s">
        <v>936</v>
      </c>
      <c r="P2557" s="1">
        <v>1</v>
      </c>
    </row>
    <row r="2558" spans="1:16" x14ac:dyDescent="0.25">
      <c r="A2558" s="3">
        <v>46050</v>
      </c>
      <c r="B2558" s="4">
        <v>3841</v>
      </c>
      <c r="C2558" s="5">
        <v>770</v>
      </c>
      <c r="D2558" s="1" t="s">
        <v>1179</v>
      </c>
      <c r="E2558" s="1" t="s">
        <v>1180</v>
      </c>
      <c r="F2558" s="1" t="s">
        <v>460</v>
      </c>
      <c r="G2558" s="1" t="s">
        <v>940</v>
      </c>
      <c r="H2558" s="3">
        <v>46070</v>
      </c>
      <c r="I2558" s="1" t="s">
        <v>933</v>
      </c>
      <c r="J2558" s="1" t="s">
        <v>66</v>
      </c>
      <c r="K2558" s="1" t="s">
        <v>308</v>
      </c>
      <c r="L2558" s="1" t="s">
        <v>3930</v>
      </c>
      <c r="M2558" s="3">
        <v>46050</v>
      </c>
      <c r="N2558" s="1" t="s">
        <v>440</v>
      </c>
      <c r="O2558" s="1" t="s">
        <v>936</v>
      </c>
      <c r="P2558" s="1">
        <v>1</v>
      </c>
    </row>
    <row r="2559" spans="1:16" x14ac:dyDescent="0.25">
      <c r="A2559" s="3">
        <v>46050</v>
      </c>
      <c r="B2559" s="4">
        <v>3436</v>
      </c>
      <c r="C2559" s="5">
        <v>2785</v>
      </c>
      <c r="D2559" s="1" t="s">
        <v>1179</v>
      </c>
      <c r="E2559" s="1" t="s">
        <v>1180</v>
      </c>
      <c r="F2559" s="1" t="s">
        <v>51</v>
      </c>
      <c r="G2559" s="1" t="s">
        <v>940</v>
      </c>
      <c r="H2559" s="3">
        <v>46070</v>
      </c>
      <c r="I2559" s="1" t="s">
        <v>1100</v>
      </c>
      <c r="J2559" s="1" t="s">
        <v>66</v>
      </c>
      <c r="K2559" s="1" t="s">
        <v>52</v>
      </c>
      <c r="L2559" s="1" t="s">
        <v>3931</v>
      </c>
      <c r="M2559" s="3">
        <v>46050</v>
      </c>
      <c r="N2559" s="1" t="s">
        <v>57</v>
      </c>
      <c r="O2559" s="1" t="s">
        <v>936</v>
      </c>
      <c r="P2559" s="1">
        <v>1</v>
      </c>
    </row>
    <row r="2560" spans="1:16" x14ac:dyDescent="0.25">
      <c r="A2560" s="3">
        <v>46050</v>
      </c>
      <c r="B2560" s="4">
        <v>3435</v>
      </c>
      <c r="C2560" s="5">
        <v>4017</v>
      </c>
      <c r="D2560" s="1" t="s">
        <v>1179</v>
      </c>
      <c r="E2560" s="1" t="s">
        <v>1180</v>
      </c>
      <c r="F2560" s="1" t="s">
        <v>339</v>
      </c>
      <c r="G2560" s="1" t="s">
        <v>940</v>
      </c>
      <c r="H2560" s="3">
        <v>46070</v>
      </c>
      <c r="I2560" s="1" t="s">
        <v>1100</v>
      </c>
      <c r="J2560" s="1" t="s">
        <v>66</v>
      </c>
      <c r="K2560" s="1" t="s">
        <v>340</v>
      </c>
      <c r="L2560" s="1" t="s">
        <v>3932</v>
      </c>
      <c r="M2560" s="3">
        <v>46050</v>
      </c>
      <c r="N2560" s="1" t="s">
        <v>57</v>
      </c>
      <c r="O2560" s="1" t="s">
        <v>936</v>
      </c>
      <c r="P2560" s="1">
        <v>1</v>
      </c>
    </row>
    <row r="2561" spans="1:16" x14ac:dyDescent="0.25">
      <c r="A2561" s="3">
        <v>46050</v>
      </c>
      <c r="B2561" s="4">
        <v>3434</v>
      </c>
      <c r="C2561" s="5">
        <v>200</v>
      </c>
      <c r="D2561" s="1" t="s">
        <v>1179</v>
      </c>
      <c r="E2561" s="1" t="s">
        <v>1180</v>
      </c>
      <c r="F2561" s="1" t="s">
        <v>683</v>
      </c>
      <c r="G2561" s="1" t="s">
        <v>950</v>
      </c>
      <c r="H2561" s="3">
        <v>46070</v>
      </c>
      <c r="I2561" s="1" t="s">
        <v>933</v>
      </c>
      <c r="J2561" s="1" t="s">
        <v>66</v>
      </c>
      <c r="K2561" s="1" t="s">
        <v>308</v>
      </c>
      <c r="L2561" s="1" t="s">
        <v>3936</v>
      </c>
      <c r="M2561" s="3">
        <v>46050</v>
      </c>
      <c r="N2561" s="1" t="s">
        <v>75</v>
      </c>
      <c r="O2561" s="1" t="s">
        <v>936</v>
      </c>
      <c r="P2561" s="1">
        <v>1</v>
      </c>
    </row>
    <row r="2562" spans="1:16" x14ac:dyDescent="0.25">
      <c r="A2562" s="3">
        <v>46050</v>
      </c>
      <c r="B2562" s="4">
        <v>1607</v>
      </c>
      <c r="C2562" s="5">
        <v>337.2</v>
      </c>
      <c r="D2562" s="1" t="s">
        <v>1901</v>
      </c>
      <c r="E2562" s="1" t="s">
        <v>1902</v>
      </c>
      <c r="F2562" s="1" t="s">
        <v>966</v>
      </c>
      <c r="G2562" s="1" t="s">
        <v>20</v>
      </c>
      <c r="H2562" s="3">
        <v>46078</v>
      </c>
      <c r="I2562" s="1" t="s">
        <v>933</v>
      </c>
      <c r="J2562" s="1" t="s">
        <v>951</v>
      </c>
      <c r="K2562" s="1" t="s">
        <v>934</v>
      </c>
      <c r="L2562" s="1" t="s">
        <v>3937</v>
      </c>
      <c r="M2562" s="3">
        <v>46050</v>
      </c>
      <c r="N2562" s="1" t="s">
        <v>57</v>
      </c>
      <c r="O2562" s="1" t="s">
        <v>936</v>
      </c>
      <c r="P2562" s="1">
        <v>1</v>
      </c>
    </row>
    <row r="2563" spans="1:16" x14ac:dyDescent="0.25">
      <c r="A2563" s="3">
        <v>46050</v>
      </c>
      <c r="B2563" s="4">
        <v>2538</v>
      </c>
      <c r="C2563" s="5">
        <v>5070</v>
      </c>
      <c r="D2563" s="1" t="s">
        <v>3938</v>
      </c>
      <c r="E2563" s="1" t="s">
        <v>3939</v>
      </c>
      <c r="F2563" s="1" t="s">
        <v>66</v>
      </c>
      <c r="G2563" s="1" t="s">
        <v>1131</v>
      </c>
      <c r="H2563" s="3">
        <v>46078</v>
      </c>
      <c r="I2563" s="1" t="s">
        <v>933</v>
      </c>
      <c r="J2563" s="1" t="s">
        <v>66</v>
      </c>
      <c r="K2563" s="1" t="s">
        <v>66</v>
      </c>
      <c r="L2563" s="1" t="s">
        <v>3940</v>
      </c>
      <c r="M2563" s="3">
        <v>46050</v>
      </c>
      <c r="N2563" s="1" t="s">
        <v>57</v>
      </c>
      <c r="O2563" s="1" t="s">
        <v>936</v>
      </c>
      <c r="P2563" s="1">
        <v>1</v>
      </c>
    </row>
    <row r="2564" spans="1:16" x14ac:dyDescent="0.25">
      <c r="A2564" s="3">
        <v>46050</v>
      </c>
      <c r="B2564" s="4">
        <v>129994</v>
      </c>
      <c r="C2564" s="5">
        <v>6153.33</v>
      </c>
      <c r="D2564" s="1" t="s">
        <v>1964</v>
      </c>
      <c r="E2564" s="1" t="s">
        <v>1965</v>
      </c>
      <c r="F2564" s="1" t="s">
        <v>949</v>
      </c>
      <c r="G2564" s="1" t="s">
        <v>932</v>
      </c>
      <c r="H2564" s="3">
        <v>46075</v>
      </c>
      <c r="I2564" s="1" t="s">
        <v>933</v>
      </c>
      <c r="J2564" s="1" t="s">
        <v>951</v>
      </c>
      <c r="K2564" s="1" t="s">
        <v>308</v>
      </c>
      <c r="L2564" s="1" t="s">
        <v>3941</v>
      </c>
      <c r="M2564" s="3">
        <v>46050</v>
      </c>
      <c r="N2564" s="1" t="s">
        <v>57</v>
      </c>
      <c r="O2564" s="1" t="s">
        <v>932</v>
      </c>
      <c r="P2564" s="1">
        <v>1</v>
      </c>
    </row>
    <row r="2565" spans="1:16" x14ac:dyDescent="0.25">
      <c r="A2565" s="3">
        <v>46050</v>
      </c>
      <c r="B2565" s="4">
        <v>3433</v>
      </c>
      <c r="C2565" s="5">
        <v>130</v>
      </c>
      <c r="D2565" s="1" t="s">
        <v>1179</v>
      </c>
      <c r="E2565" s="1" t="s">
        <v>1180</v>
      </c>
      <c r="F2565" s="1" t="s">
        <v>451</v>
      </c>
      <c r="G2565" s="1" t="s">
        <v>940</v>
      </c>
      <c r="H2565" s="3">
        <v>46070</v>
      </c>
      <c r="I2565" s="1" t="s">
        <v>933</v>
      </c>
      <c r="J2565" s="1" t="s">
        <v>66</v>
      </c>
      <c r="K2565" s="1" t="s">
        <v>52</v>
      </c>
      <c r="L2565" s="1" t="s">
        <v>3942</v>
      </c>
      <c r="M2565" s="3">
        <v>46050</v>
      </c>
      <c r="N2565" s="1" t="s">
        <v>212</v>
      </c>
      <c r="O2565" s="1" t="s">
        <v>936</v>
      </c>
      <c r="P2565" s="1">
        <v>1</v>
      </c>
    </row>
    <row r="2566" spans="1:16" x14ac:dyDescent="0.25">
      <c r="A2566" s="3">
        <v>46050</v>
      </c>
      <c r="B2566" s="4">
        <v>1174</v>
      </c>
      <c r="C2566" s="5">
        <v>280</v>
      </c>
      <c r="D2566" s="1" t="s">
        <v>1074</v>
      </c>
      <c r="E2566" s="1" t="s">
        <v>1075</v>
      </c>
      <c r="F2566" s="1" t="s">
        <v>759</v>
      </c>
      <c r="G2566" s="1" t="s">
        <v>1058</v>
      </c>
      <c r="H2566" s="3">
        <v>46064</v>
      </c>
      <c r="I2566" s="1" t="s">
        <v>933</v>
      </c>
      <c r="J2566" s="1" t="s">
        <v>66</v>
      </c>
      <c r="K2566" s="1" t="s">
        <v>340</v>
      </c>
      <c r="L2566" s="1" t="s">
        <v>3943</v>
      </c>
      <c r="M2566" s="3">
        <v>46050</v>
      </c>
      <c r="N2566" s="1" t="s">
        <v>57</v>
      </c>
      <c r="O2566" s="1" t="s">
        <v>936</v>
      </c>
      <c r="P2566" s="1">
        <v>1</v>
      </c>
    </row>
    <row r="2567" spans="1:16" x14ac:dyDescent="0.25">
      <c r="A2567" s="3">
        <v>46050</v>
      </c>
      <c r="B2567" s="4">
        <v>1174</v>
      </c>
      <c r="C2567" s="5">
        <v>80</v>
      </c>
      <c r="D2567" s="1" t="s">
        <v>1074</v>
      </c>
      <c r="E2567" s="1" t="s">
        <v>1075</v>
      </c>
      <c r="F2567" s="1" t="s">
        <v>66</v>
      </c>
      <c r="G2567" s="1" t="s">
        <v>1058</v>
      </c>
      <c r="H2567" s="3">
        <v>46064</v>
      </c>
      <c r="I2567" s="1" t="s">
        <v>933</v>
      </c>
      <c r="J2567" s="1" t="s">
        <v>66</v>
      </c>
      <c r="K2567" s="1" t="s">
        <v>66</v>
      </c>
      <c r="L2567" s="1" t="s">
        <v>3944</v>
      </c>
      <c r="M2567" s="3">
        <v>46050</v>
      </c>
      <c r="N2567" s="1" t="s">
        <v>57</v>
      </c>
      <c r="O2567" s="1" t="s">
        <v>936</v>
      </c>
      <c r="P2567" s="1">
        <v>1</v>
      </c>
    </row>
    <row r="2568" spans="1:16" x14ac:dyDescent="0.25">
      <c r="A2568" s="3">
        <v>46050</v>
      </c>
      <c r="B2568" s="4">
        <v>1174</v>
      </c>
      <c r="C2568" s="5">
        <v>400</v>
      </c>
      <c r="D2568" s="1" t="s">
        <v>1074</v>
      </c>
      <c r="E2568" s="1" t="s">
        <v>1075</v>
      </c>
      <c r="F2568" s="1" t="s">
        <v>650</v>
      </c>
      <c r="G2568" s="1" t="s">
        <v>1058</v>
      </c>
      <c r="H2568" s="3">
        <v>46064</v>
      </c>
      <c r="I2568" s="1" t="s">
        <v>933</v>
      </c>
      <c r="J2568" s="1" t="s">
        <v>66</v>
      </c>
      <c r="K2568" s="1" t="s">
        <v>66</v>
      </c>
      <c r="L2568" s="1" t="s">
        <v>3945</v>
      </c>
      <c r="M2568" s="3">
        <v>46050</v>
      </c>
      <c r="N2568" s="1" t="s">
        <v>57</v>
      </c>
      <c r="O2568" s="1" t="s">
        <v>936</v>
      </c>
      <c r="P2568" s="1">
        <v>1</v>
      </c>
    </row>
    <row r="2569" spans="1:16" x14ac:dyDescent="0.25">
      <c r="A2569" s="3">
        <v>46050</v>
      </c>
      <c r="B2569" s="4">
        <v>1174</v>
      </c>
      <c r="C2569" s="5">
        <v>80</v>
      </c>
      <c r="D2569" s="1" t="s">
        <v>1074</v>
      </c>
      <c r="E2569" s="1" t="s">
        <v>1075</v>
      </c>
      <c r="F2569" s="1" t="s">
        <v>66</v>
      </c>
      <c r="G2569" s="1" t="s">
        <v>1058</v>
      </c>
      <c r="H2569" s="3">
        <v>46064</v>
      </c>
      <c r="I2569" s="1" t="s">
        <v>933</v>
      </c>
      <c r="J2569" s="1" t="s">
        <v>66</v>
      </c>
      <c r="K2569" s="1" t="s">
        <v>66</v>
      </c>
      <c r="L2569" s="1" t="s">
        <v>3946</v>
      </c>
      <c r="M2569" s="3">
        <v>46050</v>
      </c>
      <c r="N2569" s="1" t="s">
        <v>57</v>
      </c>
      <c r="O2569" s="1" t="s">
        <v>936</v>
      </c>
      <c r="P2569" s="1">
        <v>1</v>
      </c>
    </row>
    <row r="2570" spans="1:16" x14ac:dyDescent="0.25">
      <c r="A2570" s="3">
        <v>46050</v>
      </c>
      <c r="B2570" s="4">
        <v>1174</v>
      </c>
      <c r="C2570" s="5">
        <v>230</v>
      </c>
      <c r="D2570" s="1" t="s">
        <v>1074</v>
      </c>
      <c r="E2570" s="1" t="s">
        <v>1075</v>
      </c>
      <c r="F2570" s="1" t="s">
        <v>775</v>
      </c>
      <c r="G2570" s="1" t="s">
        <v>1058</v>
      </c>
      <c r="H2570" s="3">
        <v>46064</v>
      </c>
      <c r="I2570" s="1" t="s">
        <v>933</v>
      </c>
      <c r="J2570" s="1" t="s">
        <v>66</v>
      </c>
      <c r="K2570" s="1" t="s">
        <v>66</v>
      </c>
      <c r="L2570" s="1" t="s">
        <v>3947</v>
      </c>
      <c r="M2570" s="3">
        <v>46050</v>
      </c>
      <c r="N2570" s="1" t="s">
        <v>57</v>
      </c>
      <c r="O2570" s="1" t="s">
        <v>936</v>
      </c>
      <c r="P2570" s="1">
        <v>1</v>
      </c>
    </row>
    <row r="2571" spans="1:16" x14ac:dyDescent="0.25">
      <c r="A2571" s="3">
        <v>46050</v>
      </c>
      <c r="B2571" s="4">
        <v>1174</v>
      </c>
      <c r="C2571" s="5">
        <v>280</v>
      </c>
      <c r="D2571" s="1" t="s">
        <v>1074</v>
      </c>
      <c r="E2571" s="1" t="s">
        <v>1075</v>
      </c>
      <c r="F2571" s="1" t="s">
        <v>715</v>
      </c>
      <c r="G2571" s="1" t="s">
        <v>1058</v>
      </c>
      <c r="H2571" s="3">
        <v>46064</v>
      </c>
      <c r="I2571" s="1" t="s">
        <v>933</v>
      </c>
      <c r="J2571" s="1" t="s">
        <v>66</v>
      </c>
      <c r="K2571" s="1" t="s">
        <v>66</v>
      </c>
      <c r="L2571" s="1" t="s">
        <v>3948</v>
      </c>
      <c r="M2571" s="3">
        <v>46050</v>
      </c>
      <c r="N2571" s="1" t="s">
        <v>57</v>
      </c>
      <c r="O2571" s="1" t="s">
        <v>936</v>
      </c>
      <c r="P2571" s="1">
        <v>1</v>
      </c>
    </row>
    <row r="2572" spans="1:16" x14ac:dyDescent="0.25">
      <c r="A2572" s="3">
        <v>46050</v>
      </c>
      <c r="B2572" s="4">
        <v>1174</v>
      </c>
      <c r="C2572" s="5">
        <v>80</v>
      </c>
      <c r="D2572" s="1" t="s">
        <v>1074</v>
      </c>
      <c r="E2572" s="1" t="s">
        <v>1075</v>
      </c>
      <c r="F2572" s="1" t="s">
        <v>66</v>
      </c>
      <c r="G2572" s="1" t="s">
        <v>1058</v>
      </c>
      <c r="H2572" s="3">
        <v>46064</v>
      </c>
      <c r="I2572" s="1" t="s">
        <v>933</v>
      </c>
      <c r="J2572" s="1" t="s">
        <v>66</v>
      </c>
      <c r="K2572" s="1" t="s">
        <v>66</v>
      </c>
      <c r="L2572" s="1" t="s">
        <v>3949</v>
      </c>
      <c r="M2572" s="3">
        <v>46050</v>
      </c>
      <c r="N2572" s="1" t="s">
        <v>57</v>
      </c>
      <c r="O2572" s="1" t="s">
        <v>936</v>
      </c>
      <c r="P2572" s="1">
        <v>1</v>
      </c>
    </row>
    <row r="2573" spans="1:16" x14ac:dyDescent="0.25">
      <c r="A2573" s="3">
        <v>46050</v>
      </c>
      <c r="B2573" s="4">
        <v>1174</v>
      </c>
      <c r="C2573" s="5">
        <v>280</v>
      </c>
      <c r="D2573" s="1" t="s">
        <v>1074</v>
      </c>
      <c r="E2573" s="1" t="s">
        <v>1075</v>
      </c>
      <c r="F2573" s="1" t="s">
        <v>717</v>
      </c>
      <c r="G2573" s="1" t="s">
        <v>1058</v>
      </c>
      <c r="H2573" s="3">
        <v>46064</v>
      </c>
      <c r="I2573" s="1" t="s">
        <v>933</v>
      </c>
      <c r="J2573" s="1" t="s">
        <v>66</v>
      </c>
      <c r="K2573" s="1" t="s">
        <v>66</v>
      </c>
      <c r="L2573" s="1" t="s">
        <v>3953</v>
      </c>
      <c r="M2573" s="3">
        <v>46050</v>
      </c>
      <c r="N2573" s="1" t="s">
        <v>57</v>
      </c>
      <c r="O2573" s="1" t="s">
        <v>936</v>
      </c>
      <c r="P2573" s="1">
        <v>1</v>
      </c>
    </row>
    <row r="2574" spans="1:16" x14ac:dyDescent="0.25">
      <c r="A2574" s="3">
        <v>46050</v>
      </c>
      <c r="B2574" s="4">
        <v>1174</v>
      </c>
      <c r="C2574" s="5">
        <v>100</v>
      </c>
      <c r="D2574" s="1" t="s">
        <v>1074</v>
      </c>
      <c r="E2574" s="1" t="s">
        <v>1075</v>
      </c>
      <c r="F2574" s="1">
        <v>100041</v>
      </c>
      <c r="G2574" s="1" t="s">
        <v>1058</v>
      </c>
      <c r="H2574" s="3">
        <v>46064</v>
      </c>
      <c r="I2574" s="1" t="s">
        <v>933</v>
      </c>
      <c r="J2574" s="1" t="s">
        <v>66</v>
      </c>
      <c r="K2574" s="1" t="s">
        <v>66</v>
      </c>
      <c r="L2574" s="1" t="s">
        <v>3958</v>
      </c>
      <c r="M2574" s="3">
        <v>46050</v>
      </c>
      <c r="N2574" s="1" t="s">
        <v>57</v>
      </c>
      <c r="O2574" s="1" t="s">
        <v>936</v>
      </c>
      <c r="P2574" s="1">
        <v>1</v>
      </c>
    </row>
    <row r="2575" spans="1:16" x14ac:dyDescent="0.25">
      <c r="A2575" s="3">
        <v>46050</v>
      </c>
      <c r="B2575" s="4">
        <v>1174</v>
      </c>
      <c r="C2575" s="5">
        <v>280</v>
      </c>
      <c r="D2575" s="1" t="s">
        <v>1074</v>
      </c>
      <c r="E2575" s="1" t="s">
        <v>1075</v>
      </c>
      <c r="F2575" s="1" t="s">
        <v>121</v>
      </c>
      <c r="G2575" s="1" t="s">
        <v>1058</v>
      </c>
      <c r="H2575" s="3">
        <v>46064</v>
      </c>
      <c r="I2575" s="1" t="s">
        <v>933</v>
      </c>
      <c r="J2575" s="1" t="s">
        <v>66</v>
      </c>
      <c r="K2575" s="1" t="s">
        <v>66</v>
      </c>
      <c r="L2575" s="1" t="s">
        <v>3959</v>
      </c>
      <c r="M2575" s="3">
        <v>46050</v>
      </c>
      <c r="N2575" s="1" t="s">
        <v>57</v>
      </c>
      <c r="O2575" s="1" t="s">
        <v>936</v>
      </c>
      <c r="P2575" s="1">
        <v>1</v>
      </c>
    </row>
    <row r="2576" spans="1:16" x14ac:dyDescent="0.25">
      <c r="A2576" s="3">
        <v>46050</v>
      </c>
      <c r="B2576" s="4">
        <v>1174</v>
      </c>
      <c r="C2576" s="5">
        <v>300</v>
      </c>
      <c r="D2576" s="1" t="s">
        <v>1074</v>
      </c>
      <c r="E2576" s="1" t="s">
        <v>1075</v>
      </c>
      <c r="F2576" s="1" t="s">
        <v>909</v>
      </c>
      <c r="G2576" s="1" t="s">
        <v>1058</v>
      </c>
      <c r="H2576" s="3">
        <v>46064</v>
      </c>
      <c r="I2576" s="1" t="s">
        <v>933</v>
      </c>
      <c r="J2576" s="1" t="s">
        <v>66</v>
      </c>
      <c r="K2576" s="1" t="s">
        <v>66</v>
      </c>
      <c r="L2576" s="1" t="s">
        <v>3960</v>
      </c>
      <c r="M2576" s="3">
        <v>46050</v>
      </c>
      <c r="N2576" s="1" t="s">
        <v>57</v>
      </c>
      <c r="O2576" s="1" t="s">
        <v>936</v>
      </c>
      <c r="P2576" s="1">
        <v>1</v>
      </c>
    </row>
    <row r="2577" spans="1:16" x14ac:dyDescent="0.25">
      <c r="A2577" s="3">
        <v>46050</v>
      </c>
      <c r="B2577" s="4">
        <v>1174</v>
      </c>
      <c r="C2577" s="5">
        <v>280</v>
      </c>
      <c r="D2577" s="1" t="s">
        <v>1074</v>
      </c>
      <c r="E2577" s="1" t="s">
        <v>1075</v>
      </c>
      <c r="F2577" s="1" t="s">
        <v>304</v>
      </c>
      <c r="G2577" s="1" t="s">
        <v>1058</v>
      </c>
      <c r="H2577" s="3">
        <v>46064</v>
      </c>
      <c r="I2577" s="1" t="s">
        <v>933</v>
      </c>
      <c r="J2577" s="1" t="s">
        <v>66</v>
      </c>
      <c r="K2577" s="1" t="s">
        <v>66</v>
      </c>
      <c r="L2577" s="1" t="s">
        <v>3961</v>
      </c>
      <c r="M2577" s="3">
        <v>46050</v>
      </c>
      <c r="N2577" s="1" t="s">
        <v>57</v>
      </c>
      <c r="O2577" s="1" t="s">
        <v>936</v>
      </c>
      <c r="P2577" s="1">
        <v>1</v>
      </c>
    </row>
    <row r="2578" spans="1:16" x14ac:dyDescent="0.25">
      <c r="A2578" s="3">
        <v>46050</v>
      </c>
      <c r="B2578" s="4">
        <v>1174</v>
      </c>
      <c r="C2578" s="5">
        <v>280</v>
      </c>
      <c r="D2578" s="1" t="s">
        <v>1074</v>
      </c>
      <c r="E2578" s="1" t="s">
        <v>1075</v>
      </c>
      <c r="F2578" s="1" t="s">
        <v>721</v>
      </c>
      <c r="G2578" s="1" t="s">
        <v>1058</v>
      </c>
      <c r="H2578" s="3">
        <v>46064</v>
      </c>
      <c r="I2578" s="1" t="s">
        <v>933</v>
      </c>
      <c r="J2578" s="1" t="s">
        <v>66</v>
      </c>
      <c r="K2578" s="1" t="s">
        <v>66</v>
      </c>
      <c r="L2578" s="1" t="s">
        <v>3962</v>
      </c>
      <c r="M2578" s="3">
        <v>46050</v>
      </c>
      <c r="N2578" s="1" t="s">
        <v>57</v>
      </c>
      <c r="O2578" s="1" t="s">
        <v>936</v>
      </c>
      <c r="P2578" s="1">
        <v>1</v>
      </c>
    </row>
    <row r="2579" spans="1:16" x14ac:dyDescent="0.25">
      <c r="A2579" s="3">
        <v>46050</v>
      </c>
      <c r="B2579" s="4">
        <v>1174</v>
      </c>
      <c r="C2579" s="5">
        <v>150</v>
      </c>
      <c r="D2579" s="1" t="s">
        <v>1074</v>
      </c>
      <c r="E2579" s="1" t="s">
        <v>1075</v>
      </c>
      <c r="F2579" s="1" t="s">
        <v>66</v>
      </c>
      <c r="G2579" s="1" t="s">
        <v>1058</v>
      </c>
      <c r="H2579" s="3">
        <v>46064</v>
      </c>
      <c r="I2579" s="1" t="s">
        <v>933</v>
      </c>
      <c r="J2579" s="1" t="s">
        <v>66</v>
      </c>
      <c r="K2579" s="1" t="s">
        <v>66</v>
      </c>
      <c r="L2579" s="1" t="s">
        <v>3963</v>
      </c>
      <c r="M2579" s="3">
        <v>46050</v>
      </c>
      <c r="N2579" s="1" t="s">
        <v>57</v>
      </c>
      <c r="O2579" s="1" t="s">
        <v>936</v>
      </c>
      <c r="P2579" s="1">
        <v>1</v>
      </c>
    </row>
    <row r="2580" spans="1:16" x14ac:dyDescent="0.25">
      <c r="A2580" s="3">
        <v>46050</v>
      </c>
      <c r="B2580" s="4">
        <v>1174</v>
      </c>
      <c r="C2580" s="5">
        <v>280</v>
      </c>
      <c r="D2580" s="1" t="s">
        <v>1074</v>
      </c>
      <c r="E2580" s="1" t="s">
        <v>1075</v>
      </c>
      <c r="F2580" s="1" t="s">
        <v>66</v>
      </c>
      <c r="G2580" s="1" t="s">
        <v>1058</v>
      </c>
      <c r="H2580" s="3">
        <v>46064</v>
      </c>
      <c r="I2580" s="1" t="s">
        <v>933</v>
      </c>
      <c r="J2580" s="1" t="s">
        <v>66</v>
      </c>
      <c r="K2580" s="1" t="s">
        <v>66</v>
      </c>
      <c r="L2580" s="1" t="s">
        <v>3964</v>
      </c>
      <c r="M2580" s="3">
        <v>46050</v>
      </c>
      <c r="N2580" s="1" t="s">
        <v>57</v>
      </c>
      <c r="O2580" s="1" t="s">
        <v>936</v>
      </c>
      <c r="P2580" s="1">
        <v>1</v>
      </c>
    </row>
    <row r="2581" spans="1:16" x14ac:dyDescent="0.25">
      <c r="A2581" s="3">
        <v>46050</v>
      </c>
      <c r="B2581" s="4">
        <v>1174</v>
      </c>
      <c r="C2581" s="5">
        <v>80</v>
      </c>
      <c r="D2581" s="1" t="s">
        <v>1074</v>
      </c>
      <c r="E2581" s="1" t="s">
        <v>1075</v>
      </c>
      <c r="F2581" s="1" t="s">
        <v>66</v>
      </c>
      <c r="G2581" s="1" t="s">
        <v>1058</v>
      </c>
      <c r="H2581" s="3">
        <v>46064</v>
      </c>
      <c r="I2581" s="1" t="s">
        <v>933</v>
      </c>
      <c r="J2581" s="1" t="s">
        <v>66</v>
      </c>
      <c r="K2581" s="1" t="s">
        <v>66</v>
      </c>
      <c r="L2581" s="1" t="s">
        <v>3965</v>
      </c>
      <c r="M2581" s="3">
        <v>46050</v>
      </c>
      <c r="N2581" s="1" t="s">
        <v>57</v>
      </c>
      <c r="O2581" s="1" t="s">
        <v>936</v>
      </c>
      <c r="P2581" s="1">
        <v>1</v>
      </c>
    </row>
    <row r="2582" spans="1:16" x14ac:dyDescent="0.25">
      <c r="A2582" s="3">
        <v>46050</v>
      </c>
      <c r="B2582" s="4">
        <v>1174</v>
      </c>
      <c r="C2582" s="5">
        <v>80</v>
      </c>
      <c r="D2582" s="1" t="s">
        <v>1074</v>
      </c>
      <c r="E2582" s="1" t="s">
        <v>1075</v>
      </c>
      <c r="F2582" s="1" t="s">
        <v>66</v>
      </c>
      <c r="G2582" s="1" t="s">
        <v>1058</v>
      </c>
      <c r="H2582" s="3">
        <v>46064</v>
      </c>
      <c r="I2582" s="1" t="s">
        <v>933</v>
      </c>
      <c r="J2582" s="1" t="s">
        <v>66</v>
      </c>
      <c r="K2582" s="1" t="s">
        <v>66</v>
      </c>
      <c r="L2582" s="1" t="s">
        <v>3966</v>
      </c>
      <c r="M2582" s="3">
        <v>46050</v>
      </c>
      <c r="N2582" s="1" t="s">
        <v>57</v>
      </c>
      <c r="O2582" s="1" t="s">
        <v>936</v>
      </c>
      <c r="P2582" s="1">
        <v>1</v>
      </c>
    </row>
    <row r="2583" spans="1:16" x14ac:dyDescent="0.25">
      <c r="A2583" s="3">
        <v>46050</v>
      </c>
      <c r="B2583" s="4">
        <v>1174</v>
      </c>
      <c r="C2583" s="5">
        <v>80</v>
      </c>
      <c r="D2583" s="1" t="s">
        <v>1074</v>
      </c>
      <c r="E2583" s="1" t="s">
        <v>1075</v>
      </c>
      <c r="F2583" s="1" t="s">
        <v>66</v>
      </c>
      <c r="G2583" s="1" t="s">
        <v>1058</v>
      </c>
      <c r="H2583" s="3">
        <v>46064</v>
      </c>
      <c r="I2583" s="1" t="s">
        <v>933</v>
      </c>
      <c r="J2583" s="1" t="s">
        <v>66</v>
      </c>
      <c r="K2583" s="1" t="s">
        <v>66</v>
      </c>
      <c r="L2583" s="1" t="s">
        <v>3967</v>
      </c>
      <c r="M2583" s="3">
        <v>46050</v>
      </c>
      <c r="N2583" s="1" t="s">
        <v>57</v>
      </c>
      <c r="O2583" s="1" t="s">
        <v>936</v>
      </c>
      <c r="P2583" s="1">
        <v>1</v>
      </c>
    </row>
    <row r="2584" spans="1:16" x14ac:dyDescent="0.25">
      <c r="A2584" s="3">
        <v>46050</v>
      </c>
      <c r="B2584" s="1">
        <v>522</v>
      </c>
      <c r="C2584" s="5">
        <v>11000</v>
      </c>
      <c r="D2584" s="1" t="s">
        <v>3968</v>
      </c>
      <c r="E2584" s="1" t="s">
        <v>3969</v>
      </c>
      <c r="F2584" s="1" t="s">
        <v>66</v>
      </c>
      <c r="G2584" s="1" t="s">
        <v>932</v>
      </c>
      <c r="H2584" s="3">
        <v>46068</v>
      </c>
      <c r="I2584" s="1" t="s">
        <v>933</v>
      </c>
      <c r="J2584" s="1" t="s">
        <v>66</v>
      </c>
      <c r="K2584" s="1" t="s">
        <v>1654</v>
      </c>
      <c r="L2584" s="1" t="s">
        <v>3970</v>
      </c>
      <c r="M2584" s="3">
        <v>46050</v>
      </c>
      <c r="N2584" s="1" t="s">
        <v>57</v>
      </c>
      <c r="O2584" s="1" t="s">
        <v>932</v>
      </c>
      <c r="P2584" s="1" t="s">
        <v>937</v>
      </c>
    </row>
    <row r="2585" spans="1:16" x14ac:dyDescent="0.25">
      <c r="A2585" s="3">
        <v>46050</v>
      </c>
      <c r="B2585" s="4">
        <v>1203</v>
      </c>
      <c r="C2585" s="5">
        <v>2676.68</v>
      </c>
      <c r="D2585" s="1" t="s">
        <v>3971</v>
      </c>
      <c r="E2585" s="1" t="s">
        <v>3972</v>
      </c>
      <c r="F2585" s="1" t="s">
        <v>906</v>
      </c>
      <c r="G2585" s="1" t="s">
        <v>1667</v>
      </c>
      <c r="H2585" s="3">
        <v>46080</v>
      </c>
      <c r="I2585" s="1" t="s">
        <v>1100</v>
      </c>
      <c r="J2585" s="1" t="s">
        <v>66</v>
      </c>
      <c r="K2585" s="1" t="s">
        <v>308</v>
      </c>
      <c r="L2585" s="1" t="s">
        <v>3973</v>
      </c>
      <c r="M2585" s="3">
        <v>46050</v>
      </c>
      <c r="N2585" s="1" t="s">
        <v>57</v>
      </c>
      <c r="O2585" s="1" t="s">
        <v>936</v>
      </c>
      <c r="P2585" s="1">
        <v>1</v>
      </c>
    </row>
    <row r="2586" spans="1:16" x14ac:dyDescent="0.25">
      <c r="A2586" s="3">
        <v>46050</v>
      </c>
      <c r="B2586" s="1">
        <v>224</v>
      </c>
      <c r="C2586" s="5">
        <v>5053</v>
      </c>
      <c r="D2586" s="1" t="s">
        <v>1358</v>
      </c>
      <c r="E2586" s="1" t="s">
        <v>1618</v>
      </c>
      <c r="F2586" s="1" t="s">
        <v>909</v>
      </c>
      <c r="G2586" s="1" t="s">
        <v>1029</v>
      </c>
      <c r="H2586" s="3">
        <v>46063</v>
      </c>
      <c r="I2586" s="1" t="s">
        <v>933</v>
      </c>
      <c r="J2586" s="1" t="s">
        <v>66</v>
      </c>
      <c r="K2586" s="1" t="s">
        <v>308</v>
      </c>
      <c r="L2586" s="1" t="s">
        <v>3974</v>
      </c>
      <c r="M2586" s="3">
        <v>46050</v>
      </c>
      <c r="N2586" s="1" t="s">
        <v>57</v>
      </c>
      <c r="O2586" s="1" t="s">
        <v>932</v>
      </c>
      <c r="P2586" s="1">
        <v>1</v>
      </c>
    </row>
    <row r="2587" spans="1:16" x14ac:dyDescent="0.25">
      <c r="A2587" s="3">
        <v>46050</v>
      </c>
      <c r="B2587" s="4">
        <v>204443</v>
      </c>
      <c r="C2587" s="5">
        <v>8399.7800000000007</v>
      </c>
      <c r="D2587" s="1" t="s">
        <v>3975</v>
      </c>
      <c r="E2587" s="1" t="s">
        <v>3976</v>
      </c>
      <c r="F2587" s="1" t="s">
        <v>818</v>
      </c>
      <c r="G2587" s="1" t="s">
        <v>1010</v>
      </c>
      <c r="H2587" s="3">
        <v>46080</v>
      </c>
      <c r="I2587" s="1" t="s">
        <v>933</v>
      </c>
      <c r="J2587" s="1" t="s">
        <v>951</v>
      </c>
      <c r="K2587" s="1" t="s">
        <v>66</v>
      </c>
      <c r="L2587" s="1" t="s">
        <v>3977</v>
      </c>
      <c r="M2587" s="3">
        <v>46050</v>
      </c>
      <c r="N2587" s="1" t="s">
        <v>57</v>
      </c>
      <c r="O2587" s="1" t="s">
        <v>998</v>
      </c>
      <c r="P2587" s="1">
        <v>1</v>
      </c>
    </row>
    <row r="2588" spans="1:16" x14ac:dyDescent="0.25">
      <c r="A2588" s="3">
        <v>46050</v>
      </c>
      <c r="B2588" s="1">
        <v>241</v>
      </c>
      <c r="C2588" s="5">
        <v>118</v>
      </c>
      <c r="D2588" s="1" t="s">
        <v>3978</v>
      </c>
      <c r="E2588" s="1" t="s">
        <v>3979</v>
      </c>
      <c r="F2588" s="1" t="s">
        <v>949</v>
      </c>
      <c r="G2588" s="1" t="s">
        <v>940</v>
      </c>
      <c r="H2588" s="1"/>
      <c r="I2588" s="1" t="s">
        <v>933</v>
      </c>
      <c r="J2588" s="1" t="s">
        <v>951</v>
      </c>
      <c r="K2588" s="1" t="s">
        <v>659</v>
      </c>
      <c r="L2588" s="1" t="s">
        <v>3980</v>
      </c>
      <c r="M2588" s="1"/>
      <c r="N2588" s="1" t="s">
        <v>57</v>
      </c>
      <c r="O2588" s="1" t="s">
        <v>936</v>
      </c>
      <c r="P2588" s="1">
        <v>0</v>
      </c>
    </row>
    <row r="2589" spans="1:16" x14ac:dyDescent="0.25">
      <c r="A2589" s="3">
        <v>46050</v>
      </c>
      <c r="B2589" s="1">
        <v>489</v>
      </c>
      <c r="C2589" s="5">
        <v>15</v>
      </c>
      <c r="D2589" s="1" t="s">
        <v>3981</v>
      </c>
      <c r="E2589" s="1" t="s">
        <v>3982</v>
      </c>
      <c r="F2589" s="1" t="s">
        <v>66</v>
      </c>
      <c r="G2589" s="1" t="s">
        <v>940</v>
      </c>
      <c r="H2589" s="1"/>
      <c r="I2589" s="1" t="s">
        <v>933</v>
      </c>
      <c r="J2589" s="1" t="s">
        <v>66</v>
      </c>
      <c r="K2589" s="1" t="s">
        <v>308</v>
      </c>
      <c r="L2589" s="1" t="s">
        <v>3983</v>
      </c>
      <c r="M2589" s="3">
        <v>46064</v>
      </c>
      <c r="N2589" s="1" t="s">
        <v>57</v>
      </c>
      <c r="O2589" s="1" t="s">
        <v>936</v>
      </c>
      <c r="P2589" s="1"/>
    </row>
    <row r="2590" spans="1:16" x14ac:dyDescent="0.25">
      <c r="A2590" s="3">
        <v>46050</v>
      </c>
      <c r="B2590" s="1">
        <v>488</v>
      </c>
      <c r="C2590" s="5">
        <v>36</v>
      </c>
      <c r="D2590" s="1" t="s">
        <v>3981</v>
      </c>
      <c r="E2590" s="1" t="s">
        <v>3982</v>
      </c>
      <c r="F2590" s="1" t="s">
        <v>66</v>
      </c>
      <c r="G2590" s="1" t="s">
        <v>940</v>
      </c>
      <c r="H2590" s="1"/>
      <c r="I2590" s="1" t="s">
        <v>933</v>
      </c>
      <c r="J2590" s="1" t="s">
        <v>66</v>
      </c>
      <c r="K2590" s="1" t="s">
        <v>340</v>
      </c>
      <c r="L2590" s="1" t="s">
        <v>3984</v>
      </c>
      <c r="M2590" s="3">
        <v>46064</v>
      </c>
      <c r="N2590" s="1" t="s">
        <v>57</v>
      </c>
      <c r="O2590" s="1" t="s">
        <v>936</v>
      </c>
      <c r="P2590" s="1"/>
    </row>
    <row r="2591" spans="1:16" x14ac:dyDescent="0.25">
      <c r="A2591" s="3">
        <v>46050</v>
      </c>
      <c r="B2591" s="4">
        <v>4980</v>
      </c>
      <c r="C2591" s="5">
        <v>51</v>
      </c>
      <c r="D2591" s="1" t="s">
        <v>938</v>
      </c>
      <c r="E2591" s="1" t="s">
        <v>939</v>
      </c>
      <c r="F2591" s="1" t="s">
        <v>533</v>
      </c>
      <c r="G2591" s="1" t="s">
        <v>940</v>
      </c>
      <c r="H2591" s="1"/>
      <c r="I2591" s="1" t="s">
        <v>933</v>
      </c>
      <c r="J2591" s="1" t="s">
        <v>66</v>
      </c>
      <c r="K2591" s="1" t="s">
        <v>308</v>
      </c>
      <c r="L2591" s="1" t="s">
        <v>3985</v>
      </c>
      <c r="M2591" s="3">
        <v>46064</v>
      </c>
      <c r="N2591" s="1" t="s">
        <v>57</v>
      </c>
      <c r="O2591" s="1" t="s">
        <v>936</v>
      </c>
      <c r="P2591" s="1">
        <v>1</v>
      </c>
    </row>
    <row r="2592" spans="1:16" x14ac:dyDescent="0.25">
      <c r="A2592" s="3">
        <v>46050</v>
      </c>
      <c r="B2592" s="1">
        <v>487</v>
      </c>
      <c r="C2592" s="5">
        <v>150</v>
      </c>
      <c r="D2592" s="1" t="s">
        <v>3981</v>
      </c>
      <c r="E2592" s="1" t="s">
        <v>3982</v>
      </c>
      <c r="F2592" s="1" t="s">
        <v>533</v>
      </c>
      <c r="G2592" s="1" t="s">
        <v>940</v>
      </c>
      <c r="H2592" s="1"/>
      <c r="I2592" s="1" t="s">
        <v>933</v>
      </c>
      <c r="J2592" s="1" t="s">
        <v>66</v>
      </c>
      <c r="K2592" s="1" t="s">
        <v>308</v>
      </c>
      <c r="L2592" s="1" t="s">
        <v>3986</v>
      </c>
      <c r="M2592" s="3">
        <v>46064</v>
      </c>
      <c r="N2592" s="1" t="s">
        <v>57</v>
      </c>
      <c r="O2592" s="1" t="s">
        <v>936</v>
      </c>
      <c r="P2592" s="1">
        <v>1</v>
      </c>
    </row>
    <row r="2593" spans="1:16" x14ac:dyDescent="0.25">
      <c r="A2593" s="3">
        <v>46050</v>
      </c>
      <c r="B2593" s="4">
        <v>1174</v>
      </c>
      <c r="C2593" s="5">
        <v>280</v>
      </c>
      <c r="D2593" s="1" t="s">
        <v>1074</v>
      </c>
      <c r="E2593" s="1" t="s">
        <v>1075</v>
      </c>
      <c r="F2593" s="1" t="s">
        <v>271</v>
      </c>
      <c r="G2593" s="1" t="s">
        <v>1058</v>
      </c>
      <c r="H2593" s="3">
        <v>46064</v>
      </c>
      <c r="I2593" s="1" t="s">
        <v>933</v>
      </c>
      <c r="J2593" s="1" t="s">
        <v>66</v>
      </c>
      <c r="K2593" s="1" t="s">
        <v>66</v>
      </c>
      <c r="L2593" s="1" t="s">
        <v>4070</v>
      </c>
      <c r="M2593" s="3">
        <v>46050</v>
      </c>
      <c r="N2593" s="1" t="s">
        <v>57</v>
      </c>
      <c r="O2593" s="1" t="s">
        <v>936</v>
      </c>
      <c r="P2593" s="1">
        <v>1</v>
      </c>
    </row>
    <row r="2594" spans="1:16" x14ac:dyDescent="0.25">
      <c r="A2594" s="3">
        <v>46050</v>
      </c>
      <c r="B2594" s="4">
        <v>3431</v>
      </c>
      <c r="C2594" s="5">
        <v>2216</v>
      </c>
      <c r="D2594" s="1" t="s">
        <v>1179</v>
      </c>
      <c r="E2594" s="1" t="s">
        <v>1180</v>
      </c>
      <c r="F2594" s="1" t="s">
        <v>277</v>
      </c>
      <c r="G2594" s="1" t="s">
        <v>940</v>
      </c>
      <c r="H2594" s="3">
        <v>46070</v>
      </c>
      <c r="I2594" s="1" t="s">
        <v>933</v>
      </c>
      <c r="J2594" s="1" t="s">
        <v>66</v>
      </c>
      <c r="K2594" s="1" t="s">
        <v>340</v>
      </c>
      <c r="L2594" s="1" t="s">
        <v>4472</v>
      </c>
      <c r="M2594" s="3">
        <v>46050</v>
      </c>
      <c r="N2594" s="1" t="s">
        <v>264</v>
      </c>
      <c r="O2594" s="1" t="s">
        <v>936</v>
      </c>
      <c r="P2594" s="1">
        <v>1</v>
      </c>
    </row>
    <row r="2595" spans="1:16" x14ac:dyDescent="0.25">
      <c r="A2595" s="3">
        <v>46050</v>
      </c>
      <c r="B2595" s="4">
        <v>3845</v>
      </c>
      <c r="C2595" s="5">
        <v>35</v>
      </c>
      <c r="D2595" s="1" t="s">
        <v>1179</v>
      </c>
      <c r="E2595" s="1" t="s">
        <v>1180</v>
      </c>
      <c r="F2595" s="1" t="s">
        <v>277</v>
      </c>
      <c r="G2595" s="1" t="s">
        <v>940</v>
      </c>
      <c r="H2595" s="3">
        <v>46070</v>
      </c>
      <c r="I2595" s="1" t="s">
        <v>933</v>
      </c>
      <c r="J2595" s="1" t="s">
        <v>66</v>
      </c>
      <c r="K2595" s="1" t="s">
        <v>340</v>
      </c>
      <c r="L2595" s="1" t="s">
        <v>4474</v>
      </c>
      <c r="M2595" s="3">
        <v>46050</v>
      </c>
      <c r="N2595" s="1" t="s">
        <v>264</v>
      </c>
      <c r="O2595" s="1" t="s">
        <v>936</v>
      </c>
      <c r="P2595" s="1">
        <v>2</v>
      </c>
    </row>
    <row r="2596" spans="1:16" x14ac:dyDescent="0.25">
      <c r="A2596" s="3">
        <v>46051</v>
      </c>
      <c r="B2596" s="1">
        <v>14</v>
      </c>
      <c r="C2596" s="5">
        <v>46200</v>
      </c>
      <c r="D2596" s="1" t="s">
        <v>1139</v>
      </c>
      <c r="E2596" s="1" t="s">
        <v>1140</v>
      </c>
      <c r="F2596" s="1" t="s">
        <v>1131</v>
      </c>
      <c r="G2596" s="1" t="s">
        <v>940</v>
      </c>
      <c r="H2596" s="3">
        <v>46081</v>
      </c>
      <c r="I2596" s="1" t="s">
        <v>933</v>
      </c>
      <c r="J2596" s="1" t="s">
        <v>1131</v>
      </c>
      <c r="K2596" s="1" t="s">
        <v>340</v>
      </c>
      <c r="L2596" s="1" t="s">
        <v>3987</v>
      </c>
      <c r="M2596" s="3">
        <v>46057</v>
      </c>
      <c r="N2596" s="1" t="s">
        <v>57</v>
      </c>
      <c r="O2596" s="1" t="s">
        <v>936</v>
      </c>
      <c r="P2596" s="1">
        <v>1</v>
      </c>
    </row>
    <row r="2597" spans="1:16" x14ac:dyDescent="0.25">
      <c r="A2597" s="3">
        <v>46051</v>
      </c>
      <c r="B2597" s="4">
        <v>18743</v>
      </c>
      <c r="C2597" s="5">
        <v>130</v>
      </c>
      <c r="D2597" s="1" t="s">
        <v>3950</v>
      </c>
      <c r="E2597" s="1" t="s">
        <v>3951</v>
      </c>
      <c r="F2597" s="1" t="s">
        <v>483</v>
      </c>
      <c r="G2597" s="1" t="s">
        <v>940</v>
      </c>
      <c r="H2597" s="3">
        <v>46081</v>
      </c>
      <c r="I2597" s="1" t="s">
        <v>933</v>
      </c>
      <c r="J2597" s="1" t="s">
        <v>66</v>
      </c>
      <c r="K2597" s="1" t="s">
        <v>308</v>
      </c>
      <c r="L2597" s="1" t="s">
        <v>3988</v>
      </c>
      <c r="M2597" s="3">
        <v>46056</v>
      </c>
      <c r="N2597" s="1" t="s">
        <v>383</v>
      </c>
      <c r="O2597" s="1" t="s">
        <v>936</v>
      </c>
      <c r="P2597" s="1" t="s">
        <v>937</v>
      </c>
    </row>
    <row r="2598" spans="1:16" x14ac:dyDescent="0.25">
      <c r="A2598" s="3">
        <v>46051</v>
      </c>
      <c r="B2598" s="4">
        <v>1259</v>
      </c>
      <c r="C2598" s="5">
        <v>960</v>
      </c>
      <c r="D2598" s="1" t="s">
        <v>3954</v>
      </c>
      <c r="E2598" s="1" t="s">
        <v>3955</v>
      </c>
      <c r="F2598" s="1" t="s">
        <v>483</v>
      </c>
      <c r="G2598" s="1" t="s">
        <v>940</v>
      </c>
      <c r="H2598" s="3">
        <v>46081</v>
      </c>
      <c r="I2598" s="1" t="s">
        <v>933</v>
      </c>
      <c r="J2598" s="1" t="s">
        <v>66</v>
      </c>
      <c r="K2598" s="1" t="s">
        <v>308</v>
      </c>
      <c r="L2598" s="1" t="s">
        <v>3989</v>
      </c>
      <c r="M2598" s="3">
        <v>46056</v>
      </c>
      <c r="N2598" s="1" t="s">
        <v>383</v>
      </c>
      <c r="O2598" s="1" t="s">
        <v>936</v>
      </c>
      <c r="P2598" s="1" t="s">
        <v>937</v>
      </c>
    </row>
    <row r="2599" spans="1:16" x14ac:dyDescent="0.25">
      <c r="A2599" s="3">
        <v>46051</v>
      </c>
      <c r="B2599" s="4">
        <v>72677</v>
      </c>
      <c r="C2599" s="5">
        <v>1326.6</v>
      </c>
      <c r="D2599" s="1" t="s">
        <v>1253</v>
      </c>
      <c r="E2599" s="1" t="s">
        <v>1487</v>
      </c>
      <c r="F2599" s="1" t="s">
        <v>837</v>
      </c>
      <c r="G2599" s="1" t="s">
        <v>940</v>
      </c>
      <c r="H2599" s="3">
        <v>46083</v>
      </c>
      <c r="I2599" s="1" t="s">
        <v>50</v>
      </c>
      <c r="J2599" s="1" t="s">
        <v>66</v>
      </c>
      <c r="K2599" s="1" t="s">
        <v>340</v>
      </c>
      <c r="L2599" s="1" t="s">
        <v>3990</v>
      </c>
      <c r="M2599" s="3">
        <v>46056</v>
      </c>
      <c r="N2599" s="1" t="s">
        <v>50</v>
      </c>
      <c r="O2599" s="1" t="s">
        <v>936</v>
      </c>
      <c r="P2599" s="1">
        <v>1</v>
      </c>
    </row>
    <row r="2600" spans="1:16" x14ac:dyDescent="0.25">
      <c r="A2600" s="3">
        <v>46051</v>
      </c>
      <c r="B2600" s="4">
        <v>5621</v>
      </c>
      <c r="C2600" s="5">
        <v>58.5</v>
      </c>
      <c r="D2600" s="1" t="s">
        <v>3725</v>
      </c>
      <c r="E2600" s="1" t="s">
        <v>3726</v>
      </c>
      <c r="F2600" s="1" t="s">
        <v>339</v>
      </c>
      <c r="G2600" s="1" t="s">
        <v>940</v>
      </c>
      <c r="H2600" s="1"/>
      <c r="I2600" s="1" t="s">
        <v>933</v>
      </c>
      <c r="J2600" s="1" t="s">
        <v>66</v>
      </c>
      <c r="K2600" s="1" t="s">
        <v>340</v>
      </c>
      <c r="L2600" s="1" t="s">
        <v>3991</v>
      </c>
      <c r="M2600" s="1"/>
      <c r="N2600" s="1" t="s">
        <v>57</v>
      </c>
      <c r="O2600" s="1" t="s">
        <v>936</v>
      </c>
      <c r="P2600" s="1">
        <v>0</v>
      </c>
    </row>
    <row r="2601" spans="1:16" x14ac:dyDescent="0.25">
      <c r="A2601" s="3">
        <v>46051</v>
      </c>
      <c r="B2601" s="4">
        <v>10423</v>
      </c>
      <c r="C2601" s="5">
        <v>116</v>
      </c>
      <c r="D2601" s="1" t="s">
        <v>3992</v>
      </c>
      <c r="E2601" s="1" t="s">
        <v>3993</v>
      </c>
      <c r="F2601" s="1" t="s">
        <v>693</v>
      </c>
      <c r="G2601" s="1" t="s">
        <v>940</v>
      </c>
      <c r="H2601" s="1"/>
      <c r="I2601" s="1" t="s">
        <v>933</v>
      </c>
      <c r="J2601" s="1" t="s">
        <v>66</v>
      </c>
      <c r="K2601" s="1" t="s">
        <v>340</v>
      </c>
      <c r="L2601" s="1" t="s">
        <v>3994</v>
      </c>
      <c r="M2601" s="3">
        <v>46053</v>
      </c>
      <c r="N2601" s="1" t="s">
        <v>383</v>
      </c>
      <c r="O2601" s="1" t="s">
        <v>936</v>
      </c>
      <c r="P2601" s="1">
        <v>1</v>
      </c>
    </row>
    <row r="2602" spans="1:16" x14ac:dyDescent="0.25">
      <c r="A2602" s="3">
        <v>46051</v>
      </c>
      <c r="B2602" s="4">
        <v>15241</v>
      </c>
      <c r="C2602" s="5">
        <v>35</v>
      </c>
      <c r="D2602" s="1" t="s">
        <v>3995</v>
      </c>
      <c r="E2602" s="1" t="s">
        <v>3996</v>
      </c>
      <c r="F2602" s="1" t="s">
        <v>693</v>
      </c>
      <c r="G2602" s="1" t="s">
        <v>940</v>
      </c>
      <c r="H2602" s="1"/>
      <c r="I2602" s="1" t="s">
        <v>933</v>
      </c>
      <c r="J2602" s="1" t="s">
        <v>66</v>
      </c>
      <c r="K2602" s="1" t="s">
        <v>340</v>
      </c>
      <c r="L2602" s="1" t="s">
        <v>3997</v>
      </c>
      <c r="M2602" s="3">
        <v>46053</v>
      </c>
      <c r="N2602" s="1" t="s">
        <v>383</v>
      </c>
      <c r="O2602" s="1" t="s">
        <v>936</v>
      </c>
      <c r="P2602" s="1">
        <v>1</v>
      </c>
    </row>
    <row r="2603" spans="1:16" x14ac:dyDescent="0.25">
      <c r="A2603" s="3">
        <v>46051</v>
      </c>
      <c r="B2603" s="1">
        <v>493</v>
      </c>
      <c r="C2603" s="5">
        <v>57</v>
      </c>
      <c r="D2603" s="1" t="s">
        <v>3981</v>
      </c>
      <c r="E2603" s="1" t="s">
        <v>3982</v>
      </c>
      <c r="F2603" s="1" t="s">
        <v>533</v>
      </c>
      <c r="G2603" s="1" t="s">
        <v>940</v>
      </c>
      <c r="H2603" s="1"/>
      <c r="I2603" s="1" t="s">
        <v>933</v>
      </c>
      <c r="J2603" s="1" t="s">
        <v>66</v>
      </c>
      <c r="K2603" s="1" t="s">
        <v>308</v>
      </c>
      <c r="L2603" s="1" t="s">
        <v>4001</v>
      </c>
      <c r="M2603" s="3">
        <v>46064</v>
      </c>
      <c r="N2603" s="1" t="s">
        <v>57</v>
      </c>
      <c r="O2603" s="1" t="s">
        <v>936</v>
      </c>
      <c r="P2603" s="1">
        <v>1</v>
      </c>
    </row>
    <row r="2604" spans="1:16" x14ac:dyDescent="0.25">
      <c r="A2604" s="3">
        <v>46051</v>
      </c>
      <c r="B2604" s="1">
        <v>492</v>
      </c>
      <c r="C2604" s="5">
        <v>870</v>
      </c>
      <c r="D2604" s="1" t="s">
        <v>3981</v>
      </c>
      <c r="E2604" s="1" t="s">
        <v>3982</v>
      </c>
      <c r="F2604" s="1" t="s">
        <v>647</v>
      </c>
      <c r="G2604" s="1" t="s">
        <v>940</v>
      </c>
      <c r="H2604" s="1"/>
      <c r="I2604" s="1" t="s">
        <v>933</v>
      </c>
      <c r="J2604" s="1" t="s">
        <v>66</v>
      </c>
      <c r="K2604" s="1" t="s">
        <v>340</v>
      </c>
      <c r="L2604" s="1" t="s">
        <v>4002</v>
      </c>
      <c r="M2604" s="3">
        <v>46064</v>
      </c>
      <c r="N2604" s="1" t="s">
        <v>57</v>
      </c>
      <c r="O2604" s="1" t="s">
        <v>936</v>
      </c>
      <c r="P2604" s="1">
        <v>1</v>
      </c>
    </row>
    <row r="2605" spans="1:16" x14ac:dyDescent="0.25">
      <c r="A2605" s="3">
        <v>46051</v>
      </c>
      <c r="B2605" s="4">
        <v>14254</v>
      </c>
      <c r="C2605" s="5">
        <v>388.76</v>
      </c>
      <c r="D2605" s="1" t="s">
        <v>1064</v>
      </c>
      <c r="E2605" s="1" t="s">
        <v>1042</v>
      </c>
      <c r="F2605" s="1" t="s">
        <v>280</v>
      </c>
      <c r="G2605" s="1" t="s">
        <v>940</v>
      </c>
      <c r="H2605" s="1"/>
      <c r="I2605" s="1" t="s">
        <v>933</v>
      </c>
      <c r="J2605" s="1" t="s">
        <v>66</v>
      </c>
      <c r="K2605" s="1" t="s">
        <v>340</v>
      </c>
      <c r="L2605" s="1" t="s">
        <v>4715</v>
      </c>
      <c r="M2605" s="3">
        <v>46064</v>
      </c>
      <c r="N2605" s="1" t="s">
        <v>57</v>
      </c>
      <c r="O2605" s="1" t="s">
        <v>936</v>
      </c>
      <c r="P2605" s="1"/>
    </row>
    <row r="2606" spans="1:16" x14ac:dyDescent="0.25">
      <c r="A2606" s="3">
        <v>46052</v>
      </c>
      <c r="B2606" s="4">
        <v>4990</v>
      </c>
      <c r="C2606" s="5">
        <v>374.24</v>
      </c>
      <c r="D2606" s="1" t="s">
        <v>938</v>
      </c>
      <c r="E2606" s="1" t="s">
        <v>939</v>
      </c>
      <c r="F2606" s="1" t="s">
        <v>66</v>
      </c>
      <c r="G2606" s="1" t="s">
        <v>940</v>
      </c>
      <c r="H2606" s="3">
        <v>46081</v>
      </c>
      <c r="I2606" s="1" t="s">
        <v>933</v>
      </c>
      <c r="J2606" s="1" t="s">
        <v>66</v>
      </c>
      <c r="K2606" s="1" t="s">
        <v>858</v>
      </c>
      <c r="L2606" s="1" t="s">
        <v>4003</v>
      </c>
      <c r="M2606" s="3">
        <v>46052</v>
      </c>
      <c r="N2606" s="1" t="s">
        <v>57</v>
      </c>
      <c r="O2606" s="1" t="s">
        <v>936</v>
      </c>
      <c r="P2606" s="1">
        <v>1</v>
      </c>
    </row>
    <row r="2607" spans="1:16" x14ac:dyDescent="0.25">
      <c r="A2607" s="3">
        <v>46052</v>
      </c>
      <c r="B2607" s="4">
        <v>1615</v>
      </c>
      <c r="C2607" s="5">
        <v>714.77</v>
      </c>
      <c r="D2607" s="1" t="s">
        <v>1901</v>
      </c>
      <c r="E2607" s="1" t="s">
        <v>1902</v>
      </c>
      <c r="F2607" s="1" t="s">
        <v>1567</v>
      </c>
      <c r="G2607" s="1" t="s">
        <v>20</v>
      </c>
      <c r="H2607" s="3">
        <v>46079</v>
      </c>
      <c r="I2607" s="1" t="s">
        <v>933</v>
      </c>
      <c r="J2607" s="1" t="s">
        <v>951</v>
      </c>
      <c r="K2607" s="1" t="s">
        <v>934</v>
      </c>
      <c r="L2607" s="1" t="s">
        <v>4004</v>
      </c>
      <c r="M2607" s="3">
        <v>46052</v>
      </c>
      <c r="N2607" s="1" t="s">
        <v>57</v>
      </c>
      <c r="O2607" s="1" t="s">
        <v>936</v>
      </c>
      <c r="P2607" s="1">
        <v>1</v>
      </c>
    </row>
    <row r="2608" spans="1:16" x14ac:dyDescent="0.25">
      <c r="A2608" s="3">
        <v>46052</v>
      </c>
      <c r="B2608" s="4">
        <v>1611</v>
      </c>
      <c r="C2608" s="5">
        <v>827.5</v>
      </c>
      <c r="D2608" s="1" t="s">
        <v>1901</v>
      </c>
      <c r="E2608" s="1" t="s">
        <v>1902</v>
      </c>
      <c r="F2608" s="1" t="s">
        <v>1567</v>
      </c>
      <c r="G2608" s="1" t="s">
        <v>20</v>
      </c>
      <c r="H2608" s="3">
        <v>46079</v>
      </c>
      <c r="I2608" s="1" t="s">
        <v>933</v>
      </c>
      <c r="J2608" s="1" t="s">
        <v>951</v>
      </c>
      <c r="K2608" s="1" t="s">
        <v>934</v>
      </c>
      <c r="L2608" s="1" t="s">
        <v>4005</v>
      </c>
      <c r="M2608" s="3">
        <v>46052</v>
      </c>
      <c r="N2608" s="1" t="s">
        <v>57</v>
      </c>
      <c r="O2608" s="1" t="s">
        <v>936</v>
      </c>
      <c r="P2608" s="1">
        <v>1</v>
      </c>
    </row>
    <row r="2609" spans="1:16" x14ac:dyDescent="0.25">
      <c r="A2609" s="3">
        <v>46052</v>
      </c>
      <c r="B2609" s="4">
        <v>5537</v>
      </c>
      <c r="C2609" s="5">
        <v>14000</v>
      </c>
      <c r="D2609" s="1" t="s">
        <v>2723</v>
      </c>
      <c r="E2609" s="1" t="s">
        <v>2724</v>
      </c>
      <c r="F2609" s="1" t="s">
        <v>66</v>
      </c>
      <c r="G2609" s="1" t="s">
        <v>20</v>
      </c>
      <c r="H2609" s="3">
        <v>46064</v>
      </c>
      <c r="I2609" s="1" t="s">
        <v>933</v>
      </c>
      <c r="J2609" s="1" t="s">
        <v>66</v>
      </c>
      <c r="K2609" s="1" t="s">
        <v>66</v>
      </c>
      <c r="L2609" s="1" t="s">
        <v>4006</v>
      </c>
      <c r="M2609" s="3">
        <v>46052</v>
      </c>
      <c r="N2609" s="1" t="s">
        <v>57</v>
      </c>
      <c r="O2609" s="1" t="s">
        <v>936</v>
      </c>
      <c r="P2609" s="1">
        <v>1</v>
      </c>
    </row>
    <row r="2610" spans="1:16" x14ac:dyDescent="0.25">
      <c r="A2610" s="3">
        <v>46052</v>
      </c>
      <c r="B2610" s="4">
        <v>1159</v>
      </c>
      <c r="C2610" s="5">
        <v>540</v>
      </c>
      <c r="D2610" s="1" t="s">
        <v>4007</v>
      </c>
      <c r="E2610" s="1" t="s">
        <v>4008</v>
      </c>
      <c r="F2610" s="1" t="s">
        <v>419</v>
      </c>
      <c r="G2610" s="1" t="s">
        <v>940</v>
      </c>
      <c r="H2610" s="1"/>
      <c r="I2610" s="1" t="s">
        <v>933</v>
      </c>
      <c r="J2610" s="1" t="s">
        <v>66</v>
      </c>
      <c r="K2610" s="1" t="s">
        <v>640</v>
      </c>
      <c r="L2610" s="1" t="s">
        <v>4009</v>
      </c>
      <c r="M2610" s="3">
        <v>46052</v>
      </c>
      <c r="N2610" s="1" t="s">
        <v>98</v>
      </c>
      <c r="O2610" s="1" t="s">
        <v>936</v>
      </c>
      <c r="P2610" s="1">
        <v>1</v>
      </c>
    </row>
    <row r="2611" spans="1:16" x14ac:dyDescent="0.25">
      <c r="A2611" s="3">
        <v>46052</v>
      </c>
      <c r="B2611" s="4">
        <v>1158</v>
      </c>
      <c r="C2611" s="5">
        <v>100</v>
      </c>
      <c r="D2611" s="1" t="s">
        <v>4007</v>
      </c>
      <c r="E2611" s="1" t="s">
        <v>4008</v>
      </c>
      <c r="F2611" s="1" t="s">
        <v>437</v>
      </c>
      <c r="G2611" s="1" t="s">
        <v>940</v>
      </c>
      <c r="H2611" s="1"/>
      <c r="I2611" s="1" t="s">
        <v>933</v>
      </c>
      <c r="J2611" s="1" t="s">
        <v>66</v>
      </c>
      <c r="K2611" s="1" t="s">
        <v>308</v>
      </c>
      <c r="L2611" s="1" t="s">
        <v>4009</v>
      </c>
      <c r="M2611" s="3">
        <v>46052</v>
      </c>
      <c r="N2611" s="1" t="s">
        <v>440</v>
      </c>
      <c r="O2611" s="1" t="s">
        <v>936</v>
      </c>
      <c r="P2611" s="1">
        <v>1</v>
      </c>
    </row>
    <row r="2612" spans="1:16" x14ac:dyDescent="0.25">
      <c r="A2612" s="3">
        <v>46052</v>
      </c>
      <c r="B2612" s="1">
        <v>4</v>
      </c>
      <c r="C2612" s="5">
        <v>19387</v>
      </c>
      <c r="D2612" s="1" t="s">
        <v>1262</v>
      </c>
      <c r="E2612" s="1" t="s">
        <v>1507</v>
      </c>
      <c r="F2612" s="1" t="s">
        <v>1567</v>
      </c>
      <c r="G2612" s="1" t="s">
        <v>940</v>
      </c>
      <c r="H2612" s="3">
        <v>46063</v>
      </c>
      <c r="I2612" s="1" t="s">
        <v>933</v>
      </c>
      <c r="J2612" s="1" t="s">
        <v>951</v>
      </c>
      <c r="K2612" s="1" t="s">
        <v>659</v>
      </c>
      <c r="L2612" s="1" t="s">
        <v>4010</v>
      </c>
      <c r="M2612" s="3">
        <v>46053</v>
      </c>
      <c r="N2612" s="1" t="s">
        <v>57</v>
      </c>
      <c r="O2612" s="1" t="s">
        <v>936</v>
      </c>
      <c r="P2612" s="1" t="s">
        <v>937</v>
      </c>
    </row>
    <row r="2613" spans="1:16" x14ac:dyDescent="0.25">
      <c r="A2613" s="3">
        <v>46052</v>
      </c>
      <c r="B2613" s="4">
        <v>17428</v>
      </c>
      <c r="C2613" s="5">
        <v>47</v>
      </c>
      <c r="D2613" s="1" t="s">
        <v>961</v>
      </c>
      <c r="E2613" s="1" t="s">
        <v>962</v>
      </c>
      <c r="F2613" s="1" t="s">
        <v>623</v>
      </c>
      <c r="G2613" s="1" t="s">
        <v>940</v>
      </c>
      <c r="H2613" s="1"/>
      <c r="I2613" s="1" t="s">
        <v>933</v>
      </c>
      <c r="J2613" s="1" t="s">
        <v>66</v>
      </c>
      <c r="K2613" s="1" t="s">
        <v>340</v>
      </c>
      <c r="L2613" s="1" t="s">
        <v>4011</v>
      </c>
      <c r="M2613" s="3">
        <v>46053</v>
      </c>
      <c r="N2613" s="1" t="s">
        <v>383</v>
      </c>
      <c r="O2613" s="1" t="s">
        <v>936</v>
      </c>
      <c r="P2613" s="1">
        <v>1</v>
      </c>
    </row>
    <row r="2614" spans="1:16" x14ac:dyDescent="0.25">
      <c r="A2614" s="3">
        <v>46052</v>
      </c>
      <c r="B2614" s="4">
        <v>10145</v>
      </c>
      <c r="C2614" s="5">
        <v>1349</v>
      </c>
      <c r="D2614" s="1" t="s">
        <v>1573</v>
      </c>
      <c r="E2614" s="1" t="s">
        <v>2130</v>
      </c>
      <c r="F2614" s="1" t="s">
        <v>392</v>
      </c>
      <c r="G2614" s="1" t="s">
        <v>940</v>
      </c>
      <c r="H2614" s="1"/>
      <c r="I2614" s="1" t="s">
        <v>933</v>
      </c>
      <c r="J2614" s="1" t="s">
        <v>66</v>
      </c>
      <c r="K2614" s="1" t="s">
        <v>1654</v>
      </c>
      <c r="L2614" s="1" t="s">
        <v>4012</v>
      </c>
      <c r="M2614" s="3">
        <v>46053</v>
      </c>
      <c r="N2614" s="1" t="s">
        <v>93</v>
      </c>
      <c r="O2614" s="1" t="s">
        <v>936</v>
      </c>
      <c r="P2614" s="1">
        <v>1</v>
      </c>
    </row>
    <row r="2615" spans="1:16" x14ac:dyDescent="0.25">
      <c r="A2615" s="3">
        <v>46052</v>
      </c>
      <c r="B2615" s="4">
        <v>1948</v>
      </c>
      <c r="C2615" s="5">
        <v>22</v>
      </c>
      <c r="D2615" s="1" t="s">
        <v>953</v>
      </c>
      <c r="E2615" s="1" t="s">
        <v>3535</v>
      </c>
      <c r="F2615" s="1" t="s">
        <v>623</v>
      </c>
      <c r="G2615" s="1" t="s">
        <v>940</v>
      </c>
      <c r="H2615" s="1"/>
      <c r="I2615" s="1" t="s">
        <v>933</v>
      </c>
      <c r="J2615" s="1" t="s">
        <v>66</v>
      </c>
      <c r="K2615" s="1" t="s">
        <v>340</v>
      </c>
      <c r="L2615" s="1" t="s">
        <v>4013</v>
      </c>
      <c r="M2615" s="3">
        <v>46053</v>
      </c>
      <c r="N2615" s="1" t="s">
        <v>383</v>
      </c>
      <c r="O2615" s="1" t="s">
        <v>936</v>
      </c>
      <c r="P2615" s="1">
        <v>1</v>
      </c>
    </row>
    <row r="2616" spans="1:16" x14ac:dyDescent="0.25">
      <c r="A2616" s="3">
        <v>46052</v>
      </c>
      <c r="B2616" s="1">
        <v>149</v>
      </c>
      <c r="C2616" s="5">
        <v>580</v>
      </c>
      <c r="D2616" s="1" t="s">
        <v>1370</v>
      </c>
      <c r="E2616" s="1" t="s">
        <v>1371</v>
      </c>
      <c r="F2616" s="1" t="s">
        <v>623</v>
      </c>
      <c r="G2616" s="1" t="s">
        <v>940</v>
      </c>
      <c r="H2616" s="1"/>
      <c r="I2616" s="1" t="s">
        <v>933</v>
      </c>
      <c r="J2616" s="1" t="s">
        <v>66</v>
      </c>
      <c r="K2616" s="1" t="s">
        <v>340</v>
      </c>
      <c r="L2616" s="1" t="s">
        <v>4014</v>
      </c>
      <c r="M2616" s="3">
        <v>46055</v>
      </c>
      <c r="N2616" s="1" t="s">
        <v>383</v>
      </c>
      <c r="O2616" s="1" t="s">
        <v>936</v>
      </c>
      <c r="P2616" s="1" t="s">
        <v>937</v>
      </c>
    </row>
    <row r="2617" spans="1:16" x14ac:dyDescent="0.25">
      <c r="A2617" s="3">
        <v>46052</v>
      </c>
      <c r="B2617" s="4">
        <v>12242</v>
      </c>
      <c r="C2617" s="5">
        <v>8995</v>
      </c>
      <c r="D2617" s="1" t="s">
        <v>3812</v>
      </c>
      <c r="E2617" s="1" t="s">
        <v>3907</v>
      </c>
      <c r="F2617" s="1" t="s">
        <v>1131</v>
      </c>
      <c r="G2617" s="1" t="s">
        <v>940</v>
      </c>
      <c r="H2617" s="3">
        <v>46082</v>
      </c>
      <c r="I2617" s="1" t="s">
        <v>933</v>
      </c>
      <c r="J2617" s="1" t="s">
        <v>1131</v>
      </c>
      <c r="K2617" s="1" t="s">
        <v>308</v>
      </c>
      <c r="L2617" s="1" t="s">
        <v>4015</v>
      </c>
      <c r="M2617" s="3">
        <v>46056</v>
      </c>
      <c r="N2617" s="1" t="s">
        <v>57</v>
      </c>
      <c r="O2617" s="1" t="s">
        <v>936</v>
      </c>
      <c r="P2617" s="1">
        <v>1</v>
      </c>
    </row>
    <row r="2618" spans="1:16" x14ac:dyDescent="0.25">
      <c r="A2618" s="3">
        <v>46052</v>
      </c>
      <c r="B2618" s="4">
        <v>4996</v>
      </c>
      <c r="C2618" s="5">
        <v>28</v>
      </c>
      <c r="D2618" s="1" t="s">
        <v>938</v>
      </c>
      <c r="E2618" s="1" t="s">
        <v>939</v>
      </c>
      <c r="F2618" s="1" t="s">
        <v>430</v>
      </c>
      <c r="G2618" s="1" t="s">
        <v>940</v>
      </c>
      <c r="H2618" s="1"/>
      <c r="I2618" s="1" t="s">
        <v>933</v>
      </c>
      <c r="J2618" s="1" t="s">
        <v>66</v>
      </c>
      <c r="K2618" s="1" t="s">
        <v>1654</v>
      </c>
      <c r="L2618" s="1" t="s">
        <v>4016</v>
      </c>
      <c r="M2618" s="3">
        <v>46064</v>
      </c>
      <c r="N2618" s="1" t="s">
        <v>57</v>
      </c>
      <c r="O2618" s="1" t="s">
        <v>936</v>
      </c>
      <c r="P2618" s="1"/>
    </row>
    <row r="2619" spans="1:16" x14ac:dyDescent="0.25">
      <c r="A2619" s="3">
        <v>46052</v>
      </c>
      <c r="B2619" s="4">
        <v>3845</v>
      </c>
      <c r="C2619" s="5">
        <v>35</v>
      </c>
      <c r="D2619" s="1" t="s">
        <v>1179</v>
      </c>
      <c r="E2619" s="1" t="s">
        <v>1180</v>
      </c>
      <c r="F2619" s="1" t="s">
        <v>277</v>
      </c>
      <c r="G2619" s="1" t="s">
        <v>940</v>
      </c>
      <c r="H2619" s="3">
        <v>46070</v>
      </c>
      <c r="I2619" s="1" t="s">
        <v>933</v>
      </c>
      <c r="J2619" s="1" t="s">
        <v>66</v>
      </c>
      <c r="K2619" s="1" t="s">
        <v>340</v>
      </c>
      <c r="L2619" s="1" t="s">
        <v>4475</v>
      </c>
      <c r="M2619" s="3">
        <v>46052</v>
      </c>
      <c r="N2619" s="1" t="s">
        <v>264</v>
      </c>
      <c r="O2619" s="1" t="s">
        <v>936</v>
      </c>
      <c r="P2619" s="1">
        <v>2</v>
      </c>
    </row>
    <row r="2620" spans="1:16" x14ac:dyDescent="0.25">
      <c r="A2620" s="3">
        <v>46052</v>
      </c>
      <c r="B2620" s="4">
        <v>1160</v>
      </c>
      <c r="C2620" s="5">
        <v>454</v>
      </c>
      <c r="D2620" s="1" t="s">
        <v>4007</v>
      </c>
      <c r="E2620" s="1" t="s">
        <v>4008</v>
      </c>
      <c r="F2620" s="1" t="s">
        <v>289</v>
      </c>
      <c r="G2620" s="1" t="s">
        <v>940</v>
      </c>
      <c r="H2620" s="3">
        <v>46070</v>
      </c>
      <c r="I2620" s="1" t="s">
        <v>933</v>
      </c>
      <c r="J2620" s="1" t="s">
        <v>66</v>
      </c>
      <c r="K2620" s="1" t="s">
        <v>340</v>
      </c>
      <c r="L2620" s="1" t="s">
        <v>4009</v>
      </c>
      <c r="M2620" s="3">
        <v>46052</v>
      </c>
      <c r="N2620" s="1" t="s">
        <v>264</v>
      </c>
      <c r="O2620" s="1" t="s">
        <v>936</v>
      </c>
      <c r="P2620" s="1">
        <v>1</v>
      </c>
    </row>
    <row r="2621" spans="1:16" x14ac:dyDescent="0.25">
      <c r="A2621" s="3">
        <v>46053</v>
      </c>
      <c r="B2621" s="1">
        <v>5</v>
      </c>
      <c r="C2621" s="5">
        <v>1626.4</v>
      </c>
      <c r="D2621" s="1" t="s">
        <v>1262</v>
      </c>
      <c r="E2621" s="1" t="s">
        <v>1507</v>
      </c>
      <c r="F2621" s="1" t="s">
        <v>659</v>
      </c>
      <c r="G2621" s="1" t="s">
        <v>940</v>
      </c>
      <c r="H2621" s="3">
        <v>46067</v>
      </c>
      <c r="I2621" s="1" t="s">
        <v>933</v>
      </c>
      <c r="J2621" s="1" t="s">
        <v>951</v>
      </c>
      <c r="K2621" s="1" t="s">
        <v>659</v>
      </c>
      <c r="L2621" s="1" t="s">
        <v>4017</v>
      </c>
      <c r="M2621" s="3">
        <v>46055</v>
      </c>
      <c r="N2621" s="1" t="s">
        <v>57</v>
      </c>
      <c r="O2621" s="1" t="s">
        <v>936</v>
      </c>
      <c r="P2621" s="1" t="s">
        <v>937</v>
      </c>
    </row>
    <row r="2622" spans="1:16" x14ac:dyDescent="0.25">
      <c r="A2622" s="3">
        <v>46053</v>
      </c>
      <c r="B2622" s="4">
        <v>5622</v>
      </c>
      <c r="C2622" s="5">
        <v>232</v>
      </c>
      <c r="D2622" s="1" t="s">
        <v>3725</v>
      </c>
      <c r="E2622" s="1" t="s">
        <v>3726</v>
      </c>
      <c r="F2622" s="1" t="s">
        <v>339</v>
      </c>
      <c r="G2622" s="1" t="s">
        <v>940</v>
      </c>
      <c r="H2622" s="1"/>
      <c r="I2622" s="1" t="s">
        <v>933</v>
      </c>
      <c r="J2622" s="1" t="s">
        <v>66</v>
      </c>
      <c r="K2622" s="1" t="s">
        <v>340</v>
      </c>
      <c r="L2622" s="1" t="s">
        <v>4018</v>
      </c>
      <c r="M2622" s="1"/>
      <c r="N2622" s="1" t="s">
        <v>57</v>
      </c>
      <c r="O2622" s="1" t="s">
        <v>936</v>
      </c>
      <c r="P2622" s="1">
        <v>0</v>
      </c>
    </row>
    <row r="2623" spans="1:16" x14ac:dyDescent="0.25">
      <c r="A2623" s="3">
        <v>46053</v>
      </c>
      <c r="B2623" s="4">
        <v>336814</v>
      </c>
      <c r="C2623" s="5">
        <v>1300</v>
      </c>
      <c r="D2623" s="1" t="s">
        <v>992</v>
      </c>
      <c r="E2623" s="1" t="s">
        <v>1243</v>
      </c>
      <c r="F2623" s="1" t="s">
        <v>949</v>
      </c>
      <c r="G2623" s="1" t="s">
        <v>20</v>
      </c>
      <c r="H2623" s="1"/>
      <c r="I2623" s="1" t="s">
        <v>933</v>
      </c>
      <c r="J2623" s="1" t="s">
        <v>951</v>
      </c>
      <c r="K2623" s="1" t="s">
        <v>817</v>
      </c>
      <c r="L2623" s="1" t="s">
        <v>4019</v>
      </c>
      <c r="M2623" s="3">
        <v>46053</v>
      </c>
      <c r="N2623" s="1" t="s">
        <v>57</v>
      </c>
      <c r="O2623" s="1" t="s">
        <v>998</v>
      </c>
      <c r="P2623" s="1">
        <v>1</v>
      </c>
    </row>
    <row r="2624" spans="1:16" x14ac:dyDescent="0.25">
      <c r="A2624" s="3">
        <v>46053</v>
      </c>
      <c r="B2624" s="4">
        <v>4918</v>
      </c>
      <c r="C2624" s="5">
        <v>11.2</v>
      </c>
      <c r="D2624" s="1" t="s">
        <v>938</v>
      </c>
      <c r="E2624" s="1" t="s">
        <v>939</v>
      </c>
      <c r="F2624" s="1" t="s">
        <v>715</v>
      </c>
      <c r="G2624" s="1" t="s">
        <v>940</v>
      </c>
      <c r="H2624" s="1"/>
      <c r="I2624" s="1" t="s">
        <v>933</v>
      </c>
      <c r="J2624" s="1" t="s">
        <v>66</v>
      </c>
      <c r="K2624" s="1" t="s">
        <v>858</v>
      </c>
      <c r="L2624" s="1" t="s">
        <v>4020</v>
      </c>
      <c r="M2624" s="3">
        <v>46053</v>
      </c>
      <c r="N2624" s="1" t="s">
        <v>712</v>
      </c>
      <c r="O2624" s="1" t="s">
        <v>936</v>
      </c>
      <c r="P2624" s="1">
        <v>1</v>
      </c>
    </row>
    <row r="2625" spans="1:16" x14ac:dyDescent="0.25">
      <c r="A2625" s="3">
        <v>46053</v>
      </c>
      <c r="B2625" s="4">
        <v>14049</v>
      </c>
      <c r="C2625" s="5">
        <v>125</v>
      </c>
      <c r="D2625" s="1" t="s">
        <v>1064</v>
      </c>
      <c r="E2625" s="1" t="s">
        <v>1042</v>
      </c>
      <c r="F2625" s="1" t="s">
        <v>715</v>
      </c>
      <c r="G2625" s="1" t="s">
        <v>940</v>
      </c>
      <c r="H2625" s="1"/>
      <c r="I2625" s="1" t="s">
        <v>933</v>
      </c>
      <c r="J2625" s="1" t="s">
        <v>66</v>
      </c>
      <c r="K2625" s="1" t="s">
        <v>66</v>
      </c>
      <c r="L2625" s="1" t="s">
        <v>4021</v>
      </c>
      <c r="M2625" s="3">
        <v>46053</v>
      </c>
      <c r="N2625" s="1" t="s">
        <v>712</v>
      </c>
      <c r="O2625" s="1" t="s">
        <v>936</v>
      </c>
      <c r="P2625" s="1">
        <v>1</v>
      </c>
    </row>
    <row r="2626" spans="1:16" x14ac:dyDescent="0.25">
      <c r="A2626" s="3">
        <v>46053</v>
      </c>
      <c r="B2626" s="4">
        <v>1587</v>
      </c>
      <c r="C2626" s="5">
        <v>282.5</v>
      </c>
      <c r="D2626" s="1" t="s">
        <v>1901</v>
      </c>
      <c r="E2626" s="1" t="s">
        <v>1902</v>
      </c>
      <c r="F2626" s="1" t="s">
        <v>949</v>
      </c>
      <c r="G2626" s="1" t="s">
        <v>940</v>
      </c>
      <c r="H2626" s="1"/>
      <c r="I2626" s="1" t="s">
        <v>933</v>
      </c>
      <c r="J2626" s="1" t="s">
        <v>951</v>
      </c>
      <c r="K2626" s="1" t="s">
        <v>20</v>
      </c>
      <c r="L2626" s="1" t="s">
        <v>4022</v>
      </c>
      <c r="M2626" s="3">
        <v>46053</v>
      </c>
      <c r="N2626" s="1" t="s">
        <v>57</v>
      </c>
      <c r="O2626" s="1" t="s">
        <v>936</v>
      </c>
      <c r="P2626" s="1">
        <v>1</v>
      </c>
    </row>
    <row r="2627" spans="1:16" x14ac:dyDescent="0.25">
      <c r="A2627" s="3">
        <v>46053</v>
      </c>
      <c r="B2627" s="4">
        <v>1616</v>
      </c>
      <c r="C2627" s="5">
        <v>51.8</v>
      </c>
      <c r="D2627" s="1" t="s">
        <v>1901</v>
      </c>
      <c r="E2627" s="1" t="s">
        <v>1902</v>
      </c>
      <c r="F2627" s="1" t="s">
        <v>949</v>
      </c>
      <c r="G2627" s="1" t="s">
        <v>20</v>
      </c>
      <c r="H2627" s="1"/>
      <c r="I2627" s="1" t="s">
        <v>933</v>
      </c>
      <c r="J2627" s="1" t="s">
        <v>951</v>
      </c>
      <c r="K2627" s="1" t="s">
        <v>66</v>
      </c>
      <c r="L2627" s="1" t="s">
        <v>4023</v>
      </c>
      <c r="M2627" s="3">
        <v>46053</v>
      </c>
      <c r="N2627" s="1" t="s">
        <v>57</v>
      </c>
      <c r="O2627" s="1" t="s">
        <v>936</v>
      </c>
      <c r="P2627" s="1">
        <v>1</v>
      </c>
    </row>
    <row r="2628" spans="1:16" x14ac:dyDescent="0.25">
      <c r="A2628" s="3">
        <v>46053</v>
      </c>
      <c r="B2628" s="1">
        <v>146</v>
      </c>
      <c r="C2628" s="5">
        <v>580</v>
      </c>
      <c r="D2628" s="1" t="s">
        <v>1370</v>
      </c>
      <c r="E2628" s="1" t="s">
        <v>1371</v>
      </c>
      <c r="F2628" s="1" t="s">
        <v>623</v>
      </c>
      <c r="G2628" s="1" t="s">
        <v>940</v>
      </c>
      <c r="H2628" s="1"/>
      <c r="I2628" s="1" t="s">
        <v>933</v>
      </c>
      <c r="J2628" s="1" t="s">
        <v>66</v>
      </c>
      <c r="K2628" s="1" t="s">
        <v>340</v>
      </c>
      <c r="L2628" s="1" t="s">
        <v>4024</v>
      </c>
      <c r="M2628" s="3">
        <v>46053</v>
      </c>
      <c r="N2628" s="1" t="s">
        <v>383</v>
      </c>
      <c r="O2628" s="1" t="s">
        <v>936</v>
      </c>
      <c r="P2628" s="1" t="s">
        <v>937</v>
      </c>
    </row>
    <row r="2629" spans="1:16" x14ac:dyDescent="0.25">
      <c r="A2629" s="3">
        <v>46053</v>
      </c>
      <c r="B2629" s="1">
        <v>407</v>
      </c>
      <c r="C2629" s="5">
        <v>11500</v>
      </c>
      <c r="D2629" s="1" t="s">
        <v>4025</v>
      </c>
      <c r="E2629" s="1" t="s">
        <v>4026</v>
      </c>
      <c r="F2629" s="1" t="s">
        <v>599</v>
      </c>
      <c r="G2629" s="1" t="s">
        <v>932</v>
      </c>
      <c r="H2629" s="3">
        <v>46081</v>
      </c>
      <c r="I2629" s="1" t="s">
        <v>933</v>
      </c>
      <c r="J2629" s="1" t="s">
        <v>66</v>
      </c>
      <c r="K2629" s="1" t="s">
        <v>340</v>
      </c>
      <c r="L2629" s="1" t="s">
        <v>4027</v>
      </c>
      <c r="M2629" s="3">
        <v>46056</v>
      </c>
      <c r="N2629" s="1" t="s">
        <v>57</v>
      </c>
      <c r="O2629" s="1" t="s">
        <v>932</v>
      </c>
      <c r="P2629" s="1">
        <v>1</v>
      </c>
    </row>
    <row r="2630" spans="1:16" x14ac:dyDescent="0.25">
      <c r="A2630" s="3">
        <v>46053</v>
      </c>
      <c r="B2630" s="4">
        <v>5005</v>
      </c>
      <c r="C2630" s="5">
        <v>87</v>
      </c>
      <c r="D2630" s="1" t="s">
        <v>938</v>
      </c>
      <c r="E2630" s="1" t="s">
        <v>939</v>
      </c>
      <c r="F2630" s="1" t="s">
        <v>623</v>
      </c>
      <c r="G2630" s="1" t="s">
        <v>940</v>
      </c>
      <c r="H2630" s="1"/>
      <c r="I2630" s="1" t="s">
        <v>933</v>
      </c>
      <c r="J2630" s="1" t="s">
        <v>66</v>
      </c>
      <c r="K2630" s="1" t="s">
        <v>340</v>
      </c>
      <c r="L2630" s="1" t="s">
        <v>4028</v>
      </c>
      <c r="M2630" s="3">
        <v>46055</v>
      </c>
      <c r="N2630" s="1" t="s">
        <v>383</v>
      </c>
      <c r="O2630" s="1" t="s">
        <v>936</v>
      </c>
      <c r="P2630" s="1">
        <v>1</v>
      </c>
    </row>
    <row r="2631" spans="1:16" x14ac:dyDescent="0.25">
      <c r="A2631" s="3">
        <v>46053</v>
      </c>
      <c r="B2631" s="1">
        <v>59</v>
      </c>
      <c r="C2631" s="5">
        <v>6431.08</v>
      </c>
      <c r="D2631" s="1" t="s">
        <v>3804</v>
      </c>
      <c r="E2631" s="1" t="s">
        <v>4029</v>
      </c>
      <c r="F2631" s="1" t="s">
        <v>453</v>
      </c>
      <c r="G2631" s="1" t="s">
        <v>940</v>
      </c>
      <c r="H2631" s="3">
        <v>46078</v>
      </c>
      <c r="I2631" s="1" t="s">
        <v>933</v>
      </c>
      <c r="J2631" s="1" t="s">
        <v>66</v>
      </c>
      <c r="K2631" s="1" t="s">
        <v>308</v>
      </c>
      <c r="L2631" s="1" t="s">
        <v>4030</v>
      </c>
      <c r="M2631" s="3">
        <v>46053</v>
      </c>
      <c r="N2631" s="1" t="s">
        <v>455</v>
      </c>
      <c r="O2631" s="1" t="s">
        <v>936</v>
      </c>
      <c r="P2631" s="1">
        <v>1</v>
      </c>
    </row>
    <row r="2632" spans="1:16" x14ac:dyDescent="0.25">
      <c r="A2632" s="3">
        <v>46053</v>
      </c>
      <c r="B2632" s="4">
        <v>338389</v>
      </c>
      <c r="C2632" s="5">
        <v>4600</v>
      </c>
      <c r="D2632" s="1" t="s">
        <v>3274</v>
      </c>
      <c r="E2632" s="1" t="s">
        <v>3275</v>
      </c>
      <c r="F2632" s="1" t="s">
        <v>1131</v>
      </c>
      <c r="G2632" s="1" t="s">
        <v>1131</v>
      </c>
      <c r="H2632" s="3">
        <v>46079</v>
      </c>
      <c r="I2632" s="1" t="s">
        <v>933</v>
      </c>
      <c r="J2632" s="1" t="s">
        <v>1131</v>
      </c>
      <c r="K2632" s="1" t="s">
        <v>817</v>
      </c>
      <c r="L2632" s="1" t="s">
        <v>4031</v>
      </c>
      <c r="M2632" s="3">
        <v>46053</v>
      </c>
      <c r="N2632" s="1" t="s">
        <v>57</v>
      </c>
      <c r="O2632" s="1" t="s">
        <v>936</v>
      </c>
      <c r="P2632" s="1">
        <v>1</v>
      </c>
    </row>
    <row r="2633" spans="1:16" x14ac:dyDescent="0.25">
      <c r="A2633" s="3">
        <v>46053</v>
      </c>
      <c r="B2633" s="4">
        <v>1819</v>
      </c>
      <c r="C2633" s="5">
        <v>511</v>
      </c>
      <c r="D2633" s="1" t="s">
        <v>4910</v>
      </c>
      <c r="E2633" s="1" t="s">
        <v>1371</v>
      </c>
      <c r="F2633" s="1" t="s">
        <v>286</v>
      </c>
      <c r="G2633" s="1" t="s">
        <v>940</v>
      </c>
      <c r="H2633" s="3">
        <v>46059</v>
      </c>
      <c r="I2633" s="1" t="s">
        <v>933</v>
      </c>
      <c r="J2633" s="1" t="s">
        <v>66</v>
      </c>
      <c r="K2633" s="1" t="s">
        <v>340</v>
      </c>
      <c r="L2633" s="1" t="s">
        <v>4911</v>
      </c>
      <c r="M2633" s="3">
        <v>46053</v>
      </c>
      <c r="N2633" s="1" t="s">
        <v>264</v>
      </c>
      <c r="O2633" s="1" t="s">
        <v>936</v>
      </c>
      <c r="P2633" s="1">
        <v>1</v>
      </c>
    </row>
    <row r="2634" spans="1:16" x14ac:dyDescent="0.25">
      <c r="A2634" s="3">
        <v>46054</v>
      </c>
      <c r="B2634" s="4">
        <v>51981404</v>
      </c>
      <c r="C2634" s="5">
        <v>34771.74</v>
      </c>
      <c r="D2634" s="1" t="s">
        <v>1604</v>
      </c>
      <c r="E2634" s="1" t="s">
        <v>1605</v>
      </c>
      <c r="F2634" s="1" t="s">
        <v>955</v>
      </c>
      <c r="G2634" s="1" t="s">
        <v>472</v>
      </c>
      <c r="H2634" s="3">
        <v>46071</v>
      </c>
      <c r="I2634" s="1" t="s">
        <v>933</v>
      </c>
      <c r="J2634" s="1" t="s">
        <v>951</v>
      </c>
      <c r="K2634" s="1" t="s">
        <v>934</v>
      </c>
      <c r="L2634" s="1" t="s">
        <v>4032</v>
      </c>
      <c r="M2634" s="3">
        <v>46056</v>
      </c>
      <c r="N2634" s="1" t="s">
        <v>57</v>
      </c>
      <c r="O2634" s="1" t="s">
        <v>932</v>
      </c>
      <c r="P2634" s="1">
        <v>1</v>
      </c>
    </row>
    <row r="2635" spans="1:16" x14ac:dyDescent="0.25">
      <c r="A2635" s="3">
        <v>46055</v>
      </c>
      <c r="B2635" s="4">
        <v>1148</v>
      </c>
      <c r="C2635" s="5">
        <v>350</v>
      </c>
      <c r="D2635" s="1" t="s">
        <v>1126</v>
      </c>
      <c r="E2635" s="1" t="s">
        <v>1620</v>
      </c>
      <c r="F2635" s="1" t="s">
        <v>265</v>
      </c>
      <c r="G2635" s="1" t="s">
        <v>940</v>
      </c>
      <c r="H2635" s="3">
        <v>46076</v>
      </c>
      <c r="I2635" s="1" t="s">
        <v>933</v>
      </c>
      <c r="J2635" s="1" t="s">
        <v>66</v>
      </c>
      <c r="K2635" s="1" t="s">
        <v>340</v>
      </c>
      <c r="L2635" s="1" t="s">
        <v>3702</v>
      </c>
      <c r="M2635" s="3">
        <v>46058</v>
      </c>
      <c r="N2635" s="1" t="s">
        <v>57</v>
      </c>
      <c r="O2635" s="1" t="s">
        <v>936</v>
      </c>
      <c r="P2635" s="1">
        <v>1</v>
      </c>
    </row>
    <row r="2636" spans="1:16" x14ac:dyDescent="0.25">
      <c r="A2636" s="3">
        <v>46055</v>
      </c>
      <c r="B2636" s="4">
        <v>95867</v>
      </c>
      <c r="C2636" s="5">
        <v>69000</v>
      </c>
      <c r="D2636" s="1" t="s">
        <v>1094</v>
      </c>
      <c r="E2636" s="1" t="s">
        <v>1095</v>
      </c>
      <c r="F2636" s="1" t="s">
        <v>66</v>
      </c>
      <c r="G2636" s="1" t="s">
        <v>998</v>
      </c>
      <c r="H2636" s="3">
        <v>46083</v>
      </c>
      <c r="I2636" s="1" t="s">
        <v>933</v>
      </c>
      <c r="J2636" s="1" t="s">
        <v>66</v>
      </c>
      <c r="K2636" s="1" t="s">
        <v>66</v>
      </c>
      <c r="L2636" s="1" t="s">
        <v>4033</v>
      </c>
      <c r="M2636" s="3">
        <v>46055</v>
      </c>
      <c r="N2636" s="1" t="s">
        <v>3899</v>
      </c>
      <c r="O2636" s="1" t="s">
        <v>998</v>
      </c>
      <c r="P2636" s="1">
        <v>1</v>
      </c>
    </row>
    <row r="2637" spans="1:16" x14ac:dyDescent="0.25">
      <c r="A2637" s="3">
        <v>46055</v>
      </c>
      <c r="B2637" s="4">
        <v>14196</v>
      </c>
      <c r="C2637" s="5">
        <v>1390.09</v>
      </c>
      <c r="D2637" s="1" t="s">
        <v>1801</v>
      </c>
      <c r="E2637" s="1" t="s">
        <v>1802</v>
      </c>
      <c r="F2637" s="1" t="s">
        <v>166</v>
      </c>
      <c r="G2637" s="1" t="s">
        <v>998</v>
      </c>
      <c r="H2637" s="3">
        <v>46073</v>
      </c>
      <c r="I2637" s="1" t="s">
        <v>933</v>
      </c>
      <c r="J2637" s="1" t="s">
        <v>66</v>
      </c>
      <c r="K2637" s="1" t="s">
        <v>66</v>
      </c>
      <c r="L2637" s="1" t="s">
        <v>4034</v>
      </c>
      <c r="M2637" s="3">
        <v>46055</v>
      </c>
      <c r="N2637" s="1" t="s">
        <v>170</v>
      </c>
      <c r="O2637" s="1" t="s">
        <v>998</v>
      </c>
      <c r="P2637" s="1">
        <v>2</v>
      </c>
    </row>
    <row r="2638" spans="1:16" x14ac:dyDescent="0.25">
      <c r="A2638" s="3">
        <v>46055</v>
      </c>
      <c r="B2638" s="1">
        <v>61</v>
      </c>
      <c r="C2638" s="5">
        <v>4992</v>
      </c>
      <c r="D2638" s="1" t="s">
        <v>2158</v>
      </c>
      <c r="E2638" s="1" t="s">
        <v>2159</v>
      </c>
      <c r="F2638" s="1" t="s">
        <v>185</v>
      </c>
      <c r="G2638" s="1" t="s">
        <v>940</v>
      </c>
      <c r="H2638" s="3">
        <v>46069</v>
      </c>
      <c r="I2638" s="1" t="s">
        <v>3712</v>
      </c>
      <c r="J2638" s="1" t="s">
        <v>66</v>
      </c>
      <c r="K2638" s="1" t="s">
        <v>308</v>
      </c>
      <c r="L2638" s="1" t="s">
        <v>4035</v>
      </c>
      <c r="M2638" s="3">
        <v>46055</v>
      </c>
      <c r="N2638" s="1" t="s">
        <v>190</v>
      </c>
      <c r="O2638" s="1" t="s">
        <v>936</v>
      </c>
      <c r="P2638" s="1" t="s">
        <v>937</v>
      </c>
    </row>
    <row r="2639" spans="1:16" x14ac:dyDescent="0.25">
      <c r="A2639" s="3">
        <v>46055</v>
      </c>
      <c r="B2639" s="1">
        <v>48</v>
      </c>
      <c r="C2639" s="5">
        <v>930</v>
      </c>
      <c r="D2639" s="1" t="s">
        <v>2158</v>
      </c>
      <c r="E2639" s="1" t="s">
        <v>2159</v>
      </c>
      <c r="F2639" s="1" t="s">
        <v>185</v>
      </c>
      <c r="G2639" s="1" t="s">
        <v>940</v>
      </c>
      <c r="H2639" s="3">
        <v>46069</v>
      </c>
      <c r="I2639" s="1" t="s">
        <v>3712</v>
      </c>
      <c r="J2639" s="1" t="s">
        <v>66</v>
      </c>
      <c r="K2639" s="1" t="s">
        <v>308</v>
      </c>
      <c r="L2639" s="1" t="s">
        <v>4036</v>
      </c>
      <c r="M2639" s="3">
        <v>46055</v>
      </c>
      <c r="N2639" s="1" t="s">
        <v>190</v>
      </c>
      <c r="O2639" s="1" t="s">
        <v>936</v>
      </c>
      <c r="P2639" s="1" t="s">
        <v>937</v>
      </c>
    </row>
    <row r="2640" spans="1:16" x14ac:dyDescent="0.25">
      <c r="A2640" s="3">
        <v>46055</v>
      </c>
      <c r="B2640" s="4">
        <v>5012</v>
      </c>
      <c r="C2640" s="5">
        <v>1038.5</v>
      </c>
      <c r="D2640" s="1" t="s">
        <v>938</v>
      </c>
      <c r="E2640" s="1" t="s">
        <v>939</v>
      </c>
      <c r="F2640" s="1" t="s">
        <v>66</v>
      </c>
      <c r="G2640" s="1" t="s">
        <v>940</v>
      </c>
      <c r="H2640" s="1"/>
      <c r="I2640" s="1" t="s">
        <v>933</v>
      </c>
      <c r="J2640" s="1" t="s">
        <v>66</v>
      </c>
      <c r="K2640" s="1" t="s">
        <v>340</v>
      </c>
      <c r="L2640" s="1" t="s">
        <v>4037</v>
      </c>
      <c r="M2640" s="3">
        <v>46064</v>
      </c>
      <c r="N2640" s="1" t="s">
        <v>57</v>
      </c>
      <c r="O2640" s="1" t="s">
        <v>936</v>
      </c>
      <c r="P2640" s="1">
        <v>1</v>
      </c>
    </row>
    <row r="2641" spans="1:16" x14ac:dyDescent="0.25">
      <c r="A2641" s="3">
        <v>46055</v>
      </c>
      <c r="B2641" s="4">
        <v>2463</v>
      </c>
      <c r="C2641" s="5">
        <v>350</v>
      </c>
      <c r="D2641" s="1" t="s">
        <v>1182</v>
      </c>
      <c r="E2641" s="1" t="s">
        <v>1183</v>
      </c>
      <c r="F2641" s="1" t="s">
        <v>66</v>
      </c>
      <c r="G2641" s="1" t="s">
        <v>940</v>
      </c>
      <c r="H2641" s="1"/>
      <c r="I2641" s="1" t="s">
        <v>933</v>
      </c>
      <c r="J2641" s="1" t="s">
        <v>66</v>
      </c>
      <c r="K2641" s="1" t="s">
        <v>487</v>
      </c>
      <c r="L2641" s="1" t="s">
        <v>4038</v>
      </c>
      <c r="M2641" s="3">
        <v>46065</v>
      </c>
      <c r="N2641" s="1" t="s">
        <v>57</v>
      </c>
      <c r="O2641" s="1" t="s">
        <v>936</v>
      </c>
      <c r="P2641" s="1">
        <v>1</v>
      </c>
    </row>
    <row r="2642" spans="1:16" x14ac:dyDescent="0.25">
      <c r="A2642" s="3">
        <v>46055</v>
      </c>
      <c r="B2642" s="1">
        <v>170</v>
      </c>
      <c r="C2642" s="5">
        <v>9000</v>
      </c>
      <c r="D2642" s="1" t="s">
        <v>1197</v>
      </c>
      <c r="E2642" s="1" t="s">
        <v>1198</v>
      </c>
      <c r="F2642" s="1" t="s">
        <v>66</v>
      </c>
      <c r="G2642" s="1" t="s">
        <v>940</v>
      </c>
      <c r="H2642" s="3">
        <v>46081</v>
      </c>
      <c r="I2642" s="1" t="s">
        <v>933</v>
      </c>
      <c r="J2642" s="1" t="s">
        <v>66</v>
      </c>
      <c r="K2642" s="1" t="s">
        <v>340</v>
      </c>
      <c r="L2642" s="1" t="s">
        <v>4039</v>
      </c>
      <c r="M2642" s="3">
        <v>46066</v>
      </c>
      <c r="N2642" s="1" t="s">
        <v>57</v>
      </c>
      <c r="O2642" s="1" t="s">
        <v>936</v>
      </c>
      <c r="P2642" s="1">
        <v>1</v>
      </c>
    </row>
    <row r="2643" spans="1:16" x14ac:dyDescent="0.25">
      <c r="A2643" s="3">
        <v>46055</v>
      </c>
      <c r="B2643" s="4">
        <v>1034</v>
      </c>
      <c r="C2643" s="5">
        <v>66000</v>
      </c>
      <c r="D2643" s="1" t="s">
        <v>1080</v>
      </c>
      <c r="E2643" s="1" t="s">
        <v>3046</v>
      </c>
      <c r="F2643" s="1" t="s">
        <v>66</v>
      </c>
      <c r="G2643" s="1" t="s">
        <v>1082</v>
      </c>
      <c r="H2643" s="3">
        <v>46068</v>
      </c>
      <c r="I2643" s="1" t="s">
        <v>933</v>
      </c>
      <c r="J2643" s="1" t="s">
        <v>66</v>
      </c>
      <c r="K2643" s="1" t="s">
        <v>340</v>
      </c>
      <c r="L2643" s="1" t="s">
        <v>4040</v>
      </c>
      <c r="M2643" s="3">
        <v>46056</v>
      </c>
      <c r="N2643" s="1" t="s">
        <v>57</v>
      </c>
      <c r="O2643" s="1" t="s">
        <v>936</v>
      </c>
      <c r="P2643" s="1">
        <v>1</v>
      </c>
    </row>
    <row r="2644" spans="1:16" x14ac:dyDescent="0.25">
      <c r="A2644" s="3">
        <v>46055</v>
      </c>
      <c r="B2644" s="4">
        <v>1148</v>
      </c>
      <c r="C2644" s="5">
        <v>770</v>
      </c>
      <c r="D2644" s="1" t="s">
        <v>1126</v>
      </c>
      <c r="E2644" s="1" t="s">
        <v>1620</v>
      </c>
      <c r="F2644" s="1" t="s">
        <v>430</v>
      </c>
      <c r="G2644" s="1" t="s">
        <v>940</v>
      </c>
      <c r="H2644" s="3">
        <v>46076</v>
      </c>
      <c r="I2644" s="1" t="s">
        <v>933</v>
      </c>
      <c r="J2644" s="1" t="s">
        <v>66</v>
      </c>
      <c r="K2644" s="1" t="s">
        <v>340</v>
      </c>
      <c r="L2644" s="1" t="s">
        <v>4041</v>
      </c>
      <c r="M2644" s="3">
        <v>46058</v>
      </c>
      <c r="N2644" s="1" t="s">
        <v>57</v>
      </c>
      <c r="O2644" s="1" t="s">
        <v>936</v>
      </c>
      <c r="P2644" s="1">
        <v>1</v>
      </c>
    </row>
    <row r="2645" spans="1:16" x14ac:dyDescent="0.25">
      <c r="A2645" s="3">
        <v>46055</v>
      </c>
      <c r="B2645" s="4">
        <v>1148</v>
      </c>
      <c r="C2645" s="5">
        <v>235</v>
      </c>
      <c r="D2645" s="1" t="s">
        <v>1126</v>
      </c>
      <c r="E2645" s="1" t="s">
        <v>1620</v>
      </c>
      <c r="F2645" s="1" t="s">
        <v>66</v>
      </c>
      <c r="G2645" s="1" t="s">
        <v>940</v>
      </c>
      <c r="H2645" s="3">
        <v>46076</v>
      </c>
      <c r="I2645" s="1" t="s">
        <v>933</v>
      </c>
      <c r="J2645" s="1" t="s">
        <v>66</v>
      </c>
      <c r="K2645" s="1" t="s">
        <v>340</v>
      </c>
      <c r="L2645" s="1" t="s">
        <v>4042</v>
      </c>
      <c r="M2645" s="3">
        <v>46058</v>
      </c>
      <c r="N2645" s="1" t="s">
        <v>57</v>
      </c>
      <c r="O2645" s="1" t="s">
        <v>936</v>
      </c>
      <c r="P2645" s="1">
        <v>1</v>
      </c>
    </row>
    <row r="2646" spans="1:16" x14ac:dyDescent="0.25">
      <c r="A2646" s="3">
        <v>46055</v>
      </c>
      <c r="B2646" s="4">
        <v>1148</v>
      </c>
      <c r="C2646" s="5">
        <v>935</v>
      </c>
      <c r="D2646" s="1" t="s">
        <v>1126</v>
      </c>
      <c r="E2646" s="1" t="s">
        <v>1620</v>
      </c>
      <c r="F2646" s="1" t="s">
        <v>419</v>
      </c>
      <c r="G2646" s="1" t="s">
        <v>940</v>
      </c>
      <c r="H2646" s="3">
        <v>46076</v>
      </c>
      <c r="I2646" s="1" t="s">
        <v>933</v>
      </c>
      <c r="J2646" s="1" t="s">
        <v>66</v>
      </c>
      <c r="K2646" s="1" t="s">
        <v>640</v>
      </c>
      <c r="L2646" s="1" t="s">
        <v>4043</v>
      </c>
      <c r="M2646" s="3">
        <v>46058</v>
      </c>
      <c r="N2646" s="1" t="s">
        <v>57</v>
      </c>
      <c r="O2646" s="1" t="s">
        <v>936</v>
      </c>
      <c r="P2646" s="1">
        <v>1</v>
      </c>
    </row>
    <row r="2647" spans="1:16" x14ac:dyDescent="0.25">
      <c r="A2647" s="3">
        <v>46055</v>
      </c>
      <c r="B2647" s="4">
        <v>1148</v>
      </c>
      <c r="C2647" s="5">
        <v>2650</v>
      </c>
      <c r="D2647" s="1" t="s">
        <v>1126</v>
      </c>
      <c r="E2647" s="1" t="s">
        <v>1620</v>
      </c>
      <c r="F2647" s="1" t="s">
        <v>66</v>
      </c>
      <c r="G2647" s="1" t="s">
        <v>940</v>
      </c>
      <c r="H2647" s="3">
        <v>46076</v>
      </c>
      <c r="I2647" s="1" t="s">
        <v>933</v>
      </c>
      <c r="J2647" s="1" t="s">
        <v>66</v>
      </c>
      <c r="K2647" s="1" t="s">
        <v>640</v>
      </c>
      <c r="L2647" s="1" t="s">
        <v>4044</v>
      </c>
      <c r="M2647" s="3">
        <v>46058</v>
      </c>
      <c r="N2647" s="1" t="s">
        <v>57</v>
      </c>
      <c r="O2647" s="1" t="s">
        <v>936</v>
      </c>
      <c r="P2647" s="1">
        <v>1</v>
      </c>
    </row>
    <row r="2648" spans="1:16" x14ac:dyDescent="0.25">
      <c r="A2648" s="3">
        <v>46055</v>
      </c>
      <c r="B2648" s="4">
        <v>1148</v>
      </c>
      <c r="C2648" s="5">
        <v>850</v>
      </c>
      <c r="D2648" s="1" t="s">
        <v>1126</v>
      </c>
      <c r="E2648" s="1" t="s">
        <v>1620</v>
      </c>
      <c r="F2648" s="1" t="s">
        <v>445</v>
      </c>
      <c r="G2648" s="1" t="s">
        <v>940</v>
      </c>
      <c r="H2648" s="3">
        <v>46076</v>
      </c>
      <c r="I2648" s="1" t="s">
        <v>933</v>
      </c>
      <c r="J2648" s="1" t="s">
        <v>66</v>
      </c>
      <c r="K2648" s="1" t="s">
        <v>308</v>
      </c>
      <c r="L2648" s="1" t="s">
        <v>4049</v>
      </c>
      <c r="M2648" s="3">
        <v>46058</v>
      </c>
      <c r="N2648" s="1" t="s">
        <v>57</v>
      </c>
      <c r="O2648" s="1" t="s">
        <v>936</v>
      </c>
      <c r="P2648" s="1">
        <v>1</v>
      </c>
    </row>
    <row r="2649" spans="1:16" x14ac:dyDescent="0.25">
      <c r="A2649" s="3">
        <v>46055</v>
      </c>
      <c r="B2649" s="4">
        <v>1148</v>
      </c>
      <c r="C2649" s="5">
        <v>235</v>
      </c>
      <c r="D2649" s="1" t="s">
        <v>1126</v>
      </c>
      <c r="E2649" s="1" t="s">
        <v>1620</v>
      </c>
      <c r="F2649" s="1" t="s">
        <v>723</v>
      </c>
      <c r="G2649" s="1" t="s">
        <v>940</v>
      </c>
      <c r="H2649" s="3">
        <v>46076</v>
      </c>
      <c r="I2649" s="1" t="s">
        <v>933</v>
      </c>
      <c r="J2649" s="1" t="s">
        <v>66</v>
      </c>
      <c r="K2649" s="1" t="s">
        <v>340</v>
      </c>
      <c r="L2649" s="1" t="s">
        <v>4050</v>
      </c>
      <c r="M2649" s="3">
        <v>46058</v>
      </c>
      <c r="N2649" s="1" t="s">
        <v>57</v>
      </c>
      <c r="O2649" s="1" t="s">
        <v>936</v>
      </c>
      <c r="P2649" s="1">
        <v>1</v>
      </c>
    </row>
    <row r="2650" spans="1:16" x14ac:dyDescent="0.25">
      <c r="A2650" s="3">
        <v>46055</v>
      </c>
      <c r="B2650" s="4">
        <v>1148</v>
      </c>
      <c r="C2650" s="5">
        <v>635</v>
      </c>
      <c r="D2650" s="1" t="s">
        <v>1126</v>
      </c>
      <c r="E2650" s="1" t="s">
        <v>1620</v>
      </c>
      <c r="F2650" s="1" t="s">
        <v>66</v>
      </c>
      <c r="G2650" s="1" t="s">
        <v>940</v>
      </c>
      <c r="H2650" s="3">
        <v>46076</v>
      </c>
      <c r="I2650" s="1" t="s">
        <v>933</v>
      </c>
      <c r="J2650" s="1" t="s">
        <v>66</v>
      </c>
      <c r="K2650" s="1" t="s">
        <v>340</v>
      </c>
      <c r="L2650" s="1" t="s">
        <v>4051</v>
      </c>
      <c r="M2650" s="3">
        <v>46058</v>
      </c>
      <c r="N2650" s="1" t="s">
        <v>57</v>
      </c>
      <c r="O2650" s="1" t="s">
        <v>936</v>
      </c>
      <c r="P2650" s="1">
        <v>1</v>
      </c>
    </row>
    <row r="2651" spans="1:16" x14ac:dyDescent="0.25">
      <c r="A2651" s="3">
        <v>46055</v>
      </c>
      <c r="B2651" s="4">
        <v>1148</v>
      </c>
      <c r="C2651" s="5">
        <v>180</v>
      </c>
      <c r="D2651" s="1" t="s">
        <v>1126</v>
      </c>
      <c r="E2651" s="1" t="s">
        <v>1620</v>
      </c>
      <c r="F2651" s="1" t="s">
        <v>66</v>
      </c>
      <c r="G2651" s="1" t="s">
        <v>940</v>
      </c>
      <c r="H2651" s="3">
        <v>46076</v>
      </c>
      <c r="I2651" s="1" t="s">
        <v>933</v>
      </c>
      <c r="J2651" s="1" t="s">
        <v>66</v>
      </c>
      <c r="K2651" s="1" t="s">
        <v>340</v>
      </c>
      <c r="L2651" s="1" t="s">
        <v>4053</v>
      </c>
      <c r="M2651" s="3">
        <v>46058</v>
      </c>
      <c r="N2651" s="1" t="s">
        <v>57</v>
      </c>
      <c r="O2651" s="1" t="s">
        <v>936</v>
      </c>
      <c r="P2651" s="1">
        <v>1</v>
      </c>
    </row>
    <row r="2652" spans="1:16" x14ac:dyDescent="0.25">
      <c r="A2652" s="3">
        <v>46055</v>
      </c>
      <c r="B2652" s="4">
        <v>1148</v>
      </c>
      <c r="C2652" s="5">
        <v>3850</v>
      </c>
      <c r="D2652" s="1" t="s">
        <v>1126</v>
      </c>
      <c r="E2652" s="1" t="s">
        <v>1620</v>
      </c>
      <c r="F2652" s="1" t="s">
        <v>222</v>
      </c>
      <c r="G2652" s="1" t="s">
        <v>940</v>
      </c>
      <c r="H2652" s="3">
        <v>46076</v>
      </c>
      <c r="I2652" s="1" t="s">
        <v>933</v>
      </c>
      <c r="J2652" s="1" t="s">
        <v>66</v>
      </c>
      <c r="K2652" s="1" t="s">
        <v>1025</v>
      </c>
      <c r="L2652" s="1" t="s">
        <v>4059</v>
      </c>
      <c r="M2652" s="3">
        <v>46058</v>
      </c>
      <c r="N2652" s="1" t="s">
        <v>57</v>
      </c>
      <c r="O2652" s="1" t="s">
        <v>936</v>
      </c>
      <c r="P2652" s="1">
        <v>1</v>
      </c>
    </row>
    <row r="2653" spans="1:16" x14ac:dyDescent="0.25">
      <c r="A2653" s="3">
        <v>46055</v>
      </c>
      <c r="B2653" s="4">
        <v>1148</v>
      </c>
      <c r="C2653" s="5">
        <v>2285</v>
      </c>
      <c r="D2653" s="1" t="s">
        <v>1126</v>
      </c>
      <c r="E2653" s="1" t="s">
        <v>1620</v>
      </c>
      <c r="F2653" s="1" t="s">
        <v>392</v>
      </c>
      <c r="G2653" s="1" t="s">
        <v>940</v>
      </c>
      <c r="H2653" s="3">
        <v>46076</v>
      </c>
      <c r="I2653" s="1" t="s">
        <v>933</v>
      </c>
      <c r="J2653" s="1" t="s">
        <v>66</v>
      </c>
      <c r="K2653" s="1" t="s">
        <v>340</v>
      </c>
      <c r="L2653" s="1" t="s">
        <v>4060</v>
      </c>
      <c r="M2653" s="3">
        <v>46058</v>
      </c>
      <c r="N2653" s="1" t="s">
        <v>57</v>
      </c>
      <c r="O2653" s="1" t="s">
        <v>936</v>
      </c>
      <c r="P2653" s="1">
        <v>1</v>
      </c>
    </row>
    <row r="2654" spans="1:16" x14ac:dyDescent="0.25">
      <c r="A2654" s="3">
        <v>46055</v>
      </c>
      <c r="B2654" s="4">
        <v>5010</v>
      </c>
      <c r="C2654" s="5">
        <v>214</v>
      </c>
      <c r="D2654" s="1" t="s">
        <v>938</v>
      </c>
      <c r="E2654" s="1" t="s">
        <v>939</v>
      </c>
      <c r="F2654" s="1" t="s">
        <v>1567</v>
      </c>
      <c r="G2654" s="1" t="s">
        <v>940</v>
      </c>
      <c r="H2654" s="1"/>
      <c r="I2654" s="1" t="s">
        <v>933</v>
      </c>
      <c r="J2654" s="1" t="s">
        <v>951</v>
      </c>
      <c r="K2654" s="1" t="s">
        <v>20</v>
      </c>
      <c r="L2654" s="1" t="s">
        <v>4061</v>
      </c>
      <c r="M2654" s="3">
        <v>46064</v>
      </c>
      <c r="N2654" s="1" t="s">
        <v>57</v>
      </c>
      <c r="O2654" s="1" t="s">
        <v>936</v>
      </c>
      <c r="P2654" s="1">
        <v>1</v>
      </c>
    </row>
    <row r="2655" spans="1:16" x14ac:dyDescent="0.25">
      <c r="A2655" s="3">
        <v>46055</v>
      </c>
      <c r="B2655" s="4">
        <v>1148</v>
      </c>
      <c r="C2655" s="5">
        <v>875</v>
      </c>
      <c r="D2655" s="1" t="s">
        <v>1126</v>
      </c>
      <c r="E2655" s="1" t="s">
        <v>1620</v>
      </c>
      <c r="F2655" s="1" t="s">
        <v>271</v>
      </c>
      <c r="G2655" s="1" t="s">
        <v>940</v>
      </c>
      <c r="H2655" s="3">
        <v>46076</v>
      </c>
      <c r="I2655" s="1" t="s">
        <v>933</v>
      </c>
      <c r="J2655" s="1" t="s">
        <v>66</v>
      </c>
      <c r="K2655" s="1" t="s">
        <v>340</v>
      </c>
      <c r="L2655" s="1" t="s">
        <v>4073</v>
      </c>
      <c r="M2655" s="3">
        <v>46058</v>
      </c>
      <c r="N2655" s="1" t="s">
        <v>57</v>
      </c>
      <c r="O2655" s="1" t="s">
        <v>936</v>
      </c>
      <c r="P2655" s="1">
        <v>1</v>
      </c>
    </row>
    <row r="2656" spans="1:16" x14ac:dyDescent="0.25">
      <c r="A2656" s="3">
        <v>46055</v>
      </c>
      <c r="B2656" s="4">
        <v>1148</v>
      </c>
      <c r="C2656" s="5">
        <v>1850</v>
      </c>
      <c r="D2656" s="1" t="s">
        <v>1126</v>
      </c>
      <c r="E2656" s="1" t="s">
        <v>1620</v>
      </c>
      <c r="F2656" s="1" t="s">
        <v>283</v>
      </c>
      <c r="G2656" s="1" t="s">
        <v>940</v>
      </c>
      <c r="H2656" s="3">
        <v>46076</v>
      </c>
      <c r="I2656" s="1" t="s">
        <v>933</v>
      </c>
      <c r="J2656" s="1" t="s">
        <v>66</v>
      </c>
      <c r="K2656" s="1" t="s">
        <v>340</v>
      </c>
      <c r="L2656" s="1" t="s">
        <v>4743</v>
      </c>
      <c r="M2656" s="3">
        <v>46058</v>
      </c>
      <c r="N2656" s="1" t="s">
        <v>57</v>
      </c>
      <c r="O2656" s="1" t="s">
        <v>936</v>
      </c>
      <c r="P2656" s="1">
        <v>1</v>
      </c>
    </row>
    <row r="2657" spans="1:16" x14ac:dyDescent="0.25">
      <c r="A2657" s="3">
        <v>46055</v>
      </c>
      <c r="B2657" s="4">
        <v>1148</v>
      </c>
      <c r="C2657" s="5">
        <v>650</v>
      </c>
      <c r="D2657" s="1" t="s">
        <v>1126</v>
      </c>
      <c r="E2657" s="1" t="s">
        <v>1620</v>
      </c>
      <c r="F2657" s="1" t="s">
        <v>286</v>
      </c>
      <c r="G2657" s="1" t="s">
        <v>940</v>
      </c>
      <c r="H2657" s="3">
        <v>46076</v>
      </c>
      <c r="I2657" s="1" t="s">
        <v>933</v>
      </c>
      <c r="J2657" s="1" t="s">
        <v>66</v>
      </c>
      <c r="K2657" s="1" t="s">
        <v>340</v>
      </c>
      <c r="L2657" s="1" t="s">
        <v>4933</v>
      </c>
      <c r="M2657" s="3">
        <v>46058</v>
      </c>
      <c r="N2657" s="1" t="s">
        <v>57</v>
      </c>
      <c r="O2657" s="1" t="s">
        <v>936</v>
      </c>
      <c r="P2657" s="1">
        <v>1</v>
      </c>
    </row>
    <row r="2658" spans="1:16" x14ac:dyDescent="0.25">
      <c r="A2658" s="3">
        <v>46055</v>
      </c>
      <c r="B2658" s="4">
        <v>1148</v>
      </c>
      <c r="C2658" s="5">
        <v>1185</v>
      </c>
      <c r="D2658" s="1" t="s">
        <v>1126</v>
      </c>
      <c r="E2658" s="1" t="s">
        <v>1620</v>
      </c>
      <c r="F2658" s="1" t="s">
        <v>286</v>
      </c>
      <c r="G2658" s="1" t="s">
        <v>940</v>
      </c>
      <c r="H2658" s="3">
        <v>46076</v>
      </c>
      <c r="I2658" s="1" t="s">
        <v>933</v>
      </c>
      <c r="J2658" s="1" t="s">
        <v>66</v>
      </c>
      <c r="K2658" s="1" t="s">
        <v>340</v>
      </c>
      <c r="L2658" s="1" t="s">
        <v>4941</v>
      </c>
      <c r="M2658" s="3">
        <v>46058</v>
      </c>
      <c r="N2658" s="1" t="s">
        <v>57</v>
      </c>
      <c r="O2658" s="1" t="s">
        <v>936</v>
      </c>
      <c r="P2658" s="1">
        <v>1</v>
      </c>
    </row>
    <row r="2659" spans="1:16" x14ac:dyDescent="0.25">
      <c r="A2659" s="3">
        <v>46055</v>
      </c>
      <c r="B2659" s="4">
        <v>1148</v>
      </c>
      <c r="C2659" s="5">
        <v>735</v>
      </c>
      <c r="D2659" s="1" t="s">
        <v>1126</v>
      </c>
      <c r="E2659" s="1" t="s">
        <v>1620</v>
      </c>
      <c r="F2659" s="1" t="s">
        <v>286</v>
      </c>
      <c r="G2659" s="1" t="s">
        <v>940</v>
      </c>
      <c r="H2659" s="3">
        <v>46076</v>
      </c>
      <c r="I2659" s="1" t="s">
        <v>933</v>
      </c>
      <c r="J2659" s="1" t="s">
        <v>66</v>
      </c>
      <c r="K2659" s="1" t="s">
        <v>340</v>
      </c>
      <c r="L2659" s="1" t="s">
        <v>4947</v>
      </c>
      <c r="M2659" s="3">
        <v>46058</v>
      </c>
      <c r="N2659" s="1" t="s">
        <v>57</v>
      </c>
      <c r="O2659" s="1" t="s">
        <v>936</v>
      </c>
      <c r="P2659" s="1">
        <v>1</v>
      </c>
    </row>
    <row r="2660" spans="1:16" x14ac:dyDescent="0.25">
      <c r="A2660" s="3">
        <v>46056</v>
      </c>
      <c r="B2660" s="1">
        <v>64</v>
      </c>
      <c r="C2660" s="5">
        <v>375</v>
      </c>
      <c r="D2660" s="1" t="s">
        <v>2158</v>
      </c>
      <c r="E2660" s="1" t="s">
        <v>2159</v>
      </c>
      <c r="F2660" s="1" t="s">
        <v>460</v>
      </c>
      <c r="G2660" s="1" t="s">
        <v>940</v>
      </c>
      <c r="H2660" s="3">
        <v>46069</v>
      </c>
      <c r="I2660" s="1" t="s">
        <v>933</v>
      </c>
      <c r="J2660" s="1" t="s">
        <v>66</v>
      </c>
      <c r="K2660" s="1" t="s">
        <v>340</v>
      </c>
      <c r="L2660" s="1" t="s">
        <v>4063</v>
      </c>
      <c r="M2660" s="3">
        <v>46056</v>
      </c>
      <c r="N2660" s="1" t="s">
        <v>440</v>
      </c>
      <c r="O2660" s="1" t="s">
        <v>936</v>
      </c>
      <c r="P2660" s="1" t="s">
        <v>937</v>
      </c>
    </row>
    <row r="2661" spans="1:16" x14ac:dyDescent="0.25">
      <c r="A2661" s="3">
        <v>46056</v>
      </c>
      <c r="B2661" s="1">
        <v>67</v>
      </c>
      <c r="C2661" s="5">
        <v>280</v>
      </c>
      <c r="D2661" s="1" t="s">
        <v>2158</v>
      </c>
      <c r="E2661" s="1" t="s">
        <v>2159</v>
      </c>
      <c r="F2661" s="1" t="s">
        <v>88</v>
      </c>
      <c r="G2661" s="1" t="s">
        <v>940</v>
      </c>
      <c r="H2661" s="3">
        <v>46069</v>
      </c>
      <c r="I2661" s="1" t="s">
        <v>933</v>
      </c>
      <c r="J2661" s="1" t="s">
        <v>66</v>
      </c>
      <c r="K2661" s="1" t="s">
        <v>1654</v>
      </c>
      <c r="L2661" s="1" t="s">
        <v>4064</v>
      </c>
      <c r="M2661" s="3">
        <v>46056</v>
      </c>
      <c r="N2661" s="1" t="s">
        <v>93</v>
      </c>
      <c r="O2661" s="1" t="s">
        <v>936</v>
      </c>
      <c r="P2661" s="1" t="s">
        <v>937</v>
      </c>
    </row>
    <row r="2662" spans="1:16" x14ac:dyDescent="0.25">
      <c r="A2662" s="3">
        <v>46056</v>
      </c>
      <c r="B2662" s="1">
        <v>68</v>
      </c>
      <c r="C2662" s="5">
        <v>415.52</v>
      </c>
      <c r="D2662" s="1" t="s">
        <v>2158</v>
      </c>
      <c r="E2662" s="1" t="s">
        <v>2159</v>
      </c>
      <c r="F2662" s="1" t="s">
        <v>483</v>
      </c>
      <c r="G2662" s="1" t="s">
        <v>940</v>
      </c>
      <c r="H2662" s="3">
        <v>46069</v>
      </c>
      <c r="I2662" s="1" t="s">
        <v>933</v>
      </c>
      <c r="J2662" s="1" t="s">
        <v>66</v>
      </c>
      <c r="K2662" s="1" t="s">
        <v>308</v>
      </c>
      <c r="L2662" s="1" t="s">
        <v>4067</v>
      </c>
      <c r="M2662" s="3">
        <v>46056</v>
      </c>
      <c r="N2662" s="1" t="s">
        <v>383</v>
      </c>
      <c r="O2662" s="1" t="s">
        <v>936</v>
      </c>
      <c r="P2662" s="1" t="s">
        <v>937</v>
      </c>
    </row>
    <row r="2663" spans="1:16" x14ac:dyDescent="0.25">
      <c r="A2663" s="3">
        <v>46056</v>
      </c>
      <c r="B2663" s="1">
        <v>53</v>
      </c>
      <c r="C2663" s="5">
        <v>550</v>
      </c>
      <c r="D2663" s="1" t="s">
        <v>2158</v>
      </c>
      <c r="E2663" s="1" t="s">
        <v>2159</v>
      </c>
      <c r="F2663" s="1" t="s">
        <v>483</v>
      </c>
      <c r="G2663" s="1" t="s">
        <v>940</v>
      </c>
      <c r="H2663" s="3">
        <v>46069</v>
      </c>
      <c r="I2663" s="1" t="s">
        <v>933</v>
      </c>
      <c r="J2663" s="1" t="s">
        <v>66</v>
      </c>
      <c r="K2663" s="1" t="s">
        <v>340</v>
      </c>
      <c r="L2663" s="1" t="s">
        <v>4067</v>
      </c>
      <c r="M2663" s="3">
        <v>46056</v>
      </c>
      <c r="N2663" s="1" t="s">
        <v>383</v>
      </c>
      <c r="O2663" s="1" t="s">
        <v>936</v>
      </c>
      <c r="P2663" s="1" t="s">
        <v>937</v>
      </c>
    </row>
    <row r="2664" spans="1:16" x14ac:dyDescent="0.25">
      <c r="A2664" s="3">
        <v>46056</v>
      </c>
      <c r="B2664" s="1">
        <v>65</v>
      </c>
      <c r="C2664" s="5">
        <v>1436</v>
      </c>
      <c r="D2664" s="1" t="s">
        <v>2158</v>
      </c>
      <c r="E2664" s="1" t="s">
        <v>2159</v>
      </c>
      <c r="F2664" s="1" t="s">
        <v>693</v>
      </c>
      <c r="G2664" s="1" t="s">
        <v>940</v>
      </c>
      <c r="H2664" s="3">
        <v>46069</v>
      </c>
      <c r="I2664" s="1" t="s">
        <v>933</v>
      </c>
      <c r="J2664" s="1" t="s">
        <v>66</v>
      </c>
      <c r="K2664" s="1" t="s">
        <v>308</v>
      </c>
      <c r="L2664" s="1" t="s">
        <v>4068</v>
      </c>
      <c r="M2664" s="3">
        <v>46056</v>
      </c>
      <c r="N2664" s="1" t="s">
        <v>383</v>
      </c>
      <c r="O2664" s="1" t="s">
        <v>936</v>
      </c>
      <c r="P2664" s="1" t="s">
        <v>937</v>
      </c>
    </row>
    <row r="2665" spans="1:16" x14ac:dyDescent="0.25">
      <c r="A2665" s="3">
        <v>46056</v>
      </c>
      <c r="B2665" s="4">
        <v>217419</v>
      </c>
      <c r="C2665" s="5">
        <v>9066.76</v>
      </c>
      <c r="D2665" s="1" t="s">
        <v>2368</v>
      </c>
      <c r="E2665" s="1" t="s">
        <v>2371</v>
      </c>
      <c r="F2665" s="1" t="s">
        <v>670</v>
      </c>
      <c r="G2665" s="1" t="s">
        <v>1667</v>
      </c>
      <c r="H2665" s="3">
        <v>46082</v>
      </c>
      <c r="I2665" s="1" t="s">
        <v>1100</v>
      </c>
      <c r="J2665" s="1" t="s">
        <v>66</v>
      </c>
      <c r="K2665" s="1" t="s">
        <v>659</v>
      </c>
      <c r="L2665" s="1" t="s">
        <v>4069</v>
      </c>
      <c r="M2665" s="3">
        <v>46056</v>
      </c>
      <c r="N2665" s="1" t="s">
        <v>57</v>
      </c>
      <c r="O2665" s="1" t="s">
        <v>936</v>
      </c>
      <c r="P2665" s="1" t="s">
        <v>937</v>
      </c>
    </row>
    <row r="2666" spans="1:16" x14ac:dyDescent="0.25">
      <c r="A2666" s="3">
        <v>46056</v>
      </c>
      <c r="B2666" s="1">
        <v>52</v>
      </c>
      <c r="C2666" s="5">
        <v>946</v>
      </c>
      <c r="D2666" s="1" t="s">
        <v>2158</v>
      </c>
      <c r="E2666" s="1" t="s">
        <v>2159</v>
      </c>
      <c r="F2666" s="1" t="s">
        <v>693</v>
      </c>
      <c r="G2666" s="1" t="s">
        <v>940</v>
      </c>
      <c r="H2666" s="3">
        <v>46069</v>
      </c>
      <c r="I2666" s="1" t="s">
        <v>933</v>
      </c>
      <c r="J2666" s="1" t="s">
        <v>66</v>
      </c>
      <c r="K2666" s="1" t="s">
        <v>308</v>
      </c>
      <c r="L2666" s="1" t="s">
        <v>4068</v>
      </c>
      <c r="M2666" s="3">
        <v>46056</v>
      </c>
      <c r="N2666" s="1" t="s">
        <v>383</v>
      </c>
      <c r="O2666" s="1" t="s">
        <v>936</v>
      </c>
      <c r="P2666" s="1" t="s">
        <v>937</v>
      </c>
    </row>
    <row r="2667" spans="1:16" x14ac:dyDescent="0.25">
      <c r="A2667" s="3">
        <v>46056</v>
      </c>
      <c r="B2667" s="4">
        <v>5644</v>
      </c>
      <c r="C2667" s="5">
        <v>3900</v>
      </c>
      <c r="D2667" s="1" t="s">
        <v>2048</v>
      </c>
      <c r="E2667" s="1" t="s">
        <v>2049</v>
      </c>
      <c r="F2667" s="1" t="s">
        <v>66</v>
      </c>
      <c r="G2667" s="1" t="s">
        <v>932</v>
      </c>
      <c r="H2667" s="3">
        <v>46073</v>
      </c>
      <c r="I2667" s="1" t="s">
        <v>933</v>
      </c>
      <c r="J2667" s="1" t="s">
        <v>66</v>
      </c>
      <c r="K2667" s="1" t="s">
        <v>659</v>
      </c>
      <c r="L2667" s="1" t="s">
        <v>4071</v>
      </c>
      <c r="M2667" s="3">
        <v>46056</v>
      </c>
      <c r="N2667" s="1" t="s">
        <v>57</v>
      </c>
      <c r="O2667" s="1" t="s">
        <v>936</v>
      </c>
      <c r="P2667" s="1">
        <v>1</v>
      </c>
    </row>
    <row r="2668" spans="1:16" x14ac:dyDescent="0.25">
      <c r="A2668" s="3">
        <v>46056</v>
      </c>
      <c r="B2668" s="4">
        <v>1700986</v>
      </c>
      <c r="C2668" s="5">
        <v>225.84</v>
      </c>
      <c r="D2668" s="1" t="s">
        <v>1855</v>
      </c>
      <c r="E2668" s="1" t="s">
        <v>2116</v>
      </c>
      <c r="F2668" s="1" t="s">
        <v>66</v>
      </c>
      <c r="G2668" s="1" t="s">
        <v>1029</v>
      </c>
      <c r="H2668" s="3">
        <v>46063</v>
      </c>
      <c r="I2668" s="1" t="s">
        <v>933</v>
      </c>
      <c r="J2668" s="1" t="s">
        <v>66</v>
      </c>
      <c r="K2668" s="1" t="s">
        <v>340</v>
      </c>
      <c r="L2668" s="1" t="s">
        <v>4072</v>
      </c>
      <c r="M2668" s="3">
        <v>46056</v>
      </c>
      <c r="N2668" s="1" t="s">
        <v>821</v>
      </c>
      <c r="O2668" s="1" t="s">
        <v>1031</v>
      </c>
      <c r="P2668" s="1">
        <v>1</v>
      </c>
    </row>
    <row r="2669" spans="1:16" x14ac:dyDescent="0.25">
      <c r="A2669" s="3">
        <v>46056</v>
      </c>
      <c r="B2669" s="1">
        <v>2</v>
      </c>
      <c r="C2669" s="5">
        <v>2500</v>
      </c>
      <c r="D2669" s="1" t="s">
        <v>3890</v>
      </c>
      <c r="E2669" s="1" t="s">
        <v>4074</v>
      </c>
      <c r="F2669" s="1" t="s">
        <v>804</v>
      </c>
      <c r="G2669" s="1" t="s">
        <v>940</v>
      </c>
      <c r="H2669" s="3">
        <v>46068</v>
      </c>
      <c r="I2669" s="1" t="s">
        <v>933</v>
      </c>
      <c r="J2669" s="1" t="s">
        <v>66</v>
      </c>
      <c r="K2669" s="1" t="s">
        <v>308</v>
      </c>
      <c r="L2669" s="1" t="s">
        <v>4075</v>
      </c>
      <c r="M2669" s="3">
        <v>46056</v>
      </c>
      <c r="N2669" s="1" t="s">
        <v>57</v>
      </c>
      <c r="O2669" s="1" t="s">
        <v>936</v>
      </c>
      <c r="P2669" s="1" t="s">
        <v>937</v>
      </c>
    </row>
    <row r="2670" spans="1:16" x14ac:dyDescent="0.25">
      <c r="A2670" s="3">
        <v>46056</v>
      </c>
      <c r="B2670" s="4">
        <v>10149</v>
      </c>
      <c r="C2670" s="5">
        <v>1762.5</v>
      </c>
      <c r="D2670" s="1" t="s">
        <v>1573</v>
      </c>
      <c r="E2670" s="1" t="s">
        <v>2130</v>
      </c>
      <c r="F2670" s="1" t="s">
        <v>339</v>
      </c>
      <c r="G2670" s="1" t="s">
        <v>940</v>
      </c>
      <c r="H2670" s="3">
        <v>46086</v>
      </c>
      <c r="I2670" s="1" t="s">
        <v>933</v>
      </c>
      <c r="J2670" s="1" t="s">
        <v>66</v>
      </c>
      <c r="K2670" s="1" t="s">
        <v>340</v>
      </c>
      <c r="L2670" s="1" t="s">
        <v>4076</v>
      </c>
      <c r="M2670" s="3">
        <v>46059</v>
      </c>
      <c r="N2670" s="1" t="s">
        <v>57</v>
      </c>
      <c r="O2670" s="1" t="s">
        <v>936</v>
      </c>
      <c r="P2670" s="1">
        <v>1</v>
      </c>
    </row>
    <row r="2671" spans="1:16" x14ac:dyDescent="0.25">
      <c r="A2671" s="3">
        <v>46056</v>
      </c>
      <c r="B2671" s="4">
        <v>14930</v>
      </c>
      <c r="C2671" s="5">
        <v>2155</v>
      </c>
      <c r="D2671" s="1" t="s">
        <v>4077</v>
      </c>
      <c r="E2671" s="1" t="s">
        <v>4078</v>
      </c>
      <c r="F2671" s="1" t="s">
        <v>906</v>
      </c>
      <c r="G2671" s="1" t="s">
        <v>940</v>
      </c>
      <c r="H2671" s="3">
        <v>46084</v>
      </c>
      <c r="I2671" s="1" t="s">
        <v>933</v>
      </c>
      <c r="J2671" s="1" t="s">
        <v>66</v>
      </c>
      <c r="K2671" s="1" t="s">
        <v>308</v>
      </c>
      <c r="L2671" s="1" t="s">
        <v>4079</v>
      </c>
      <c r="M2671" s="3">
        <v>46059</v>
      </c>
      <c r="N2671" s="1" t="s">
        <v>57</v>
      </c>
      <c r="O2671" s="1" t="s">
        <v>936</v>
      </c>
      <c r="P2671" s="1">
        <v>1</v>
      </c>
    </row>
    <row r="2672" spans="1:16" x14ac:dyDescent="0.25">
      <c r="A2672" s="3">
        <v>46056</v>
      </c>
      <c r="B2672" s="4">
        <v>5024</v>
      </c>
      <c r="C2672" s="5">
        <v>105</v>
      </c>
      <c r="D2672" s="1" t="s">
        <v>938</v>
      </c>
      <c r="E2672" s="1" t="s">
        <v>939</v>
      </c>
      <c r="F2672" s="1" t="s">
        <v>759</v>
      </c>
      <c r="G2672" s="1" t="s">
        <v>940</v>
      </c>
      <c r="H2672" s="1"/>
      <c r="I2672" s="1" t="s">
        <v>933</v>
      </c>
      <c r="J2672" s="1" t="s">
        <v>66</v>
      </c>
      <c r="K2672" s="1" t="s">
        <v>640</v>
      </c>
      <c r="L2672" s="1" t="s">
        <v>4080</v>
      </c>
      <c r="M2672" s="3">
        <v>46064</v>
      </c>
      <c r="N2672" s="1" t="s">
        <v>57</v>
      </c>
      <c r="O2672" s="1" t="s">
        <v>936</v>
      </c>
      <c r="P2672" s="1">
        <v>1</v>
      </c>
    </row>
    <row r="2673" spans="1:16" x14ac:dyDescent="0.25">
      <c r="A2673" s="3">
        <v>46056</v>
      </c>
      <c r="B2673" s="4">
        <v>1620</v>
      </c>
      <c r="C2673" s="5">
        <v>1286.1400000000001</v>
      </c>
      <c r="D2673" s="1" t="s">
        <v>1901</v>
      </c>
      <c r="E2673" s="1" t="s">
        <v>1902</v>
      </c>
      <c r="F2673" s="1" t="s">
        <v>659</v>
      </c>
      <c r="G2673" s="1" t="s">
        <v>940</v>
      </c>
      <c r="H2673" s="3">
        <v>46084</v>
      </c>
      <c r="I2673" s="1" t="s">
        <v>933</v>
      </c>
      <c r="J2673" s="1" t="s">
        <v>951</v>
      </c>
      <c r="K2673" s="1" t="s">
        <v>659</v>
      </c>
      <c r="L2673" s="1" t="s">
        <v>4081</v>
      </c>
      <c r="M2673" s="3">
        <v>46070</v>
      </c>
      <c r="N2673" s="1" t="s">
        <v>57</v>
      </c>
      <c r="O2673" s="1" t="s">
        <v>936</v>
      </c>
      <c r="P2673" s="1">
        <v>1</v>
      </c>
    </row>
    <row r="2674" spans="1:16" x14ac:dyDescent="0.25">
      <c r="A2674" s="3">
        <v>46056</v>
      </c>
      <c r="B2674" s="4">
        <v>1180</v>
      </c>
      <c r="C2674" s="5">
        <v>80</v>
      </c>
      <c r="D2674" s="1" t="s">
        <v>1074</v>
      </c>
      <c r="E2674" s="1" t="s">
        <v>1075</v>
      </c>
      <c r="F2674" s="1" t="s">
        <v>66</v>
      </c>
      <c r="G2674" s="1" t="s">
        <v>1058</v>
      </c>
      <c r="H2674" s="3">
        <v>46082</v>
      </c>
      <c r="I2674" s="1" t="s">
        <v>933</v>
      </c>
      <c r="J2674" s="1" t="s">
        <v>66</v>
      </c>
      <c r="K2674" s="1" t="s">
        <v>66</v>
      </c>
      <c r="L2674" s="1" t="s">
        <v>4082</v>
      </c>
      <c r="M2674" s="3">
        <v>46058</v>
      </c>
      <c r="N2674" s="1" t="s">
        <v>57</v>
      </c>
      <c r="O2674" s="1" t="s">
        <v>936</v>
      </c>
      <c r="P2674" s="1">
        <v>1</v>
      </c>
    </row>
    <row r="2675" spans="1:16" x14ac:dyDescent="0.25">
      <c r="A2675" s="3">
        <v>46056</v>
      </c>
      <c r="B2675" s="4">
        <v>1180</v>
      </c>
      <c r="C2675" s="5">
        <v>80</v>
      </c>
      <c r="D2675" s="1" t="s">
        <v>1074</v>
      </c>
      <c r="E2675" s="1" t="s">
        <v>1075</v>
      </c>
      <c r="F2675" s="1" t="s">
        <v>66</v>
      </c>
      <c r="G2675" s="1" t="s">
        <v>1058</v>
      </c>
      <c r="H2675" s="3">
        <v>46082</v>
      </c>
      <c r="I2675" s="1" t="s">
        <v>933</v>
      </c>
      <c r="J2675" s="1" t="s">
        <v>66</v>
      </c>
      <c r="K2675" s="1" t="s">
        <v>66</v>
      </c>
      <c r="L2675" s="1" t="s">
        <v>4083</v>
      </c>
      <c r="M2675" s="3">
        <v>46058</v>
      </c>
      <c r="N2675" s="1" t="s">
        <v>57</v>
      </c>
      <c r="O2675" s="1" t="s">
        <v>936</v>
      </c>
      <c r="P2675" s="1">
        <v>1</v>
      </c>
    </row>
    <row r="2676" spans="1:16" x14ac:dyDescent="0.25">
      <c r="A2676" s="3">
        <v>46056</v>
      </c>
      <c r="B2676" s="1">
        <v>63</v>
      </c>
      <c r="C2676" s="5">
        <v>380</v>
      </c>
      <c r="D2676" s="1" t="s">
        <v>2158</v>
      </c>
      <c r="E2676" s="1" t="s">
        <v>2159</v>
      </c>
      <c r="F2676" s="1" t="s">
        <v>271</v>
      </c>
      <c r="G2676" s="1" t="s">
        <v>940</v>
      </c>
      <c r="H2676" s="3">
        <v>46069</v>
      </c>
      <c r="I2676" s="1" t="s">
        <v>933</v>
      </c>
      <c r="J2676" s="1" t="s">
        <v>66</v>
      </c>
      <c r="K2676" s="1" t="s">
        <v>340</v>
      </c>
      <c r="L2676" s="1" t="s">
        <v>4084</v>
      </c>
      <c r="M2676" s="3">
        <v>46056</v>
      </c>
      <c r="N2676" s="1" t="s">
        <v>264</v>
      </c>
      <c r="O2676" s="1" t="s">
        <v>936</v>
      </c>
      <c r="P2676" s="1" t="s">
        <v>937</v>
      </c>
    </row>
    <row r="2677" spans="1:16" x14ac:dyDescent="0.25">
      <c r="A2677" s="3">
        <v>46056</v>
      </c>
      <c r="B2677" s="4">
        <v>1180</v>
      </c>
      <c r="C2677" s="5">
        <v>280</v>
      </c>
      <c r="D2677" s="1" t="s">
        <v>1074</v>
      </c>
      <c r="E2677" s="1" t="s">
        <v>1075</v>
      </c>
      <c r="F2677" s="1" t="s">
        <v>713</v>
      </c>
      <c r="G2677" s="1" t="s">
        <v>1058</v>
      </c>
      <c r="H2677" s="3">
        <v>46082</v>
      </c>
      <c r="I2677" s="1" t="s">
        <v>933</v>
      </c>
      <c r="J2677" s="1" t="s">
        <v>66</v>
      </c>
      <c r="K2677" s="1" t="s">
        <v>340</v>
      </c>
      <c r="L2677" s="1" t="s">
        <v>4085</v>
      </c>
      <c r="M2677" s="3">
        <v>46058</v>
      </c>
      <c r="N2677" s="1" t="s">
        <v>712</v>
      </c>
      <c r="O2677" s="1" t="s">
        <v>936</v>
      </c>
      <c r="P2677" s="1">
        <v>1</v>
      </c>
    </row>
    <row r="2678" spans="1:16" x14ac:dyDescent="0.25">
      <c r="A2678" s="3">
        <v>46056</v>
      </c>
      <c r="B2678" s="4">
        <v>1180</v>
      </c>
      <c r="C2678" s="5">
        <v>280</v>
      </c>
      <c r="D2678" s="1" t="s">
        <v>1074</v>
      </c>
      <c r="E2678" s="1" t="s">
        <v>1075</v>
      </c>
      <c r="F2678" s="1" t="s">
        <v>245</v>
      </c>
      <c r="G2678" s="1" t="s">
        <v>1058</v>
      </c>
      <c r="H2678" s="3">
        <v>46082</v>
      </c>
      <c r="I2678" s="1" t="s">
        <v>933</v>
      </c>
      <c r="J2678" s="1" t="s">
        <v>66</v>
      </c>
      <c r="K2678" s="1" t="s">
        <v>308</v>
      </c>
      <c r="L2678" s="1" t="s">
        <v>4086</v>
      </c>
      <c r="M2678" s="3">
        <v>46058</v>
      </c>
      <c r="N2678" s="1" t="s">
        <v>57</v>
      </c>
      <c r="O2678" s="1" t="s">
        <v>936</v>
      </c>
      <c r="P2678" s="1">
        <v>1</v>
      </c>
    </row>
    <row r="2679" spans="1:16" x14ac:dyDescent="0.25">
      <c r="A2679" s="3">
        <v>46056</v>
      </c>
      <c r="B2679" s="4">
        <v>1180</v>
      </c>
      <c r="C2679" s="5">
        <v>80</v>
      </c>
      <c r="D2679" s="1" t="s">
        <v>1074</v>
      </c>
      <c r="E2679" s="1" t="s">
        <v>1075</v>
      </c>
      <c r="F2679" s="1" t="s">
        <v>66</v>
      </c>
      <c r="G2679" s="1" t="s">
        <v>1058</v>
      </c>
      <c r="H2679" s="3">
        <v>46082</v>
      </c>
      <c r="I2679" s="1" t="s">
        <v>933</v>
      </c>
      <c r="J2679" s="1" t="s">
        <v>66</v>
      </c>
      <c r="K2679" s="1" t="s">
        <v>817</v>
      </c>
      <c r="L2679" s="1" t="s">
        <v>4087</v>
      </c>
      <c r="M2679" s="3">
        <v>46058</v>
      </c>
      <c r="N2679" s="1" t="s">
        <v>57</v>
      </c>
      <c r="O2679" s="1" t="s">
        <v>936</v>
      </c>
      <c r="P2679" s="1">
        <v>1</v>
      </c>
    </row>
    <row r="2680" spans="1:16" x14ac:dyDescent="0.25">
      <c r="A2680" s="3">
        <v>46056</v>
      </c>
      <c r="B2680" s="4">
        <v>1180</v>
      </c>
      <c r="C2680" s="5">
        <v>80</v>
      </c>
      <c r="D2680" s="1" t="s">
        <v>1074</v>
      </c>
      <c r="E2680" s="1" t="s">
        <v>1075</v>
      </c>
      <c r="F2680" s="1" t="s">
        <v>66</v>
      </c>
      <c r="G2680" s="1" t="s">
        <v>1058</v>
      </c>
      <c r="H2680" s="3">
        <v>46082</v>
      </c>
      <c r="I2680" s="1" t="s">
        <v>933</v>
      </c>
      <c r="J2680" s="1" t="s">
        <v>66</v>
      </c>
      <c r="K2680" s="1" t="s">
        <v>640</v>
      </c>
      <c r="L2680" s="1" t="s">
        <v>4088</v>
      </c>
      <c r="M2680" s="3">
        <v>46058</v>
      </c>
      <c r="N2680" s="1" t="s">
        <v>57</v>
      </c>
      <c r="O2680" s="1" t="s">
        <v>936</v>
      </c>
      <c r="P2680" s="1">
        <v>1</v>
      </c>
    </row>
    <row r="2681" spans="1:16" x14ac:dyDescent="0.25">
      <c r="A2681" s="3">
        <v>46056</v>
      </c>
      <c r="B2681" s="4">
        <v>1180</v>
      </c>
      <c r="C2681" s="5">
        <v>280</v>
      </c>
      <c r="D2681" s="1" t="s">
        <v>1074</v>
      </c>
      <c r="E2681" s="1" t="s">
        <v>1075</v>
      </c>
      <c r="F2681" s="1" t="s">
        <v>430</v>
      </c>
      <c r="G2681" s="1" t="s">
        <v>1058</v>
      </c>
      <c r="H2681" s="3">
        <v>46082</v>
      </c>
      <c r="I2681" s="1" t="s">
        <v>933</v>
      </c>
      <c r="J2681" s="1" t="s">
        <v>66</v>
      </c>
      <c r="K2681" s="1" t="s">
        <v>1654</v>
      </c>
      <c r="L2681" s="1" t="s">
        <v>4089</v>
      </c>
      <c r="M2681" s="3">
        <v>46058</v>
      </c>
      <c r="N2681" s="1" t="s">
        <v>57</v>
      </c>
      <c r="O2681" s="1" t="s">
        <v>936</v>
      </c>
      <c r="P2681" s="1">
        <v>1</v>
      </c>
    </row>
    <row r="2682" spans="1:16" x14ac:dyDescent="0.25">
      <c r="A2682" s="3">
        <v>46056</v>
      </c>
      <c r="B2682" s="4">
        <v>1180</v>
      </c>
      <c r="C2682" s="5">
        <v>380</v>
      </c>
      <c r="D2682" s="1" t="s">
        <v>1074</v>
      </c>
      <c r="E2682" s="1" t="s">
        <v>1075</v>
      </c>
      <c r="F2682" s="1" t="s">
        <v>218</v>
      </c>
      <c r="G2682" s="1" t="s">
        <v>1058</v>
      </c>
      <c r="H2682" s="3">
        <v>46082</v>
      </c>
      <c r="I2682" s="1" t="s">
        <v>933</v>
      </c>
      <c r="J2682" s="1" t="s">
        <v>66</v>
      </c>
      <c r="K2682" s="1" t="s">
        <v>1654</v>
      </c>
      <c r="L2682" s="1" t="s">
        <v>4090</v>
      </c>
      <c r="M2682" s="3">
        <v>46058</v>
      </c>
      <c r="N2682" s="1" t="s">
        <v>221</v>
      </c>
      <c r="O2682" s="1" t="s">
        <v>936</v>
      </c>
      <c r="P2682" s="1">
        <v>1</v>
      </c>
    </row>
    <row r="2683" spans="1:16" x14ac:dyDescent="0.25">
      <c r="A2683" s="3">
        <v>46056</v>
      </c>
      <c r="B2683" s="4">
        <v>1180</v>
      </c>
      <c r="C2683" s="5">
        <v>280</v>
      </c>
      <c r="D2683" s="1" t="s">
        <v>1074</v>
      </c>
      <c r="E2683" s="1" t="s">
        <v>1075</v>
      </c>
      <c r="F2683" s="1" t="s">
        <v>88</v>
      </c>
      <c r="G2683" s="1" t="s">
        <v>1058</v>
      </c>
      <c r="H2683" s="3">
        <v>46082</v>
      </c>
      <c r="I2683" s="1" t="s">
        <v>933</v>
      </c>
      <c r="J2683" s="1" t="s">
        <v>66</v>
      </c>
      <c r="K2683" s="1" t="s">
        <v>1654</v>
      </c>
      <c r="L2683" s="1" t="s">
        <v>4091</v>
      </c>
      <c r="M2683" s="3">
        <v>46058</v>
      </c>
      <c r="N2683" s="1" t="s">
        <v>93</v>
      </c>
      <c r="O2683" s="1" t="s">
        <v>936</v>
      </c>
      <c r="P2683" s="1">
        <v>1</v>
      </c>
    </row>
    <row r="2684" spans="1:16" x14ac:dyDescent="0.25">
      <c r="A2684" s="3">
        <v>46056</v>
      </c>
      <c r="B2684" s="4">
        <v>1180</v>
      </c>
      <c r="C2684" s="5">
        <v>230</v>
      </c>
      <c r="D2684" s="1" t="s">
        <v>1074</v>
      </c>
      <c r="E2684" s="1" t="s">
        <v>1075</v>
      </c>
      <c r="F2684" s="1" t="s">
        <v>775</v>
      </c>
      <c r="G2684" s="1" t="s">
        <v>1058</v>
      </c>
      <c r="H2684" s="3">
        <v>46082</v>
      </c>
      <c r="I2684" s="1" t="s">
        <v>933</v>
      </c>
      <c r="J2684" s="1" t="s">
        <v>66</v>
      </c>
      <c r="K2684" s="1" t="s">
        <v>340</v>
      </c>
      <c r="L2684" s="1" t="s">
        <v>4092</v>
      </c>
      <c r="M2684" s="3">
        <v>46058</v>
      </c>
      <c r="N2684" s="1" t="s">
        <v>580</v>
      </c>
      <c r="O2684" s="1" t="s">
        <v>936</v>
      </c>
      <c r="P2684" s="1">
        <v>1</v>
      </c>
    </row>
    <row r="2685" spans="1:16" x14ac:dyDescent="0.25">
      <c r="A2685" s="3">
        <v>46056</v>
      </c>
      <c r="B2685" s="4">
        <v>1180</v>
      </c>
      <c r="C2685" s="5">
        <v>100</v>
      </c>
      <c r="D2685" s="1" t="s">
        <v>1074</v>
      </c>
      <c r="E2685" s="1" t="s">
        <v>1075</v>
      </c>
      <c r="F2685" s="1" t="s">
        <v>721</v>
      </c>
      <c r="G2685" s="1" t="s">
        <v>1058</v>
      </c>
      <c r="H2685" s="3">
        <v>46082</v>
      </c>
      <c r="I2685" s="1" t="s">
        <v>933</v>
      </c>
      <c r="J2685" s="1" t="s">
        <v>66</v>
      </c>
      <c r="K2685" s="1" t="s">
        <v>340</v>
      </c>
      <c r="L2685" s="1" t="s">
        <v>4093</v>
      </c>
      <c r="M2685" s="3">
        <v>46058</v>
      </c>
      <c r="N2685" s="1" t="s">
        <v>712</v>
      </c>
      <c r="O2685" s="1" t="s">
        <v>936</v>
      </c>
      <c r="P2685" s="1">
        <v>1</v>
      </c>
    </row>
    <row r="2686" spans="1:16" x14ac:dyDescent="0.25">
      <c r="A2686" s="3">
        <v>46056</v>
      </c>
      <c r="B2686" s="1">
        <v>127</v>
      </c>
      <c r="C2686" s="5">
        <v>3644.46</v>
      </c>
      <c r="D2686" s="1" t="s">
        <v>3409</v>
      </c>
      <c r="E2686" s="1" t="s">
        <v>772</v>
      </c>
      <c r="F2686" s="1" t="s">
        <v>727</v>
      </c>
      <c r="G2686" s="1" t="s">
        <v>1667</v>
      </c>
      <c r="H2686" s="3">
        <v>46086</v>
      </c>
      <c r="I2686" s="1" t="s">
        <v>1100</v>
      </c>
      <c r="J2686" s="1" t="s">
        <v>66</v>
      </c>
      <c r="K2686" s="1" t="s">
        <v>308</v>
      </c>
      <c r="L2686" s="1" t="s">
        <v>4094</v>
      </c>
      <c r="M2686" s="3">
        <v>46059</v>
      </c>
      <c r="N2686" s="1" t="s">
        <v>57</v>
      </c>
      <c r="O2686" s="1" t="s">
        <v>936</v>
      </c>
      <c r="P2686" s="1" t="s">
        <v>937</v>
      </c>
    </row>
    <row r="2687" spans="1:16" x14ac:dyDescent="0.25">
      <c r="A2687" s="3">
        <v>46056</v>
      </c>
      <c r="B2687" s="4">
        <v>1180</v>
      </c>
      <c r="C2687" s="5">
        <v>100</v>
      </c>
      <c r="D2687" s="1" t="s">
        <v>1074</v>
      </c>
      <c r="E2687" s="1" t="s">
        <v>1075</v>
      </c>
      <c r="F2687" s="1" t="s">
        <v>715</v>
      </c>
      <c r="G2687" s="1" t="s">
        <v>1058</v>
      </c>
      <c r="H2687" s="3">
        <v>46082</v>
      </c>
      <c r="I2687" s="1" t="s">
        <v>933</v>
      </c>
      <c r="J2687" s="1" t="s">
        <v>66</v>
      </c>
      <c r="K2687" s="1" t="s">
        <v>340</v>
      </c>
      <c r="L2687" s="1" t="s">
        <v>4095</v>
      </c>
      <c r="M2687" s="3">
        <v>46058</v>
      </c>
      <c r="N2687" s="1" t="s">
        <v>712</v>
      </c>
      <c r="O2687" s="1" t="s">
        <v>936</v>
      </c>
      <c r="P2687" s="1">
        <v>1</v>
      </c>
    </row>
    <row r="2688" spans="1:16" x14ac:dyDescent="0.25">
      <c r="A2688" s="3">
        <v>46056</v>
      </c>
      <c r="B2688" s="4">
        <v>1180</v>
      </c>
      <c r="C2688" s="5">
        <v>80</v>
      </c>
      <c r="D2688" s="1" t="s">
        <v>1074</v>
      </c>
      <c r="E2688" s="1" t="s">
        <v>1075</v>
      </c>
      <c r="F2688" s="1" t="s">
        <v>66</v>
      </c>
      <c r="G2688" s="1" t="s">
        <v>1058</v>
      </c>
      <c r="H2688" s="3">
        <v>46082</v>
      </c>
      <c r="I2688" s="1" t="s">
        <v>933</v>
      </c>
      <c r="J2688" s="1" t="s">
        <v>66</v>
      </c>
      <c r="K2688" s="1" t="s">
        <v>340</v>
      </c>
      <c r="L2688" s="1" t="s">
        <v>4096</v>
      </c>
      <c r="M2688" s="3">
        <v>46058</v>
      </c>
      <c r="N2688" s="1" t="s">
        <v>57</v>
      </c>
      <c r="O2688" s="1" t="s">
        <v>936</v>
      </c>
      <c r="P2688" s="1">
        <v>1</v>
      </c>
    </row>
    <row r="2689" spans="1:16" x14ac:dyDescent="0.25">
      <c r="A2689" s="3">
        <v>46056</v>
      </c>
      <c r="B2689" s="4">
        <v>1180</v>
      </c>
      <c r="C2689" s="5">
        <v>80</v>
      </c>
      <c r="D2689" s="1" t="s">
        <v>1074</v>
      </c>
      <c r="E2689" s="1" t="s">
        <v>1075</v>
      </c>
      <c r="F2689" s="1" t="s">
        <v>66</v>
      </c>
      <c r="G2689" s="1" t="s">
        <v>1058</v>
      </c>
      <c r="H2689" s="3">
        <v>46082</v>
      </c>
      <c r="I2689" s="1" t="s">
        <v>933</v>
      </c>
      <c r="J2689" s="1" t="s">
        <v>66</v>
      </c>
      <c r="K2689" s="1"/>
      <c r="L2689" s="1" t="s">
        <v>4097</v>
      </c>
      <c r="M2689" s="3">
        <v>46058</v>
      </c>
      <c r="N2689" s="1" t="s">
        <v>57</v>
      </c>
      <c r="O2689" s="1" t="s">
        <v>936</v>
      </c>
      <c r="P2689" s="1">
        <v>1</v>
      </c>
    </row>
    <row r="2690" spans="1:16" x14ac:dyDescent="0.25">
      <c r="A2690" s="3">
        <v>46056</v>
      </c>
      <c r="B2690" s="4">
        <v>1180</v>
      </c>
      <c r="C2690" s="5">
        <v>80</v>
      </c>
      <c r="D2690" s="1" t="s">
        <v>1074</v>
      </c>
      <c r="E2690" s="1" t="s">
        <v>1075</v>
      </c>
      <c r="F2690" s="1" t="s">
        <v>66</v>
      </c>
      <c r="G2690" s="1" t="s">
        <v>1058</v>
      </c>
      <c r="H2690" s="3">
        <v>46082</v>
      </c>
      <c r="I2690" s="1" t="s">
        <v>933</v>
      </c>
      <c r="J2690" s="1" t="s">
        <v>66</v>
      </c>
      <c r="K2690" s="1"/>
      <c r="L2690" s="1" t="s">
        <v>4098</v>
      </c>
      <c r="M2690" s="3">
        <v>46058</v>
      </c>
      <c r="N2690" s="1" t="s">
        <v>57</v>
      </c>
      <c r="O2690" s="1" t="s">
        <v>936</v>
      </c>
      <c r="P2690" s="1">
        <v>1</v>
      </c>
    </row>
    <row r="2691" spans="1:16" x14ac:dyDescent="0.25">
      <c r="A2691" s="3">
        <v>46056</v>
      </c>
      <c r="B2691" s="4">
        <v>1180</v>
      </c>
      <c r="C2691" s="5">
        <v>80</v>
      </c>
      <c r="D2691" s="1" t="s">
        <v>1074</v>
      </c>
      <c r="E2691" s="1" t="s">
        <v>1075</v>
      </c>
      <c r="F2691" s="1" t="s">
        <v>66</v>
      </c>
      <c r="G2691" s="1" t="s">
        <v>1058</v>
      </c>
      <c r="H2691" s="3">
        <v>46082</v>
      </c>
      <c r="I2691" s="1" t="s">
        <v>933</v>
      </c>
      <c r="J2691" s="1" t="s">
        <v>66</v>
      </c>
      <c r="K2691" s="1"/>
      <c r="L2691" s="1" t="s">
        <v>4098</v>
      </c>
      <c r="M2691" s="3">
        <v>46058</v>
      </c>
      <c r="N2691" s="1" t="s">
        <v>57</v>
      </c>
      <c r="O2691" s="1" t="s">
        <v>936</v>
      </c>
      <c r="P2691" s="1">
        <v>1</v>
      </c>
    </row>
    <row r="2692" spans="1:16" x14ac:dyDescent="0.25">
      <c r="A2692" s="3">
        <v>46056</v>
      </c>
      <c r="B2692" s="1">
        <v>71</v>
      </c>
      <c r="C2692" s="5">
        <v>795</v>
      </c>
      <c r="D2692" s="1" t="s">
        <v>2158</v>
      </c>
      <c r="E2692" s="1" t="s">
        <v>2159</v>
      </c>
      <c r="F2692" s="1" t="s">
        <v>274</v>
      </c>
      <c r="G2692" s="1" t="s">
        <v>940</v>
      </c>
      <c r="H2692" s="3">
        <v>46069</v>
      </c>
      <c r="I2692" s="1" t="s">
        <v>933</v>
      </c>
      <c r="J2692" s="1" t="s">
        <v>66</v>
      </c>
      <c r="K2692" s="1" t="s">
        <v>340</v>
      </c>
      <c r="L2692" s="1" t="s">
        <v>4227</v>
      </c>
      <c r="M2692" s="3">
        <v>46056</v>
      </c>
      <c r="N2692" s="1" t="s">
        <v>264</v>
      </c>
      <c r="O2692" s="1" t="s">
        <v>936</v>
      </c>
      <c r="P2692" s="1" t="s">
        <v>937</v>
      </c>
    </row>
    <row r="2693" spans="1:16" x14ac:dyDescent="0.25">
      <c r="A2693" s="3">
        <v>46056</v>
      </c>
      <c r="B2693" s="1">
        <v>54</v>
      </c>
      <c r="C2693" s="5">
        <v>280</v>
      </c>
      <c r="D2693" s="1" t="s">
        <v>2158</v>
      </c>
      <c r="E2693" s="1" t="s">
        <v>2159</v>
      </c>
      <c r="F2693" s="1" t="s">
        <v>274</v>
      </c>
      <c r="G2693" s="1" t="s">
        <v>940</v>
      </c>
      <c r="H2693" s="3">
        <v>46069</v>
      </c>
      <c r="I2693" s="1" t="s">
        <v>933</v>
      </c>
      <c r="J2693" s="1" t="s">
        <v>66</v>
      </c>
      <c r="K2693" s="1" t="s">
        <v>340</v>
      </c>
      <c r="L2693" s="1" t="s">
        <v>4227</v>
      </c>
      <c r="M2693" s="3">
        <v>46056</v>
      </c>
      <c r="N2693" s="1" t="s">
        <v>264</v>
      </c>
      <c r="O2693" s="1" t="s">
        <v>936</v>
      </c>
      <c r="P2693" s="1" t="s">
        <v>937</v>
      </c>
    </row>
    <row r="2694" spans="1:16" x14ac:dyDescent="0.25">
      <c r="A2694" s="3">
        <v>46056</v>
      </c>
      <c r="B2694" s="1">
        <v>70</v>
      </c>
      <c r="C2694" s="5">
        <v>359.52</v>
      </c>
      <c r="D2694" s="1" t="s">
        <v>2158</v>
      </c>
      <c r="E2694" s="1" t="s">
        <v>2159</v>
      </c>
      <c r="F2694" s="1" t="s">
        <v>283</v>
      </c>
      <c r="G2694" s="1" t="s">
        <v>940</v>
      </c>
      <c r="H2694" s="3">
        <v>46069</v>
      </c>
      <c r="I2694" s="1" t="s">
        <v>933</v>
      </c>
      <c r="J2694" s="1" t="s">
        <v>66</v>
      </c>
      <c r="K2694" s="1" t="s">
        <v>340</v>
      </c>
      <c r="L2694" s="1" t="s">
        <v>4747</v>
      </c>
      <c r="M2694" s="3">
        <v>46056</v>
      </c>
      <c r="N2694" s="1" t="s">
        <v>264</v>
      </c>
      <c r="O2694" s="1" t="s">
        <v>936</v>
      </c>
      <c r="P2694" s="1" t="s">
        <v>937</v>
      </c>
    </row>
    <row r="2695" spans="1:16" x14ac:dyDescent="0.25">
      <c r="A2695" s="3">
        <v>46056</v>
      </c>
      <c r="B2695" s="1">
        <v>69</v>
      </c>
      <c r="C2695" s="5">
        <v>355</v>
      </c>
      <c r="D2695" s="1" t="s">
        <v>2158</v>
      </c>
      <c r="E2695" s="1" t="s">
        <v>2159</v>
      </c>
      <c r="F2695" s="1" t="s">
        <v>286</v>
      </c>
      <c r="G2695" s="1" t="s">
        <v>940</v>
      </c>
      <c r="H2695" s="3">
        <v>46069</v>
      </c>
      <c r="I2695" s="1" t="s">
        <v>933</v>
      </c>
      <c r="J2695" s="1" t="s">
        <v>66</v>
      </c>
      <c r="K2695" s="1" t="s">
        <v>340</v>
      </c>
      <c r="L2695" s="1" t="s">
        <v>4994</v>
      </c>
      <c r="M2695" s="3">
        <v>46056</v>
      </c>
      <c r="N2695" s="1" t="s">
        <v>264</v>
      </c>
      <c r="O2695" s="1" t="s">
        <v>936</v>
      </c>
      <c r="P2695" s="1" t="s">
        <v>937</v>
      </c>
    </row>
    <row r="2696" spans="1:16" x14ac:dyDescent="0.25">
      <c r="A2696" s="3">
        <v>46056</v>
      </c>
      <c r="B2696" s="4">
        <v>1180</v>
      </c>
      <c r="C2696" s="5">
        <v>280</v>
      </c>
      <c r="D2696" s="1" t="s">
        <v>1074</v>
      </c>
      <c r="E2696" s="1" t="s">
        <v>1075</v>
      </c>
      <c r="F2696" s="1" t="s">
        <v>286</v>
      </c>
      <c r="G2696" s="1" t="s">
        <v>1058</v>
      </c>
      <c r="H2696" s="3">
        <v>46082</v>
      </c>
      <c r="I2696" s="1" t="s">
        <v>933</v>
      </c>
      <c r="J2696" s="1" t="s">
        <v>66</v>
      </c>
      <c r="K2696" s="1" t="s">
        <v>340</v>
      </c>
      <c r="L2696" s="1" t="s">
        <v>4995</v>
      </c>
      <c r="M2696" s="3">
        <v>46058</v>
      </c>
      <c r="N2696" s="1" t="s">
        <v>264</v>
      </c>
      <c r="O2696" s="1" t="s">
        <v>936</v>
      </c>
      <c r="P2696" s="1">
        <v>1</v>
      </c>
    </row>
    <row r="2697" spans="1:16" x14ac:dyDescent="0.25">
      <c r="A2697" s="3">
        <v>46057</v>
      </c>
      <c r="B2697" s="4">
        <v>72766</v>
      </c>
      <c r="C2697" s="5">
        <v>5252.16</v>
      </c>
      <c r="D2697" s="1" t="s">
        <v>1253</v>
      </c>
      <c r="E2697" s="1" t="s">
        <v>1487</v>
      </c>
      <c r="F2697" s="1" t="s">
        <v>460</v>
      </c>
      <c r="G2697" s="1" t="s">
        <v>940</v>
      </c>
      <c r="H2697" s="3">
        <v>46087</v>
      </c>
      <c r="I2697" s="1" t="s">
        <v>933</v>
      </c>
      <c r="J2697" s="1" t="s">
        <v>66</v>
      </c>
      <c r="K2697" s="1" t="s">
        <v>308</v>
      </c>
      <c r="L2697" s="1" t="s">
        <v>4099</v>
      </c>
      <c r="M2697" s="3">
        <v>46061</v>
      </c>
      <c r="N2697" s="1" t="s">
        <v>440</v>
      </c>
      <c r="O2697" s="1" t="s">
        <v>936</v>
      </c>
      <c r="P2697" s="1">
        <v>1</v>
      </c>
    </row>
    <row r="2698" spans="1:16" x14ac:dyDescent="0.25">
      <c r="A2698" s="3">
        <v>46057</v>
      </c>
      <c r="B2698" s="1">
        <v>155</v>
      </c>
      <c r="C2698" s="5">
        <v>200</v>
      </c>
      <c r="D2698" s="1" t="s">
        <v>1370</v>
      </c>
      <c r="E2698" s="1" t="s">
        <v>1371</v>
      </c>
      <c r="F2698" s="1" t="s">
        <v>66</v>
      </c>
      <c r="G2698" s="1" t="s">
        <v>940</v>
      </c>
      <c r="H2698" s="1"/>
      <c r="I2698" s="1" t="s">
        <v>933</v>
      </c>
      <c r="J2698" s="1" t="s">
        <v>66</v>
      </c>
      <c r="K2698" s="1" t="s">
        <v>659</v>
      </c>
      <c r="L2698" s="1" t="s">
        <v>4100</v>
      </c>
      <c r="M2698" s="3">
        <v>46064</v>
      </c>
      <c r="N2698" s="1" t="s">
        <v>57</v>
      </c>
      <c r="O2698" s="1" t="s">
        <v>936</v>
      </c>
      <c r="P2698" s="1"/>
    </row>
    <row r="2699" spans="1:16" x14ac:dyDescent="0.25">
      <c r="A2699" s="3">
        <v>46057</v>
      </c>
      <c r="B2699" s="4">
        <v>10159</v>
      </c>
      <c r="C2699" s="5">
        <v>573</v>
      </c>
      <c r="D2699" s="1" t="s">
        <v>1573</v>
      </c>
      <c r="E2699" s="1" t="s">
        <v>2130</v>
      </c>
      <c r="F2699" s="1" t="s">
        <v>955</v>
      </c>
      <c r="G2699" s="1" t="s">
        <v>950</v>
      </c>
      <c r="H2699" s="1"/>
      <c r="I2699" s="1" t="s">
        <v>933</v>
      </c>
      <c r="J2699" s="1" t="s">
        <v>951</v>
      </c>
      <c r="K2699" s="1" t="s">
        <v>1654</v>
      </c>
      <c r="L2699" s="1" t="s">
        <v>4101</v>
      </c>
      <c r="M2699" s="3">
        <v>46064</v>
      </c>
      <c r="N2699" s="1" t="s">
        <v>57</v>
      </c>
      <c r="O2699" s="1" t="s">
        <v>936</v>
      </c>
      <c r="P2699" s="1">
        <v>1</v>
      </c>
    </row>
    <row r="2700" spans="1:16" x14ac:dyDescent="0.25">
      <c r="A2700" s="3">
        <v>46057</v>
      </c>
      <c r="B2700" s="1">
        <v>15</v>
      </c>
      <c r="C2700" s="5">
        <v>250</v>
      </c>
      <c r="D2700" s="1" t="s">
        <v>4102</v>
      </c>
      <c r="E2700" s="1" t="s">
        <v>4103</v>
      </c>
      <c r="F2700" s="1" t="s">
        <v>451</v>
      </c>
      <c r="G2700" s="1" t="s">
        <v>940</v>
      </c>
      <c r="H2700" s="1"/>
      <c r="I2700" s="1" t="s">
        <v>933</v>
      </c>
      <c r="J2700" s="1" t="s">
        <v>66</v>
      </c>
      <c r="K2700" s="1" t="s">
        <v>308</v>
      </c>
      <c r="L2700" s="1" t="s">
        <v>4104</v>
      </c>
      <c r="M2700" s="3">
        <v>46065</v>
      </c>
      <c r="N2700" s="1" t="s">
        <v>212</v>
      </c>
      <c r="O2700" s="1" t="s">
        <v>936</v>
      </c>
      <c r="P2700" s="1">
        <v>1</v>
      </c>
    </row>
    <row r="2701" spans="1:16" x14ac:dyDescent="0.25">
      <c r="A2701" s="3">
        <v>46058</v>
      </c>
      <c r="B2701" s="1">
        <v>189</v>
      </c>
      <c r="C2701" s="5">
        <v>850</v>
      </c>
      <c r="D2701" s="1" t="s">
        <v>930</v>
      </c>
      <c r="E2701" s="1" t="s">
        <v>931</v>
      </c>
      <c r="F2701" s="1" t="s">
        <v>949</v>
      </c>
      <c r="G2701" s="1" t="s">
        <v>932</v>
      </c>
      <c r="H2701" s="3">
        <v>46058</v>
      </c>
      <c r="I2701" s="1" t="s">
        <v>933</v>
      </c>
      <c r="J2701" s="1" t="s">
        <v>951</v>
      </c>
      <c r="K2701" s="1" t="s">
        <v>934</v>
      </c>
      <c r="L2701" s="1" t="s">
        <v>4105</v>
      </c>
      <c r="M2701" s="3">
        <v>46050</v>
      </c>
      <c r="N2701" s="1" t="s">
        <v>57</v>
      </c>
      <c r="O2701" s="1" t="s">
        <v>936</v>
      </c>
      <c r="P2701" s="1" t="s">
        <v>937</v>
      </c>
    </row>
    <row r="2702" spans="1:16" x14ac:dyDescent="0.25">
      <c r="A2702" s="3">
        <v>46058</v>
      </c>
      <c r="B2702" s="1">
        <v>5</v>
      </c>
      <c r="C2702" s="5">
        <v>4500</v>
      </c>
      <c r="D2702" s="1" t="s">
        <v>4106</v>
      </c>
      <c r="E2702" s="1" t="s">
        <v>4107</v>
      </c>
      <c r="F2702" s="1" t="s">
        <v>66</v>
      </c>
      <c r="G2702" s="1" t="s">
        <v>932</v>
      </c>
      <c r="H2702" s="3">
        <v>46081</v>
      </c>
      <c r="I2702" s="1" t="s">
        <v>933</v>
      </c>
      <c r="J2702" s="1" t="s">
        <v>66</v>
      </c>
      <c r="K2702" s="1" t="s">
        <v>340</v>
      </c>
      <c r="L2702" s="1" t="s">
        <v>4108</v>
      </c>
      <c r="M2702" s="3">
        <v>46058</v>
      </c>
      <c r="N2702" s="1" t="s">
        <v>57</v>
      </c>
      <c r="O2702" s="1" t="s">
        <v>936</v>
      </c>
      <c r="P2702" s="1" t="s">
        <v>937</v>
      </c>
    </row>
    <row r="2703" spans="1:16" x14ac:dyDescent="0.25">
      <c r="A2703" s="3">
        <v>46058</v>
      </c>
      <c r="B2703" s="4">
        <v>1349</v>
      </c>
      <c r="C2703" s="5">
        <v>195.57</v>
      </c>
      <c r="D2703" s="1" t="s">
        <v>3037</v>
      </c>
      <c r="E2703" s="1" t="s">
        <v>3038</v>
      </c>
      <c r="F2703" s="1" t="s">
        <v>66</v>
      </c>
      <c r="G2703" s="1" t="s">
        <v>472</v>
      </c>
      <c r="H2703" s="3">
        <v>46074</v>
      </c>
      <c r="I2703" s="1" t="s">
        <v>933</v>
      </c>
      <c r="J2703" s="1" t="s">
        <v>66</v>
      </c>
      <c r="K2703" s="1" t="s">
        <v>308</v>
      </c>
      <c r="L2703" s="1" t="s">
        <v>4109</v>
      </c>
      <c r="M2703" s="3">
        <v>46058</v>
      </c>
      <c r="N2703" s="1" t="s">
        <v>57</v>
      </c>
      <c r="O2703" s="1" t="s">
        <v>472</v>
      </c>
      <c r="P2703" s="1">
        <v>1</v>
      </c>
    </row>
    <row r="2704" spans="1:16" x14ac:dyDescent="0.25">
      <c r="A2704" s="3">
        <v>46058</v>
      </c>
      <c r="B2704" s="4">
        <v>10284</v>
      </c>
      <c r="C2704" s="5">
        <v>186.67</v>
      </c>
      <c r="D2704" s="1" t="s">
        <v>3317</v>
      </c>
      <c r="E2704" s="1" t="s">
        <v>3318</v>
      </c>
      <c r="F2704" s="1" t="s">
        <v>1814</v>
      </c>
      <c r="G2704" s="1" t="s">
        <v>1814</v>
      </c>
      <c r="H2704" s="3">
        <v>46069</v>
      </c>
      <c r="I2704" s="1" t="s">
        <v>933</v>
      </c>
      <c r="J2704" s="1" t="s">
        <v>66</v>
      </c>
      <c r="K2704" s="1" t="s">
        <v>934</v>
      </c>
      <c r="L2704" s="1" t="s">
        <v>4110</v>
      </c>
      <c r="M2704" s="3">
        <v>46058</v>
      </c>
      <c r="N2704" s="1" t="s">
        <v>1814</v>
      </c>
      <c r="O2704" s="1" t="s">
        <v>932</v>
      </c>
      <c r="P2704" s="1">
        <v>1</v>
      </c>
    </row>
    <row r="2705" spans="1:16" x14ac:dyDescent="0.25">
      <c r="A2705" s="3">
        <v>46058</v>
      </c>
      <c r="B2705" s="4">
        <v>200102030</v>
      </c>
      <c r="C2705" s="5">
        <v>46.67</v>
      </c>
      <c r="D2705" s="1" t="s">
        <v>3317</v>
      </c>
      <c r="E2705" s="1" t="s">
        <v>3318</v>
      </c>
      <c r="F2705" s="1" t="s">
        <v>1814</v>
      </c>
      <c r="G2705" s="1" t="s">
        <v>1814</v>
      </c>
      <c r="H2705" s="3">
        <v>46069</v>
      </c>
      <c r="I2705" s="1" t="s">
        <v>933</v>
      </c>
      <c r="J2705" s="1" t="s">
        <v>66</v>
      </c>
      <c r="K2705" s="1" t="s">
        <v>934</v>
      </c>
      <c r="L2705" s="1" t="s">
        <v>4111</v>
      </c>
      <c r="M2705" s="3">
        <v>46058</v>
      </c>
      <c r="N2705" s="1" t="s">
        <v>1814</v>
      </c>
      <c r="O2705" s="1" t="s">
        <v>932</v>
      </c>
      <c r="P2705" s="1">
        <v>1</v>
      </c>
    </row>
    <row r="2706" spans="1:16" x14ac:dyDescent="0.25">
      <c r="A2706" s="3">
        <v>46058</v>
      </c>
      <c r="B2706" s="4">
        <v>16679</v>
      </c>
      <c r="C2706" s="5">
        <v>1072.55</v>
      </c>
      <c r="D2706" s="1" t="s">
        <v>3933</v>
      </c>
      <c r="E2706" s="1" t="s">
        <v>3934</v>
      </c>
      <c r="F2706" s="1" t="s">
        <v>245</v>
      </c>
      <c r="G2706" s="1" t="s">
        <v>940</v>
      </c>
      <c r="H2706" s="3">
        <v>46086</v>
      </c>
      <c r="I2706" s="1" t="s">
        <v>1100</v>
      </c>
      <c r="J2706" s="1" t="s">
        <v>66</v>
      </c>
      <c r="K2706" s="1" t="s">
        <v>308</v>
      </c>
      <c r="L2706" s="1" t="s">
        <v>4112</v>
      </c>
      <c r="M2706" s="3">
        <v>46059</v>
      </c>
      <c r="N2706" s="1" t="s">
        <v>57</v>
      </c>
      <c r="O2706" s="1" t="s">
        <v>936</v>
      </c>
      <c r="P2706" s="1">
        <v>1</v>
      </c>
    </row>
    <row r="2707" spans="1:16" x14ac:dyDescent="0.25">
      <c r="A2707" s="3">
        <v>46058</v>
      </c>
      <c r="B2707" s="4">
        <v>5041</v>
      </c>
      <c r="C2707" s="5">
        <v>63</v>
      </c>
      <c r="D2707" s="1" t="s">
        <v>938</v>
      </c>
      <c r="E2707" s="1" t="s">
        <v>939</v>
      </c>
      <c r="F2707" s="1" t="s">
        <v>392</v>
      </c>
      <c r="G2707" s="1" t="s">
        <v>940</v>
      </c>
      <c r="H2707" s="1"/>
      <c r="I2707" s="1" t="s">
        <v>933</v>
      </c>
      <c r="J2707" s="1" t="s">
        <v>66</v>
      </c>
      <c r="K2707" s="1" t="s">
        <v>640</v>
      </c>
      <c r="L2707" s="1" t="s">
        <v>4113</v>
      </c>
      <c r="M2707" s="3">
        <v>46064</v>
      </c>
      <c r="N2707" s="1" t="s">
        <v>57</v>
      </c>
      <c r="O2707" s="1" t="s">
        <v>936</v>
      </c>
      <c r="P2707" s="1">
        <v>1</v>
      </c>
    </row>
    <row r="2708" spans="1:16" x14ac:dyDescent="0.25">
      <c r="A2708" s="3">
        <v>46058</v>
      </c>
      <c r="B2708" s="4">
        <v>5042</v>
      </c>
      <c r="C2708" s="5">
        <v>53.34</v>
      </c>
      <c r="D2708" s="1" t="s">
        <v>938</v>
      </c>
      <c r="E2708" s="1" t="s">
        <v>939</v>
      </c>
      <c r="F2708" s="1" t="s">
        <v>906</v>
      </c>
      <c r="G2708" s="1" t="s">
        <v>940</v>
      </c>
      <c r="H2708" s="1"/>
      <c r="I2708" s="1" t="s">
        <v>933</v>
      </c>
      <c r="J2708" s="1" t="s">
        <v>66</v>
      </c>
      <c r="K2708" s="1" t="s">
        <v>308</v>
      </c>
      <c r="L2708" s="1" t="s">
        <v>4114</v>
      </c>
      <c r="M2708" s="3">
        <v>46064</v>
      </c>
      <c r="N2708" s="1" t="s">
        <v>57</v>
      </c>
      <c r="O2708" s="1" t="s">
        <v>936</v>
      </c>
      <c r="P2708" s="1">
        <v>1</v>
      </c>
    </row>
    <row r="2709" spans="1:16" x14ac:dyDescent="0.25">
      <c r="A2709" s="3">
        <v>46058</v>
      </c>
      <c r="B2709" s="4">
        <v>78247</v>
      </c>
      <c r="C2709" s="5">
        <v>12</v>
      </c>
      <c r="D2709" s="1" t="s">
        <v>4115</v>
      </c>
      <c r="E2709" s="1" t="s">
        <v>4116</v>
      </c>
      <c r="F2709" s="1" t="s">
        <v>307</v>
      </c>
      <c r="G2709" s="1" t="s">
        <v>940</v>
      </c>
      <c r="H2709" s="1"/>
      <c r="I2709" s="1" t="s">
        <v>933</v>
      </c>
      <c r="J2709" s="1" t="s">
        <v>66</v>
      </c>
      <c r="K2709" s="1" t="s">
        <v>308</v>
      </c>
      <c r="L2709" s="1" t="s">
        <v>4117</v>
      </c>
      <c r="M2709" s="3">
        <v>46064</v>
      </c>
      <c r="N2709" s="1" t="s">
        <v>57</v>
      </c>
      <c r="O2709" s="1" t="s">
        <v>936</v>
      </c>
      <c r="P2709" s="1">
        <v>1</v>
      </c>
    </row>
    <row r="2710" spans="1:16" x14ac:dyDescent="0.25">
      <c r="A2710" s="3">
        <v>46059</v>
      </c>
      <c r="B2710" s="4">
        <v>1037</v>
      </c>
      <c r="C2710" s="5">
        <v>586</v>
      </c>
      <c r="D2710" s="1" t="s">
        <v>1080</v>
      </c>
      <c r="E2710" s="1" t="s">
        <v>3046</v>
      </c>
      <c r="F2710" s="1" t="s">
        <v>66</v>
      </c>
      <c r="G2710" s="1" t="s">
        <v>20</v>
      </c>
      <c r="H2710" s="3">
        <v>46079</v>
      </c>
      <c r="I2710" s="1" t="s">
        <v>933</v>
      </c>
      <c r="J2710" s="1" t="s">
        <v>66</v>
      </c>
      <c r="K2710" s="1" t="s">
        <v>934</v>
      </c>
      <c r="L2710" s="1" t="s">
        <v>4118</v>
      </c>
      <c r="M2710" s="3">
        <v>46059</v>
      </c>
      <c r="N2710" s="1" t="s">
        <v>57</v>
      </c>
      <c r="O2710" s="1" t="s">
        <v>936</v>
      </c>
      <c r="P2710" s="1">
        <v>1</v>
      </c>
    </row>
    <row r="2711" spans="1:16" x14ac:dyDescent="0.25">
      <c r="A2711" s="3">
        <v>46059</v>
      </c>
      <c r="B2711" s="4">
        <v>96037</v>
      </c>
      <c r="C2711" s="5">
        <v>34500</v>
      </c>
      <c r="D2711" s="1" t="s">
        <v>1094</v>
      </c>
      <c r="E2711" s="1" t="s">
        <v>1095</v>
      </c>
      <c r="F2711" s="1" t="s">
        <v>66</v>
      </c>
      <c r="G2711" s="1" t="s">
        <v>998</v>
      </c>
      <c r="H2711" s="3">
        <v>46090</v>
      </c>
      <c r="I2711" s="1" t="s">
        <v>933</v>
      </c>
      <c r="J2711" s="1" t="s">
        <v>66</v>
      </c>
      <c r="K2711" s="1" t="s">
        <v>66</v>
      </c>
      <c r="L2711" s="1" t="s">
        <v>4119</v>
      </c>
      <c r="M2711" s="3">
        <v>46060</v>
      </c>
      <c r="N2711" s="1" t="s">
        <v>57</v>
      </c>
      <c r="O2711" s="1" t="s">
        <v>998</v>
      </c>
      <c r="P2711" s="1">
        <v>1</v>
      </c>
    </row>
    <row r="2712" spans="1:16" x14ac:dyDescent="0.25">
      <c r="A2712" s="3">
        <v>46059</v>
      </c>
      <c r="B2712" s="4">
        <v>96038</v>
      </c>
      <c r="C2712" s="5">
        <v>23000</v>
      </c>
      <c r="D2712" s="1" t="s">
        <v>1094</v>
      </c>
      <c r="E2712" s="1" t="s">
        <v>1095</v>
      </c>
      <c r="F2712" s="1" t="s">
        <v>66</v>
      </c>
      <c r="G2712" s="1" t="s">
        <v>998</v>
      </c>
      <c r="H2712" s="3">
        <v>46090</v>
      </c>
      <c r="I2712" s="1" t="s">
        <v>933</v>
      </c>
      <c r="J2712" s="1" t="s">
        <v>66</v>
      </c>
      <c r="K2712" s="1" t="s">
        <v>996</v>
      </c>
      <c r="L2712" s="1" t="s">
        <v>4119</v>
      </c>
      <c r="M2712" s="3">
        <v>46059</v>
      </c>
      <c r="N2712" s="1" t="s">
        <v>57</v>
      </c>
      <c r="O2712" s="1" t="s">
        <v>998</v>
      </c>
      <c r="P2712" s="1">
        <v>1</v>
      </c>
    </row>
    <row r="2713" spans="1:16" x14ac:dyDescent="0.25">
      <c r="A2713" s="3">
        <v>46059</v>
      </c>
      <c r="B2713" s="4">
        <v>7781897</v>
      </c>
      <c r="C2713" s="5">
        <v>8489</v>
      </c>
      <c r="D2713" s="1" t="s">
        <v>4120</v>
      </c>
      <c r="E2713" s="1" t="s">
        <v>4121</v>
      </c>
      <c r="F2713" s="1" t="s">
        <v>66</v>
      </c>
      <c r="G2713" s="1" t="s">
        <v>940</v>
      </c>
      <c r="H2713" s="3">
        <v>46083</v>
      </c>
      <c r="I2713" s="1" t="s">
        <v>933</v>
      </c>
      <c r="J2713" s="1" t="s">
        <v>66</v>
      </c>
      <c r="K2713" s="1" t="s">
        <v>20</v>
      </c>
      <c r="L2713" s="1" t="s">
        <v>4122</v>
      </c>
      <c r="M2713" s="3">
        <v>46059</v>
      </c>
      <c r="N2713" s="1" t="s">
        <v>57</v>
      </c>
      <c r="O2713" s="1" t="s">
        <v>936</v>
      </c>
      <c r="P2713" s="1">
        <v>1</v>
      </c>
    </row>
    <row r="2714" spans="1:16" x14ac:dyDescent="0.25">
      <c r="A2714" s="3">
        <v>46059</v>
      </c>
      <c r="B2714" s="4">
        <v>72732</v>
      </c>
      <c r="C2714" s="5">
        <v>3644.58</v>
      </c>
      <c r="D2714" s="1" t="s">
        <v>1253</v>
      </c>
      <c r="E2714" s="1" t="s">
        <v>1487</v>
      </c>
      <c r="F2714" s="1" t="s">
        <v>647</v>
      </c>
      <c r="G2714" s="1" t="s">
        <v>1131</v>
      </c>
      <c r="H2714" s="3">
        <v>46085</v>
      </c>
      <c r="I2714" s="1" t="s">
        <v>933</v>
      </c>
      <c r="J2714" s="1" t="s">
        <v>66</v>
      </c>
      <c r="K2714" s="1" t="s">
        <v>340</v>
      </c>
      <c r="L2714" s="1" t="s">
        <v>4123</v>
      </c>
      <c r="M2714" s="3">
        <v>46059</v>
      </c>
      <c r="N2714" s="1" t="s">
        <v>57</v>
      </c>
      <c r="O2714" s="1" t="s">
        <v>936</v>
      </c>
      <c r="P2714" s="1">
        <v>1</v>
      </c>
    </row>
    <row r="2715" spans="1:16" x14ac:dyDescent="0.25">
      <c r="A2715" s="3">
        <v>46059</v>
      </c>
      <c r="B2715" s="4">
        <v>71731</v>
      </c>
      <c r="C2715" s="5">
        <v>3317</v>
      </c>
      <c r="D2715" s="1" t="s">
        <v>1253</v>
      </c>
      <c r="E2715" s="1" t="s">
        <v>1487</v>
      </c>
      <c r="F2715" s="1" t="s">
        <v>650</v>
      </c>
      <c r="G2715" s="1" t="s">
        <v>1131</v>
      </c>
      <c r="H2715" s="3">
        <v>46085</v>
      </c>
      <c r="I2715" s="1" t="s">
        <v>933</v>
      </c>
      <c r="J2715" s="1" t="s">
        <v>66</v>
      </c>
      <c r="K2715" s="1" t="s">
        <v>340</v>
      </c>
      <c r="L2715" s="1" t="s">
        <v>4124</v>
      </c>
      <c r="M2715" s="3">
        <v>46059</v>
      </c>
      <c r="N2715" s="1" t="s">
        <v>57</v>
      </c>
      <c r="O2715" s="1" t="s">
        <v>936</v>
      </c>
      <c r="P2715" s="1">
        <v>1</v>
      </c>
    </row>
    <row r="2716" spans="1:16" x14ac:dyDescent="0.25">
      <c r="A2716" s="3">
        <v>46059</v>
      </c>
      <c r="B2716" s="4">
        <v>72733</v>
      </c>
      <c r="C2716" s="5">
        <v>2422.2399999999998</v>
      </c>
      <c r="D2716" s="1" t="s">
        <v>1253</v>
      </c>
      <c r="E2716" s="1" t="s">
        <v>1487</v>
      </c>
      <c r="F2716" s="1" t="s">
        <v>599</v>
      </c>
      <c r="G2716" s="1" t="s">
        <v>1131</v>
      </c>
      <c r="H2716" s="3">
        <v>46085</v>
      </c>
      <c r="I2716" s="1" t="s">
        <v>933</v>
      </c>
      <c r="J2716" s="1" t="s">
        <v>66</v>
      </c>
      <c r="K2716" s="1" t="s">
        <v>340</v>
      </c>
      <c r="L2716" s="1" t="s">
        <v>4125</v>
      </c>
      <c r="M2716" s="3">
        <v>46059</v>
      </c>
      <c r="N2716" s="1" t="s">
        <v>57</v>
      </c>
      <c r="O2716" s="1" t="s">
        <v>936</v>
      </c>
      <c r="P2716" s="1">
        <v>1</v>
      </c>
    </row>
    <row r="2717" spans="1:16" x14ac:dyDescent="0.25">
      <c r="A2717" s="3">
        <v>46059</v>
      </c>
      <c r="B2717" s="4">
        <v>1617</v>
      </c>
      <c r="C2717" s="5">
        <v>926.4</v>
      </c>
      <c r="D2717" s="1" t="s">
        <v>1901</v>
      </c>
      <c r="E2717" s="1" t="s">
        <v>1902</v>
      </c>
      <c r="F2717" s="1" t="s">
        <v>1567</v>
      </c>
      <c r="G2717" s="1" t="s">
        <v>20</v>
      </c>
      <c r="H2717" s="3">
        <v>46083</v>
      </c>
      <c r="I2717" s="1" t="s">
        <v>933</v>
      </c>
      <c r="J2717" s="1" t="s">
        <v>951</v>
      </c>
      <c r="K2717" s="1" t="s">
        <v>20</v>
      </c>
      <c r="L2717" s="1" t="s">
        <v>4126</v>
      </c>
      <c r="M2717" s="3">
        <v>46059</v>
      </c>
      <c r="N2717" s="1" t="s">
        <v>57</v>
      </c>
      <c r="O2717" s="1" t="s">
        <v>936</v>
      </c>
      <c r="P2717" s="1">
        <v>1</v>
      </c>
    </row>
    <row r="2718" spans="1:16" x14ac:dyDescent="0.25">
      <c r="A2718" s="3">
        <v>46059</v>
      </c>
      <c r="B2718" s="4">
        <v>1625</v>
      </c>
      <c r="C2718" s="5">
        <v>435.3</v>
      </c>
      <c r="D2718" s="1" t="s">
        <v>1901</v>
      </c>
      <c r="E2718" s="1" t="s">
        <v>1902</v>
      </c>
      <c r="F2718" s="1" t="s">
        <v>1567</v>
      </c>
      <c r="G2718" s="1" t="s">
        <v>20</v>
      </c>
      <c r="H2718" s="3">
        <v>46086</v>
      </c>
      <c r="I2718" s="1" t="s">
        <v>933</v>
      </c>
      <c r="J2718" s="1" t="s">
        <v>951</v>
      </c>
      <c r="K2718" s="1" t="s">
        <v>20</v>
      </c>
      <c r="L2718" s="1" t="s">
        <v>4127</v>
      </c>
      <c r="M2718" s="3">
        <v>46059</v>
      </c>
      <c r="N2718" s="1" t="s">
        <v>57</v>
      </c>
      <c r="O2718" s="1" t="s">
        <v>936</v>
      </c>
      <c r="P2718" s="1">
        <v>1</v>
      </c>
    </row>
    <row r="2719" spans="1:16" x14ac:dyDescent="0.25">
      <c r="A2719" s="3">
        <v>46059</v>
      </c>
      <c r="B2719" s="4">
        <v>23539</v>
      </c>
      <c r="C2719" s="5">
        <v>1353</v>
      </c>
      <c r="D2719" s="1" t="s">
        <v>1319</v>
      </c>
      <c r="E2719" s="1" t="s">
        <v>1320</v>
      </c>
      <c r="F2719" s="1" t="s">
        <v>1567</v>
      </c>
      <c r="G2719" s="1" t="s">
        <v>20</v>
      </c>
      <c r="H2719" s="3">
        <v>46085</v>
      </c>
      <c r="I2719" s="1" t="s">
        <v>933</v>
      </c>
      <c r="J2719" s="1" t="s">
        <v>951</v>
      </c>
      <c r="K2719" s="1" t="s">
        <v>20</v>
      </c>
      <c r="L2719" s="1" t="s">
        <v>4128</v>
      </c>
      <c r="M2719" s="3">
        <v>46059</v>
      </c>
      <c r="N2719" s="1" t="s">
        <v>57</v>
      </c>
      <c r="O2719" s="1" t="s">
        <v>936</v>
      </c>
      <c r="P2719" s="1">
        <v>1</v>
      </c>
    </row>
    <row r="2720" spans="1:16" x14ac:dyDescent="0.25">
      <c r="A2720" s="3">
        <v>46059</v>
      </c>
      <c r="B2720" s="1">
        <v>160</v>
      </c>
      <c r="C2720" s="5">
        <v>12000</v>
      </c>
      <c r="D2720" s="1" t="s">
        <v>1034</v>
      </c>
      <c r="E2720" s="1" t="s">
        <v>1035</v>
      </c>
      <c r="F2720" s="1" t="s">
        <v>849</v>
      </c>
      <c r="G2720" s="1" t="s">
        <v>1029</v>
      </c>
      <c r="H2720" s="3">
        <v>46078</v>
      </c>
      <c r="I2720" s="1" t="s">
        <v>933</v>
      </c>
      <c r="J2720" s="1" t="s">
        <v>66</v>
      </c>
      <c r="K2720" s="1" t="s">
        <v>340</v>
      </c>
      <c r="L2720" s="1" t="s">
        <v>4129</v>
      </c>
      <c r="M2720" s="3">
        <v>46059</v>
      </c>
      <c r="N2720" s="1" t="s">
        <v>57</v>
      </c>
      <c r="O2720" s="1" t="s">
        <v>932</v>
      </c>
      <c r="P2720" s="1">
        <v>1</v>
      </c>
    </row>
    <row r="2721" spans="1:16" x14ac:dyDescent="0.25">
      <c r="A2721" s="3">
        <v>46059</v>
      </c>
      <c r="B2721" s="4">
        <v>96097</v>
      </c>
      <c r="C2721" s="5">
        <v>34500</v>
      </c>
      <c r="D2721" s="1" t="s">
        <v>1094</v>
      </c>
      <c r="E2721" s="1" t="s">
        <v>1095</v>
      </c>
      <c r="F2721" s="1" t="s">
        <v>66</v>
      </c>
      <c r="G2721" s="1" t="s">
        <v>998</v>
      </c>
      <c r="H2721" s="3">
        <v>46090</v>
      </c>
      <c r="I2721" s="1" t="s">
        <v>933</v>
      </c>
      <c r="J2721" s="1" t="s">
        <v>66</v>
      </c>
      <c r="K2721" s="1" t="s">
        <v>340</v>
      </c>
      <c r="L2721" s="1" t="s">
        <v>4130</v>
      </c>
      <c r="M2721" s="3">
        <v>46059</v>
      </c>
      <c r="N2721" s="1" t="s">
        <v>57</v>
      </c>
      <c r="O2721" s="1" t="s">
        <v>998</v>
      </c>
      <c r="P2721" s="1">
        <v>1</v>
      </c>
    </row>
    <row r="2722" spans="1:16" x14ac:dyDescent="0.25">
      <c r="A2722" s="3">
        <v>46059</v>
      </c>
      <c r="B2722" s="4">
        <v>794467</v>
      </c>
      <c r="C2722" s="5">
        <v>966</v>
      </c>
      <c r="D2722" s="1" t="s">
        <v>4120</v>
      </c>
      <c r="E2722" s="1" t="s">
        <v>4121</v>
      </c>
      <c r="F2722" s="1" t="s">
        <v>66</v>
      </c>
      <c r="G2722" s="1" t="s">
        <v>1131</v>
      </c>
      <c r="H2722" s="3">
        <v>46086</v>
      </c>
      <c r="I2722" s="1" t="s">
        <v>933</v>
      </c>
      <c r="J2722" s="1" t="s">
        <v>66</v>
      </c>
      <c r="K2722" s="1" t="s">
        <v>340</v>
      </c>
      <c r="L2722" s="1" t="s">
        <v>4131</v>
      </c>
      <c r="M2722" s="3">
        <v>46059</v>
      </c>
      <c r="N2722" s="1" t="s">
        <v>57</v>
      </c>
      <c r="O2722" s="1" t="s">
        <v>936</v>
      </c>
      <c r="P2722" s="1">
        <v>1</v>
      </c>
    </row>
    <row r="2723" spans="1:16" x14ac:dyDescent="0.25">
      <c r="A2723" s="3">
        <v>46059</v>
      </c>
      <c r="B2723" s="4">
        <v>50763</v>
      </c>
      <c r="C2723" s="5">
        <v>885</v>
      </c>
      <c r="D2723" s="1" t="s">
        <v>1489</v>
      </c>
      <c r="E2723" s="1" t="s">
        <v>1490</v>
      </c>
      <c r="F2723" s="1" t="s">
        <v>304</v>
      </c>
      <c r="G2723" s="1" t="s">
        <v>940</v>
      </c>
      <c r="H2723" s="3">
        <v>46085</v>
      </c>
      <c r="I2723" s="1" t="s">
        <v>933</v>
      </c>
      <c r="J2723" s="1" t="s">
        <v>66</v>
      </c>
      <c r="K2723" s="1" t="s">
        <v>340</v>
      </c>
      <c r="L2723" s="1" t="s">
        <v>4132</v>
      </c>
      <c r="M2723" s="3">
        <v>46059</v>
      </c>
      <c r="N2723" s="1" t="s">
        <v>57</v>
      </c>
      <c r="O2723" s="1" t="s">
        <v>936</v>
      </c>
      <c r="P2723" s="1">
        <v>1</v>
      </c>
    </row>
    <row r="2724" spans="1:16" x14ac:dyDescent="0.25">
      <c r="A2724" s="3">
        <v>46059</v>
      </c>
      <c r="B2724" s="4">
        <v>1302</v>
      </c>
      <c r="C2724" s="5">
        <v>4010.34</v>
      </c>
      <c r="D2724" s="1" t="s">
        <v>3971</v>
      </c>
      <c r="E2724" s="1" t="s">
        <v>3972</v>
      </c>
      <c r="F2724" s="1" t="s">
        <v>906</v>
      </c>
      <c r="G2724" s="1" t="s">
        <v>940</v>
      </c>
      <c r="H2724" s="3">
        <v>46090</v>
      </c>
      <c r="I2724" s="1" t="s">
        <v>933</v>
      </c>
      <c r="J2724" s="1" t="s">
        <v>66</v>
      </c>
      <c r="K2724" s="1" t="s">
        <v>308</v>
      </c>
      <c r="L2724" s="1" t="s">
        <v>4133</v>
      </c>
      <c r="M2724" s="3">
        <v>46059</v>
      </c>
      <c r="N2724" s="1" t="s">
        <v>57</v>
      </c>
      <c r="O2724" s="1" t="s">
        <v>936</v>
      </c>
      <c r="P2724" s="1">
        <v>1</v>
      </c>
    </row>
    <row r="2725" spans="1:16" x14ac:dyDescent="0.25">
      <c r="A2725" s="3">
        <v>46059</v>
      </c>
      <c r="B2725" s="4">
        <v>4493</v>
      </c>
      <c r="C2725" s="5">
        <v>650.83000000000004</v>
      </c>
      <c r="D2725" s="1" t="s">
        <v>3830</v>
      </c>
      <c r="E2725" s="1" t="s">
        <v>3831</v>
      </c>
      <c r="F2725" s="1" t="s">
        <v>339</v>
      </c>
      <c r="G2725" s="1" t="s">
        <v>940</v>
      </c>
      <c r="H2725" s="3">
        <v>46077</v>
      </c>
      <c r="I2725" s="1" t="s">
        <v>933</v>
      </c>
      <c r="J2725" s="1" t="s">
        <v>66</v>
      </c>
      <c r="K2725" s="1" t="s">
        <v>308</v>
      </c>
      <c r="L2725" s="1" t="s">
        <v>4134</v>
      </c>
      <c r="M2725" s="3">
        <v>46060</v>
      </c>
      <c r="N2725" s="1" t="s">
        <v>57</v>
      </c>
      <c r="O2725" s="1" t="s">
        <v>936</v>
      </c>
      <c r="P2725" s="1">
        <v>1</v>
      </c>
    </row>
    <row r="2726" spans="1:16" x14ac:dyDescent="0.25">
      <c r="A2726" s="3">
        <v>46059</v>
      </c>
      <c r="B2726" s="4">
        <v>1727</v>
      </c>
      <c r="C2726" s="5">
        <v>188</v>
      </c>
      <c r="D2726" s="1" t="s">
        <v>3830</v>
      </c>
      <c r="E2726" s="1" t="s">
        <v>3831</v>
      </c>
      <c r="F2726" s="1" t="s">
        <v>339</v>
      </c>
      <c r="G2726" s="1" t="s">
        <v>940</v>
      </c>
      <c r="H2726" s="3">
        <v>46077</v>
      </c>
      <c r="I2726" s="1" t="s">
        <v>933</v>
      </c>
      <c r="J2726" s="1" t="s">
        <v>66</v>
      </c>
      <c r="K2726" s="1" t="s">
        <v>308</v>
      </c>
      <c r="L2726" s="1" t="s">
        <v>4135</v>
      </c>
      <c r="M2726" s="3">
        <v>46060</v>
      </c>
      <c r="N2726" s="1" t="s">
        <v>57</v>
      </c>
      <c r="O2726" s="1" t="s">
        <v>936</v>
      </c>
      <c r="P2726" s="1">
        <v>1</v>
      </c>
    </row>
    <row r="2727" spans="1:16" x14ac:dyDescent="0.25">
      <c r="A2727" s="3">
        <v>46059</v>
      </c>
      <c r="B2727" s="1">
        <v>156</v>
      </c>
      <c r="C2727" s="5">
        <v>719</v>
      </c>
      <c r="D2727" s="1" t="s">
        <v>1370</v>
      </c>
      <c r="E2727" s="1" t="s">
        <v>1371</v>
      </c>
      <c r="F2727" s="1" t="s">
        <v>759</v>
      </c>
      <c r="G2727" s="1" t="s">
        <v>940</v>
      </c>
      <c r="H2727" s="3">
        <v>46080</v>
      </c>
      <c r="I2727" s="1" t="s">
        <v>933</v>
      </c>
      <c r="J2727" s="1" t="s">
        <v>66</v>
      </c>
      <c r="K2727" s="1" t="s">
        <v>340</v>
      </c>
      <c r="L2727" s="1" t="s">
        <v>4136</v>
      </c>
      <c r="M2727" s="3">
        <v>46060</v>
      </c>
      <c r="N2727" s="1" t="s">
        <v>75</v>
      </c>
      <c r="O2727" s="1" t="s">
        <v>936</v>
      </c>
      <c r="P2727" s="1" t="s">
        <v>937</v>
      </c>
    </row>
    <row r="2728" spans="1:16" x14ac:dyDescent="0.25">
      <c r="A2728" s="3">
        <v>46059</v>
      </c>
      <c r="B2728" s="4">
        <v>154072</v>
      </c>
      <c r="C2728" s="5">
        <v>403.75</v>
      </c>
      <c r="D2728" s="1" t="s">
        <v>1492</v>
      </c>
      <c r="E2728" s="1" t="s">
        <v>1493</v>
      </c>
      <c r="F2728" s="1" t="s">
        <v>245</v>
      </c>
      <c r="G2728" s="1" t="s">
        <v>940</v>
      </c>
      <c r="H2728" s="3">
        <v>46089</v>
      </c>
      <c r="I2728" s="1" t="s">
        <v>933</v>
      </c>
      <c r="J2728" s="1" t="s">
        <v>66</v>
      </c>
      <c r="K2728" s="1" t="s">
        <v>308</v>
      </c>
      <c r="L2728" s="1" t="s">
        <v>4139</v>
      </c>
      <c r="M2728" s="3">
        <v>46061</v>
      </c>
      <c r="N2728" s="1" t="s">
        <v>57</v>
      </c>
      <c r="O2728" s="1" t="s">
        <v>936</v>
      </c>
      <c r="P2728" s="1">
        <v>1</v>
      </c>
    </row>
    <row r="2729" spans="1:16" x14ac:dyDescent="0.25">
      <c r="A2729" s="3">
        <v>46059</v>
      </c>
      <c r="B2729" s="4">
        <v>14342</v>
      </c>
      <c r="C2729" s="5">
        <v>54</v>
      </c>
      <c r="D2729" s="1" t="s">
        <v>1064</v>
      </c>
      <c r="E2729" s="1" t="s">
        <v>1042</v>
      </c>
      <c r="F2729" s="1" t="s">
        <v>245</v>
      </c>
      <c r="G2729" s="1" t="s">
        <v>940</v>
      </c>
      <c r="H2729" s="1"/>
      <c r="I2729" s="1" t="s">
        <v>933</v>
      </c>
      <c r="J2729" s="1" t="s">
        <v>66</v>
      </c>
      <c r="K2729" s="1" t="s">
        <v>340</v>
      </c>
      <c r="L2729" s="1" t="s">
        <v>4140</v>
      </c>
      <c r="M2729" s="3">
        <v>46064</v>
      </c>
      <c r="N2729" s="1" t="s">
        <v>57</v>
      </c>
      <c r="O2729" s="1" t="s">
        <v>936</v>
      </c>
      <c r="P2729" s="1"/>
    </row>
    <row r="2730" spans="1:16" x14ac:dyDescent="0.25">
      <c r="A2730" s="3">
        <v>46059</v>
      </c>
      <c r="B2730" s="4">
        <v>10481</v>
      </c>
      <c r="C2730" s="5">
        <v>530</v>
      </c>
      <c r="D2730" s="1" t="s">
        <v>3992</v>
      </c>
      <c r="E2730" s="1" t="s">
        <v>3993</v>
      </c>
      <c r="F2730" s="1" t="s">
        <v>392</v>
      </c>
      <c r="G2730" s="1" t="s">
        <v>940</v>
      </c>
      <c r="H2730" s="1"/>
      <c r="I2730" s="1" t="s">
        <v>933</v>
      </c>
      <c r="J2730" s="1" t="s">
        <v>66</v>
      </c>
      <c r="K2730" s="1" t="s">
        <v>640</v>
      </c>
      <c r="L2730" s="1" t="s">
        <v>4141</v>
      </c>
      <c r="M2730" s="3">
        <v>46064</v>
      </c>
      <c r="N2730" s="1" t="s">
        <v>57</v>
      </c>
      <c r="O2730" s="1" t="s">
        <v>936</v>
      </c>
      <c r="P2730" s="1">
        <v>1</v>
      </c>
    </row>
    <row r="2731" spans="1:16" x14ac:dyDescent="0.25">
      <c r="A2731" s="3">
        <v>46059</v>
      </c>
      <c r="B2731" s="1">
        <v>2</v>
      </c>
      <c r="C2731" s="5">
        <v>1000</v>
      </c>
      <c r="D2731" s="1" t="s">
        <v>4142</v>
      </c>
      <c r="E2731" s="1" t="s">
        <v>4143</v>
      </c>
      <c r="F2731" s="1" t="s">
        <v>66</v>
      </c>
      <c r="G2731" s="1" t="s">
        <v>1621</v>
      </c>
      <c r="H2731" s="1"/>
      <c r="I2731" s="1" t="s">
        <v>933</v>
      </c>
      <c r="J2731" s="1" t="s">
        <v>66</v>
      </c>
      <c r="K2731" s="1" t="s">
        <v>934</v>
      </c>
      <c r="L2731" s="1" t="s">
        <v>4144</v>
      </c>
      <c r="M2731" s="3">
        <v>46064</v>
      </c>
      <c r="N2731" s="1" t="s">
        <v>57</v>
      </c>
      <c r="O2731" s="1" t="s">
        <v>936</v>
      </c>
      <c r="P2731" s="1">
        <v>1</v>
      </c>
    </row>
    <row r="2732" spans="1:16" x14ac:dyDescent="0.25">
      <c r="A2732" s="3">
        <v>46060</v>
      </c>
      <c r="B2732" s="4">
        <v>3451</v>
      </c>
      <c r="C2732" s="5">
        <v>1000</v>
      </c>
      <c r="D2732" s="1" t="s">
        <v>1179</v>
      </c>
      <c r="E2732" s="1" t="s">
        <v>1180</v>
      </c>
      <c r="F2732" s="1" t="s">
        <v>271</v>
      </c>
      <c r="G2732" s="1" t="s">
        <v>940</v>
      </c>
      <c r="H2732" s="3">
        <v>46079</v>
      </c>
      <c r="I2732" s="1" t="s">
        <v>933</v>
      </c>
      <c r="J2732" s="1" t="s">
        <v>66</v>
      </c>
      <c r="K2732" s="1" t="s">
        <v>340</v>
      </c>
      <c r="L2732" s="1" t="s">
        <v>4137</v>
      </c>
      <c r="M2732" s="3">
        <v>46061</v>
      </c>
      <c r="N2732" s="1" t="s">
        <v>264</v>
      </c>
      <c r="O2732" s="1" t="s">
        <v>936</v>
      </c>
      <c r="P2732" s="1">
        <v>1</v>
      </c>
    </row>
    <row r="2733" spans="1:16" x14ac:dyDescent="0.25">
      <c r="A2733" s="3">
        <v>46060</v>
      </c>
      <c r="B2733" s="4">
        <v>3859</v>
      </c>
      <c r="C2733" s="5">
        <v>1701</v>
      </c>
      <c r="D2733" s="1" t="s">
        <v>1179</v>
      </c>
      <c r="E2733" s="1" t="s">
        <v>1180</v>
      </c>
      <c r="F2733" s="1" t="s">
        <v>271</v>
      </c>
      <c r="G2733" s="1" t="s">
        <v>940</v>
      </c>
      <c r="H2733" s="3">
        <v>46079</v>
      </c>
      <c r="I2733" s="1" t="s">
        <v>933</v>
      </c>
      <c r="J2733" s="1" t="s">
        <v>66</v>
      </c>
      <c r="K2733" s="1" t="s">
        <v>340</v>
      </c>
      <c r="L2733" s="1" t="s">
        <v>4138</v>
      </c>
      <c r="M2733" s="3">
        <v>46061</v>
      </c>
      <c r="N2733" s="1" t="s">
        <v>264</v>
      </c>
      <c r="O2733" s="1" t="s">
        <v>936</v>
      </c>
      <c r="P2733" s="1">
        <v>1</v>
      </c>
    </row>
    <row r="2734" spans="1:16" x14ac:dyDescent="0.25">
      <c r="A2734" s="3">
        <v>46060</v>
      </c>
      <c r="B2734" s="1">
        <v>72</v>
      </c>
      <c r="C2734" s="5">
        <v>1600</v>
      </c>
      <c r="D2734" s="1" t="s">
        <v>1607</v>
      </c>
      <c r="E2734" s="1" t="s">
        <v>1608</v>
      </c>
      <c r="F2734" s="1" t="s">
        <v>66</v>
      </c>
      <c r="G2734" s="1" t="s">
        <v>932</v>
      </c>
      <c r="H2734" s="3">
        <v>46072</v>
      </c>
      <c r="I2734" s="1" t="s">
        <v>933</v>
      </c>
      <c r="J2734" s="1" t="s">
        <v>66</v>
      </c>
      <c r="K2734" s="1" t="s">
        <v>934</v>
      </c>
      <c r="L2734" s="1" t="s">
        <v>4145</v>
      </c>
      <c r="M2734" s="3">
        <v>46061</v>
      </c>
      <c r="N2734" s="1" t="s">
        <v>57</v>
      </c>
      <c r="O2734" s="1" t="s">
        <v>1497</v>
      </c>
      <c r="P2734" s="1" t="s">
        <v>937</v>
      </c>
    </row>
    <row r="2735" spans="1:16" x14ac:dyDescent="0.25">
      <c r="A2735" s="3">
        <v>46060</v>
      </c>
      <c r="B2735" s="4">
        <v>10184</v>
      </c>
      <c r="C2735" s="5">
        <v>876</v>
      </c>
      <c r="D2735" s="1" t="s">
        <v>973</v>
      </c>
      <c r="E2735" s="1" t="s">
        <v>1068</v>
      </c>
      <c r="F2735" s="1" t="s">
        <v>1814</v>
      </c>
      <c r="G2735" s="1" t="s">
        <v>998</v>
      </c>
      <c r="H2735" s="3">
        <v>46072</v>
      </c>
      <c r="I2735" s="1" t="s">
        <v>933</v>
      </c>
      <c r="J2735" s="1" t="s">
        <v>66</v>
      </c>
      <c r="K2735" s="1" t="s">
        <v>340</v>
      </c>
      <c r="L2735" s="1" t="s">
        <v>4146</v>
      </c>
      <c r="M2735" s="3">
        <v>46061</v>
      </c>
      <c r="N2735" s="1" t="s">
        <v>1814</v>
      </c>
      <c r="O2735" s="1" t="s">
        <v>998</v>
      </c>
      <c r="P2735" s="1">
        <v>1</v>
      </c>
    </row>
    <row r="2736" spans="1:16" x14ac:dyDescent="0.25">
      <c r="A2736" s="3">
        <v>46060</v>
      </c>
      <c r="B2736" s="4">
        <v>10183</v>
      </c>
      <c r="C2736" s="5">
        <v>1188</v>
      </c>
      <c r="D2736" s="1" t="s">
        <v>973</v>
      </c>
      <c r="E2736" s="1" t="s">
        <v>1068</v>
      </c>
      <c r="F2736" s="1" t="s">
        <v>1814</v>
      </c>
      <c r="G2736" s="1" t="s">
        <v>998</v>
      </c>
      <c r="H2736" s="3">
        <v>46072</v>
      </c>
      <c r="I2736" s="1" t="s">
        <v>933</v>
      </c>
      <c r="J2736" s="1" t="s">
        <v>66</v>
      </c>
      <c r="K2736" s="1" t="s">
        <v>340</v>
      </c>
      <c r="L2736" s="1" t="s">
        <v>4146</v>
      </c>
      <c r="M2736" s="3">
        <v>46061</v>
      </c>
      <c r="N2736" s="1" t="s">
        <v>1814</v>
      </c>
      <c r="O2736" s="1" t="s">
        <v>998</v>
      </c>
      <c r="P2736" s="1">
        <v>1</v>
      </c>
    </row>
    <row r="2737" spans="1:16" x14ac:dyDescent="0.25">
      <c r="A2737" s="3">
        <v>46060</v>
      </c>
      <c r="B2737" s="4">
        <v>96078</v>
      </c>
      <c r="C2737" s="5">
        <v>57500</v>
      </c>
      <c r="D2737" s="1" t="s">
        <v>1094</v>
      </c>
      <c r="E2737" s="1" t="s">
        <v>1095</v>
      </c>
      <c r="F2737" s="1" t="s">
        <v>1131</v>
      </c>
      <c r="G2737" s="1" t="s">
        <v>998</v>
      </c>
      <c r="H2737" s="3">
        <v>46090</v>
      </c>
      <c r="I2737" s="1" t="s">
        <v>933</v>
      </c>
      <c r="J2737" s="1" t="s">
        <v>1131</v>
      </c>
      <c r="K2737" s="1" t="s">
        <v>340</v>
      </c>
      <c r="L2737" s="1" t="s">
        <v>4147</v>
      </c>
      <c r="M2737" s="3">
        <v>46061</v>
      </c>
      <c r="N2737" s="1" t="s">
        <v>57</v>
      </c>
      <c r="O2737" s="1" t="s">
        <v>998</v>
      </c>
      <c r="P2737" s="1">
        <v>2</v>
      </c>
    </row>
    <row r="2738" spans="1:16" x14ac:dyDescent="0.25">
      <c r="A2738" s="3">
        <v>46060</v>
      </c>
      <c r="B2738" s="1">
        <v>149</v>
      </c>
      <c r="C2738" s="5">
        <v>1600</v>
      </c>
      <c r="D2738" s="1" t="s">
        <v>1867</v>
      </c>
      <c r="E2738" s="1" t="s">
        <v>1971</v>
      </c>
      <c r="F2738" s="1" t="s">
        <v>949</v>
      </c>
      <c r="G2738" s="1" t="s">
        <v>932</v>
      </c>
      <c r="H2738" s="3">
        <v>46072</v>
      </c>
      <c r="I2738" s="1" t="s">
        <v>933</v>
      </c>
      <c r="J2738" s="1" t="s">
        <v>951</v>
      </c>
      <c r="K2738" s="1" t="s">
        <v>1654</v>
      </c>
      <c r="L2738" s="1" t="s">
        <v>4148</v>
      </c>
      <c r="M2738" s="3">
        <v>46061</v>
      </c>
      <c r="N2738" s="1" t="s">
        <v>57</v>
      </c>
      <c r="O2738" s="1" t="s">
        <v>936</v>
      </c>
      <c r="P2738" s="1">
        <v>1</v>
      </c>
    </row>
    <row r="2739" spans="1:16" x14ac:dyDescent="0.25">
      <c r="A2739" s="3">
        <v>46060</v>
      </c>
      <c r="B2739" s="4">
        <v>10212</v>
      </c>
      <c r="C2739" s="5">
        <v>10547.16</v>
      </c>
      <c r="D2739" s="1" t="s">
        <v>973</v>
      </c>
      <c r="E2739" s="1" t="s">
        <v>1068</v>
      </c>
      <c r="F2739" s="1" t="s">
        <v>1814</v>
      </c>
      <c r="G2739" s="1" t="s">
        <v>998</v>
      </c>
      <c r="H2739" s="3">
        <v>46075</v>
      </c>
      <c r="I2739" s="1" t="s">
        <v>933</v>
      </c>
      <c r="J2739" s="1" t="s">
        <v>66</v>
      </c>
      <c r="K2739" s="1" t="s">
        <v>308</v>
      </c>
      <c r="L2739" s="1" t="s">
        <v>4149</v>
      </c>
      <c r="M2739" s="3">
        <v>46061</v>
      </c>
      <c r="N2739" s="1" t="s">
        <v>1814</v>
      </c>
      <c r="O2739" s="1" t="s">
        <v>998</v>
      </c>
      <c r="P2739" s="1">
        <v>1</v>
      </c>
    </row>
    <row r="2740" spans="1:16" x14ac:dyDescent="0.25">
      <c r="A2740" s="3">
        <v>46060</v>
      </c>
      <c r="B2740" s="1">
        <v>117</v>
      </c>
      <c r="C2740" s="5">
        <v>10954</v>
      </c>
      <c r="D2740" s="1" t="s">
        <v>3887</v>
      </c>
      <c r="E2740" s="1" t="s">
        <v>3888</v>
      </c>
      <c r="F2740" s="1" t="s">
        <v>66</v>
      </c>
      <c r="G2740" s="1" t="s">
        <v>1029</v>
      </c>
      <c r="H2740" s="3">
        <v>46074</v>
      </c>
      <c r="I2740" s="1" t="s">
        <v>933</v>
      </c>
      <c r="J2740" s="1" t="s">
        <v>66</v>
      </c>
      <c r="K2740" s="1" t="s">
        <v>340</v>
      </c>
      <c r="L2740" s="1" t="s">
        <v>4150</v>
      </c>
      <c r="M2740" s="3">
        <v>46063</v>
      </c>
      <c r="N2740" s="1" t="s">
        <v>712</v>
      </c>
      <c r="O2740" s="1" t="s">
        <v>936</v>
      </c>
      <c r="P2740" s="1">
        <v>1</v>
      </c>
    </row>
    <row r="2741" spans="1:16" x14ac:dyDescent="0.25">
      <c r="A2741" s="3">
        <v>46060</v>
      </c>
      <c r="B2741" s="4">
        <v>10209</v>
      </c>
      <c r="C2741" s="5">
        <v>12141.87</v>
      </c>
      <c r="D2741" s="1" t="s">
        <v>973</v>
      </c>
      <c r="E2741" s="1" t="s">
        <v>1068</v>
      </c>
      <c r="F2741" s="1" t="s">
        <v>1814</v>
      </c>
      <c r="G2741" s="1" t="s">
        <v>1814</v>
      </c>
      <c r="H2741" s="3">
        <v>46074</v>
      </c>
      <c r="I2741" s="1" t="s">
        <v>933</v>
      </c>
      <c r="J2741" s="1" t="s">
        <v>66</v>
      </c>
      <c r="K2741" s="1" t="s">
        <v>308</v>
      </c>
      <c r="L2741" s="1" t="s">
        <v>4151</v>
      </c>
      <c r="M2741" s="3">
        <v>46060</v>
      </c>
      <c r="N2741" s="1" t="s">
        <v>1814</v>
      </c>
      <c r="O2741" s="1" t="s">
        <v>998</v>
      </c>
      <c r="P2741" s="1">
        <v>1</v>
      </c>
    </row>
    <row r="2742" spans="1:16" x14ac:dyDescent="0.25">
      <c r="A2742" s="3">
        <v>46060</v>
      </c>
      <c r="B2742" s="4">
        <v>338835</v>
      </c>
      <c r="C2742" s="5">
        <v>1735.97</v>
      </c>
      <c r="D2742" s="1" t="s">
        <v>3274</v>
      </c>
      <c r="E2742" s="1" t="s">
        <v>3275</v>
      </c>
      <c r="F2742" s="1" t="s">
        <v>400</v>
      </c>
      <c r="G2742" s="1" t="s">
        <v>950</v>
      </c>
      <c r="H2742" s="3">
        <v>46085</v>
      </c>
      <c r="I2742" s="1" t="s">
        <v>933</v>
      </c>
      <c r="J2742" s="1" t="s">
        <v>66</v>
      </c>
      <c r="K2742" s="1" t="s">
        <v>340</v>
      </c>
      <c r="L2742" s="1" t="s">
        <v>4152</v>
      </c>
      <c r="M2742" s="3">
        <v>46060</v>
      </c>
      <c r="N2742" s="1" t="s">
        <v>57</v>
      </c>
      <c r="O2742" s="1" t="s">
        <v>936</v>
      </c>
      <c r="P2742" s="1">
        <v>1</v>
      </c>
    </row>
    <row r="2743" spans="1:16" x14ac:dyDescent="0.25">
      <c r="A2743" s="3">
        <v>46060</v>
      </c>
      <c r="B2743" s="4">
        <v>338744</v>
      </c>
      <c r="C2743" s="5">
        <v>999</v>
      </c>
      <c r="D2743" s="1" t="s">
        <v>3274</v>
      </c>
      <c r="E2743" s="1" t="s">
        <v>3275</v>
      </c>
      <c r="F2743" s="1" t="s">
        <v>654</v>
      </c>
      <c r="G2743" s="1" t="s">
        <v>940</v>
      </c>
      <c r="H2743" s="3">
        <v>46085</v>
      </c>
      <c r="I2743" s="1" t="s">
        <v>933</v>
      </c>
      <c r="J2743" s="1" t="s">
        <v>66</v>
      </c>
      <c r="K2743" s="1" t="s">
        <v>1654</v>
      </c>
      <c r="L2743" s="1" t="s">
        <v>4153</v>
      </c>
      <c r="M2743" s="3">
        <v>46060</v>
      </c>
      <c r="N2743" s="1" t="s">
        <v>657</v>
      </c>
      <c r="O2743" s="1" t="s">
        <v>936</v>
      </c>
      <c r="P2743" s="1">
        <v>1</v>
      </c>
    </row>
    <row r="2744" spans="1:16" x14ac:dyDescent="0.25">
      <c r="A2744" s="3">
        <v>46060</v>
      </c>
      <c r="B2744" s="4">
        <v>3450</v>
      </c>
      <c r="C2744" s="5">
        <v>300</v>
      </c>
      <c r="D2744" s="1" t="s">
        <v>1179</v>
      </c>
      <c r="E2744" s="1" t="s">
        <v>1180</v>
      </c>
      <c r="F2744" s="1" t="s">
        <v>66</v>
      </c>
      <c r="G2744" s="1" t="s">
        <v>1260</v>
      </c>
      <c r="H2744" s="3">
        <v>46079</v>
      </c>
      <c r="I2744" s="1" t="s">
        <v>933</v>
      </c>
      <c r="J2744" s="1" t="s">
        <v>66</v>
      </c>
      <c r="K2744" s="1" t="s">
        <v>934</v>
      </c>
      <c r="L2744" s="1" t="s">
        <v>4155</v>
      </c>
      <c r="M2744" s="3">
        <v>46061</v>
      </c>
      <c r="N2744" s="1" t="s">
        <v>57</v>
      </c>
      <c r="O2744" s="1" t="s">
        <v>936</v>
      </c>
      <c r="P2744" s="1">
        <v>1</v>
      </c>
    </row>
    <row r="2745" spans="1:16" x14ac:dyDescent="0.25">
      <c r="A2745" s="3">
        <v>46060</v>
      </c>
      <c r="B2745" s="4">
        <v>3858</v>
      </c>
      <c r="C2745" s="5">
        <v>100</v>
      </c>
      <c r="D2745" s="1" t="s">
        <v>1179</v>
      </c>
      <c r="E2745" s="1" t="s">
        <v>1180</v>
      </c>
      <c r="F2745" s="1" t="s">
        <v>66</v>
      </c>
      <c r="G2745" s="1" t="s">
        <v>950</v>
      </c>
      <c r="H2745" s="3">
        <v>46079</v>
      </c>
      <c r="I2745" s="1" t="s">
        <v>933</v>
      </c>
      <c r="J2745" s="1" t="s">
        <v>66</v>
      </c>
      <c r="K2745" s="1" t="s">
        <v>934</v>
      </c>
      <c r="L2745" s="1" t="s">
        <v>4156</v>
      </c>
      <c r="M2745" s="3">
        <v>46061</v>
      </c>
      <c r="N2745" s="1" t="s">
        <v>57</v>
      </c>
      <c r="O2745" s="1" t="s">
        <v>936</v>
      </c>
      <c r="P2745" s="1">
        <v>1</v>
      </c>
    </row>
    <row r="2746" spans="1:16" x14ac:dyDescent="0.25">
      <c r="A2746" s="3">
        <v>46060</v>
      </c>
      <c r="B2746" s="4">
        <v>83194</v>
      </c>
      <c r="C2746" s="5">
        <v>1115.99</v>
      </c>
      <c r="D2746" s="1" t="s">
        <v>1174</v>
      </c>
      <c r="E2746" s="1" t="s">
        <v>1314</v>
      </c>
      <c r="F2746" s="1" t="s">
        <v>833</v>
      </c>
      <c r="G2746" s="1" t="s">
        <v>940</v>
      </c>
      <c r="H2746" s="3">
        <v>46088</v>
      </c>
      <c r="I2746" s="1" t="s">
        <v>933</v>
      </c>
      <c r="J2746" s="1" t="s">
        <v>66</v>
      </c>
      <c r="K2746" s="1" t="s">
        <v>340</v>
      </c>
      <c r="L2746" s="1" t="s">
        <v>4159</v>
      </c>
      <c r="M2746" s="3">
        <v>46063</v>
      </c>
      <c r="N2746" s="1" t="s">
        <v>836</v>
      </c>
      <c r="O2746" s="1" t="s">
        <v>936</v>
      </c>
      <c r="P2746" s="1">
        <v>1</v>
      </c>
    </row>
    <row r="2747" spans="1:16" x14ac:dyDescent="0.25">
      <c r="A2747" s="3">
        <v>46060</v>
      </c>
      <c r="B2747" s="4">
        <v>4604</v>
      </c>
      <c r="C2747" s="5">
        <v>524.55999999999995</v>
      </c>
      <c r="D2747" s="1" t="s">
        <v>3130</v>
      </c>
      <c r="E2747" s="1" t="s">
        <v>3131</v>
      </c>
      <c r="F2747" s="1" t="s">
        <v>66</v>
      </c>
      <c r="G2747" s="1" t="s">
        <v>981</v>
      </c>
      <c r="H2747" s="3">
        <v>46076</v>
      </c>
      <c r="I2747" s="1" t="s">
        <v>933</v>
      </c>
      <c r="J2747" s="1" t="s">
        <v>66</v>
      </c>
      <c r="K2747" s="1" t="s">
        <v>340</v>
      </c>
      <c r="L2747" s="1" t="s">
        <v>4160</v>
      </c>
      <c r="M2747" s="3">
        <v>46063</v>
      </c>
      <c r="N2747" s="1" t="s">
        <v>57</v>
      </c>
      <c r="O2747" s="1" t="s">
        <v>936</v>
      </c>
      <c r="P2747" s="1" t="s">
        <v>937</v>
      </c>
    </row>
    <row r="2748" spans="1:16" x14ac:dyDescent="0.25">
      <c r="A2748" s="3">
        <v>46060</v>
      </c>
      <c r="B2748" s="4">
        <v>10489</v>
      </c>
      <c r="C2748" s="5">
        <v>41</v>
      </c>
      <c r="D2748" s="1" t="s">
        <v>3992</v>
      </c>
      <c r="E2748" s="1" t="s">
        <v>3993</v>
      </c>
      <c r="F2748" s="1" t="s">
        <v>66</v>
      </c>
      <c r="G2748" s="1" t="s">
        <v>940</v>
      </c>
      <c r="H2748" s="1"/>
      <c r="I2748" s="1" t="s">
        <v>933</v>
      </c>
      <c r="J2748" s="1" t="s">
        <v>66</v>
      </c>
      <c r="K2748" s="1" t="s">
        <v>817</v>
      </c>
      <c r="L2748" s="1" t="s">
        <v>4161</v>
      </c>
      <c r="M2748" s="3">
        <v>46064</v>
      </c>
      <c r="N2748" s="1" t="s">
        <v>57</v>
      </c>
      <c r="O2748" s="1" t="s">
        <v>936</v>
      </c>
      <c r="P2748" s="1">
        <v>1</v>
      </c>
    </row>
    <row r="2749" spans="1:16" x14ac:dyDescent="0.25">
      <c r="A2749" s="3">
        <v>46060</v>
      </c>
      <c r="B2749" s="4">
        <v>96078</v>
      </c>
      <c r="C2749" s="5">
        <v>57500</v>
      </c>
      <c r="D2749" s="1" t="s">
        <v>1094</v>
      </c>
      <c r="E2749" s="1" t="s">
        <v>1095</v>
      </c>
      <c r="F2749" s="1" t="s">
        <v>66</v>
      </c>
      <c r="G2749" s="1" t="s">
        <v>998</v>
      </c>
      <c r="H2749" s="3">
        <v>46090</v>
      </c>
      <c r="I2749" s="1" t="s">
        <v>933</v>
      </c>
      <c r="J2749" s="1" t="s">
        <v>66</v>
      </c>
      <c r="K2749" s="1" t="s">
        <v>66</v>
      </c>
      <c r="L2749" s="1" t="s">
        <v>4162</v>
      </c>
      <c r="M2749" s="3">
        <v>46066</v>
      </c>
      <c r="N2749" s="1" t="s">
        <v>57</v>
      </c>
      <c r="O2749" s="1" t="s">
        <v>998</v>
      </c>
      <c r="P2749" s="1">
        <v>2</v>
      </c>
    </row>
    <row r="2750" spans="1:16" x14ac:dyDescent="0.25">
      <c r="A2750" s="3">
        <v>46060</v>
      </c>
      <c r="B2750" s="4">
        <v>10520</v>
      </c>
      <c r="C2750" s="5">
        <v>12998.42</v>
      </c>
      <c r="D2750" s="1" t="s">
        <v>973</v>
      </c>
      <c r="E2750" s="1" t="s">
        <v>1068</v>
      </c>
      <c r="F2750" s="1" t="s">
        <v>66</v>
      </c>
      <c r="G2750" s="1" t="s">
        <v>998</v>
      </c>
      <c r="H2750" s="3">
        <v>46095</v>
      </c>
      <c r="I2750" s="1" t="s">
        <v>933</v>
      </c>
      <c r="J2750" s="1" t="s">
        <v>66</v>
      </c>
      <c r="K2750" s="1" t="s">
        <v>66</v>
      </c>
      <c r="L2750" s="1" t="s">
        <v>4163</v>
      </c>
      <c r="M2750" s="3">
        <v>46088</v>
      </c>
      <c r="N2750" s="1" t="s">
        <v>57</v>
      </c>
      <c r="O2750" s="1" t="s">
        <v>998</v>
      </c>
      <c r="P2750" s="1">
        <v>1</v>
      </c>
    </row>
    <row r="2751" spans="1:16" x14ac:dyDescent="0.25">
      <c r="A2751" s="3">
        <v>46062</v>
      </c>
      <c r="B2751" s="4">
        <v>1184</v>
      </c>
      <c r="C2751" s="5">
        <v>300</v>
      </c>
      <c r="D2751" s="1" t="s">
        <v>1074</v>
      </c>
      <c r="E2751" s="1" t="s">
        <v>1075</v>
      </c>
      <c r="F2751" s="1">
        <v>100041</v>
      </c>
      <c r="G2751" s="1" t="s">
        <v>981</v>
      </c>
      <c r="H2751" s="3">
        <v>46082</v>
      </c>
      <c r="I2751" s="1" t="s">
        <v>933</v>
      </c>
      <c r="J2751" s="1" t="s">
        <v>66</v>
      </c>
      <c r="K2751" s="1" t="s">
        <v>340</v>
      </c>
      <c r="L2751" s="1" t="s">
        <v>4164</v>
      </c>
      <c r="M2751" s="3">
        <v>46058</v>
      </c>
      <c r="N2751" s="1" t="s">
        <v>57</v>
      </c>
      <c r="O2751" s="1" t="s">
        <v>936</v>
      </c>
      <c r="P2751" s="1">
        <v>1</v>
      </c>
    </row>
    <row r="2752" spans="1:16" x14ac:dyDescent="0.25">
      <c r="A2752" s="3">
        <v>46062</v>
      </c>
      <c r="B2752" s="4">
        <v>1184</v>
      </c>
      <c r="C2752" s="5">
        <v>40</v>
      </c>
      <c r="D2752" s="1" t="s">
        <v>1074</v>
      </c>
      <c r="E2752" s="1" t="s">
        <v>1075</v>
      </c>
      <c r="F2752" s="1" t="s">
        <v>66</v>
      </c>
      <c r="G2752" s="1" t="s">
        <v>981</v>
      </c>
      <c r="H2752" s="3">
        <v>46082</v>
      </c>
      <c r="I2752" s="1" t="s">
        <v>933</v>
      </c>
      <c r="J2752" s="1" t="s">
        <v>66</v>
      </c>
      <c r="K2752" s="1" t="s">
        <v>340</v>
      </c>
      <c r="L2752" s="1" t="s">
        <v>4165</v>
      </c>
      <c r="M2752" s="3">
        <v>46058</v>
      </c>
      <c r="N2752" s="1" t="s">
        <v>57</v>
      </c>
      <c r="O2752" s="1" t="s">
        <v>936</v>
      </c>
      <c r="P2752" s="1">
        <v>1</v>
      </c>
    </row>
    <row r="2753" spans="1:16" x14ac:dyDescent="0.25">
      <c r="A2753" s="3">
        <v>46062</v>
      </c>
      <c r="B2753" s="4">
        <v>1184</v>
      </c>
      <c r="C2753" s="5">
        <v>50</v>
      </c>
      <c r="D2753" s="1" t="s">
        <v>1074</v>
      </c>
      <c r="E2753" s="1" t="s">
        <v>1075</v>
      </c>
      <c r="F2753" s="1" t="s">
        <v>66</v>
      </c>
      <c r="G2753" s="1" t="s">
        <v>981</v>
      </c>
      <c r="H2753" s="3">
        <v>46082</v>
      </c>
      <c r="I2753" s="1" t="s">
        <v>933</v>
      </c>
      <c r="J2753" s="1" t="s">
        <v>66</v>
      </c>
      <c r="K2753" s="1" t="s">
        <v>1654</v>
      </c>
      <c r="L2753" s="1" t="s">
        <v>4166</v>
      </c>
      <c r="M2753" s="3">
        <v>46058</v>
      </c>
      <c r="N2753" s="1" t="s">
        <v>57</v>
      </c>
      <c r="O2753" s="1" t="s">
        <v>936</v>
      </c>
      <c r="P2753" s="1">
        <v>1</v>
      </c>
    </row>
    <row r="2754" spans="1:16" x14ac:dyDescent="0.25">
      <c r="A2754" s="3">
        <v>46062</v>
      </c>
      <c r="B2754" s="4">
        <v>1184</v>
      </c>
      <c r="C2754" s="5">
        <v>25</v>
      </c>
      <c r="D2754" s="1" t="s">
        <v>1074</v>
      </c>
      <c r="E2754" s="1" t="s">
        <v>1075</v>
      </c>
      <c r="F2754" s="1" t="s">
        <v>66</v>
      </c>
      <c r="G2754" s="1" t="s">
        <v>981</v>
      </c>
      <c r="H2754" s="3">
        <v>46082</v>
      </c>
      <c r="I2754" s="1" t="s">
        <v>933</v>
      </c>
      <c r="J2754" s="1" t="s">
        <v>66</v>
      </c>
      <c r="K2754" s="1"/>
      <c r="L2754" s="1" t="s">
        <v>4167</v>
      </c>
      <c r="M2754" s="3">
        <v>46058</v>
      </c>
      <c r="N2754" s="1" t="s">
        <v>57</v>
      </c>
      <c r="O2754" s="1" t="s">
        <v>936</v>
      </c>
      <c r="P2754" s="1">
        <v>1</v>
      </c>
    </row>
    <row r="2755" spans="1:16" x14ac:dyDescent="0.25">
      <c r="A2755" s="3">
        <v>46062</v>
      </c>
      <c r="B2755" s="4">
        <v>1184</v>
      </c>
      <c r="C2755" s="5">
        <v>510</v>
      </c>
      <c r="D2755" s="1" t="s">
        <v>1074</v>
      </c>
      <c r="E2755" s="1" t="s">
        <v>1075</v>
      </c>
      <c r="F2755" s="1" t="s">
        <v>753</v>
      </c>
      <c r="G2755" s="1" t="s">
        <v>981</v>
      </c>
      <c r="H2755" s="3">
        <v>46082</v>
      </c>
      <c r="I2755" s="1" t="s">
        <v>933</v>
      </c>
      <c r="J2755" s="1" t="s">
        <v>66</v>
      </c>
      <c r="K2755" s="1" t="s">
        <v>340</v>
      </c>
      <c r="L2755" s="1" t="s">
        <v>4168</v>
      </c>
      <c r="M2755" s="3">
        <v>46058</v>
      </c>
      <c r="N2755" s="1" t="s">
        <v>57</v>
      </c>
      <c r="O2755" s="1" t="s">
        <v>936</v>
      </c>
      <c r="P2755" s="1">
        <v>1</v>
      </c>
    </row>
    <row r="2756" spans="1:16" x14ac:dyDescent="0.25">
      <c r="A2756" s="3">
        <v>46062</v>
      </c>
      <c r="B2756" s="4">
        <v>72813</v>
      </c>
      <c r="C2756" s="5">
        <v>1847.26</v>
      </c>
      <c r="D2756" s="1" t="s">
        <v>1253</v>
      </c>
      <c r="E2756" s="1" t="s">
        <v>1487</v>
      </c>
      <c r="F2756" s="1" t="s">
        <v>599</v>
      </c>
      <c r="G2756" s="1" t="s">
        <v>940</v>
      </c>
      <c r="H2756" s="3">
        <v>46092</v>
      </c>
      <c r="I2756" s="1" t="s">
        <v>1100</v>
      </c>
      <c r="J2756" s="1" t="s">
        <v>66</v>
      </c>
      <c r="K2756" s="1" t="s">
        <v>340</v>
      </c>
      <c r="L2756" s="1" t="s">
        <v>4169</v>
      </c>
      <c r="M2756" s="3">
        <v>46063</v>
      </c>
      <c r="N2756" s="1" t="s">
        <v>57</v>
      </c>
      <c r="O2756" s="1" t="s">
        <v>936</v>
      </c>
      <c r="P2756" s="1">
        <v>1</v>
      </c>
    </row>
    <row r="2757" spans="1:16" x14ac:dyDescent="0.25">
      <c r="A2757" s="3">
        <v>46062</v>
      </c>
      <c r="B2757" s="1">
        <v>294</v>
      </c>
      <c r="C2757" s="5">
        <v>2500</v>
      </c>
      <c r="D2757" s="1" t="s">
        <v>2232</v>
      </c>
      <c r="E2757" s="1" t="s">
        <v>4170</v>
      </c>
      <c r="F2757" s="1" t="s">
        <v>457</v>
      </c>
      <c r="G2757" s="1" t="s">
        <v>932</v>
      </c>
      <c r="H2757" s="3">
        <v>46083</v>
      </c>
      <c r="I2757" s="1" t="s">
        <v>933</v>
      </c>
      <c r="J2757" s="1" t="s">
        <v>66</v>
      </c>
      <c r="K2757" s="1" t="s">
        <v>308</v>
      </c>
      <c r="L2757" s="1" t="s">
        <v>4171</v>
      </c>
      <c r="M2757" s="3">
        <v>46063</v>
      </c>
      <c r="N2757" s="1" t="s">
        <v>358</v>
      </c>
      <c r="O2757" s="1" t="s">
        <v>937</v>
      </c>
      <c r="P2757" s="1" t="s">
        <v>937</v>
      </c>
    </row>
    <row r="2758" spans="1:16" x14ac:dyDescent="0.25">
      <c r="A2758" s="3">
        <v>46062</v>
      </c>
      <c r="B2758" s="1">
        <v>8</v>
      </c>
      <c r="C2758" s="5">
        <v>7000</v>
      </c>
      <c r="D2758" s="1" t="s">
        <v>4172</v>
      </c>
      <c r="E2758" s="1" t="s">
        <v>4173</v>
      </c>
      <c r="F2758" s="1" t="s">
        <v>66</v>
      </c>
      <c r="G2758" s="1" t="s">
        <v>940</v>
      </c>
      <c r="H2758" s="3">
        <v>46084</v>
      </c>
      <c r="I2758" s="1" t="s">
        <v>933</v>
      </c>
      <c r="J2758" s="1" t="s">
        <v>66</v>
      </c>
      <c r="K2758" s="1" t="s">
        <v>340</v>
      </c>
      <c r="L2758" s="1" t="s">
        <v>4174</v>
      </c>
      <c r="M2758" s="3">
        <v>46063</v>
      </c>
      <c r="N2758" s="1" t="s">
        <v>57</v>
      </c>
      <c r="O2758" s="1" t="s">
        <v>936</v>
      </c>
      <c r="P2758" s="1" t="s">
        <v>937</v>
      </c>
    </row>
    <row r="2759" spans="1:16" x14ac:dyDescent="0.25">
      <c r="A2759" s="3">
        <v>46062</v>
      </c>
      <c r="B2759" s="1">
        <v>3</v>
      </c>
      <c r="C2759" s="5">
        <v>2000</v>
      </c>
      <c r="D2759" s="1" t="s">
        <v>4172</v>
      </c>
      <c r="E2759" s="1" t="s">
        <v>4173</v>
      </c>
      <c r="F2759" s="1" t="s">
        <v>66</v>
      </c>
      <c r="G2759" s="1" t="s">
        <v>940</v>
      </c>
      <c r="H2759" s="3">
        <v>46076</v>
      </c>
      <c r="I2759" s="1" t="s">
        <v>933</v>
      </c>
      <c r="J2759" s="1" t="s">
        <v>66</v>
      </c>
      <c r="K2759" s="1" t="s">
        <v>340</v>
      </c>
      <c r="L2759" s="1" t="s">
        <v>4175</v>
      </c>
      <c r="M2759" s="3">
        <v>46063</v>
      </c>
      <c r="N2759" s="1" t="s">
        <v>57</v>
      </c>
      <c r="O2759" s="1" t="s">
        <v>936</v>
      </c>
      <c r="P2759" s="1" t="s">
        <v>937</v>
      </c>
    </row>
    <row r="2760" spans="1:16" x14ac:dyDescent="0.25">
      <c r="A2760" s="3">
        <v>46062</v>
      </c>
      <c r="B2760" s="4">
        <v>3959</v>
      </c>
      <c r="C2760" s="5">
        <v>300</v>
      </c>
      <c r="D2760" s="1" t="s">
        <v>1864</v>
      </c>
      <c r="E2760" s="1" t="s">
        <v>4176</v>
      </c>
      <c r="F2760" s="1" t="s">
        <v>844</v>
      </c>
      <c r="G2760" s="1" t="s">
        <v>940</v>
      </c>
      <c r="H2760" s="1"/>
      <c r="I2760" s="1" t="s">
        <v>933</v>
      </c>
      <c r="J2760" s="1" t="s">
        <v>66</v>
      </c>
      <c r="K2760" s="1" t="s">
        <v>340</v>
      </c>
      <c r="L2760" s="1" t="s">
        <v>4177</v>
      </c>
      <c r="M2760" s="3">
        <v>46064</v>
      </c>
      <c r="N2760" s="1" t="s">
        <v>836</v>
      </c>
      <c r="O2760" s="1" t="s">
        <v>936</v>
      </c>
      <c r="P2760" s="1">
        <v>1</v>
      </c>
    </row>
    <row r="2761" spans="1:16" x14ac:dyDescent="0.25">
      <c r="A2761" s="3">
        <v>46062</v>
      </c>
      <c r="B2761" s="1">
        <v>241</v>
      </c>
      <c r="C2761" s="5">
        <v>400</v>
      </c>
      <c r="D2761" s="1" t="s">
        <v>4178</v>
      </c>
      <c r="E2761" s="1" t="s">
        <v>4179</v>
      </c>
      <c r="F2761" s="1" t="s">
        <v>453</v>
      </c>
      <c r="G2761" s="1" t="s">
        <v>940</v>
      </c>
      <c r="H2761" s="1"/>
      <c r="I2761" s="1" t="s">
        <v>933</v>
      </c>
      <c r="J2761" s="1" t="s">
        <v>66</v>
      </c>
      <c r="K2761" s="1" t="s">
        <v>308</v>
      </c>
      <c r="L2761" s="1" t="s">
        <v>4180</v>
      </c>
      <c r="M2761" s="3">
        <v>46065</v>
      </c>
      <c r="N2761" s="1" t="s">
        <v>455</v>
      </c>
      <c r="O2761" s="1" t="s">
        <v>981</v>
      </c>
      <c r="P2761" s="1">
        <v>1</v>
      </c>
    </row>
    <row r="2762" spans="1:16" x14ac:dyDescent="0.25">
      <c r="A2762" s="3">
        <v>46062</v>
      </c>
      <c r="B2762" s="4">
        <v>154307</v>
      </c>
      <c r="C2762" s="5">
        <v>489.85</v>
      </c>
      <c r="D2762" s="1" t="s">
        <v>1492</v>
      </c>
      <c r="E2762" s="1" t="s">
        <v>1493</v>
      </c>
      <c r="F2762" s="1" t="s">
        <v>245</v>
      </c>
      <c r="G2762" s="1" t="s">
        <v>940</v>
      </c>
      <c r="H2762" s="3">
        <v>46092</v>
      </c>
      <c r="I2762" s="1" t="s">
        <v>933</v>
      </c>
      <c r="J2762" s="1" t="s">
        <v>66</v>
      </c>
      <c r="K2762" s="1" t="s">
        <v>340</v>
      </c>
      <c r="L2762" s="1" t="s">
        <v>4181</v>
      </c>
      <c r="M2762" s="3">
        <v>46066</v>
      </c>
      <c r="N2762" s="1" t="s">
        <v>57</v>
      </c>
      <c r="O2762" s="1" t="s">
        <v>936</v>
      </c>
      <c r="P2762" s="1">
        <v>1</v>
      </c>
    </row>
    <row r="2763" spans="1:16" x14ac:dyDescent="0.25">
      <c r="A2763" s="3">
        <v>46062</v>
      </c>
      <c r="B2763" s="1">
        <v>993</v>
      </c>
      <c r="C2763" s="5">
        <v>7950</v>
      </c>
      <c r="D2763" s="1" t="s">
        <v>3122</v>
      </c>
      <c r="E2763" s="1" t="s">
        <v>3123</v>
      </c>
      <c r="F2763" s="1" t="s">
        <v>966</v>
      </c>
      <c r="G2763" s="1" t="s">
        <v>932</v>
      </c>
      <c r="H2763" s="3">
        <v>46076</v>
      </c>
      <c r="I2763" s="1" t="s">
        <v>933</v>
      </c>
      <c r="J2763" s="1" t="s">
        <v>951</v>
      </c>
      <c r="K2763" s="1" t="s">
        <v>659</v>
      </c>
      <c r="L2763" s="1" t="s">
        <v>4182</v>
      </c>
      <c r="M2763" s="3">
        <v>46070</v>
      </c>
      <c r="N2763" s="1" t="s">
        <v>57</v>
      </c>
      <c r="O2763" s="1" t="s">
        <v>936</v>
      </c>
      <c r="P2763" s="1">
        <v>1</v>
      </c>
    </row>
    <row r="2764" spans="1:16" x14ac:dyDescent="0.25">
      <c r="A2764" s="3">
        <v>46062</v>
      </c>
      <c r="B2764" s="1">
        <v>472</v>
      </c>
      <c r="C2764" s="5">
        <v>7405</v>
      </c>
      <c r="D2764" s="1" t="s">
        <v>1222</v>
      </c>
      <c r="E2764" s="1" t="s">
        <v>1223</v>
      </c>
      <c r="F2764" s="1" t="s">
        <v>66</v>
      </c>
      <c r="G2764" s="1" t="s">
        <v>940</v>
      </c>
      <c r="H2764" s="3">
        <v>46090</v>
      </c>
      <c r="I2764" s="1" t="s">
        <v>933</v>
      </c>
      <c r="J2764" s="1" t="s">
        <v>66</v>
      </c>
      <c r="K2764" s="1" t="s">
        <v>340</v>
      </c>
      <c r="L2764" s="1" t="s">
        <v>4183</v>
      </c>
      <c r="M2764" s="3">
        <v>46066</v>
      </c>
      <c r="N2764" s="1" t="s">
        <v>57</v>
      </c>
      <c r="O2764" s="1" t="s">
        <v>936</v>
      </c>
      <c r="P2764" s="1" t="s">
        <v>937</v>
      </c>
    </row>
    <row r="2765" spans="1:16" x14ac:dyDescent="0.25">
      <c r="A2765" s="3">
        <v>46062</v>
      </c>
      <c r="B2765" s="4">
        <v>21944</v>
      </c>
      <c r="C2765" s="5">
        <v>12800</v>
      </c>
      <c r="D2765" s="1" t="s">
        <v>2345</v>
      </c>
      <c r="E2765" s="1" t="s">
        <v>2325</v>
      </c>
      <c r="F2765" s="1" t="s">
        <v>871</v>
      </c>
      <c r="G2765" s="1" t="s">
        <v>932</v>
      </c>
      <c r="H2765" s="3">
        <v>46092</v>
      </c>
      <c r="I2765" s="1" t="s">
        <v>933</v>
      </c>
      <c r="J2765" s="1" t="s">
        <v>66</v>
      </c>
      <c r="K2765" s="1" t="s">
        <v>340</v>
      </c>
      <c r="L2765" s="1" t="s">
        <v>4184</v>
      </c>
      <c r="M2765" s="3">
        <v>46078</v>
      </c>
      <c r="N2765" s="1" t="s">
        <v>767</v>
      </c>
      <c r="O2765" s="1" t="s">
        <v>936</v>
      </c>
      <c r="P2765" s="1" t="s">
        <v>937</v>
      </c>
    </row>
    <row r="2766" spans="1:16" x14ac:dyDescent="0.25">
      <c r="A2766" s="3">
        <v>46063</v>
      </c>
      <c r="B2766" s="4">
        <v>18890</v>
      </c>
      <c r="C2766" s="5">
        <v>76</v>
      </c>
      <c r="D2766" s="1" t="s">
        <v>3950</v>
      </c>
      <c r="E2766" s="1" t="s">
        <v>3951</v>
      </c>
      <c r="F2766" s="1" t="s">
        <v>268</v>
      </c>
      <c r="G2766" s="1" t="s">
        <v>940</v>
      </c>
      <c r="H2766" s="3">
        <v>46091</v>
      </c>
      <c r="I2766" s="1" t="s">
        <v>933</v>
      </c>
      <c r="J2766" s="1" t="s">
        <v>66</v>
      </c>
      <c r="K2766" s="1" t="s">
        <v>340</v>
      </c>
      <c r="L2766" s="1" t="s">
        <v>3952</v>
      </c>
      <c r="M2766" s="3">
        <v>46070</v>
      </c>
      <c r="N2766" s="1" t="s">
        <v>264</v>
      </c>
      <c r="O2766" s="1" t="s">
        <v>936</v>
      </c>
      <c r="P2766" s="1" t="s">
        <v>937</v>
      </c>
    </row>
    <row r="2767" spans="1:16" x14ac:dyDescent="0.25">
      <c r="A2767" s="3">
        <v>46063</v>
      </c>
      <c r="B2767" s="4">
        <v>1311</v>
      </c>
      <c r="C2767" s="5">
        <v>490</v>
      </c>
      <c r="D2767" s="1" t="s">
        <v>3954</v>
      </c>
      <c r="E2767" s="1" t="s">
        <v>3955</v>
      </c>
      <c r="F2767" s="1" t="s">
        <v>268</v>
      </c>
      <c r="G2767" s="1" t="s">
        <v>940</v>
      </c>
      <c r="H2767" s="3">
        <v>46091</v>
      </c>
      <c r="I2767" s="1" t="s">
        <v>933</v>
      </c>
      <c r="J2767" s="1" t="s">
        <v>66</v>
      </c>
      <c r="K2767" s="1" t="s">
        <v>308</v>
      </c>
      <c r="L2767" s="1" t="s">
        <v>3956</v>
      </c>
      <c r="M2767" s="3">
        <v>46070</v>
      </c>
      <c r="N2767" s="1" t="s">
        <v>264</v>
      </c>
      <c r="O2767" s="1" t="s">
        <v>936</v>
      </c>
      <c r="P2767" s="1" t="s">
        <v>937</v>
      </c>
    </row>
    <row r="2768" spans="1:16" x14ac:dyDescent="0.25">
      <c r="A2768" s="3">
        <v>46063</v>
      </c>
      <c r="B2768" s="4">
        <v>72841</v>
      </c>
      <c r="C2768" s="5">
        <v>325.92</v>
      </c>
      <c r="D2768" s="1" t="s">
        <v>1253</v>
      </c>
      <c r="E2768" s="1" t="s">
        <v>1487</v>
      </c>
      <c r="F2768" s="1" t="s">
        <v>71</v>
      </c>
      <c r="G2768" s="1" t="s">
        <v>940</v>
      </c>
      <c r="H2768" s="3">
        <v>46093</v>
      </c>
      <c r="I2768" s="1" t="s">
        <v>933</v>
      </c>
      <c r="J2768" s="1" t="s">
        <v>66</v>
      </c>
      <c r="K2768" s="1" t="s">
        <v>340</v>
      </c>
      <c r="L2768" s="1" t="s">
        <v>4185</v>
      </c>
      <c r="M2768" s="3">
        <v>46070</v>
      </c>
      <c r="N2768" s="1" t="s">
        <v>75</v>
      </c>
      <c r="O2768" s="1" t="s">
        <v>936</v>
      </c>
      <c r="P2768" s="1">
        <v>1</v>
      </c>
    </row>
    <row r="2769" spans="1:16" x14ac:dyDescent="0.25">
      <c r="A2769" s="3">
        <v>46063</v>
      </c>
      <c r="B2769" s="1">
        <v>4</v>
      </c>
      <c r="C2769" s="5">
        <v>28000</v>
      </c>
      <c r="D2769" s="1" t="s">
        <v>4106</v>
      </c>
      <c r="E2769" s="1" t="s">
        <v>4107</v>
      </c>
      <c r="F2769" s="1" t="s">
        <v>732</v>
      </c>
      <c r="G2769" s="1" t="s">
        <v>932</v>
      </c>
      <c r="H2769" s="3">
        <v>46081</v>
      </c>
      <c r="I2769" s="1" t="s">
        <v>933</v>
      </c>
      <c r="J2769" s="1" t="s">
        <v>66</v>
      </c>
      <c r="K2769" s="1" t="s">
        <v>340</v>
      </c>
      <c r="L2769" s="1" t="s">
        <v>4186</v>
      </c>
      <c r="M2769" s="3">
        <v>46063</v>
      </c>
      <c r="N2769" s="1" t="s">
        <v>115</v>
      </c>
      <c r="O2769" s="1" t="s">
        <v>936</v>
      </c>
      <c r="P2769" s="1" t="s">
        <v>937</v>
      </c>
    </row>
    <row r="2770" spans="1:16" x14ac:dyDescent="0.25">
      <c r="A2770" s="3">
        <v>46063</v>
      </c>
      <c r="B2770" s="1">
        <v>161</v>
      </c>
      <c r="C2770" s="5">
        <v>12000</v>
      </c>
      <c r="D2770" s="1" t="s">
        <v>1034</v>
      </c>
      <c r="E2770" s="1" t="s">
        <v>1035</v>
      </c>
      <c r="F2770" s="1" t="s">
        <v>66</v>
      </c>
      <c r="G2770" s="1" t="s">
        <v>1029</v>
      </c>
      <c r="H2770" s="3">
        <v>46083</v>
      </c>
      <c r="I2770" s="1" t="s">
        <v>933</v>
      </c>
      <c r="J2770" s="1" t="s">
        <v>66</v>
      </c>
      <c r="K2770" s="1" t="s">
        <v>340</v>
      </c>
      <c r="L2770" s="1" t="s">
        <v>4187</v>
      </c>
      <c r="M2770" s="3">
        <v>46063</v>
      </c>
      <c r="N2770" s="1" t="s">
        <v>4188</v>
      </c>
      <c r="O2770" s="1" t="s">
        <v>932</v>
      </c>
      <c r="P2770" s="1">
        <v>1</v>
      </c>
    </row>
    <row r="2771" spans="1:16" x14ac:dyDescent="0.25">
      <c r="A2771" s="3">
        <v>46063</v>
      </c>
      <c r="B2771" s="4">
        <v>6192</v>
      </c>
      <c r="C2771" s="5">
        <v>3800</v>
      </c>
      <c r="D2771" s="1" t="s">
        <v>2001</v>
      </c>
      <c r="E2771" s="1" t="s">
        <v>2002</v>
      </c>
      <c r="F2771" s="1" t="s">
        <v>659</v>
      </c>
      <c r="G2771" s="1" t="s">
        <v>950</v>
      </c>
      <c r="H2771" s="3">
        <v>46092</v>
      </c>
      <c r="I2771" s="1" t="s">
        <v>933</v>
      </c>
      <c r="J2771" s="1" t="s">
        <v>951</v>
      </c>
      <c r="K2771" s="1" t="s">
        <v>659</v>
      </c>
      <c r="L2771" s="1" t="s">
        <v>4189</v>
      </c>
      <c r="M2771" s="3">
        <v>46063</v>
      </c>
      <c r="N2771" s="1" t="s">
        <v>57</v>
      </c>
      <c r="O2771" s="1" t="s">
        <v>936</v>
      </c>
      <c r="P2771" s="1">
        <v>1</v>
      </c>
    </row>
    <row r="2772" spans="1:16" x14ac:dyDescent="0.25">
      <c r="A2772" s="3">
        <v>46063</v>
      </c>
      <c r="B2772" s="1">
        <v>155</v>
      </c>
      <c r="C2772" s="5">
        <v>2000</v>
      </c>
      <c r="D2772" s="1" t="s">
        <v>1867</v>
      </c>
      <c r="E2772" s="1" t="s">
        <v>1971</v>
      </c>
      <c r="F2772" s="1" t="s">
        <v>659</v>
      </c>
      <c r="G2772" s="1" t="s">
        <v>932</v>
      </c>
      <c r="H2772" s="3">
        <v>46074</v>
      </c>
      <c r="I2772" s="1" t="s">
        <v>933</v>
      </c>
      <c r="J2772" s="1" t="s">
        <v>951</v>
      </c>
      <c r="K2772" s="1" t="s">
        <v>659</v>
      </c>
      <c r="L2772" s="1" t="s">
        <v>4190</v>
      </c>
      <c r="M2772" s="3">
        <v>46063</v>
      </c>
      <c r="N2772" s="1" t="s">
        <v>4191</v>
      </c>
      <c r="O2772" s="1" t="s">
        <v>936</v>
      </c>
      <c r="P2772" s="1">
        <v>1</v>
      </c>
    </row>
    <row r="2773" spans="1:16" x14ac:dyDescent="0.25">
      <c r="A2773" s="3">
        <v>46063</v>
      </c>
      <c r="B2773" s="1">
        <v>9</v>
      </c>
      <c r="C2773" s="5">
        <v>1750</v>
      </c>
      <c r="D2773" s="1" t="s">
        <v>4172</v>
      </c>
      <c r="E2773" s="1" t="s">
        <v>4173</v>
      </c>
      <c r="F2773" s="1" t="s">
        <v>66</v>
      </c>
      <c r="G2773" s="1" t="s">
        <v>940</v>
      </c>
      <c r="H2773" s="3">
        <v>46084</v>
      </c>
      <c r="I2773" s="1" t="s">
        <v>933</v>
      </c>
      <c r="J2773" s="1" t="s">
        <v>66</v>
      </c>
      <c r="K2773" s="1" t="s">
        <v>340</v>
      </c>
      <c r="L2773" s="1" t="s">
        <v>4192</v>
      </c>
      <c r="M2773" s="3">
        <v>46063</v>
      </c>
      <c r="N2773" s="1" t="s">
        <v>57</v>
      </c>
      <c r="O2773" s="1" t="s">
        <v>936</v>
      </c>
      <c r="P2773" s="1" t="s">
        <v>937</v>
      </c>
    </row>
    <row r="2774" spans="1:16" x14ac:dyDescent="0.25">
      <c r="A2774" s="3">
        <v>46063</v>
      </c>
      <c r="B2774" s="1">
        <v>159</v>
      </c>
      <c r="C2774" s="5">
        <v>130</v>
      </c>
      <c r="D2774" s="1" t="s">
        <v>1370</v>
      </c>
      <c r="E2774" s="1" t="s">
        <v>1371</v>
      </c>
      <c r="F2774" s="1" t="s">
        <v>66</v>
      </c>
      <c r="G2774" s="1" t="s">
        <v>940</v>
      </c>
      <c r="H2774" s="1"/>
      <c r="I2774" s="1" t="s">
        <v>933</v>
      </c>
      <c r="J2774" s="1" t="s">
        <v>66</v>
      </c>
      <c r="K2774" s="1" t="s">
        <v>308</v>
      </c>
      <c r="L2774" s="1" t="s">
        <v>4193</v>
      </c>
      <c r="M2774" s="3">
        <v>46064</v>
      </c>
      <c r="N2774" s="1" t="s">
        <v>57</v>
      </c>
      <c r="O2774" s="1" t="s">
        <v>936</v>
      </c>
      <c r="P2774" s="1" t="s">
        <v>937</v>
      </c>
    </row>
    <row r="2775" spans="1:16" x14ac:dyDescent="0.25">
      <c r="A2775" s="3">
        <v>46063</v>
      </c>
      <c r="B2775" s="4">
        <v>17479</v>
      </c>
      <c r="C2775" s="5">
        <v>154</v>
      </c>
      <c r="D2775" s="1" t="s">
        <v>961</v>
      </c>
      <c r="E2775" s="1" t="s">
        <v>962</v>
      </c>
      <c r="F2775" s="1" t="s">
        <v>949</v>
      </c>
      <c r="G2775" s="1" t="s">
        <v>940</v>
      </c>
      <c r="H2775" s="1"/>
      <c r="I2775" s="1" t="s">
        <v>933</v>
      </c>
      <c r="J2775" s="1" t="s">
        <v>951</v>
      </c>
      <c r="K2775" s="1" t="s">
        <v>308</v>
      </c>
      <c r="L2775" s="1" t="s">
        <v>4194</v>
      </c>
      <c r="M2775" s="3">
        <v>46065</v>
      </c>
      <c r="N2775" s="1" t="s">
        <v>57</v>
      </c>
      <c r="O2775" s="1" t="s">
        <v>936</v>
      </c>
      <c r="P2775" s="1">
        <v>1</v>
      </c>
    </row>
    <row r="2776" spans="1:16" x14ac:dyDescent="0.25">
      <c r="A2776" s="3">
        <v>46063</v>
      </c>
      <c r="B2776" s="4">
        <v>5061</v>
      </c>
      <c r="C2776" s="5">
        <v>320</v>
      </c>
      <c r="D2776" s="1" t="s">
        <v>938</v>
      </c>
      <c r="E2776" s="1" t="s">
        <v>939</v>
      </c>
      <c r="F2776" s="1" t="s">
        <v>955</v>
      </c>
      <c r="G2776" s="1" t="s">
        <v>940</v>
      </c>
      <c r="H2776" s="1"/>
      <c r="I2776" s="1" t="s">
        <v>933</v>
      </c>
      <c r="J2776" s="1" t="s">
        <v>951</v>
      </c>
      <c r="K2776" s="1" t="s">
        <v>308</v>
      </c>
      <c r="L2776" s="1" t="s">
        <v>4195</v>
      </c>
      <c r="M2776" s="3">
        <v>46065</v>
      </c>
      <c r="N2776" s="1" t="s">
        <v>57</v>
      </c>
      <c r="O2776" s="1" t="s">
        <v>936</v>
      </c>
      <c r="P2776" s="1">
        <v>1</v>
      </c>
    </row>
    <row r="2777" spans="1:16" x14ac:dyDescent="0.25">
      <c r="A2777" s="3">
        <v>46063</v>
      </c>
      <c r="B2777" s="1">
        <v>159</v>
      </c>
      <c r="C2777" s="5">
        <v>130</v>
      </c>
      <c r="D2777" s="1" t="s">
        <v>1370</v>
      </c>
      <c r="E2777" s="1" t="s">
        <v>1371</v>
      </c>
      <c r="F2777" s="1" t="s">
        <v>457</v>
      </c>
      <c r="G2777" s="1" t="s">
        <v>940</v>
      </c>
      <c r="H2777" s="1"/>
      <c r="I2777" s="1" t="s">
        <v>933</v>
      </c>
      <c r="J2777" s="1" t="s">
        <v>66</v>
      </c>
      <c r="K2777" s="1" t="s">
        <v>308</v>
      </c>
      <c r="L2777" s="1" t="s">
        <v>4196</v>
      </c>
      <c r="M2777" s="3">
        <v>46065</v>
      </c>
      <c r="N2777" s="1" t="s">
        <v>358</v>
      </c>
      <c r="O2777" s="1" t="s">
        <v>936</v>
      </c>
      <c r="P2777" s="1" t="s">
        <v>937</v>
      </c>
    </row>
    <row r="2778" spans="1:16" x14ac:dyDescent="0.25">
      <c r="A2778" s="3">
        <v>46063</v>
      </c>
      <c r="B2778" s="4">
        <v>73658</v>
      </c>
      <c r="C2778" s="5">
        <v>7610</v>
      </c>
      <c r="D2778" s="1" t="s">
        <v>1994</v>
      </c>
      <c r="E2778" s="1" t="s">
        <v>1995</v>
      </c>
      <c r="F2778" s="1" t="s">
        <v>736</v>
      </c>
      <c r="G2778" s="1" t="s">
        <v>1667</v>
      </c>
      <c r="H2778" s="3">
        <v>46091</v>
      </c>
      <c r="I2778" s="1" t="s">
        <v>1100</v>
      </c>
      <c r="J2778" s="1" t="s">
        <v>66</v>
      </c>
      <c r="K2778" s="1" t="s">
        <v>308</v>
      </c>
      <c r="L2778" s="1" t="s">
        <v>4197</v>
      </c>
      <c r="M2778" s="3">
        <v>46066</v>
      </c>
      <c r="N2778" s="1" t="s">
        <v>57</v>
      </c>
      <c r="O2778" s="1" t="s">
        <v>936</v>
      </c>
      <c r="P2778" s="1">
        <v>1</v>
      </c>
    </row>
    <row r="2779" spans="1:16" x14ac:dyDescent="0.25">
      <c r="A2779" s="3">
        <v>46063</v>
      </c>
      <c r="B2779" s="4">
        <v>154394</v>
      </c>
      <c r="C2779" s="5">
        <v>8253.58</v>
      </c>
      <c r="D2779" s="1" t="s">
        <v>1492</v>
      </c>
      <c r="E2779" s="1" t="s">
        <v>1493</v>
      </c>
      <c r="F2779" s="1" t="s">
        <v>422</v>
      </c>
      <c r="G2779" s="1" t="s">
        <v>940</v>
      </c>
      <c r="H2779" s="3">
        <v>46093</v>
      </c>
      <c r="I2779" s="1" t="s">
        <v>933</v>
      </c>
      <c r="J2779" s="1" t="s">
        <v>66</v>
      </c>
      <c r="K2779" s="1" t="s">
        <v>308</v>
      </c>
      <c r="L2779" s="1" t="s">
        <v>4198</v>
      </c>
      <c r="M2779" s="3">
        <v>46066</v>
      </c>
      <c r="N2779" s="1" t="s">
        <v>75</v>
      </c>
      <c r="O2779" s="1" t="s">
        <v>936</v>
      </c>
      <c r="P2779" s="1">
        <v>1</v>
      </c>
    </row>
    <row r="2780" spans="1:16" x14ac:dyDescent="0.25">
      <c r="A2780" s="3">
        <v>46063</v>
      </c>
      <c r="B2780" s="4">
        <v>96143</v>
      </c>
      <c r="C2780" s="5">
        <v>57500</v>
      </c>
      <c r="D2780" s="1" t="s">
        <v>1094</v>
      </c>
      <c r="E2780" s="1" t="s">
        <v>1095</v>
      </c>
      <c r="F2780" s="1" t="s">
        <v>66</v>
      </c>
      <c r="G2780" s="1" t="s">
        <v>998</v>
      </c>
      <c r="H2780" s="3">
        <v>46093</v>
      </c>
      <c r="I2780" s="1" t="s">
        <v>933</v>
      </c>
      <c r="J2780" s="1" t="s">
        <v>66</v>
      </c>
      <c r="K2780" s="1" t="s">
        <v>66</v>
      </c>
      <c r="L2780" s="1" t="s">
        <v>4162</v>
      </c>
      <c r="M2780" s="3">
        <v>46066</v>
      </c>
      <c r="N2780" s="1" t="s">
        <v>57</v>
      </c>
      <c r="O2780" s="1" t="s">
        <v>998</v>
      </c>
      <c r="P2780" s="1">
        <v>1</v>
      </c>
    </row>
    <row r="2781" spans="1:16" x14ac:dyDescent="0.25">
      <c r="A2781" s="3">
        <v>46063</v>
      </c>
      <c r="B2781" s="4">
        <v>72829</v>
      </c>
      <c r="C2781" s="5">
        <v>306.22000000000003</v>
      </c>
      <c r="D2781" s="1" t="s">
        <v>1253</v>
      </c>
      <c r="E2781" s="1" t="s">
        <v>1487</v>
      </c>
      <c r="F2781" s="1" t="s">
        <v>748</v>
      </c>
      <c r="G2781" s="1" t="s">
        <v>940</v>
      </c>
      <c r="H2781" s="3">
        <v>46093</v>
      </c>
      <c r="I2781" s="1" t="s">
        <v>933</v>
      </c>
      <c r="J2781" s="1" t="s">
        <v>66</v>
      </c>
      <c r="K2781" s="1" t="s">
        <v>340</v>
      </c>
      <c r="L2781" s="1" t="s">
        <v>4199</v>
      </c>
      <c r="M2781" s="3">
        <v>46066</v>
      </c>
      <c r="N2781" s="1" t="s">
        <v>75</v>
      </c>
      <c r="O2781" s="1" t="s">
        <v>936</v>
      </c>
      <c r="P2781" s="1">
        <v>1</v>
      </c>
    </row>
    <row r="2782" spans="1:16" x14ac:dyDescent="0.25">
      <c r="A2782" s="3">
        <v>46063</v>
      </c>
      <c r="B2782" s="4">
        <v>5062</v>
      </c>
      <c r="C2782" s="5">
        <v>696.69</v>
      </c>
      <c r="D2782" s="1" t="s">
        <v>938</v>
      </c>
      <c r="E2782" s="1" t="s">
        <v>939</v>
      </c>
      <c r="F2782" s="1" t="s">
        <v>201</v>
      </c>
      <c r="G2782" s="1" t="s">
        <v>940</v>
      </c>
      <c r="H2782" s="3">
        <v>46091</v>
      </c>
      <c r="I2782" s="1" t="s">
        <v>933</v>
      </c>
      <c r="J2782" s="1" t="s">
        <v>66</v>
      </c>
      <c r="K2782" s="1" t="s">
        <v>858</v>
      </c>
      <c r="L2782" s="1" t="s">
        <v>4200</v>
      </c>
      <c r="M2782" s="3">
        <v>46066</v>
      </c>
      <c r="N2782" s="1" t="s">
        <v>57</v>
      </c>
      <c r="O2782" s="1" t="s">
        <v>936</v>
      </c>
      <c r="P2782" s="1">
        <v>1</v>
      </c>
    </row>
    <row r="2783" spans="1:16" x14ac:dyDescent="0.25">
      <c r="A2783" s="3">
        <v>46063</v>
      </c>
      <c r="B2783" s="1">
        <v>172</v>
      </c>
      <c r="C2783" s="5">
        <v>1100</v>
      </c>
      <c r="D2783" s="1" t="s">
        <v>1197</v>
      </c>
      <c r="E2783" s="1" t="s">
        <v>1198</v>
      </c>
      <c r="F2783" s="1" t="s">
        <v>717</v>
      </c>
      <c r="G2783" s="1" t="s">
        <v>940</v>
      </c>
      <c r="H2783" s="3">
        <v>46081</v>
      </c>
      <c r="I2783" s="1" t="s">
        <v>933</v>
      </c>
      <c r="J2783" s="1" t="s">
        <v>66</v>
      </c>
      <c r="K2783" s="1" t="s">
        <v>340</v>
      </c>
      <c r="L2783" s="1" t="s">
        <v>4201</v>
      </c>
      <c r="M2783" s="3">
        <v>46066</v>
      </c>
      <c r="N2783" s="1" t="s">
        <v>712</v>
      </c>
      <c r="O2783" s="1" t="s">
        <v>936</v>
      </c>
      <c r="P2783" s="1">
        <v>1</v>
      </c>
    </row>
    <row r="2784" spans="1:16" x14ac:dyDescent="0.25">
      <c r="A2784" s="3">
        <v>46063</v>
      </c>
      <c r="B2784" s="1">
        <v>7</v>
      </c>
      <c r="C2784" s="5">
        <v>4000</v>
      </c>
      <c r="D2784" s="1" t="s">
        <v>4106</v>
      </c>
      <c r="E2784" s="1" t="s">
        <v>4107</v>
      </c>
      <c r="F2784" s="1" t="s">
        <v>66</v>
      </c>
      <c r="G2784" s="1" t="s">
        <v>932</v>
      </c>
      <c r="H2784" s="3">
        <v>46081</v>
      </c>
      <c r="I2784" s="1" t="s">
        <v>933</v>
      </c>
      <c r="J2784" s="1" t="s">
        <v>66</v>
      </c>
      <c r="K2784" s="1" t="s">
        <v>858</v>
      </c>
      <c r="L2784" s="1" t="s">
        <v>4202</v>
      </c>
      <c r="M2784" s="3">
        <v>46066</v>
      </c>
      <c r="N2784" s="1" t="s">
        <v>57</v>
      </c>
      <c r="O2784" s="1" t="s">
        <v>936</v>
      </c>
      <c r="P2784" s="1" t="s">
        <v>937</v>
      </c>
    </row>
    <row r="2785" spans="1:16" x14ac:dyDescent="0.25">
      <c r="A2785" s="3">
        <v>46063</v>
      </c>
      <c r="B2785" s="4">
        <v>10226</v>
      </c>
      <c r="C2785" s="5">
        <v>4591.96</v>
      </c>
      <c r="D2785" s="1" t="s">
        <v>973</v>
      </c>
      <c r="E2785" s="1" t="s">
        <v>1068</v>
      </c>
      <c r="F2785" s="1" t="s">
        <v>1814</v>
      </c>
      <c r="G2785" s="1" t="s">
        <v>998</v>
      </c>
      <c r="H2785" s="3">
        <v>46078</v>
      </c>
      <c r="I2785" s="1" t="s">
        <v>933</v>
      </c>
      <c r="J2785" s="1" t="s">
        <v>66</v>
      </c>
      <c r="K2785" s="1" t="s">
        <v>1814</v>
      </c>
      <c r="L2785" s="1" t="s">
        <v>4203</v>
      </c>
      <c r="M2785" s="3">
        <v>46066</v>
      </c>
      <c r="N2785" s="1" t="s">
        <v>1814</v>
      </c>
      <c r="O2785" s="1" t="s">
        <v>998</v>
      </c>
      <c r="P2785" s="1">
        <v>1</v>
      </c>
    </row>
    <row r="2786" spans="1:16" x14ac:dyDescent="0.25">
      <c r="A2786" s="3">
        <v>46063</v>
      </c>
      <c r="B2786" s="4">
        <v>18889</v>
      </c>
      <c r="C2786" s="5">
        <v>450.08</v>
      </c>
      <c r="D2786" s="1" t="s">
        <v>3950</v>
      </c>
      <c r="E2786" s="1" t="s">
        <v>3951</v>
      </c>
      <c r="F2786" s="1" t="s">
        <v>426</v>
      </c>
      <c r="G2786" s="1" t="s">
        <v>940</v>
      </c>
      <c r="H2786" s="3">
        <v>46091</v>
      </c>
      <c r="I2786" s="1" t="s">
        <v>933</v>
      </c>
      <c r="J2786" s="1" t="s">
        <v>66</v>
      </c>
      <c r="K2786" s="1" t="s">
        <v>308</v>
      </c>
      <c r="L2786" s="1" t="s">
        <v>4204</v>
      </c>
      <c r="M2786" s="3">
        <v>46070</v>
      </c>
      <c r="N2786" s="1" t="s">
        <v>429</v>
      </c>
      <c r="O2786" s="1" t="s">
        <v>936</v>
      </c>
      <c r="P2786" s="1" t="s">
        <v>937</v>
      </c>
    </row>
    <row r="2787" spans="1:16" x14ac:dyDescent="0.25">
      <c r="A2787" s="3">
        <v>46063</v>
      </c>
      <c r="B2787" s="4">
        <v>18893</v>
      </c>
      <c r="C2787" s="5">
        <v>168.33</v>
      </c>
      <c r="D2787" s="1" t="s">
        <v>3950</v>
      </c>
      <c r="E2787" s="1" t="s">
        <v>3951</v>
      </c>
      <c r="F2787" s="1" t="s">
        <v>949</v>
      </c>
      <c r="G2787" s="1" t="s">
        <v>940</v>
      </c>
      <c r="H2787" s="3">
        <v>46091</v>
      </c>
      <c r="I2787" s="1" t="s">
        <v>933</v>
      </c>
      <c r="J2787" s="1" t="s">
        <v>951</v>
      </c>
      <c r="K2787" s="1" t="s">
        <v>817</v>
      </c>
      <c r="L2787" s="1" t="s">
        <v>4205</v>
      </c>
      <c r="M2787" s="3">
        <v>46070</v>
      </c>
      <c r="N2787" s="1" t="s">
        <v>57</v>
      </c>
      <c r="O2787" s="1" t="s">
        <v>936</v>
      </c>
      <c r="P2787" s="1" t="s">
        <v>937</v>
      </c>
    </row>
    <row r="2788" spans="1:16" x14ac:dyDescent="0.25">
      <c r="A2788" s="3">
        <v>46063</v>
      </c>
      <c r="B2788" s="4">
        <v>18891</v>
      </c>
      <c r="C2788" s="5">
        <v>102.53</v>
      </c>
      <c r="D2788" s="1" t="s">
        <v>3950</v>
      </c>
      <c r="E2788" s="1" t="s">
        <v>3951</v>
      </c>
      <c r="F2788" s="1" t="s">
        <v>66</v>
      </c>
      <c r="G2788" s="1" t="s">
        <v>940</v>
      </c>
      <c r="H2788" s="3">
        <v>46091</v>
      </c>
      <c r="I2788" s="1" t="s">
        <v>933</v>
      </c>
      <c r="J2788" s="1" t="s">
        <v>66</v>
      </c>
      <c r="K2788" s="1" t="s">
        <v>817</v>
      </c>
      <c r="L2788" s="1" t="s">
        <v>4207</v>
      </c>
      <c r="M2788" s="3">
        <v>46070</v>
      </c>
      <c r="N2788" s="1" t="s">
        <v>57</v>
      </c>
      <c r="O2788" s="1" t="s">
        <v>936</v>
      </c>
      <c r="P2788" s="1" t="s">
        <v>937</v>
      </c>
    </row>
    <row r="2789" spans="1:16" x14ac:dyDescent="0.25">
      <c r="A2789" s="3">
        <v>46063</v>
      </c>
      <c r="B2789" s="4">
        <v>18888</v>
      </c>
      <c r="C2789" s="5">
        <v>206</v>
      </c>
      <c r="D2789" s="1" t="s">
        <v>3950</v>
      </c>
      <c r="E2789" s="1" t="s">
        <v>3951</v>
      </c>
      <c r="F2789" s="1" t="s">
        <v>451</v>
      </c>
      <c r="G2789" s="1" t="s">
        <v>940</v>
      </c>
      <c r="H2789" s="3">
        <v>46091</v>
      </c>
      <c r="I2789" s="1" t="s">
        <v>933</v>
      </c>
      <c r="J2789" s="1" t="s">
        <v>66</v>
      </c>
      <c r="K2789" s="1" t="s">
        <v>308</v>
      </c>
      <c r="L2789" s="1" t="s">
        <v>4209</v>
      </c>
      <c r="M2789" s="3">
        <v>46070</v>
      </c>
      <c r="N2789" s="1" t="s">
        <v>212</v>
      </c>
      <c r="O2789" s="1" t="s">
        <v>936</v>
      </c>
      <c r="P2789" s="1" t="s">
        <v>937</v>
      </c>
    </row>
    <row r="2790" spans="1:16" x14ac:dyDescent="0.25">
      <c r="A2790" s="3">
        <v>46063</v>
      </c>
      <c r="B2790" s="4">
        <v>18887</v>
      </c>
      <c r="C2790" s="5">
        <v>38</v>
      </c>
      <c r="D2790" s="1" t="s">
        <v>3950</v>
      </c>
      <c r="E2790" s="1" t="s">
        <v>3951</v>
      </c>
      <c r="F2790" s="1" t="s">
        <v>419</v>
      </c>
      <c r="G2790" s="1" t="s">
        <v>940</v>
      </c>
      <c r="H2790" s="3">
        <v>46091</v>
      </c>
      <c r="I2790" s="1" t="s">
        <v>933</v>
      </c>
      <c r="J2790" s="1" t="s">
        <v>66</v>
      </c>
      <c r="K2790" s="1" t="s">
        <v>340</v>
      </c>
      <c r="L2790" s="1" t="s">
        <v>4209</v>
      </c>
      <c r="M2790" s="3">
        <v>46070</v>
      </c>
      <c r="N2790" s="1" t="s">
        <v>98</v>
      </c>
      <c r="O2790" s="1" t="s">
        <v>936</v>
      </c>
      <c r="P2790" s="1" t="s">
        <v>937</v>
      </c>
    </row>
    <row r="2791" spans="1:16" x14ac:dyDescent="0.25">
      <c r="A2791" s="3">
        <v>46063</v>
      </c>
      <c r="B2791" s="1">
        <v>204</v>
      </c>
      <c r="C2791" s="5">
        <v>2650</v>
      </c>
      <c r="D2791" s="1" t="s">
        <v>930</v>
      </c>
      <c r="E2791" s="1" t="s">
        <v>931</v>
      </c>
      <c r="F2791" s="1" t="s">
        <v>949</v>
      </c>
      <c r="G2791" s="1" t="s">
        <v>940</v>
      </c>
      <c r="H2791" s="3">
        <v>46077</v>
      </c>
      <c r="I2791" s="1" t="s">
        <v>933</v>
      </c>
      <c r="J2791" s="1" t="s">
        <v>951</v>
      </c>
      <c r="K2791" s="1" t="s">
        <v>1654</v>
      </c>
      <c r="L2791" s="1" t="s">
        <v>4210</v>
      </c>
      <c r="M2791" s="3">
        <v>46070</v>
      </c>
      <c r="N2791" s="1" t="s">
        <v>57</v>
      </c>
      <c r="O2791" s="1" t="s">
        <v>936</v>
      </c>
      <c r="P2791" s="1" t="s">
        <v>937</v>
      </c>
    </row>
    <row r="2792" spans="1:16" x14ac:dyDescent="0.25">
      <c r="A2792" s="3">
        <v>46063</v>
      </c>
      <c r="B2792" s="1">
        <v>36</v>
      </c>
      <c r="C2792" s="5">
        <v>3729.36</v>
      </c>
      <c r="D2792" s="1" t="s">
        <v>1730</v>
      </c>
      <c r="E2792" s="1" t="s">
        <v>4212</v>
      </c>
      <c r="F2792" s="1" t="s">
        <v>949</v>
      </c>
      <c r="G2792" s="1" t="s">
        <v>20</v>
      </c>
      <c r="H2792" s="3">
        <v>46087</v>
      </c>
      <c r="I2792" s="1" t="s">
        <v>933</v>
      </c>
      <c r="J2792" s="1" t="s">
        <v>951</v>
      </c>
      <c r="K2792" s="1" t="s">
        <v>934</v>
      </c>
      <c r="L2792" s="1" t="s">
        <v>2928</v>
      </c>
      <c r="M2792" s="3">
        <v>46080</v>
      </c>
      <c r="N2792" s="1" t="s">
        <v>57</v>
      </c>
      <c r="O2792" s="1" t="s">
        <v>937</v>
      </c>
      <c r="P2792" s="1" t="s">
        <v>937</v>
      </c>
    </row>
    <row r="2793" spans="1:16" x14ac:dyDescent="0.25">
      <c r="A2793" s="3">
        <v>46063</v>
      </c>
      <c r="B2793" s="4">
        <v>18892</v>
      </c>
      <c r="C2793" s="5">
        <v>375</v>
      </c>
      <c r="D2793" s="1" t="s">
        <v>3950</v>
      </c>
      <c r="E2793" s="1" t="s">
        <v>3951</v>
      </c>
      <c r="F2793" s="1" t="s">
        <v>289</v>
      </c>
      <c r="G2793" s="1" t="s">
        <v>940</v>
      </c>
      <c r="H2793" s="3">
        <v>46091</v>
      </c>
      <c r="I2793" s="1" t="s">
        <v>933</v>
      </c>
      <c r="J2793" s="1" t="s">
        <v>66</v>
      </c>
      <c r="K2793" s="1" t="s">
        <v>340</v>
      </c>
      <c r="L2793" s="1" t="s">
        <v>5236</v>
      </c>
      <c r="M2793" s="3">
        <v>46070</v>
      </c>
      <c r="N2793" s="1" t="s">
        <v>264</v>
      </c>
      <c r="O2793" s="1" t="s">
        <v>936</v>
      </c>
      <c r="P2793" s="1" t="s">
        <v>937</v>
      </c>
    </row>
    <row r="2794" spans="1:16" x14ac:dyDescent="0.25">
      <c r="A2794" s="3">
        <v>46064</v>
      </c>
      <c r="B2794" s="1">
        <v>518</v>
      </c>
      <c r="C2794" s="5">
        <v>55</v>
      </c>
      <c r="D2794" s="1" t="s">
        <v>1953</v>
      </c>
      <c r="E2794" s="1" t="s">
        <v>3326</v>
      </c>
      <c r="F2794" s="1" t="s">
        <v>259</v>
      </c>
      <c r="G2794" s="1" t="s">
        <v>940</v>
      </c>
      <c r="H2794" s="3">
        <v>46079</v>
      </c>
      <c r="I2794" s="1" t="s">
        <v>933</v>
      </c>
      <c r="J2794" s="1" t="s">
        <v>66</v>
      </c>
      <c r="K2794" s="1" t="s">
        <v>340</v>
      </c>
      <c r="L2794" s="1" t="s">
        <v>3327</v>
      </c>
      <c r="M2794" s="3">
        <v>46067</v>
      </c>
      <c r="N2794" s="1" t="s">
        <v>264</v>
      </c>
      <c r="O2794" s="1" t="s">
        <v>936</v>
      </c>
      <c r="P2794" s="1">
        <v>1</v>
      </c>
    </row>
    <row r="2795" spans="1:16" x14ac:dyDescent="0.25">
      <c r="A2795" s="3">
        <v>46064</v>
      </c>
      <c r="B2795" s="4">
        <v>5677</v>
      </c>
      <c r="C2795" s="5">
        <v>71</v>
      </c>
      <c r="D2795" s="1" t="s">
        <v>3725</v>
      </c>
      <c r="E2795" s="1" t="s">
        <v>3726</v>
      </c>
      <c r="F2795" s="1" t="s">
        <v>265</v>
      </c>
      <c r="G2795" s="1" t="s">
        <v>940</v>
      </c>
      <c r="H2795" s="1"/>
      <c r="I2795" s="1" t="s">
        <v>933</v>
      </c>
      <c r="J2795" s="1" t="s">
        <v>66</v>
      </c>
      <c r="K2795" s="1" t="s">
        <v>340</v>
      </c>
      <c r="L2795" s="1" t="s">
        <v>3727</v>
      </c>
      <c r="M2795" s="3">
        <v>46064</v>
      </c>
      <c r="N2795" s="1" t="s">
        <v>264</v>
      </c>
      <c r="O2795" s="1" t="s">
        <v>936</v>
      </c>
      <c r="P2795" s="1">
        <v>1</v>
      </c>
    </row>
    <row r="2796" spans="1:16" x14ac:dyDescent="0.25">
      <c r="A2796" s="3">
        <v>46064</v>
      </c>
      <c r="B2796" s="1">
        <v>518</v>
      </c>
      <c r="C2796" s="5">
        <v>180</v>
      </c>
      <c r="D2796" s="1" t="s">
        <v>1953</v>
      </c>
      <c r="E2796" s="1" t="s">
        <v>3326</v>
      </c>
      <c r="F2796" s="1" t="s">
        <v>265</v>
      </c>
      <c r="G2796" s="1" t="s">
        <v>940</v>
      </c>
      <c r="H2796" s="3">
        <v>46079</v>
      </c>
      <c r="I2796" s="1" t="s">
        <v>933</v>
      </c>
      <c r="J2796" s="1" t="s">
        <v>66</v>
      </c>
      <c r="K2796" s="1" t="s">
        <v>340</v>
      </c>
      <c r="L2796" s="1" t="s">
        <v>3747</v>
      </c>
      <c r="M2796" s="3">
        <v>46067</v>
      </c>
      <c r="N2796" s="1" t="s">
        <v>264</v>
      </c>
      <c r="O2796" s="1" t="s">
        <v>936</v>
      </c>
      <c r="P2796" s="1">
        <v>1</v>
      </c>
    </row>
    <row r="2797" spans="1:16" x14ac:dyDescent="0.25">
      <c r="A2797" s="3">
        <v>46064</v>
      </c>
      <c r="B2797" s="1">
        <v>518</v>
      </c>
      <c r="C2797" s="5">
        <v>230</v>
      </c>
      <c r="D2797" s="1" t="s">
        <v>1953</v>
      </c>
      <c r="E2797" s="1" t="s">
        <v>3326</v>
      </c>
      <c r="F2797" s="1" t="s">
        <v>265</v>
      </c>
      <c r="G2797" s="1" t="s">
        <v>940</v>
      </c>
      <c r="H2797" s="3">
        <v>46079</v>
      </c>
      <c r="I2797" s="1" t="s">
        <v>933</v>
      </c>
      <c r="J2797" s="1" t="s">
        <v>66</v>
      </c>
      <c r="K2797" s="1" t="s">
        <v>340</v>
      </c>
      <c r="L2797" s="1" t="s">
        <v>3769</v>
      </c>
      <c r="M2797" s="3">
        <v>46067</v>
      </c>
      <c r="N2797" s="1" t="s">
        <v>264</v>
      </c>
      <c r="O2797" s="1" t="s">
        <v>936</v>
      </c>
      <c r="P2797" s="1">
        <v>1</v>
      </c>
    </row>
    <row r="2798" spans="1:16" x14ac:dyDescent="0.25">
      <c r="A2798" s="3">
        <v>46064</v>
      </c>
      <c r="B2798" s="1">
        <v>522</v>
      </c>
      <c r="C2798" s="5">
        <v>230</v>
      </c>
      <c r="D2798" s="1" t="s">
        <v>1953</v>
      </c>
      <c r="E2798" s="1" t="s">
        <v>3326</v>
      </c>
      <c r="F2798" s="1" t="s">
        <v>265</v>
      </c>
      <c r="G2798" s="1" t="s">
        <v>940</v>
      </c>
      <c r="H2798" s="3">
        <v>46084</v>
      </c>
      <c r="I2798" s="1" t="s">
        <v>933</v>
      </c>
      <c r="J2798" s="1" t="s">
        <v>66</v>
      </c>
      <c r="K2798" s="1" t="s">
        <v>340</v>
      </c>
      <c r="L2798" s="1" t="s">
        <v>3776</v>
      </c>
      <c r="M2798" s="3">
        <v>46070</v>
      </c>
      <c r="N2798" s="1" t="s">
        <v>264</v>
      </c>
      <c r="O2798" s="1" t="s">
        <v>936</v>
      </c>
      <c r="P2798" s="1">
        <v>1</v>
      </c>
    </row>
    <row r="2799" spans="1:16" x14ac:dyDescent="0.25">
      <c r="A2799" s="3">
        <v>46064</v>
      </c>
      <c r="B2799" s="1">
        <v>518</v>
      </c>
      <c r="C2799" s="5">
        <v>200</v>
      </c>
      <c r="D2799" s="1" t="s">
        <v>1953</v>
      </c>
      <c r="E2799" s="1" t="s">
        <v>3326</v>
      </c>
      <c r="F2799" s="1" t="s">
        <v>268</v>
      </c>
      <c r="G2799" s="1" t="s">
        <v>940</v>
      </c>
      <c r="H2799" s="3">
        <v>46079</v>
      </c>
      <c r="I2799" s="1" t="s">
        <v>933</v>
      </c>
      <c r="J2799" s="1" t="s">
        <v>66</v>
      </c>
      <c r="K2799" s="1" t="s">
        <v>340</v>
      </c>
      <c r="L2799" s="1" t="s">
        <v>3957</v>
      </c>
      <c r="M2799" s="3">
        <v>46067</v>
      </c>
      <c r="N2799" s="1" t="s">
        <v>264</v>
      </c>
      <c r="O2799" s="1" t="s">
        <v>936</v>
      </c>
      <c r="P2799" s="1">
        <v>1</v>
      </c>
    </row>
    <row r="2800" spans="1:16" x14ac:dyDescent="0.25">
      <c r="A2800" s="3">
        <v>46064</v>
      </c>
      <c r="B2800" s="1">
        <v>518</v>
      </c>
      <c r="C2800" s="5">
        <v>160</v>
      </c>
      <c r="D2800" s="1" t="s">
        <v>1953</v>
      </c>
      <c r="E2800" s="1" t="s">
        <v>3326</v>
      </c>
      <c r="F2800" s="1" t="s">
        <v>271</v>
      </c>
      <c r="G2800" s="1" t="s">
        <v>940</v>
      </c>
      <c r="H2800" s="3">
        <v>46079</v>
      </c>
      <c r="I2800" s="1" t="s">
        <v>933</v>
      </c>
      <c r="J2800" s="1" t="s">
        <v>66</v>
      </c>
      <c r="K2800" s="1" t="s">
        <v>340</v>
      </c>
      <c r="L2800" s="1" t="s">
        <v>4154</v>
      </c>
      <c r="M2800" s="3">
        <v>46067</v>
      </c>
      <c r="N2800" s="1" t="s">
        <v>264</v>
      </c>
      <c r="O2800" s="1" t="s">
        <v>936</v>
      </c>
      <c r="P2800" s="1">
        <v>1</v>
      </c>
    </row>
    <row r="2801" spans="1:16" x14ac:dyDescent="0.25">
      <c r="A2801" s="3">
        <v>46064</v>
      </c>
      <c r="B2801" s="1">
        <v>518</v>
      </c>
      <c r="C2801" s="5">
        <v>120</v>
      </c>
      <c r="D2801" s="1" t="s">
        <v>1953</v>
      </c>
      <c r="E2801" s="1" t="s">
        <v>3326</v>
      </c>
      <c r="F2801" s="1" t="s">
        <v>271</v>
      </c>
      <c r="G2801" s="1" t="s">
        <v>940</v>
      </c>
      <c r="H2801" s="3">
        <v>46079</v>
      </c>
      <c r="I2801" s="1" t="s">
        <v>933</v>
      </c>
      <c r="J2801" s="1" t="s">
        <v>66</v>
      </c>
      <c r="K2801" s="1" t="s">
        <v>340</v>
      </c>
      <c r="L2801" s="1" t="s">
        <v>4157</v>
      </c>
      <c r="M2801" s="3">
        <v>46067</v>
      </c>
      <c r="N2801" s="1" t="s">
        <v>264</v>
      </c>
      <c r="O2801" s="1" t="s">
        <v>936</v>
      </c>
      <c r="P2801" s="1">
        <v>1</v>
      </c>
    </row>
    <row r="2802" spans="1:16" x14ac:dyDescent="0.25">
      <c r="A2802" s="3">
        <v>46064</v>
      </c>
      <c r="B2802" s="1">
        <v>521</v>
      </c>
      <c r="C2802" s="5">
        <v>280</v>
      </c>
      <c r="D2802" s="1" t="s">
        <v>1953</v>
      </c>
      <c r="E2802" s="1" t="s">
        <v>3326</v>
      </c>
      <c r="F2802" s="1" t="s">
        <v>271</v>
      </c>
      <c r="G2802" s="1" t="s">
        <v>940</v>
      </c>
      <c r="H2802" s="3">
        <v>46079</v>
      </c>
      <c r="I2802" s="1" t="s">
        <v>933</v>
      </c>
      <c r="J2802" s="1" t="s">
        <v>66</v>
      </c>
      <c r="K2802" s="1" t="s">
        <v>340</v>
      </c>
      <c r="L2802" s="1" t="s">
        <v>4158</v>
      </c>
      <c r="M2802" s="3">
        <v>46067</v>
      </c>
      <c r="N2802" s="1" t="s">
        <v>264</v>
      </c>
      <c r="O2802" s="1" t="s">
        <v>936</v>
      </c>
      <c r="P2802" s="1">
        <v>1</v>
      </c>
    </row>
    <row r="2803" spans="1:16" x14ac:dyDescent="0.25">
      <c r="A2803" s="3">
        <v>46064</v>
      </c>
      <c r="B2803" s="1">
        <v>79</v>
      </c>
      <c r="C2803" s="5">
        <v>600</v>
      </c>
      <c r="D2803" s="1" t="s">
        <v>930</v>
      </c>
      <c r="E2803" s="1" t="s">
        <v>1110</v>
      </c>
      <c r="F2803" s="1" t="s">
        <v>66</v>
      </c>
      <c r="G2803" s="1" t="s">
        <v>932</v>
      </c>
      <c r="H2803" s="1" t="s">
        <v>967</v>
      </c>
      <c r="I2803" s="1" t="s">
        <v>933</v>
      </c>
      <c r="J2803" s="1" t="s">
        <v>66</v>
      </c>
      <c r="K2803" s="1" t="s">
        <v>20</v>
      </c>
      <c r="L2803" s="1" t="s">
        <v>4213</v>
      </c>
      <c r="M2803" s="3">
        <v>45848</v>
      </c>
      <c r="N2803" s="1" t="s">
        <v>57</v>
      </c>
      <c r="O2803" s="1" t="s">
        <v>932</v>
      </c>
      <c r="P2803" s="1" t="s">
        <v>937</v>
      </c>
    </row>
    <row r="2804" spans="1:16" x14ac:dyDescent="0.25">
      <c r="A2804" s="3">
        <v>46064</v>
      </c>
      <c r="B2804" s="1">
        <v>205</v>
      </c>
      <c r="C2804" s="5">
        <v>50</v>
      </c>
      <c r="D2804" s="1" t="s">
        <v>930</v>
      </c>
      <c r="E2804" s="1" t="s">
        <v>931</v>
      </c>
      <c r="F2804" s="1" t="s">
        <v>949</v>
      </c>
      <c r="G2804" s="1" t="s">
        <v>940</v>
      </c>
      <c r="H2804" s="1"/>
      <c r="I2804" s="1" t="s">
        <v>933</v>
      </c>
      <c r="J2804" s="1" t="s">
        <v>951</v>
      </c>
      <c r="K2804" s="1" t="s">
        <v>858</v>
      </c>
      <c r="L2804" s="1" t="s">
        <v>4215</v>
      </c>
      <c r="M2804" s="3">
        <v>46065</v>
      </c>
      <c r="N2804" s="1" t="s">
        <v>57</v>
      </c>
      <c r="O2804" s="1" t="s">
        <v>936</v>
      </c>
      <c r="P2804" s="1" t="s">
        <v>937</v>
      </c>
    </row>
    <row r="2805" spans="1:16" x14ac:dyDescent="0.25">
      <c r="A2805" s="3">
        <v>46064</v>
      </c>
      <c r="B2805" s="4">
        <v>51241</v>
      </c>
      <c r="C2805" s="5">
        <v>6200</v>
      </c>
      <c r="D2805" s="1" t="s">
        <v>1489</v>
      </c>
      <c r="E2805" s="1" t="s">
        <v>1490</v>
      </c>
      <c r="F2805" s="1" t="s">
        <v>1131</v>
      </c>
      <c r="G2805" s="1" t="s">
        <v>1131</v>
      </c>
      <c r="H2805" s="3">
        <v>46092</v>
      </c>
      <c r="I2805" s="1" t="s">
        <v>933</v>
      </c>
      <c r="J2805" s="1" t="s">
        <v>1131</v>
      </c>
      <c r="K2805" s="1" t="s">
        <v>1654</v>
      </c>
      <c r="L2805" s="1" t="s">
        <v>4216</v>
      </c>
      <c r="M2805" s="3">
        <v>46066</v>
      </c>
      <c r="N2805" s="1" t="s">
        <v>57</v>
      </c>
      <c r="O2805" s="1" t="s">
        <v>936</v>
      </c>
      <c r="P2805" s="1">
        <v>1</v>
      </c>
    </row>
    <row r="2806" spans="1:16" x14ac:dyDescent="0.25">
      <c r="A2806" s="3">
        <v>46064</v>
      </c>
      <c r="B2806" s="1">
        <v>1</v>
      </c>
      <c r="C2806" s="5">
        <v>10000</v>
      </c>
      <c r="D2806" s="1" t="s">
        <v>4217</v>
      </c>
      <c r="E2806" s="1" t="s">
        <v>4218</v>
      </c>
      <c r="F2806" s="1" t="s">
        <v>1567</v>
      </c>
      <c r="G2806" s="1" t="s">
        <v>940</v>
      </c>
      <c r="H2806" s="3">
        <v>46080</v>
      </c>
      <c r="I2806" s="1" t="s">
        <v>933</v>
      </c>
      <c r="J2806" s="1" t="s">
        <v>951</v>
      </c>
      <c r="K2806" s="1" t="s">
        <v>20</v>
      </c>
      <c r="L2806" s="1" t="s">
        <v>4219</v>
      </c>
      <c r="M2806" s="3">
        <v>46066</v>
      </c>
      <c r="N2806" s="1" t="s">
        <v>57</v>
      </c>
      <c r="O2806" s="1" t="s">
        <v>936</v>
      </c>
      <c r="P2806" s="1" t="s">
        <v>937</v>
      </c>
    </row>
    <row r="2807" spans="1:16" x14ac:dyDescent="0.25">
      <c r="A2807" s="3">
        <v>46064</v>
      </c>
      <c r="B2807" s="1">
        <v>518</v>
      </c>
      <c r="C2807" s="5">
        <v>90</v>
      </c>
      <c r="D2807" s="1" t="s">
        <v>1953</v>
      </c>
      <c r="E2807" s="1" t="s">
        <v>3326</v>
      </c>
      <c r="F2807" s="1" t="s">
        <v>775</v>
      </c>
      <c r="G2807" s="1" t="s">
        <v>940</v>
      </c>
      <c r="H2807" s="3">
        <v>46079</v>
      </c>
      <c r="I2807" s="1" t="s">
        <v>933</v>
      </c>
      <c r="J2807" s="1" t="s">
        <v>66</v>
      </c>
      <c r="K2807" s="1" t="s">
        <v>340</v>
      </c>
      <c r="L2807" s="1" t="s">
        <v>4229</v>
      </c>
      <c r="M2807" s="3">
        <v>46067</v>
      </c>
      <c r="N2807" s="1" t="s">
        <v>580</v>
      </c>
      <c r="O2807" s="1" t="s">
        <v>936</v>
      </c>
      <c r="P2807" s="1">
        <v>1</v>
      </c>
    </row>
    <row r="2808" spans="1:16" x14ac:dyDescent="0.25">
      <c r="A2808" s="3">
        <v>46064</v>
      </c>
      <c r="B2808" s="1">
        <v>518</v>
      </c>
      <c r="C2808" s="5">
        <v>490</v>
      </c>
      <c r="D2808" s="1" t="s">
        <v>1953</v>
      </c>
      <c r="E2808" s="1" t="s">
        <v>3326</v>
      </c>
      <c r="F2808" s="1" t="s">
        <v>658</v>
      </c>
      <c r="G2808" s="1" t="s">
        <v>940</v>
      </c>
      <c r="H2808" s="3">
        <v>46079</v>
      </c>
      <c r="I2808" s="1" t="s">
        <v>933</v>
      </c>
      <c r="J2808" s="1" t="s">
        <v>66</v>
      </c>
      <c r="K2808" s="1" t="s">
        <v>659</v>
      </c>
      <c r="L2808" s="1" t="s">
        <v>4230</v>
      </c>
      <c r="M2808" s="3">
        <v>46067</v>
      </c>
      <c r="N2808" s="1" t="s">
        <v>57</v>
      </c>
      <c r="O2808" s="1" t="s">
        <v>936</v>
      </c>
      <c r="P2808" s="1">
        <v>1</v>
      </c>
    </row>
    <row r="2809" spans="1:16" x14ac:dyDescent="0.25">
      <c r="A2809" s="3">
        <v>46064</v>
      </c>
      <c r="B2809" s="1">
        <v>519</v>
      </c>
      <c r="C2809" s="5">
        <v>180</v>
      </c>
      <c r="D2809" s="1" t="s">
        <v>1953</v>
      </c>
      <c r="E2809" s="1" t="s">
        <v>3326</v>
      </c>
      <c r="F2809" s="1" t="s">
        <v>732</v>
      </c>
      <c r="G2809" s="1" t="s">
        <v>940</v>
      </c>
      <c r="H2809" s="3">
        <v>46079</v>
      </c>
      <c r="I2809" s="1" t="s">
        <v>933</v>
      </c>
      <c r="J2809" s="1" t="s">
        <v>66</v>
      </c>
      <c r="K2809" s="1" t="s">
        <v>340</v>
      </c>
      <c r="L2809" s="1" t="s">
        <v>4231</v>
      </c>
      <c r="M2809" s="3">
        <v>46067</v>
      </c>
      <c r="N2809" s="1" t="s">
        <v>115</v>
      </c>
      <c r="O2809" s="1" t="s">
        <v>936</v>
      </c>
      <c r="P2809" s="1">
        <v>1</v>
      </c>
    </row>
    <row r="2810" spans="1:16" x14ac:dyDescent="0.25">
      <c r="A2810" s="3">
        <v>46064</v>
      </c>
      <c r="B2810" s="1">
        <v>519</v>
      </c>
      <c r="C2810" s="5">
        <v>430</v>
      </c>
      <c r="D2810" s="1" t="s">
        <v>1953</v>
      </c>
      <c r="E2810" s="1" t="s">
        <v>3326</v>
      </c>
      <c r="F2810" s="1" t="s">
        <v>66</v>
      </c>
      <c r="G2810" s="1" t="s">
        <v>940</v>
      </c>
      <c r="H2810" s="3">
        <v>46079</v>
      </c>
      <c r="I2810" s="1" t="s">
        <v>933</v>
      </c>
      <c r="J2810" s="1" t="s">
        <v>66</v>
      </c>
      <c r="K2810" s="1" t="s">
        <v>1025</v>
      </c>
      <c r="L2810" s="1" t="s">
        <v>4232</v>
      </c>
      <c r="M2810" s="3">
        <v>46067</v>
      </c>
      <c r="N2810" s="1" t="s">
        <v>821</v>
      </c>
      <c r="O2810" s="1" t="s">
        <v>936</v>
      </c>
      <c r="P2810" s="1">
        <v>1</v>
      </c>
    </row>
    <row r="2811" spans="1:16" x14ac:dyDescent="0.25">
      <c r="A2811" s="3">
        <v>46064</v>
      </c>
      <c r="B2811" s="1">
        <v>519</v>
      </c>
      <c r="C2811" s="5">
        <v>540</v>
      </c>
      <c r="D2811" s="1" t="s">
        <v>1953</v>
      </c>
      <c r="E2811" s="1" t="s">
        <v>3326</v>
      </c>
      <c r="F2811" s="1" t="s">
        <v>43</v>
      </c>
      <c r="G2811" s="1" t="s">
        <v>940</v>
      </c>
      <c r="H2811" s="3">
        <v>46079</v>
      </c>
      <c r="I2811" s="1" t="s">
        <v>933</v>
      </c>
      <c r="J2811" s="1" t="s">
        <v>66</v>
      </c>
      <c r="K2811" s="1" t="s">
        <v>1654</v>
      </c>
      <c r="L2811" s="1" t="s">
        <v>4233</v>
      </c>
      <c r="M2811" s="3">
        <v>46067</v>
      </c>
      <c r="N2811" s="1" t="s">
        <v>50</v>
      </c>
      <c r="O2811" s="1" t="s">
        <v>936</v>
      </c>
      <c r="P2811" s="1">
        <v>1</v>
      </c>
    </row>
    <row r="2812" spans="1:16" x14ac:dyDescent="0.25">
      <c r="A2812" s="3">
        <v>46064</v>
      </c>
      <c r="B2812" s="1">
        <v>519</v>
      </c>
      <c r="C2812" s="5">
        <v>180</v>
      </c>
      <c r="D2812" s="1" t="s">
        <v>1953</v>
      </c>
      <c r="E2812" s="1" t="s">
        <v>3326</v>
      </c>
      <c r="F2812" s="1" t="s">
        <v>453</v>
      </c>
      <c r="G2812" s="1" t="s">
        <v>940</v>
      </c>
      <c r="H2812" s="3">
        <v>46079</v>
      </c>
      <c r="I2812" s="1" t="s">
        <v>933</v>
      </c>
      <c r="J2812" s="1" t="s">
        <v>66</v>
      </c>
      <c r="K2812" s="1" t="s">
        <v>308</v>
      </c>
      <c r="L2812" s="1" t="s">
        <v>4234</v>
      </c>
      <c r="M2812" s="3">
        <v>46067</v>
      </c>
      <c r="N2812" s="1" t="s">
        <v>455</v>
      </c>
      <c r="O2812" s="1" t="s">
        <v>936</v>
      </c>
      <c r="P2812" s="1">
        <v>1</v>
      </c>
    </row>
    <row r="2813" spans="1:16" x14ac:dyDescent="0.25">
      <c r="A2813" s="3">
        <v>46064</v>
      </c>
      <c r="B2813" s="1">
        <v>519</v>
      </c>
      <c r="C2813" s="5">
        <v>55</v>
      </c>
      <c r="D2813" s="1" t="s">
        <v>1953</v>
      </c>
      <c r="E2813" s="1" t="s">
        <v>3326</v>
      </c>
      <c r="F2813" s="1" t="s">
        <v>307</v>
      </c>
      <c r="G2813" s="1" t="s">
        <v>940</v>
      </c>
      <c r="H2813" s="3">
        <v>46079</v>
      </c>
      <c r="I2813" s="1" t="s">
        <v>933</v>
      </c>
      <c r="J2813" s="1" t="s">
        <v>66</v>
      </c>
      <c r="K2813" s="1" t="s">
        <v>308</v>
      </c>
      <c r="L2813" s="1" t="s">
        <v>4235</v>
      </c>
      <c r="M2813" s="3">
        <v>46067</v>
      </c>
      <c r="N2813" s="1" t="s">
        <v>57</v>
      </c>
      <c r="O2813" s="1" t="s">
        <v>936</v>
      </c>
      <c r="P2813" s="1">
        <v>1</v>
      </c>
    </row>
    <row r="2814" spans="1:16" x14ac:dyDescent="0.25">
      <c r="A2814" s="3">
        <v>46064</v>
      </c>
      <c r="B2814" s="1">
        <v>519</v>
      </c>
      <c r="C2814" s="5">
        <v>430</v>
      </c>
      <c r="D2814" s="1" t="s">
        <v>1953</v>
      </c>
      <c r="E2814" s="1" t="s">
        <v>3326</v>
      </c>
      <c r="F2814" s="1" t="s">
        <v>553</v>
      </c>
      <c r="G2814" s="1" t="s">
        <v>940</v>
      </c>
      <c r="H2814" s="3">
        <v>46079</v>
      </c>
      <c r="I2814" s="1" t="s">
        <v>933</v>
      </c>
      <c r="J2814" s="1" t="s">
        <v>66</v>
      </c>
      <c r="K2814" s="1" t="s">
        <v>636</v>
      </c>
      <c r="L2814" s="1" t="s">
        <v>4236</v>
      </c>
      <c r="M2814" s="3">
        <v>46067</v>
      </c>
      <c r="N2814" s="1" t="s">
        <v>57</v>
      </c>
      <c r="O2814" s="1" t="s">
        <v>936</v>
      </c>
      <c r="P2814" s="1">
        <v>1</v>
      </c>
    </row>
    <row r="2815" spans="1:16" x14ac:dyDescent="0.25">
      <c r="A2815" s="3">
        <v>46064</v>
      </c>
      <c r="B2815" s="1">
        <v>519</v>
      </c>
      <c r="C2815" s="5">
        <v>80</v>
      </c>
      <c r="D2815" s="1" t="s">
        <v>1953</v>
      </c>
      <c r="E2815" s="1" t="s">
        <v>3326</v>
      </c>
      <c r="F2815" s="1" t="s">
        <v>837</v>
      </c>
      <c r="G2815" s="1" t="s">
        <v>940</v>
      </c>
      <c r="H2815" s="3">
        <v>46079</v>
      </c>
      <c r="I2815" s="1" t="s">
        <v>933</v>
      </c>
      <c r="J2815" s="1" t="s">
        <v>66</v>
      </c>
      <c r="K2815" s="1" t="s">
        <v>340</v>
      </c>
      <c r="L2815" s="1" t="s">
        <v>4237</v>
      </c>
      <c r="M2815" s="3">
        <v>46067</v>
      </c>
      <c r="N2815" s="1" t="s">
        <v>50</v>
      </c>
      <c r="O2815" s="1" t="s">
        <v>936</v>
      </c>
      <c r="P2815" s="1">
        <v>1</v>
      </c>
    </row>
    <row r="2816" spans="1:16" x14ac:dyDescent="0.25">
      <c r="A2816" s="3">
        <v>46064</v>
      </c>
      <c r="B2816" s="1">
        <v>519</v>
      </c>
      <c r="C2816" s="5">
        <v>310</v>
      </c>
      <c r="D2816" s="1" t="s">
        <v>1953</v>
      </c>
      <c r="E2816" s="1" t="s">
        <v>3326</v>
      </c>
      <c r="F2816" s="1" t="s">
        <v>66</v>
      </c>
      <c r="G2816" s="1" t="s">
        <v>940</v>
      </c>
      <c r="H2816" s="3">
        <v>46079</v>
      </c>
      <c r="I2816" s="1" t="s">
        <v>933</v>
      </c>
      <c r="J2816" s="1" t="s">
        <v>66</v>
      </c>
      <c r="K2816" s="1" t="s">
        <v>340</v>
      </c>
      <c r="L2816" s="1" t="s">
        <v>4238</v>
      </c>
      <c r="M2816" s="3">
        <v>46067</v>
      </c>
      <c r="N2816" s="1" t="s">
        <v>821</v>
      </c>
      <c r="O2816" s="1" t="s">
        <v>936</v>
      </c>
      <c r="P2816" s="1">
        <v>1</v>
      </c>
    </row>
    <row r="2817" spans="1:16" x14ac:dyDescent="0.25">
      <c r="A2817" s="3">
        <v>46064</v>
      </c>
      <c r="B2817" s="1">
        <v>519</v>
      </c>
      <c r="C2817" s="5">
        <v>80</v>
      </c>
      <c r="D2817" s="1" t="s">
        <v>1953</v>
      </c>
      <c r="E2817" s="1" t="s">
        <v>3326</v>
      </c>
      <c r="F2817" s="1" t="s">
        <v>330</v>
      </c>
      <c r="G2817" s="1" t="s">
        <v>940</v>
      </c>
      <c r="H2817" s="3">
        <v>46079</v>
      </c>
      <c r="I2817" s="1" t="s">
        <v>933</v>
      </c>
      <c r="J2817" s="1" t="s">
        <v>66</v>
      </c>
      <c r="K2817" s="1" t="s">
        <v>340</v>
      </c>
      <c r="L2817" s="1" t="s">
        <v>4239</v>
      </c>
      <c r="M2817" s="3">
        <v>46067</v>
      </c>
      <c r="N2817" s="1" t="s">
        <v>57</v>
      </c>
      <c r="O2817" s="1" t="s">
        <v>936</v>
      </c>
      <c r="P2817" s="1">
        <v>1</v>
      </c>
    </row>
    <row r="2818" spans="1:16" x14ac:dyDescent="0.25">
      <c r="A2818" s="3">
        <v>46064</v>
      </c>
      <c r="B2818" s="1">
        <v>519</v>
      </c>
      <c r="C2818" s="5">
        <v>70</v>
      </c>
      <c r="D2818" s="1" t="s">
        <v>1953</v>
      </c>
      <c r="E2818" s="1" t="s">
        <v>3326</v>
      </c>
      <c r="F2818" s="1" t="s">
        <v>339</v>
      </c>
      <c r="G2818" s="1" t="s">
        <v>940</v>
      </c>
      <c r="H2818" s="3">
        <v>46079</v>
      </c>
      <c r="I2818" s="1" t="s">
        <v>933</v>
      </c>
      <c r="J2818" s="1" t="s">
        <v>66</v>
      </c>
      <c r="K2818" s="1" t="s">
        <v>340</v>
      </c>
      <c r="L2818" s="1" t="s">
        <v>4220</v>
      </c>
      <c r="M2818" s="3">
        <v>46067</v>
      </c>
      <c r="N2818" s="1" t="s">
        <v>57</v>
      </c>
      <c r="O2818" s="1" t="s">
        <v>936</v>
      </c>
      <c r="P2818" s="1">
        <v>1</v>
      </c>
    </row>
    <row r="2819" spans="1:16" x14ac:dyDescent="0.25">
      <c r="A2819" s="3">
        <v>46064</v>
      </c>
      <c r="B2819" s="1">
        <v>519</v>
      </c>
      <c r="C2819" s="5">
        <v>100</v>
      </c>
      <c r="D2819" s="1" t="s">
        <v>1953</v>
      </c>
      <c r="E2819" s="1" t="s">
        <v>3326</v>
      </c>
      <c r="F2819" s="1" t="s">
        <v>844</v>
      </c>
      <c r="G2819" s="1" t="s">
        <v>940</v>
      </c>
      <c r="H2819" s="3">
        <v>46079</v>
      </c>
      <c r="I2819" s="1" t="s">
        <v>933</v>
      </c>
      <c r="J2819" s="1" t="s">
        <v>66</v>
      </c>
      <c r="K2819" s="1" t="s">
        <v>340</v>
      </c>
      <c r="L2819" s="1" t="s">
        <v>4240</v>
      </c>
      <c r="M2819" s="3">
        <v>46067</v>
      </c>
      <c r="N2819" s="1" t="s">
        <v>836</v>
      </c>
      <c r="O2819" s="1" t="s">
        <v>936</v>
      </c>
      <c r="P2819" s="1">
        <v>1</v>
      </c>
    </row>
    <row r="2820" spans="1:16" x14ac:dyDescent="0.25">
      <c r="A2820" s="3">
        <v>46064</v>
      </c>
      <c r="B2820" s="1">
        <v>519</v>
      </c>
      <c r="C2820" s="5">
        <v>300</v>
      </c>
      <c r="D2820" s="1" t="s">
        <v>1953</v>
      </c>
      <c r="E2820" s="1" t="s">
        <v>3326</v>
      </c>
      <c r="F2820" s="1" t="s">
        <v>693</v>
      </c>
      <c r="G2820" s="1" t="s">
        <v>940</v>
      </c>
      <c r="H2820" s="3">
        <v>46079</v>
      </c>
      <c r="I2820" s="1" t="s">
        <v>933</v>
      </c>
      <c r="J2820" s="1" t="s">
        <v>66</v>
      </c>
      <c r="K2820" s="1" t="s">
        <v>340</v>
      </c>
      <c r="L2820" s="1" t="s">
        <v>4241</v>
      </c>
      <c r="M2820" s="3">
        <v>46067</v>
      </c>
      <c r="N2820" s="1" t="s">
        <v>383</v>
      </c>
      <c r="O2820" s="1" t="s">
        <v>936</v>
      </c>
      <c r="P2820" s="1">
        <v>1</v>
      </c>
    </row>
    <row r="2821" spans="1:16" x14ac:dyDescent="0.25">
      <c r="A2821" s="3">
        <v>46064</v>
      </c>
      <c r="B2821" s="1">
        <v>519</v>
      </c>
      <c r="C2821" s="5">
        <v>280</v>
      </c>
      <c r="D2821" s="1" t="s">
        <v>1953</v>
      </c>
      <c r="E2821" s="1" t="s">
        <v>3326</v>
      </c>
      <c r="F2821" s="1" t="s">
        <v>437</v>
      </c>
      <c r="G2821" s="1" t="s">
        <v>940</v>
      </c>
      <c r="H2821" s="3">
        <v>46079</v>
      </c>
      <c r="I2821" s="1" t="s">
        <v>933</v>
      </c>
      <c r="J2821" s="1" t="s">
        <v>66</v>
      </c>
      <c r="K2821" s="1" t="s">
        <v>308</v>
      </c>
      <c r="L2821" s="1" t="s">
        <v>4242</v>
      </c>
      <c r="M2821" s="3">
        <v>46067</v>
      </c>
      <c r="N2821" s="1" t="s">
        <v>440</v>
      </c>
      <c r="O2821" s="1" t="s">
        <v>936</v>
      </c>
      <c r="P2821" s="1">
        <v>1</v>
      </c>
    </row>
    <row r="2822" spans="1:16" x14ac:dyDescent="0.25">
      <c r="A2822" s="3">
        <v>46064</v>
      </c>
      <c r="B2822" s="1">
        <v>519</v>
      </c>
      <c r="C2822" s="5">
        <v>80</v>
      </c>
      <c r="D2822" s="1" t="s">
        <v>1953</v>
      </c>
      <c r="E2822" s="1" t="s">
        <v>3326</v>
      </c>
      <c r="F2822" s="1" t="s">
        <v>697</v>
      </c>
      <c r="G2822" s="1" t="s">
        <v>940</v>
      </c>
      <c r="H2822" s="3">
        <v>46079</v>
      </c>
      <c r="I2822" s="1" t="s">
        <v>933</v>
      </c>
      <c r="J2822" s="1" t="s">
        <v>66</v>
      </c>
      <c r="K2822" s="1" t="s">
        <v>340</v>
      </c>
      <c r="L2822" s="1" t="s">
        <v>4243</v>
      </c>
      <c r="M2822" s="3">
        <v>46067</v>
      </c>
      <c r="N2822" s="1" t="s">
        <v>383</v>
      </c>
      <c r="O2822" s="1" t="s">
        <v>936</v>
      </c>
      <c r="P2822" s="1">
        <v>1</v>
      </c>
    </row>
    <row r="2823" spans="1:16" x14ac:dyDescent="0.25">
      <c r="A2823" s="3">
        <v>46064</v>
      </c>
      <c r="B2823" s="1">
        <v>519</v>
      </c>
      <c r="C2823" s="5">
        <v>480</v>
      </c>
      <c r="D2823" s="1" t="s">
        <v>1953</v>
      </c>
      <c r="E2823" s="1" t="s">
        <v>3326</v>
      </c>
      <c r="F2823" s="1" t="s">
        <v>419</v>
      </c>
      <c r="G2823" s="1" t="s">
        <v>940</v>
      </c>
      <c r="H2823" s="3">
        <v>46079</v>
      </c>
      <c r="I2823" s="1" t="s">
        <v>933</v>
      </c>
      <c r="J2823" s="1" t="s">
        <v>66</v>
      </c>
      <c r="K2823" s="1" t="s">
        <v>308</v>
      </c>
      <c r="L2823" s="1" t="s">
        <v>4244</v>
      </c>
      <c r="M2823" s="3">
        <v>46067</v>
      </c>
      <c r="N2823" s="1" t="s">
        <v>98</v>
      </c>
      <c r="O2823" s="1" t="s">
        <v>936</v>
      </c>
      <c r="P2823" s="1">
        <v>1</v>
      </c>
    </row>
    <row r="2824" spans="1:16" x14ac:dyDescent="0.25">
      <c r="A2824" s="3">
        <v>46064</v>
      </c>
      <c r="B2824" s="1">
        <v>519</v>
      </c>
      <c r="C2824" s="5">
        <v>330</v>
      </c>
      <c r="D2824" s="1" t="s">
        <v>1953</v>
      </c>
      <c r="E2824" s="1" t="s">
        <v>3326</v>
      </c>
      <c r="F2824" s="1" t="s">
        <v>426</v>
      </c>
      <c r="G2824" s="1" t="s">
        <v>940</v>
      </c>
      <c r="H2824" s="3">
        <v>46079</v>
      </c>
      <c r="I2824" s="1" t="s">
        <v>933</v>
      </c>
      <c r="J2824" s="1" t="s">
        <v>66</v>
      </c>
      <c r="K2824" s="1" t="s">
        <v>308</v>
      </c>
      <c r="L2824" s="1" t="s">
        <v>4245</v>
      </c>
      <c r="M2824" s="3">
        <v>46067</v>
      </c>
      <c r="N2824" s="1" t="s">
        <v>429</v>
      </c>
      <c r="O2824" s="1" t="s">
        <v>936</v>
      </c>
      <c r="P2824" s="1">
        <v>1</v>
      </c>
    </row>
    <row r="2825" spans="1:16" x14ac:dyDescent="0.25">
      <c r="A2825" s="3">
        <v>46064</v>
      </c>
      <c r="B2825" s="1">
        <v>520</v>
      </c>
      <c r="C2825" s="5">
        <v>1280</v>
      </c>
      <c r="D2825" s="1" t="s">
        <v>1953</v>
      </c>
      <c r="E2825" s="1" t="s">
        <v>3326</v>
      </c>
      <c r="F2825" s="1" t="s">
        <v>426</v>
      </c>
      <c r="G2825" s="1" t="s">
        <v>940</v>
      </c>
      <c r="H2825" s="3">
        <v>46079</v>
      </c>
      <c r="I2825" s="1" t="s">
        <v>933</v>
      </c>
      <c r="J2825" s="1" t="s">
        <v>66</v>
      </c>
      <c r="K2825" s="1" t="s">
        <v>308</v>
      </c>
      <c r="L2825" s="1" t="s">
        <v>4246</v>
      </c>
      <c r="M2825" s="3">
        <v>46067</v>
      </c>
      <c r="N2825" s="1" t="s">
        <v>429</v>
      </c>
      <c r="O2825" s="1" t="s">
        <v>936</v>
      </c>
      <c r="P2825" s="1">
        <v>1</v>
      </c>
    </row>
    <row r="2826" spans="1:16" x14ac:dyDescent="0.25">
      <c r="A2826" s="3">
        <v>46064</v>
      </c>
      <c r="B2826" s="1">
        <v>520</v>
      </c>
      <c r="C2826" s="5">
        <v>100</v>
      </c>
      <c r="D2826" s="1" t="s">
        <v>1953</v>
      </c>
      <c r="E2826" s="1" t="s">
        <v>3326</v>
      </c>
      <c r="F2826" s="1" t="s">
        <v>460</v>
      </c>
      <c r="G2826" s="1" t="s">
        <v>940</v>
      </c>
      <c r="H2826" s="3">
        <v>46079</v>
      </c>
      <c r="I2826" s="1" t="s">
        <v>933</v>
      </c>
      <c r="J2826" s="1" t="s">
        <v>66</v>
      </c>
      <c r="K2826" s="1" t="s">
        <v>308</v>
      </c>
      <c r="L2826" s="1" t="s">
        <v>4247</v>
      </c>
      <c r="M2826" s="3">
        <v>46067</v>
      </c>
      <c r="N2826" s="1" t="s">
        <v>440</v>
      </c>
      <c r="O2826" s="1" t="s">
        <v>936</v>
      </c>
      <c r="P2826" s="1">
        <v>1</v>
      </c>
    </row>
    <row r="2827" spans="1:16" x14ac:dyDescent="0.25">
      <c r="A2827" s="3">
        <v>46064</v>
      </c>
      <c r="B2827" s="1">
        <v>520</v>
      </c>
      <c r="C2827" s="5">
        <v>670</v>
      </c>
      <c r="D2827" s="1" t="s">
        <v>1953</v>
      </c>
      <c r="E2827" s="1" t="s">
        <v>3326</v>
      </c>
      <c r="F2827" s="1" t="s">
        <v>949</v>
      </c>
      <c r="G2827" s="1" t="s">
        <v>940</v>
      </c>
      <c r="H2827" s="3">
        <v>46079</v>
      </c>
      <c r="I2827" s="1" t="s">
        <v>933</v>
      </c>
      <c r="J2827" s="1" t="s">
        <v>951</v>
      </c>
      <c r="K2827" s="1" t="s">
        <v>640</v>
      </c>
      <c r="L2827" s="1" t="s">
        <v>4248</v>
      </c>
      <c r="M2827" s="3">
        <v>46067</v>
      </c>
      <c r="N2827" s="1" t="s">
        <v>57</v>
      </c>
      <c r="O2827" s="1" t="s">
        <v>936</v>
      </c>
      <c r="P2827" s="1">
        <v>1</v>
      </c>
    </row>
    <row r="2828" spans="1:16" x14ac:dyDescent="0.25">
      <c r="A2828" s="3">
        <v>46064</v>
      </c>
      <c r="B2828" s="1">
        <v>520</v>
      </c>
      <c r="C2828" s="5">
        <v>730</v>
      </c>
      <c r="D2828" s="1" t="s">
        <v>1953</v>
      </c>
      <c r="E2828" s="1" t="s">
        <v>3326</v>
      </c>
      <c r="F2828" s="1" t="s">
        <v>686</v>
      </c>
      <c r="G2828" s="1" t="s">
        <v>940</v>
      </c>
      <c r="H2828" s="3">
        <v>46079</v>
      </c>
      <c r="I2828" s="1" t="s">
        <v>1100</v>
      </c>
      <c r="J2828" s="1" t="s">
        <v>66</v>
      </c>
      <c r="K2828" s="1" t="s">
        <v>340</v>
      </c>
      <c r="L2828" s="1" t="s">
        <v>4249</v>
      </c>
      <c r="M2828" s="3">
        <v>46067</v>
      </c>
      <c r="N2828" s="1" t="s">
        <v>57</v>
      </c>
      <c r="O2828" s="1" t="s">
        <v>936</v>
      </c>
      <c r="P2828" s="1">
        <v>1</v>
      </c>
    </row>
    <row r="2829" spans="1:16" x14ac:dyDescent="0.25">
      <c r="A2829" s="3">
        <v>46064</v>
      </c>
      <c r="B2829" s="1">
        <v>520</v>
      </c>
      <c r="C2829" s="5">
        <v>280</v>
      </c>
      <c r="D2829" s="1" t="s">
        <v>1953</v>
      </c>
      <c r="E2829" s="1" t="s">
        <v>3326</v>
      </c>
      <c r="F2829" s="1" t="s">
        <v>697</v>
      </c>
      <c r="G2829" s="1" t="s">
        <v>940</v>
      </c>
      <c r="H2829" s="3">
        <v>46079</v>
      </c>
      <c r="I2829" s="1" t="s">
        <v>933</v>
      </c>
      <c r="J2829" s="1" t="s">
        <v>66</v>
      </c>
      <c r="K2829" s="1" t="s">
        <v>340</v>
      </c>
      <c r="L2829" s="1" t="s">
        <v>4250</v>
      </c>
      <c r="M2829" s="3">
        <v>46067</v>
      </c>
      <c r="N2829" s="1" t="s">
        <v>383</v>
      </c>
      <c r="O2829" s="1" t="s">
        <v>936</v>
      </c>
      <c r="P2829" s="1">
        <v>1</v>
      </c>
    </row>
    <row r="2830" spans="1:16" x14ac:dyDescent="0.25">
      <c r="A2830" s="3">
        <v>46064</v>
      </c>
      <c r="B2830" s="1">
        <v>520</v>
      </c>
      <c r="C2830" s="5">
        <v>200</v>
      </c>
      <c r="D2830" s="1" t="s">
        <v>1953</v>
      </c>
      <c r="E2830" s="1" t="s">
        <v>3326</v>
      </c>
      <c r="F2830" s="1" t="s">
        <v>719</v>
      </c>
      <c r="G2830" s="1" t="s">
        <v>940</v>
      </c>
      <c r="H2830" s="3">
        <v>46079</v>
      </c>
      <c r="I2830" s="1" t="s">
        <v>933</v>
      </c>
      <c r="J2830" s="1" t="s">
        <v>66</v>
      </c>
      <c r="K2830" s="1" t="s">
        <v>340</v>
      </c>
      <c r="L2830" s="1" t="s">
        <v>4251</v>
      </c>
      <c r="M2830" s="3">
        <v>46067</v>
      </c>
      <c r="N2830" s="1" t="s">
        <v>712</v>
      </c>
      <c r="O2830" s="1" t="s">
        <v>936</v>
      </c>
      <c r="P2830" s="1">
        <v>1</v>
      </c>
    </row>
    <row r="2831" spans="1:16" x14ac:dyDescent="0.25">
      <c r="A2831" s="3">
        <v>46064</v>
      </c>
      <c r="B2831" s="1">
        <v>520</v>
      </c>
      <c r="C2831" s="5">
        <v>200</v>
      </c>
      <c r="D2831" s="1" t="s">
        <v>1953</v>
      </c>
      <c r="E2831" s="1" t="s">
        <v>3326</v>
      </c>
      <c r="F2831" s="1" t="s">
        <v>717</v>
      </c>
      <c r="G2831" s="1" t="s">
        <v>940</v>
      </c>
      <c r="H2831" s="3">
        <v>46079</v>
      </c>
      <c r="I2831" s="1" t="s">
        <v>933</v>
      </c>
      <c r="J2831" s="1" t="s">
        <v>66</v>
      </c>
      <c r="K2831" s="1" t="s">
        <v>340</v>
      </c>
      <c r="L2831" s="1" t="s">
        <v>4251</v>
      </c>
      <c r="M2831" s="3">
        <v>46067</v>
      </c>
      <c r="N2831" s="1" t="s">
        <v>712</v>
      </c>
      <c r="O2831" s="1" t="s">
        <v>936</v>
      </c>
      <c r="P2831" s="1">
        <v>1</v>
      </c>
    </row>
    <row r="2832" spans="1:16" x14ac:dyDescent="0.25">
      <c r="A2832" s="3">
        <v>46064</v>
      </c>
      <c r="B2832" s="1">
        <v>520</v>
      </c>
      <c r="C2832" s="5">
        <v>230</v>
      </c>
      <c r="D2832" s="1" t="s">
        <v>1953</v>
      </c>
      <c r="E2832" s="1" t="s">
        <v>3326</v>
      </c>
      <c r="F2832" s="1" t="s">
        <v>245</v>
      </c>
      <c r="G2832" s="1" t="s">
        <v>940</v>
      </c>
      <c r="H2832" s="3">
        <v>46079</v>
      </c>
      <c r="I2832" s="1" t="s">
        <v>933</v>
      </c>
      <c r="J2832" s="1" t="s">
        <v>66</v>
      </c>
      <c r="K2832" s="1" t="s">
        <v>308</v>
      </c>
      <c r="L2832" s="1" t="s">
        <v>4252</v>
      </c>
      <c r="M2832" s="3">
        <v>46067</v>
      </c>
      <c r="N2832" s="1" t="s">
        <v>57</v>
      </c>
      <c r="O2832" s="1" t="s">
        <v>936</v>
      </c>
      <c r="P2832" s="1">
        <v>1</v>
      </c>
    </row>
    <row r="2833" spans="1:16" x14ac:dyDescent="0.25">
      <c r="A2833" s="3">
        <v>46064</v>
      </c>
      <c r="B2833" s="1">
        <v>520</v>
      </c>
      <c r="C2833" s="5">
        <v>630</v>
      </c>
      <c r="D2833" s="1" t="s">
        <v>1953</v>
      </c>
      <c r="E2833" s="1" t="s">
        <v>3326</v>
      </c>
      <c r="F2833" s="1" t="s">
        <v>852</v>
      </c>
      <c r="G2833" s="1" t="s">
        <v>940</v>
      </c>
      <c r="H2833" s="3">
        <v>46079</v>
      </c>
      <c r="I2833" s="1" t="s">
        <v>933</v>
      </c>
      <c r="J2833" s="1" t="s">
        <v>66</v>
      </c>
      <c r="K2833" s="1" t="s">
        <v>1654</v>
      </c>
      <c r="L2833" s="1" t="s">
        <v>4253</v>
      </c>
      <c r="M2833" s="3">
        <v>46067</v>
      </c>
      <c r="N2833" s="1" t="s">
        <v>666</v>
      </c>
      <c r="O2833" s="1" t="s">
        <v>936</v>
      </c>
      <c r="P2833" s="1">
        <v>1</v>
      </c>
    </row>
    <row r="2834" spans="1:16" x14ac:dyDescent="0.25">
      <c r="A2834" s="3">
        <v>46064</v>
      </c>
      <c r="B2834" s="1">
        <v>520</v>
      </c>
      <c r="C2834" s="5">
        <v>200</v>
      </c>
      <c r="D2834" s="1" t="s">
        <v>1953</v>
      </c>
      <c r="E2834" s="1" t="s">
        <v>3326</v>
      </c>
      <c r="F2834" s="1" t="s">
        <v>721</v>
      </c>
      <c r="G2834" s="1" t="s">
        <v>940</v>
      </c>
      <c r="H2834" s="3">
        <v>46079</v>
      </c>
      <c r="I2834" s="1" t="s">
        <v>933</v>
      </c>
      <c r="J2834" s="1" t="s">
        <v>66</v>
      </c>
      <c r="K2834" s="1" t="s">
        <v>340</v>
      </c>
      <c r="L2834" s="1" t="s">
        <v>4251</v>
      </c>
      <c r="M2834" s="3">
        <v>46067</v>
      </c>
      <c r="N2834" s="1" t="s">
        <v>712</v>
      </c>
      <c r="O2834" s="1" t="s">
        <v>936</v>
      </c>
      <c r="P2834" s="1">
        <v>1</v>
      </c>
    </row>
    <row r="2835" spans="1:16" x14ac:dyDescent="0.25">
      <c r="A2835" s="3">
        <v>46064</v>
      </c>
      <c r="B2835" s="1">
        <v>520</v>
      </c>
      <c r="C2835" s="5">
        <v>200</v>
      </c>
      <c r="D2835" s="1" t="s">
        <v>1953</v>
      </c>
      <c r="E2835" s="1" t="s">
        <v>3326</v>
      </c>
      <c r="F2835" s="1" t="s">
        <v>713</v>
      </c>
      <c r="G2835" s="1" t="s">
        <v>940</v>
      </c>
      <c r="H2835" s="3">
        <v>46079</v>
      </c>
      <c r="I2835" s="1" t="s">
        <v>933</v>
      </c>
      <c r="J2835" s="1" t="s">
        <v>66</v>
      </c>
      <c r="K2835" s="1" t="s">
        <v>340</v>
      </c>
      <c r="L2835" s="1" t="s">
        <v>4251</v>
      </c>
      <c r="M2835" s="3">
        <v>46067</v>
      </c>
      <c r="N2835" s="1" t="s">
        <v>712</v>
      </c>
      <c r="O2835" s="1" t="s">
        <v>936</v>
      </c>
      <c r="P2835" s="1">
        <v>1</v>
      </c>
    </row>
    <row r="2836" spans="1:16" x14ac:dyDescent="0.25">
      <c r="A2836" s="3">
        <v>46064</v>
      </c>
      <c r="B2836" s="1">
        <v>520</v>
      </c>
      <c r="C2836" s="5">
        <v>30</v>
      </c>
      <c r="D2836" s="1" t="s">
        <v>1953</v>
      </c>
      <c r="E2836" s="1" t="s">
        <v>3326</v>
      </c>
      <c r="F2836" s="1" t="s">
        <v>229</v>
      </c>
      <c r="G2836" s="1" t="s">
        <v>940</v>
      </c>
      <c r="H2836" s="3">
        <v>46079</v>
      </c>
      <c r="I2836" s="1" t="s">
        <v>933</v>
      </c>
      <c r="J2836" s="1" t="s">
        <v>66</v>
      </c>
      <c r="K2836" s="1" t="s">
        <v>52</v>
      </c>
      <c r="L2836" s="1" t="s">
        <v>4254</v>
      </c>
      <c r="M2836" s="3">
        <v>46067</v>
      </c>
      <c r="N2836" s="1" t="s">
        <v>233</v>
      </c>
      <c r="O2836" s="1" t="s">
        <v>936</v>
      </c>
      <c r="P2836" s="1">
        <v>1</v>
      </c>
    </row>
    <row r="2837" spans="1:16" x14ac:dyDescent="0.25">
      <c r="A2837" s="3">
        <v>46064</v>
      </c>
      <c r="B2837" s="1">
        <v>520</v>
      </c>
      <c r="C2837" s="5">
        <v>80</v>
      </c>
      <c r="D2837" s="1" t="s">
        <v>1953</v>
      </c>
      <c r="E2837" s="1" t="s">
        <v>3326</v>
      </c>
      <c r="F2837" s="1" t="s">
        <v>66</v>
      </c>
      <c r="G2837" s="1" t="s">
        <v>940</v>
      </c>
      <c r="H2837" s="3">
        <v>46079</v>
      </c>
      <c r="I2837" s="1" t="s">
        <v>933</v>
      </c>
      <c r="J2837" s="1" t="s">
        <v>66</v>
      </c>
      <c r="K2837" s="1" t="s">
        <v>340</v>
      </c>
      <c r="L2837" s="1" t="s">
        <v>4239</v>
      </c>
      <c r="M2837" s="3">
        <v>46067</v>
      </c>
      <c r="N2837" s="1" t="s">
        <v>57</v>
      </c>
      <c r="O2837" s="1" t="s">
        <v>936</v>
      </c>
      <c r="P2837" s="1">
        <v>1</v>
      </c>
    </row>
    <row r="2838" spans="1:16" x14ac:dyDescent="0.25">
      <c r="A2838" s="3">
        <v>46064</v>
      </c>
      <c r="B2838" s="1">
        <v>520</v>
      </c>
      <c r="C2838" s="5">
        <v>340</v>
      </c>
      <c r="D2838" s="1" t="s">
        <v>1953</v>
      </c>
      <c r="E2838" s="1" t="s">
        <v>3326</v>
      </c>
      <c r="F2838" s="1" t="s">
        <v>547</v>
      </c>
      <c r="G2838" s="1" t="s">
        <v>940</v>
      </c>
      <c r="H2838" s="3">
        <v>46079</v>
      </c>
      <c r="I2838" s="1" t="s">
        <v>933</v>
      </c>
      <c r="J2838" s="1" t="s">
        <v>66</v>
      </c>
      <c r="K2838" s="1" t="s">
        <v>340</v>
      </c>
      <c r="L2838" s="1" t="s">
        <v>4255</v>
      </c>
      <c r="M2838" s="3">
        <v>46067</v>
      </c>
      <c r="N2838" s="1" t="s">
        <v>57</v>
      </c>
      <c r="O2838" s="1" t="s">
        <v>936</v>
      </c>
      <c r="P2838" s="1">
        <v>1</v>
      </c>
    </row>
    <row r="2839" spans="1:16" x14ac:dyDescent="0.25">
      <c r="A2839" s="3">
        <v>46064</v>
      </c>
      <c r="B2839" s="1">
        <v>520</v>
      </c>
      <c r="C2839" s="5">
        <v>250</v>
      </c>
      <c r="D2839" s="1" t="s">
        <v>1953</v>
      </c>
      <c r="E2839" s="1" t="s">
        <v>3326</v>
      </c>
      <c r="F2839" s="1" t="s">
        <v>650</v>
      </c>
      <c r="G2839" s="1" t="s">
        <v>940</v>
      </c>
      <c r="H2839" s="3">
        <v>46079</v>
      </c>
      <c r="I2839" s="1" t="s">
        <v>933</v>
      </c>
      <c r="J2839" s="1" t="s">
        <v>66</v>
      </c>
      <c r="K2839" s="1" t="s">
        <v>340</v>
      </c>
      <c r="L2839" s="1" t="s">
        <v>4256</v>
      </c>
      <c r="M2839" s="3">
        <v>46067</v>
      </c>
      <c r="N2839" s="1" t="s">
        <v>57</v>
      </c>
      <c r="O2839" s="1" t="s">
        <v>936</v>
      </c>
      <c r="P2839" s="1">
        <v>1</v>
      </c>
    </row>
    <row r="2840" spans="1:16" x14ac:dyDescent="0.25">
      <c r="A2840" s="3">
        <v>46064</v>
      </c>
      <c r="B2840" s="1">
        <v>520</v>
      </c>
      <c r="C2840" s="5">
        <v>140</v>
      </c>
      <c r="D2840" s="1" t="s">
        <v>1953</v>
      </c>
      <c r="E2840" s="1" t="s">
        <v>3326</v>
      </c>
      <c r="F2840" s="1" t="s">
        <v>639</v>
      </c>
      <c r="G2840" s="1" t="s">
        <v>940</v>
      </c>
      <c r="H2840" s="3">
        <v>46079</v>
      </c>
      <c r="I2840" s="1" t="s">
        <v>933</v>
      </c>
      <c r="J2840" s="1" t="s">
        <v>66</v>
      </c>
      <c r="K2840" s="1" t="s">
        <v>308</v>
      </c>
      <c r="L2840" s="1" t="s">
        <v>4257</v>
      </c>
      <c r="M2840" s="3">
        <v>46067</v>
      </c>
      <c r="N2840" s="1" t="s">
        <v>98</v>
      </c>
      <c r="O2840" s="1" t="s">
        <v>936</v>
      </c>
      <c r="P2840" s="1">
        <v>1</v>
      </c>
    </row>
    <row r="2841" spans="1:16" x14ac:dyDescent="0.25">
      <c r="A2841" s="3">
        <v>46064</v>
      </c>
      <c r="B2841" s="1">
        <v>521</v>
      </c>
      <c r="C2841" s="5">
        <v>80</v>
      </c>
      <c r="D2841" s="1" t="s">
        <v>1953</v>
      </c>
      <c r="E2841" s="1" t="s">
        <v>3326</v>
      </c>
      <c r="F2841" s="1" t="s">
        <v>88</v>
      </c>
      <c r="G2841" s="1" t="s">
        <v>940</v>
      </c>
      <c r="H2841" s="3">
        <v>46079</v>
      </c>
      <c r="I2841" s="1" t="s">
        <v>933</v>
      </c>
      <c r="J2841" s="1" t="s">
        <v>66</v>
      </c>
      <c r="K2841" s="1" t="s">
        <v>1654</v>
      </c>
      <c r="L2841" s="1" t="s">
        <v>4258</v>
      </c>
      <c r="M2841" s="3">
        <v>46067</v>
      </c>
      <c r="N2841" s="1" t="s">
        <v>93</v>
      </c>
      <c r="O2841" s="1" t="s">
        <v>936</v>
      </c>
      <c r="P2841" s="1">
        <v>1</v>
      </c>
    </row>
    <row r="2842" spans="1:16" x14ac:dyDescent="0.25">
      <c r="A2842" s="3">
        <v>46064</v>
      </c>
      <c r="B2842" s="1">
        <v>521</v>
      </c>
      <c r="C2842" s="5">
        <v>560</v>
      </c>
      <c r="D2842" s="1" t="s">
        <v>1953</v>
      </c>
      <c r="E2842" s="1" t="s">
        <v>3326</v>
      </c>
      <c r="F2842" s="1" t="s">
        <v>654</v>
      </c>
      <c r="G2842" s="1" t="s">
        <v>940</v>
      </c>
      <c r="H2842" s="3">
        <v>46079</v>
      </c>
      <c r="I2842" s="1" t="s">
        <v>933</v>
      </c>
      <c r="J2842" s="1" t="s">
        <v>66</v>
      </c>
      <c r="K2842" s="1" t="s">
        <v>1654</v>
      </c>
      <c r="L2842" s="1" t="s">
        <v>4259</v>
      </c>
      <c r="M2842" s="3">
        <v>46067</v>
      </c>
      <c r="N2842" s="1" t="s">
        <v>657</v>
      </c>
      <c r="O2842" s="1" t="s">
        <v>936</v>
      </c>
      <c r="P2842" s="1">
        <v>1</v>
      </c>
    </row>
    <row r="2843" spans="1:16" x14ac:dyDescent="0.25">
      <c r="A2843" s="3">
        <v>46064</v>
      </c>
      <c r="B2843" s="1">
        <v>521</v>
      </c>
      <c r="C2843" s="5">
        <v>70</v>
      </c>
      <c r="D2843" s="1" t="s">
        <v>1953</v>
      </c>
      <c r="E2843" s="1" t="s">
        <v>3326</v>
      </c>
      <c r="F2843" s="1" t="s">
        <v>794</v>
      </c>
      <c r="G2843" s="1" t="s">
        <v>940</v>
      </c>
      <c r="H2843" s="3">
        <v>46079</v>
      </c>
      <c r="I2843" s="1" t="s">
        <v>933</v>
      </c>
      <c r="J2843" s="1" t="s">
        <v>66</v>
      </c>
      <c r="K2843" s="1" t="s">
        <v>308</v>
      </c>
      <c r="L2843" s="1" t="s">
        <v>4260</v>
      </c>
      <c r="M2843" s="3">
        <v>46067</v>
      </c>
      <c r="N2843" s="1" t="s">
        <v>57</v>
      </c>
      <c r="O2843" s="1" t="s">
        <v>936</v>
      </c>
      <c r="P2843" s="1">
        <v>1</v>
      </c>
    </row>
    <row r="2844" spans="1:16" x14ac:dyDescent="0.25">
      <c r="A2844" s="3">
        <v>46064</v>
      </c>
      <c r="B2844" s="1">
        <v>521</v>
      </c>
      <c r="C2844" s="5">
        <v>150</v>
      </c>
      <c r="D2844" s="1" t="s">
        <v>1953</v>
      </c>
      <c r="E2844" s="1" t="s">
        <v>3326</v>
      </c>
      <c r="F2844" s="1" t="s">
        <v>533</v>
      </c>
      <c r="G2844" s="1" t="s">
        <v>940</v>
      </c>
      <c r="H2844" s="3">
        <v>46079</v>
      </c>
      <c r="I2844" s="1" t="s">
        <v>933</v>
      </c>
      <c r="J2844" s="1" t="s">
        <v>66</v>
      </c>
      <c r="K2844" s="1" t="s">
        <v>308</v>
      </c>
      <c r="L2844" s="1" t="s">
        <v>4261</v>
      </c>
      <c r="M2844" s="3">
        <v>46067</v>
      </c>
      <c r="N2844" s="1" t="s">
        <v>57</v>
      </c>
      <c r="O2844" s="1" t="s">
        <v>936</v>
      </c>
      <c r="P2844" s="1">
        <v>1</v>
      </c>
    </row>
    <row r="2845" spans="1:16" x14ac:dyDescent="0.25">
      <c r="A2845" s="3">
        <v>46064</v>
      </c>
      <c r="B2845" s="1">
        <v>521</v>
      </c>
      <c r="C2845" s="5">
        <v>220</v>
      </c>
      <c r="D2845" s="1" t="s">
        <v>1953</v>
      </c>
      <c r="E2845" s="1" t="s">
        <v>3326</v>
      </c>
      <c r="F2845" s="1" t="s">
        <v>307</v>
      </c>
      <c r="G2845" s="1" t="s">
        <v>940</v>
      </c>
      <c r="H2845" s="3">
        <v>46079</v>
      </c>
      <c r="I2845" s="1" t="s">
        <v>933</v>
      </c>
      <c r="J2845" s="1" t="s">
        <v>66</v>
      </c>
      <c r="K2845" s="1" t="s">
        <v>308</v>
      </c>
      <c r="L2845" s="1" t="s">
        <v>4262</v>
      </c>
      <c r="M2845" s="3">
        <v>46067</v>
      </c>
      <c r="N2845" s="1" t="s">
        <v>57</v>
      </c>
      <c r="O2845" s="1" t="s">
        <v>936</v>
      </c>
      <c r="P2845" s="1">
        <v>1</v>
      </c>
    </row>
    <row r="2846" spans="1:16" x14ac:dyDescent="0.25">
      <c r="A2846" s="3">
        <v>46064</v>
      </c>
      <c r="B2846" s="1">
        <v>521</v>
      </c>
      <c r="C2846" s="5">
        <v>300</v>
      </c>
      <c r="D2846" s="1" t="s">
        <v>1953</v>
      </c>
      <c r="E2846" s="1" t="s">
        <v>3326</v>
      </c>
      <c r="F2846" s="1" t="s">
        <v>437</v>
      </c>
      <c r="G2846" s="1" t="s">
        <v>940</v>
      </c>
      <c r="H2846" s="3">
        <v>46079</v>
      </c>
      <c r="I2846" s="1" t="s">
        <v>933</v>
      </c>
      <c r="J2846" s="1" t="s">
        <v>66</v>
      </c>
      <c r="K2846" s="1" t="s">
        <v>308</v>
      </c>
      <c r="L2846" s="1" t="s">
        <v>4263</v>
      </c>
      <c r="M2846" s="3">
        <v>46067</v>
      </c>
      <c r="N2846" s="1" t="s">
        <v>440</v>
      </c>
      <c r="O2846" s="1" t="s">
        <v>936</v>
      </c>
      <c r="P2846" s="1">
        <v>1</v>
      </c>
    </row>
    <row r="2847" spans="1:16" x14ac:dyDescent="0.25">
      <c r="A2847" s="3">
        <v>46064</v>
      </c>
      <c r="B2847" s="1">
        <v>521</v>
      </c>
      <c r="C2847" s="5">
        <v>120</v>
      </c>
      <c r="D2847" s="1" t="s">
        <v>1953</v>
      </c>
      <c r="E2847" s="1" t="s">
        <v>3326</v>
      </c>
      <c r="F2847" s="1" t="s">
        <v>736</v>
      </c>
      <c r="G2847" s="1" t="s">
        <v>940</v>
      </c>
      <c r="H2847" s="3">
        <v>46079</v>
      </c>
      <c r="I2847" s="1" t="s">
        <v>933</v>
      </c>
      <c r="J2847" s="1" t="s">
        <v>66</v>
      </c>
      <c r="K2847" s="1" t="s">
        <v>308</v>
      </c>
      <c r="L2847" s="1" t="s">
        <v>4264</v>
      </c>
      <c r="M2847" s="3">
        <v>46067</v>
      </c>
      <c r="N2847" s="1" t="s">
        <v>57</v>
      </c>
      <c r="O2847" s="1" t="s">
        <v>936</v>
      </c>
      <c r="P2847" s="1">
        <v>1</v>
      </c>
    </row>
    <row r="2848" spans="1:16" x14ac:dyDescent="0.25">
      <c r="A2848" s="3">
        <v>46064</v>
      </c>
      <c r="B2848" s="1">
        <v>521</v>
      </c>
      <c r="C2848" s="5">
        <v>1830</v>
      </c>
      <c r="D2848" s="1" t="s">
        <v>1953</v>
      </c>
      <c r="E2848" s="1" t="s">
        <v>3326</v>
      </c>
      <c r="F2848" s="1" t="s">
        <v>727</v>
      </c>
      <c r="G2848" s="1" t="s">
        <v>940</v>
      </c>
      <c r="H2848" s="3">
        <v>46079</v>
      </c>
      <c r="I2848" s="1" t="s">
        <v>1100</v>
      </c>
      <c r="J2848" s="1" t="s">
        <v>66</v>
      </c>
      <c r="K2848" s="1" t="s">
        <v>308</v>
      </c>
      <c r="L2848" s="1" t="s">
        <v>4265</v>
      </c>
      <c r="M2848" s="3">
        <v>46067</v>
      </c>
      <c r="N2848" s="1" t="s">
        <v>57</v>
      </c>
      <c r="O2848" s="1" t="s">
        <v>936</v>
      </c>
      <c r="P2848" s="1">
        <v>1</v>
      </c>
    </row>
    <row r="2849" spans="1:16" x14ac:dyDescent="0.25">
      <c r="A2849" s="3">
        <v>46064</v>
      </c>
      <c r="B2849" s="1">
        <v>521</v>
      </c>
      <c r="C2849" s="5">
        <v>600</v>
      </c>
      <c r="D2849" s="1" t="s">
        <v>1953</v>
      </c>
      <c r="E2849" s="1" t="s">
        <v>3326</v>
      </c>
      <c r="F2849" s="1" t="s">
        <v>88</v>
      </c>
      <c r="G2849" s="1" t="s">
        <v>940</v>
      </c>
      <c r="H2849" s="3">
        <v>46079</v>
      </c>
      <c r="I2849" s="1" t="s">
        <v>933</v>
      </c>
      <c r="J2849" s="1" t="s">
        <v>66</v>
      </c>
      <c r="K2849" s="1" t="s">
        <v>1654</v>
      </c>
      <c r="L2849" s="1" t="s">
        <v>4266</v>
      </c>
      <c r="M2849" s="3">
        <v>46067</v>
      </c>
      <c r="N2849" s="1" t="s">
        <v>93</v>
      </c>
      <c r="O2849" s="1" t="s">
        <v>936</v>
      </c>
      <c r="P2849" s="1">
        <v>1</v>
      </c>
    </row>
    <row r="2850" spans="1:16" x14ac:dyDescent="0.25">
      <c r="A2850" s="3">
        <v>46064</v>
      </c>
      <c r="B2850" s="1">
        <v>521</v>
      </c>
      <c r="C2850" s="5">
        <v>350</v>
      </c>
      <c r="D2850" s="1" t="s">
        <v>1953</v>
      </c>
      <c r="E2850" s="1" t="s">
        <v>3326</v>
      </c>
      <c r="F2850" s="1" t="s">
        <v>88</v>
      </c>
      <c r="G2850" s="1" t="s">
        <v>940</v>
      </c>
      <c r="H2850" s="3">
        <v>46079</v>
      </c>
      <c r="I2850" s="1" t="s">
        <v>933</v>
      </c>
      <c r="J2850" s="1" t="s">
        <v>66</v>
      </c>
      <c r="K2850" s="1" t="s">
        <v>1654</v>
      </c>
      <c r="L2850" s="1" t="s">
        <v>4269</v>
      </c>
      <c r="M2850" s="3">
        <v>46067</v>
      </c>
      <c r="N2850" s="1" t="s">
        <v>93</v>
      </c>
      <c r="O2850" s="1" t="s">
        <v>936</v>
      </c>
      <c r="P2850" s="1">
        <v>1</v>
      </c>
    </row>
    <row r="2851" spans="1:16" x14ac:dyDescent="0.25">
      <c r="A2851" s="3">
        <v>46064</v>
      </c>
      <c r="B2851" s="1">
        <v>521</v>
      </c>
      <c r="C2851" s="5">
        <v>1955</v>
      </c>
      <c r="D2851" s="1" t="s">
        <v>1953</v>
      </c>
      <c r="E2851" s="1" t="s">
        <v>3326</v>
      </c>
      <c r="F2851" s="1" t="s">
        <v>430</v>
      </c>
      <c r="G2851" s="1" t="s">
        <v>940</v>
      </c>
      <c r="H2851" s="3">
        <v>46079</v>
      </c>
      <c r="I2851" s="1" t="s">
        <v>1100</v>
      </c>
      <c r="J2851" s="1" t="s">
        <v>66</v>
      </c>
      <c r="K2851" s="1" t="s">
        <v>1654</v>
      </c>
      <c r="L2851" s="1" t="s">
        <v>4270</v>
      </c>
      <c r="M2851" s="3">
        <v>46067</v>
      </c>
      <c r="N2851" s="1" t="s">
        <v>57</v>
      </c>
      <c r="O2851" s="1" t="s">
        <v>936</v>
      </c>
      <c r="P2851" s="1">
        <v>1</v>
      </c>
    </row>
    <row r="2852" spans="1:16" x14ac:dyDescent="0.25">
      <c r="A2852" s="3">
        <v>46064</v>
      </c>
      <c r="B2852" s="1">
        <v>521</v>
      </c>
      <c r="C2852" s="5">
        <v>130</v>
      </c>
      <c r="D2852" s="1" t="s">
        <v>1953</v>
      </c>
      <c r="E2852" s="1" t="s">
        <v>3326</v>
      </c>
      <c r="F2852" s="1" t="s">
        <v>255</v>
      </c>
      <c r="G2852" s="1" t="s">
        <v>940</v>
      </c>
      <c r="H2852" s="3">
        <v>46079</v>
      </c>
      <c r="I2852" s="1" t="s">
        <v>933</v>
      </c>
      <c r="J2852" s="1" t="s">
        <v>66</v>
      </c>
      <c r="K2852" s="1" t="s">
        <v>340</v>
      </c>
      <c r="L2852" s="1" t="s">
        <v>4272</v>
      </c>
      <c r="M2852" s="3">
        <v>46067</v>
      </c>
      <c r="N2852" s="1" t="s">
        <v>57</v>
      </c>
      <c r="O2852" s="1" t="s">
        <v>936</v>
      </c>
      <c r="P2852" s="1">
        <v>1</v>
      </c>
    </row>
    <row r="2853" spans="1:16" x14ac:dyDescent="0.25">
      <c r="A2853" s="3">
        <v>46064</v>
      </c>
      <c r="B2853" s="1">
        <v>521</v>
      </c>
      <c r="C2853" s="5">
        <v>160</v>
      </c>
      <c r="D2853" s="1" t="s">
        <v>1953</v>
      </c>
      <c r="E2853" s="1" t="s">
        <v>3326</v>
      </c>
      <c r="F2853" s="1" t="s">
        <v>658</v>
      </c>
      <c r="G2853" s="1" t="s">
        <v>940</v>
      </c>
      <c r="H2853" s="3">
        <v>46079</v>
      </c>
      <c r="I2853" s="1" t="s">
        <v>933</v>
      </c>
      <c r="J2853" s="1" t="s">
        <v>66</v>
      </c>
      <c r="K2853" s="1" t="s">
        <v>659</v>
      </c>
      <c r="L2853" s="1" t="s">
        <v>4273</v>
      </c>
      <c r="M2853" s="3">
        <v>46067</v>
      </c>
      <c r="N2853" s="1" t="s">
        <v>57</v>
      </c>
      <c r="O2853" s="1" t="s">
        <v>936</v>
      </c>
      <c r="P2853" s="1">
        <v>1</v>
      </c>
    </row>
    <row r="2854" spans="1:16" x14ac:dyDescent="0.25">
      <c r="A2854" s="3">
        <v>46064</v>
      </c>
      <c r="B2854" s="1">
        <v>521</v>
      </c>
      <c r="C2854" s="5">
        <v>450</v>
      </c>
      <c r="D2854" s="1" t="s">
        <v>1953</v>
      </c>
      <c r="E2854" s="1" t="s">
        <v>3326</v>
      </c>
      <c r="F2854" s="1" t="s">
        <v>683</v>
      </c>
      <c r="G2854" s="1" t="s">
        <v>940</v>
      </c>
      <c r="H2854" s="3">
        <v>46079</v>
      </c>
      <c r="I2854" s="1" t="s">
        <v>933</v>
      </c>
      <c r="J2854" s="1" t="s">
        <v>66</v>
      </c>
      <c r="K2854" s="1" t="s">
        <v>308</v>
      </c>
      <c r="L2854" s="1" t="s">
        <v>4274</v>
      </c>
      <c r="M2854" s="3">
        <v>46067</v>
      </c>
      <c r="N2854" s="1" t="s">
        <v>75</v>
      </c>
      <c r="O2854" s="1" t="s">
        <v>936</v>
      </c>
      <c r="P2854" s="1">
        <v>1</v>
      </c>
    </row>
    <row r="2855" spans="1:16" x14ac:dyDescent="0.25">
      <c r="A2855" s="3">
        <v>46064</v>
      </c>
      <c r="B2855" s="1">
        <v>521</v>
      </c>
      <c r="C2855" s="5">
        <v>60</v>
      </c>
      <c r="D2855" s="1" t="s">
        <v>1953</v>
      </c>
      <c r="E2855" s="1" t="s">
        <v>3326</v>
      </c>
      <c r="F2855" s="1" t="s">
        <v>837</v>
      </c>
      <c r="G2855" s="1" t="s">
        <v>940</v>
      </c>
      <c r="H2855" s="3">
        <v>46079</v>
      </c>
      <c r="I2855" s="1" t="s">
        <v>933</v>
      </c>
      <c r="J2855" s="1" t="s">
        <v>66</v>
      </c>
      <c r="K2855" s="1" t="s">
        <v>340</v>
      </c>
      <c r="L2855" s="1" t="s">
        <v>4275</v>
      </c>
      <c r="M2855" s="3">
        <v>46067</v>
      </c>
      <c r="N2855" s="1" t="s">
        <v>50</v>
      </c>
      <c r="O2855" s="1" t="s">
        <v>936</v>
      </c>
      <c r="P2855" s="1">
        <v>1</v>
      </c>
    </row>
    <row r="2856" spans="1:16" x14ac:dyDescent="0.25">
      <c r="A2856" s="3">
        <v>46064</v>
      </c>
      <c r="B2856" s="1">
        <v>521</v>
      </c>
      <c r="C2856" s="5">
        <v>80</v>
      </c>
      <c r="D2856" s="1" t="s">
        <v>1953</v>
      </c>
      <c r="E2856" s="1" t="s">
        <v>3326</v>
      </c>
      <c r="F2856" s="1" t="s">
        <v>623</v>
      </c>
      <c r="G2856" s="1" t="s">
        <v>940</v>
      </c>
      <c r="H2856" s="3">
        <v>46079</v>
      </c>
      <c r="I2856" s="1" t="s">
        <v>933</v>
      </c>
      <c r="J2856" s="1" t="s">
        <v>66</v>
      </c>
      <c r="K2856" s="1" t="s">
        <v>340</v>
      </c>
      <c r="L2856" s="1" t="s">
        <v>4239</v>
      </c>
      <c r="M2856" s="3">
        <v>46067</v>
      </c>
      <c r="N2856" s="1" t="s">
        <v>383</v>
      </c>
      <c r="O2856" s="1" t="s">
        <v>936</v>
      </c>
      <c r="P2856" s="1">
        <v>1</v>
      </c>
    </row>
    <row r="2857" spans="1:16" x14ac:dyDescent="0.25">
      <c r="A2857" s="3">
        <v>46064</v>
      </c>
      <c r="B2857" s="1">
        <v>522</v>
      </c>
      <c r="C2857" s="5">
        <v>220</v>
      </c>
      <c r="D2857" s="1" t="s">
        <v>1953</v>
      </c>
      <c r="E2857" s="1" t="s">
        <v>3326</v>
      </c>
      <c r="F2857" s="1" t="s">
        <v>451</v>
      </c>
      <c r="G2857" s="1" t="s">
        <v>940</v>
      </c>
      <c r="H2857" s="3">
        <v>46084</v>
      </c>
      <c r="I2857" s="1" t="s">
        <v>933</v>
      </c>
      <c r="J2857" s="1" t="s">
        <v>66</v>
      </c>
      <c r="K2857" s="1" t="s">
        <v>308</v>
      </c>
      <c r="L2857" s="1" t="s">
        <v>4276</v>
      </c>
      <c r="M2857" s="3">
        <v>46070</v>
      </c>
      <c r="N2857" s="1" t="s">
        <v>212</v>
      </c>
      <c r="O2857" s="1" t="s">
        <v>936</v>
      </c>
      <c r="P2857" s="1">
        <v>1</v>
      </c>
    </row>
    <row r="2858" spans="1:16" x14ac:dyDescent="0.25">
      <c r="A2858" s="3">
        <v>46064</v>
      </c>
      <c r="B2858" s="1">
        <v>522</v>
      </c>
      <c r="C2858" s="5">
        <v>120</v>
      </c>
      <c r="D2858" s="1" t="s">
        <v>1953</v>
      </c>
      <c r="E2858" s="1" t="s">
        <v>3326</v>
      </c>
      <c r="F2858" s="1" t="s">
        <v>457</v>
      </c>
      <c r="G2858" s="1" t="s">
        <v>940</v>
      </c>
      <c r="H2858" s="3">
        <v>46084</v>
      </c>
      <c r="I2858" s="1" t="s">
        <v>933</v>
      </c>
      <c r="J2858" s="1" t="s">
        <v>66</v>
      </c>
      <c r="K2858" s="1" t="s">
        <v>308</v>
      </c>
      <c r="L2858" s="1" t="s">
        <v>4239</v>
      </c>
      <c r="M2858" s="3">
        <v>46070</v>
      </c>
      <c r="N2858" s="1" t="s">
        <v>358</v>
      </c>
      <c r="O2858" s="1" t="s">
        <v>936</v>
      </c>
      <c r="P2858" s="1">
        <v>1</v>
      </c>
    </row>
    <row r="2859" spans="1:16" x14ac:dyDescent="0.25">
      <c r="A2859" s="3">
        <v>46064</v>
      </c>
      <c r="B2859" s="1">
        <v>522</v>
      </c>
      <c r="C2859" s="5">
        <v>530</v>
      </c>
      <c r="D2859" s="1" t="s">
        <v>1953</v>
      </c>
      <c r="E2859" s="1" t="s">
        <v>3326</v>
      </c>
      <c r="F2859" s="1" t="s">
        <v>533</v>
      </c>
      <c r="G2859" s="1" t="s">
        <v>940</v>
      </c>
      <c r="H2859" s="3">
        <v>46084</v>
      </c>
      <c r="I2859" s="1" t="s">
        <v>933</v>
      </c>
      <c r="J2859" s="1" t="s">
        <v>66</v>
      </c>
      <c r="K2859" s="1" t="s">
        <v>308</v>
      </c>
      <c r="L2859" s="1" t="s">
        <v>4277</v>
      </c>
      <c r="M2859" s="3">
        <v>46070</v>
      </c>
      <c r="N2859" s="1" t="s">
        <v>57</v>
      </c>
      <c r="O2859" s="1" t="s">
        <v>936</v>
      </c>
      <c r="P2859" s="1">
        <v>1</v>
      </c>
    </row>
    <row r="2860" spans="1:16" x14ac:dyDescent="0.25">
      <c r="A2860" s="3">
        <v>46064</v>
      </c>
      <c r="B2860" s="1">
        <v>522</v>
      </c>
      <c r="C2860" s="5">
        <v>180</v>
      </c>
      <c r="D2860" s="1" t="s">
        <v>1953</v>
      </c>
      <c r="E2860" s="1" t="s">
        <v>3326</v>
      </c>
      <c r="F2860" s="1" t="s">
        <v>182</v>
      </c>
      <c r="G2860" s="1" t="s">
        <v>940</v>
      </c>
      <c r="H2860" s="3">
        <v>46084</v>
      </c>
      <c r="I2860" s="1" t="s">
        <v>933</v>
      </c>
      <c r="J2860" s="1" t="s">
        <v>66</v>
      </c>
      <c r="K2860" s="1" t="s">
        <v>308</v>
      </c>
      <c r="L2860" s="1" t="s">
        <v>4278</v>
      </c>
      <c r="M2860" s="3">
        <v>46070</v>
      </c>
      <c r="N2860" s="1" t="s">
        <v>93</v>
      </c>
      <c r="O2860" s="1" t="s">
        <v>936</v>
      </c>
      <c r="P2860" s="1">
        <v>1</v>
      </c>
    </row>
    <row r="2861" spans="1:16" x14ac:dyDescent="0.25">
      <c r="A2861" s="3">
        <v>46064</v>
      </c>
      <c r="B2861" s="1">
        <v>522</v>
      </c>
      <c r="C2861" s="5">
        <v>100</v>
      </c>
      <c r="D2861" s="1" t="s">
        <v>1953</v>
      </c>
      <c r="E2861" s="1" t="s">
        <v>3326</v>
      </c>
      <c r="F2861" s="1" t="s">
        <v>71</v>
      </c>
      <c r="G2861" s="1" t="s">
        <v>940</v>
      </c>
      <c r="H2861" s="3">
        <v>46084</v>
      </c>
      <c r="I2861" s="1" t="s">
        <v>933</v>
      </c>
      <c r="J2861" s="1" t="s">
        <v>66</v>
      </c>
      <c r="K2861" s="1" t="s">
        <v>1654</v>
      </c>
      <c r="L2861" s="1" t="s">
        <v>4279</v>
      </c>
      <c r="M2861" s="3">
        <v>46070</v>
      </c>
      <c r="N2861" s="1" t="s">
        <v>75</v>
      </c>
      <c r="O2861" s="1" t="s">
        <v>936</v>
      </c>
      <c r="P2861" s="1">
        <v>1</v>
      </c>
    </row>
    <row r="2862" spans="1:16" x14ac:dyDescent="0.25">
      <c r="A2862" s="3">
        <v>46064</v>
      </c>
      <c r="B2862" s="1">
        <v>522</v>
      </c>
      <c r="C2862" s="5">
        <v>320</v>
      </c>
      <c r="D2862" s="1" t="s">
        <v>1953</v>
      </c>
      <c r="E2862" s="1" t="s">
        <v>3326</v>
      </c>
      <c r="F2862" s="1" t="s">
        <v>599</v>
      </c>
      <c r="G2862" s="1" t="s">
        <v>940</v>
      </c>
      <c r="H2862" s="3">
        <v>46084</v>
      </c>
      <c r="I2862" s="1" t="s">
        <v>933</v>
      </c>
      <c r="J2862" s="1" t="s">
        <v>66</v>
      </c>
      <c r="K2862" s="1" t="s">
        <v>340</v>
      </c>
      <c r="L2862" s="1" t="s">
        <v>4280</v>
      </c>
      <c r="M2862" s="3">
        <v>46070</v>
      </c>
      <c r="N2862" s="1" t="s">
        <v>57</v>
      </c>
      <c r="O2862" s="1" t="s">
        <v>936</v>
      </c>
      <c r="P2862" s="1">
        <v>1</v>
      </c>
    </row>
    <row r="2863" spans="1:16" x14ac:dyDescent="0.25">
      <c r="A2863" s="3">
        <v>46064</v>
      </c>
      <c r="B2863" s="1">
        <v>522</v>
      </c>
      <c r="C2863" s="5">
        <v>360</v>
      </c>
      <c r="D2863" s="1" t="s">
        <v>1953</v>
      </c>
      <c r="E2863" s="1" t="s">
        <v>3326</v>
      </c>
      <c r="F2863" s="1" t="s">
        <v>83</v>
      </c>
      <c r="G2863" s="1" t="s">
        <v>940</v>
      </c>
      <c r="H2863" s="3">
        <v>46084</v>
      </c>
      <c r="I2863" s="1" t="s">
        <v>933</v>
      </c>
      <c r="J2863" s="1" t="s">
        <v>66</v>
      </c>
      <c r="K2863" s="1" t="s">
        <v>1654</v>
      </c>
      <c r="L2863" s="1" t="s">
        <v>4281</v>
      </c>
      <c r="M2863" s="3">
        <v>46070</v>
      </c>
      <c r="N2863" s="1" t="s">
        <v>57</v>
      </c>
      <c r="O2863" s="1" t="s">
        <v>936</v>
      </c>
      <c r="P2863" s="1">
        <v>1</v>
      </c>
    </row>
    <row r="2864" spans="1:16" x14ac:dyDescent="0.25">
      <c r="A2864" s="3">
        <v>46064</v>
      </c>
      <c r="B2864" s="1">
        <v>522</v>
      </c>
      <c r="C2864" s="5">
        <v>60</v>
      </c>
      <c r="D2864" s="1" t="s">
        <v>1953</v>
      </c>
      <c r="E2864" s="1" t="s">
        <v>3326</v>
      </c>
      <c r="F2864" s="1" t="s">
        <v>66</v>
      </c>
      <c r="G2864" s="1" t="s">
        <v>940</v>
      </c>
      <c r="H2864" s="3">
        <v>46084</v>
      </c>
      <c r="I2864" s="1" t="s">
        <v>933</v>
      </c>
      <c r="J2864" s="1" t="s">
        <v>66</v>
      </c>
      <c r="K2864" s="1" t="s">
        <v>308</v>
      </c>
      <c r="L2864" s="1" t="s">
        <v>4282</v>
      </c>
      <c r="M2864" s="3">
        <v>46070</v>
      </c>
      <c r="N2864" s="1" t="s">
        <v>57</v>
      </c>
      <c r="O2864" s="1" t="s">
        <v>936</v>
      </c>
      <c r="P2864" s="1">
        <v>1</v>
      </c>
    </row>
    <row r="2865" spans="1:16" x14ac:dyDescent="0.25">
      <c r="A2865" s="3">
        <v>46064</v>
      </c>
      <c r="B2865" s="1">
        <v>522</v>
      </c>
      <c r="C2865" s="5">
        <v>60</v>
      </c>
      <c r="D2865" s="1" t="s">
        <v>1953</v>
      </c>
      <c r="E2865" s="1" t="s">
        <v>3326</v>
      </c>
      <c r="F2865" s="1" t="s">
        <v>453</v>
      </c>
      <c r="G2865" s="1" t="s">
        <v>940</v>
      </c>
      <c r="H2865" s="3">
        <v>46084</v>
      </c>
      <c r="I2865" s="1" t="s">
        <v>933</v>
      </c>
      <c r="J2865" s="1" t="s">
        <v>66</v>
      </c>
      <c r="K2865" s="1" t="s">
        <v>308</v>
      </c>
      <c r="L2865" s="1" t="s">
        <v>4283</v>
      </c>
      <c r="M2865" s="3">
        <v>46070</v>
      </c>
      <c r="N2865" s="1" t="s">
        <v>455</v>
      </c>
      <c r="O2865" s="1" t="s">
        <v>936</v>
      </c>
      <c r="P2865" s="1">
        <v>1</v>
      </c>
    </row>
    <row r="2866" spans="1:16" x14ac:dyDescent="0.25">
      <c r="A2866" s="3">
        <v>46064</v>
      </c>
      <c r="B2866" s="1">
        <v>522</v>
      </c>
      <c r="C2866" s="5">
        <v>440</v>
      </c>
      <c r="D2866" s="1" t="s">
        <v>1953</v>
      </c>
      <c r="E2866" s="1" t="s">
        <v>3326</v>
      </c>
      <c r="F2866" s="1" t="s">
        <v>457</v>
      </c>
      <c r="G2866" s="1" t="s">
        <v>940</v>
      </c>
      <c r="H2866" s="3">
        <v>46084</v>
      </c>
      <c r="I2866" s="1" t="s">
        <v>933</v>
      </c>
      <c r="J2866" s="1" t="s">
        <v>66</v>
      </c>
      <c r="K2866" s="1" t="s">
        <v>308</v>
      </c>
      <c r="L2866" s="1" t="s">
        <v>4284</v>
      </c>
      <c r="M2866" s="3">
        <v>46070</v>
      </c>
      <c r="N2866" s="1" t="s">
        <v>358</v>
      </c>
      <c r="O2866" s="1" t="s">
        <v>936</v>
      </c>
      <c r="P2866" s="1">
        <v>1</v>
      </c>
    </row>
    <row r="2867" spans="1:16" x14ac:dyDescent="0.25">
      <c r="A2867" s="3">
        <v>46064</v>
      </c>
      <c r="B2867" s="1">
        <v>522</v>
      </c>
      <c r="C2867" s="5">
        <v>840</v>
      </c>
      <c r="D2867" s="1" t="s">
        <v>1953</v>
      </c>
      <c r="E2867" s="1" t="s">
        <v>3326</v>
      </c>
      <c r="F2867" s="1" t="s">
        <v>949</v>
      </c>
      <c r="G2867" s="1" t="s">
        <v>940</v>
      </c>
      <c r="H2867" s="3">
        <v>46084</v>
      </c>
      <c r="I2867" s="1" t="s">
        <v>933</v>
      </c>
      <c r="J2867" s="1" t="s">
        <v>951</v>
      </c>
      <c r="K2867" s="1" t="s">
        <v>640</v>
      </c>
      <c r="L2867" s="1" t="s">
        <v>4285</v>
      </c>
      <c r="M2867" s="3">
        <v>46070</v>
      </c>
      <c r="N2867" s="1" t="s">
        <v>57</v>
      </c>
      <c r="O2867" s="1" t="s">
        <v>936</v>
      </c>
      <c r="P2867" s="1">
        <v>1</v>
      </c>
    </row>
    <row r="2868" spans="1:16" x14ac:dyDescent="0.25">
      <c r="A2868" s="3">
        <v>46064</v>
      </c>
      <c r="B2868" s="1">
        <v>522</v>
      </c>
      <c r="C2868" s="5">
        <v>260</v>
      </c>
      <c r="D2868" s="1" t="s">
        <v>1953</v>
      </c>
      <c r="E2868" s="1" t="s">
        <v>3326</v>
      </c>
      <c r="F2868" s="1" t="s">
        <v>255</v>
      </c>
      <c r="G2868" s="1" t="s">
        <v>940</v>
      </c>
      <c r="H2868" s="3">
        <v>46084</v>
      </c>
      <c r="I2868" s="1" t="s">
        <v>933</v>
      </c>
      <c r="J2868" s="1" t="s">
        <v>66</v>
      </c>
      <c r="K2868" s="1" t="s">
        <v>340</v>
      </c>
      <c r="L2868" s="1" t="s">
        <v>4286</v>
      </c>
      <c r="M2868" s="3">
        <v>46070</v>
      </c>
      <c r="N2868" s="1" t="s">
        <v>57</v>
      </c>
      <c r="O2868" s="1" t="s">
        <v>936</v>
      </c>
      <c r="P2868" s="1">
        <v>1</v>
      </c>
    </row>
    <row r="2869" spans="1:16" x14ac:dyDescent="0.25">
      <c r="A2869" s="3">
        <v>46064</v>
      </c>
      <c r="B2869" s="1">
        <v>522</v>
      </c>
      <c r="C2869" s="5">
        <v>270</v>
      </c>
      <c r="D2869" s="1" t="s">
        <v>1953</v>
      </c>
      <c r="E2869" s="1" t="s">
        <v>3326</v>
      </c>
      <c r="F2869" s="1" t="s">
        <v>422</v>
      </c>
      <c r="G2869" s="1" t="s">
        <v>940</v>
      </c>
      <c r="H2869" s="3">
        <v>46084</v>
      </c>
      <c r="I2869" s="1" t="s">
        <v>933</v>
      </c>
      <c r="J2869" s="1" t="s">
        <v>66</v>
      </c>
      <c r="K2869" s="1" t="s">
        <v>308</v>
      </c>
      <c r="L2869" s="1" t="s">
        <v>4287</v>
      </c>
      <c r="M2869" s="3">
        <v>46070</v>
      </c>
      <c r="N2869" s="1" t="s">
        <v>75</v>
      </c>
      <c r="O2869" s="1" t="s">
        <v>936</v>
      </c>
      <c r="P2869" s="1">
        <v>1</v>
      </c>
    </row>
    <row r="2870" spans="1:16" x14ac:dyDescent="0.25">
      <c r="A2870" s="3">
        <v>46064</v>
      </c>
      <c r="B2870" s="1">
        <v>522</v>
      </c>
      <c r="C2870" s="5">
        <v>350</v>
      </c>
      <c r="D2870" s="1" t="s">
        <v>1953</v>
      </c>
      <c r="E2870" s="1" t="s">
        <v>3326</v>
      </c>
      <c r="F2870" s="1" t="s">
        <v>66</v>
      </c>
      <c r="G2870" s="1" t="s">
        <v>940</v>
      </c>
      <c r="H2870" s="3">
        <v>46084</v>
      </c>
      <c r="I2870" s="1" t="s">
        <v>933</v>
      </c>
      <c r="J2870" s="1" t="s">
        <v>66</v>
      </c>
      <c r="K2870" s="1" t="s">
        <v>340</v>
      </c>
      <c r="L2870" s="1" t="s">
        <v>4288</v>
      </c>
      <c r="M2870" s="3">
        <v>46070</v>
      </c>
      <c r="N2870" s="1" t="s">
        <v>57</v>
      </c>
      <c r="O2870" s="1" t="s">
        <v>936</v>
      </c>
      <c r="P2870" s="1">
        <v>1</v>
      </c>
    </row>
    <row r="2871" spans="1:16" x14ac:dyDescent="0.25">
      <c r="A2871" s="3">
        <v>46064</v>
      </c>
      <c r="B2871" s="1">
        <v>522</v>
      </c>
      <c r="C2871" s="5">
        <v>80</v>
      </c>
      <c r="D2871" s="1" t="s">
        <v>1953</v>
      </c>
      <c r="E2871" s="1" t="s">
        <v>3326</v>
      </c>
      <c r="F2871" s="1" t="s">
        <v>66</v>
      </c>
      <c r="G2871" s="1" t="s">
        <v>940</v>
      </c>
      <c r="H2871" s="3">
        <v>46084</v>
      </c>
      <c r="I2871" s="1" t="s">
        <v>933</v>
      </c>
      <c r="J2871" s="1" t="s">
        <v>66</v>
      </c>
      <c r="K2871" s="1" t="s">
        <v>66</v>
      </c>
      <c r="L2871" s="1" t="s">
        <v>4289</v>
      </c>
      <c r="M2871" s="3">
        <v>46070</v>
      </c>
      <c r="N2871" s="1" t="s">
        <v>57</v>
      </c>
      <c r="O2871" s="1" t="s">
        <v>936</v>
      </c>
      <c r="P2871" s="1">
        <v>1</v>
      </c>
    </row>
    <row r="2872" spans="1:16" x14ac:dyDescent="0.25">
      <c r="A2872" s="3">
        <v>46064</v>
      </c>
      <c r="B2872" s="1">
        <v>522</v>
      </c>
      <c r="C2872" s="5">
        <v>55</v>
      </c>
      <c r="D2872" s="1" t="s">
        <v>1953</v>
      </c>
      <c r="E2872" s="1" t="s">
        <v>3326</v>
      </c>
      <c r="F2872" s="1" t="s">
        <v>66</v>
      </c>
      <c r="G2872" s="1" t="s">
        <v>940</v>
      </c>
      <c r="H2872" s="3">
        <v>46084</v>
      </c>
      <c r="I2872" s="1" t="s">
        <v>933</v>
      </c>
      <c r="J2872" s="1" t="s">
        <v>66</v>
      </c>
      <c r="K2872" s="1" t="s">
        <v>817</v>
      </c>
      <c r="L2872" s="1" t="s">
        <v>4290</v>
      </c>
      <c r="M2872" s="3">
        <v>46070</v>
      </c>
      <c r="N2872" s="1" t="s">
        <v>57</v>
      </c>
      <c r="O2872" s="1" t="s">
        <v>936</v>
      </c>
      <c r="P2872" s="1">
        <v>1</v>
      </c>
    </row>
    <row r="2873" spans="1:16" x14ac:dyDescent="0.25">
      <c r="A2873" s="3">
        <v>46064</v>
      </c>
      <c r="B2873" s="1">
        <v>522</v>
      </c>
      <c r="C2873" s="5">
        <v>180</v>
      </c>
      <c r="D2873" s="1" t="s">
        <v>1953</v>
      </c>
      <c r="E2873" s="1" t="s">
        <v>3326</v>
      </c>
      <c r="F2873" s="1" t="s">
        <v>719</v>
      </c>
      <c r="G2873" s="1" t="s">
        <v>940</v>
      </c>
      <c r="H2873" s="3">
        <v>46084</v>
      </c>
      <c r="I2873" s="1" t="s">
        <v>933</v>
      </c>
      <c r="J2873" s="1" t="s">
        <v>66</v>
      </c>
      <c r="K2873" s="1" t="s">
        <v>340</v>
      </c>
      <c r="L2873" s="1" t="s">
        <v>4291</v>
      </c>
      <c r="M2873" s="3">
        <v>46070</v>
      </c>
      <c r="N2873" s="1" t="s">
        <v>712</v>
      </c>
      <c r="O2873" s="1" t="s">
        <v>936</v>
      </c>
      <c r="P2873" s="1">
        <v>1</v>
      </c>
    </row>
    <row r="2874" spans="1:16" x14ac:dyDescent="0.25">
      <c r="A2874" s="3">
        <v>46064</v>
      </c>
      <c r="B2874" s="1">
        <v>522</v>
      </c>
      <c r="C2874" s="5">
        <v>435</v>
      </c>
      <c r="D2874" s="1" t="s">
        <v>1953</v>
      </c>
      <c r="E2874" s="1" t="s">
        <v>3326</v>
      </c>
      <c r="F2874" s="1" t="s">
        <v>639</v>
      </c>
      <c r="G2874" s="1" t="s">
        <v>940</v>
      </c>
      <c r="H2874" s="3">
        <v>46084</v>
      </c>
      <c r="I2874" s="1" t="s">
        <v>933</v>
      </c>
      <c r="J2874" s="1" t="s">
        <v>66</v>
      </c>
      <c r="K2874" s="1" t="s">
        <v>308</v>
      </c>
      <c r="L2874" s="1" t="s">
        <v>4292</v>
      </c>
      <c r="M2874" s="3">
        <v>46070</v>
      </c>
      <c r="N2874" s="1" t="s">
        <v>98</v>
      </c>
      <c r="O2874" s="1" t="s">
        <v>936</v>
      </c>
      <c r="P2874" s="1">
        <v>1</v>
      </c>
    </row>
    <row r="2875" spans="1:16" x14ac:dyDescent="0.25">
      <c r="A2875" s="3">
        <v>46064</v>
      </c>
      <c r="B2875" s="1">
        <v>522</v>
      </c>
      <c r="C2875" s="5">
        <v>580</v>
      </c>
      <c r="D2875" s="1" t="s">
        <v>1953</v>
      </c>
      <c r="E2875" s="1" t="s">
        <v>3326</v>
      </c>
      <c r="F2875" s="1" t="s">
        <v>721</v>
      </c>
      <c r="G2875" s="1" t="s">
        <v>940</v>
      </c>
      <c r="H2875" s="3">
        <v>46084</v>
      </c>
      <c r="I2875" s="1" t="s">
        <v>933</v>
      </c>
      <c r="J2875" s="1" t="s">
        <v>66</v>
      </c>
      <c r="K2875" s="1" t="s">
        <v>340</v>
      </c>
      <c r="L2875" s="1" t="s">
        <v>4293</v>
      </c>
      <c r="M2875" s="3">
        <v>46070</v>
      </c>
      <c r="N2875" s="1" t="s">
        <v>712</v>
      </c>
      <c r="O2875" s="1" t="s">
        <v>936</v>
      </c>
      <c r="P2875" s="1">
        <v>1</v>
      </c>
    </row>
    <row r="2876" spans="1:16" x14ac:dyDescent="0.25">
      <c r="A2876" s="3">
        <v>46064</v>
      </c>
      <c r="B2876" s="1">
        <v>522</v>
      </c>
      <c r="C2876" s="5">
        <v>670</v>
      </c>
      <c r="D2876" s="1" t="s">
        <v>1953</v>
      </c>
      <c r="E2876" s="1" t="s">
        <v>3326</v>
      </c>
      <c r="F2876" s="1" t="s">
        <v>759</v>
      </c>
      <c r="G2876" s="1" t="s">
        <v>940</v>
      </c>
      <c r="H2876" s="3">
        <v>46084</v>
      </c>
      <c r="I2876" s="1" t="s">
        <v>933</v>
      </c>
      <c r="J2876" s="1" t="s">
        <v>66</v>
      </c>
      <c r="K2876" s="1" t="s">
        <v>340</v>
      </c>
      <c r="L2876" s="1" t="s">
        <v>4294</v>
      </c>
      <c r="M2876" s="3">
        <v>46070</v>
      </c>
      <c r="N2876" s="1" t="s">
        <v>75</v>
      </c>
      <c r="O2876" s="1" t="s">
        <v>936</v>
      </c>
      <c r="P2876" s="1">
        <v>1</v>
      </c>
    </row>
    <row r="2877" spans="1:16" x14ac:dyDescent="0.25">
      <c r="A2877" s="3">
        <v>46064</v>
      </c>
      <c r="B2877" s="1">
        <v>522</v>
      </c>
      <c r="C2877" s="5">
        <v>140</v>
      </c>
      <c r="D2877" s="1" t="s">
        <v>1953</v>
      </c>
      <c r="E2877" s="1" t="s">
        <v>3326</v>
      </c>
      <c r="F2877" s="1" t="s">
        <v>66</v>
      </c>
      <c r="G2877" s="1" t="s">
        <v>940</v>
      </c>
      <c r="H2877" s="3">
        <v>46084</v>
      </c>
      <c r="I2877" s="1" t="s">
        <v>933</v>
      </c>
      <c r="J2877" s="1" t="s">
        <v>66</v>
      </c>
      <c r="K2877" s="1" t="s">
        <v>66</v>
      </c>
      <c r="L2877" s="1" t="s">
        <v>4295</v>
      </c>
      <c r="M2877" s="3">
        <v>46070</v>
      </c>
      <c r="N2877" s="1" t="s">
        <v>57</v>
      </c>
      <c r="O2877" s="1" t="s">
        <v>936</v>
      </c>
      <c r="P2877" s="1">
        <v>1</v>
      </c>
    </row>
    <row r="2878" spans="1:16" x14ac:dyDescent="0.25">
      <c r="A2878" s="3">
        <v>46064</v>
      </c>
      <c r="B2878" s="1">
        <v>523</v>
      </c>
      <c r="C2878" s="5">
        <v>80</v>
      </c>
      <c r="D2878" s="1" t="s">
        <v>1953</v>
      </c>
      <c r="E2878" s="1" t="s">
        <v>3326</v>
      </c>
      <c r="F2878" s="1" t="s">
        <v>222</v>
      </c>
      <c r="G2878" s="1" t="s">
        <v>940</v>
      </c>
      <c r="H2878" s="3">
        <v>46084</v>
      </c>
      <c r="I2878" s="1" t="s">
        <v>933</v>
      </c>
      <c r="J2878" s="1" t="s">
        <v>66</v>
      </c>
      <c r="K2878" s="1" t="s">
        <v>1025</v>
      </c>
      <c r="L2878" s="1" t="s">
        <v>4296</v>
      </c>
      <c r="M2878" s="3">
        <v>46070</v>
      </c>
      <c r="N2878" s="1" t="s">
        <v>93</v>
      </c>
      <c r="O2878" s="1" t="s">
        <v>936</v>
      </c>
      <c r="P2878" s="1">
        <v>1</v>
      </c>
    </row>
    <row r="2879" spans="1:16" x14ac:dyDescent="0.25">
      <c r="A2879" s="3">
        <v>46064</v>
      </c>
      <c r="B2879" s="1">
        <v>523</v>
      </c>
      <c r="C2879" s="5">
        <v>730</v>
      </c>
      <c r="D2879" s="1" t="s">
        <v>1953</v>
      </c>
      <c r="E2879" s="1" t="s">
        <v>3326</v>
      </c>
      <c r="F2879" s="1" t="s">
        <v>773</v>
      </c>
      <c r="G2879" s="1" t="s">
        <v>940</v>
      </c>
      <c r="H2879" s="3">
        <v>46084</v>
      </c>
      <c r="I2879" s="1" t="s">
        <v>1100</v>
      </c>
      <c r="J2879" s="1" t="s">
        <v>66</v>
      </c>
      <c r="K2879" s="1" t="s">
        <v>308</v>
      </c>
      <c r="L2879" s="1" t="s">
        <v>4297</v>
      </c>
      <c r="M2879" s="3">
        <v>46070</v>
      </c>
      <c r="N2879" s="1" t="s">
        <v>57</v>
      </c>
      <c r="O2879" s="1" t="s">
        <v>936</v>
      </c>
      <c r="P2879" s="1">
        <v>1</v>
      </c>
    </row>
    <row r="2880" spans="1:16" x14ac:dyDescent="0.25">
      <c r="A2880" s="3">
        <v>46064</v>
      </c>
      <c r="B2880" s="1">
        <v>523</v>
      </c>
      <c r="C2880" s="5">
        <v>140</v>
      </c>
      <c r="D2880" s="1" t="s">
        <v>1953</v>
      </c>
      <c r="E2880" s="1" t="s">
        <v>3326</v>
      </c>
      <c r="F2880" s="1" t="s">
        <v>66</v>
      </c>
      <c r="G2880" s="1" t="s">
        <v>940</v>
      </c>
      <c r="H2880" s="3">
        <v>46084</v>
      </c>
      <c r="I2880" s="1" t="s">
        <v>933</v>
      </c>
      <c r="J2880" s="1" t="s">
        <v>66</v>
      </c>
      <c r="K2880" s="1" t="s">
        <v>66</v>
      </c>
      <c r="L2880" s="1" t="s">
        <v>4298</v>
      </c>
      <c r="M2880" s="3">
        <v>46070</v>
      </c>
      <c r="N2880" s="1" t="s">
        <v>57</v>
      </c>
      <c r="O2880" s="1" t="s">
        <v>936</v>
      </c>
      <c r="P2880" s="1">
        <v>1</v>
      </c>
    </row>
    <row r="2881" spans="1:16" x14ac:dyDescent="0.25">
      <c r="A2881" s="3">
        <v>46064</v>
      </c>
      <c r="B2881" s="1">
        <v>523</v>
      </c>
      <c r="C2881" s="5">
        <v>430</v>
      </c>
      <c r="D2881" s="1" t="s">
        <v>1953</v>
      </c>
      <c r="E2881" s="1" t="s">
        <v>3326</v>
      </c>
      <c r="F2881" s="1" t="s">
        <v>753</v>
      </c>
      <c r="G2881" s="1" t="s">
        <v>940</v>
      </c>
      <c r="H2881" s="3">
        <v>46084</v>
      </c>
      <c r="I2881" s="1" t="s">
        <v>933</v>
      </c>
      <c r="J2881" s="1" t="s">
        <v>66</v>
      </c>
      <c r="K2881" s="1" t="s">
        <v>340</v>
      </c>
      <c r="L2881" s="1" t="s">
        <v>4299</v>
      </c>
      <c r="M2881" s="3">
        <v>46070</v>
      </c>
      <c r="N2881" s="1" t="s">
        <v>57</v>
      </c>
      <c r="O2881" s="1" t="s">
        <v>936</v>
      </c>
      <c r="P2881" s="1">
        <v>1</v>
      </c>
    </row>
    <row r="2882" spans="1:16" x14ac:dyDescent="0.25">
      <c r="A2882" s="3">
        <v>46064</v>
      </c>
      <c r="B2882" s="1">
        <v>523</v>
      </c>
      <c r="C2882" s="5">
        <v>230</v>
      </c>
      <c r="D2882" s="1" t="s">
        <v>1953</v>
      </c>
      <c r="E2882" s="1" t="s">
        <v>3326</v>
      </c>
      <c r="F2882" s="1" t="s">
        <v>66</v>
      </c>
      <c r="G2882" s="1" t="s">
        <v>940</v>
      </c>
      <c r="H2882" s="3">
        <v>46084</v>
      </c>
      <c r="I2882" s="1" t="s">
        <v>933</v>
      </c>
      <c r="J2882" s="1" t="s">
        <v>66</v>
      </c>
      <c r="K2882" s="1" t="s">
        <v>66</v>
      </c>
      <c r="L2882" s="1" t="s">
        <v>4300</v>
      </c>
      <c r="M2882" s="3">
        <v>46070</v>
      </c>
      <c r="N2882" s="1" t="s">
        <v>57</v>
      </c>
      <c r="O2882" s="1" t="s">
        <v>936</v>
      </c>
      <c r="P2882" s="1">
        <v>1</v>
      </c>
    </row>
    <row r="2883" spans="1:16" x14ac:dyDescent="0.25">
      <c r="A2883" s="3">
        <v>46064</v>
      </c>
      <c r="B2883" s="1">
        <v>523</v>
      </c>
      <c r="C2883" s="5">
        <v>180</v>
      </c>
      <c r="D2883" s="1" t="s">
        <v>1953</v>
      </c>
      <c r="E2883" s="1" t="s">
        <v>3326</v>
      </c>
      <c r="F2883" s="1" t="s">
        <v>670</v>
      </c>
      <c r="G2883" s="1" t="s">
        <v>940</v>
      </c>
      <c r="H2883" s="3">
        <v>46084</v>
      </c>
      <c r="I2883" s="1" t="s">
        <v>933</v>
      </c>
      <c r="J2883" s="1" t="s">
        <v>66</v>
      </c>
      <c r="K2883" s="1" t="s">
        <v>659</v>
      </c>
      <c r="L2883" s="1" t="s">
        <v>4301</v>
      </c>
      <c r="M2883" s="3">
        <v>46070</v>
      </c>
      <c r="N2883" s="1" t="s">
        <v>57</v>
      </c>
      <c r="O2883" s="1" t="s">
        <v>936</v>
      </c>
      <c r="P2883" s="1">
        <v>1</v>
      </c>
    </row>
    <row r="2884" spans="1:16" x14ac:dyDescent="0.25">
      <c r="A2884" s="3">
        <v>46064</v>
      </c>
      <c r="B2884" s="1">
        <v>523</v>
      </c>
      <c r="C2884" s="5">
        <v>140</v>
      </c>
      <c r="D2884" s="1" t="s">
        <v>1953</v>
      </c>
      <c r="E2884" s="1" t="s">
        <v>3326</v>
      </c>
      <c r="F2884" s="1" t="s">
        <v>66</v>
      </c>
      <c r="G2884" s="1" t="s">
        <v>940</v>
      </c>
      <c r="H2884" s="3">
        <v>46084</v>
      </c>
      <c r="I2884" s="1" t="s">
        <v>933</v>
      </c>
      <c r="J2884" s="1" t="s">
        <v>66</v>
      </c>
      <c r="K2884" s="1" t="s">
        <v>640</v>
      </c>
      <c r="L2884" s="1" t="s">
        <v>4302</v>
      </c>
      <c r="M2884" s="3">
        <v>46070</v>
      </c>
      <c r="N2884" s="1" t="s">
        <v>57</v>
      </c>
      <c r="O2884" s="1" t="s">
        <v>936</v>
      </c>
      <c r="P2884" s="1">
        <v>1</v>
      </c>
    </row>
    <row r="2885" spans="1:16" x14ac:dyDescent="0.25">
      <c r="A2885" s="3">
        <v>46064</v>
      </c>
      <c r="B2885" s="1">
        <v>523</v>
      </c>
      <c r="C2885" s="5">
        <v>150</v>
      </c>
      <c r="D2885" s="1" t="s">
        <v>1953</v>
      </c>
      <c r="E2885" s="1" t="s">
        <v>3326</v>
      </c>
      <c r="F2885" s="1" t="s">
        <v>66</v>
      </c>
      <c r="G2885" s="1" t="s">
        <v>940</v>
      </c>
      <c r="H2885" s="3">
        <v>46084</v>
      </c>
      <c r="I2885" s="1" t="s">
        <v>933</v>
      </c>
      <c r="J2885" s="1" t="s">
        <v>66</v>
      </c>
      <c r="K2885" s="1" t="s">
        <v>977</v>
      </c>
      <c r="L2885" s="1" t="s">
        <v>4303</v>
      </c>
      <c r="M2885" s="3">
        <v>46070</v>
      </c>
      <c r="N2885" s="1" t="s">
        <v>57</v>
      </c>
      <c r="O2885" s="1" t="s">
        <v>936</v>
      </c>
      <c r="P2885" s="1">
        <v>1</v>
      </c>
    </row>
    <row r="2886" spans="1:16" x14ac:dyDescent="0.25">
      <c r="A2886" s="3">
        <v>46064</v>
      </c>
      <c r="B2886" s="1">
        <v>523</v>
      </c>
      <c r="C2886" s="5">
        <v>150</v>
      </c>
      <c r="D2886" s="1" t="s">
        <v>1953</v>
      </c>
      <c r="E2886" s="1" t="s">
        <v>3326</v>
      </c>
      <c r="F2886" s="1" t="s">
        <v>66</v>
      </c>
      <c r="G2886" s="1" t="s">
        <v>940</v>
      </c>
      <c r="H2886" s="3">
        <v>46084</v>
      </c>
      <c r="I2886" s="1" t="s">
        <v>933</v>
      </c>
      <c r="J2886" s="1" t="s">
        <v>66</v>
      </c>
      <c r="K2886" s="1" t="s">
        <v>640</v>
      </c>
      <c r="L2886" s="1" t="s">
        <v>4304</v>
      </c>
      <c r="M2886" s="3">
        <v>46070</v>
      </c>
      <c r="N2886" s="1" t="s">
        <v>57</v>
      </c>
      <c r="O2886" s="1" t="s">
        <v>936</v>
      </c>
      <c r="P2886" s="1">
        <v>1</v>
      </c>
    </row>
    <row r="2887" spans="1:16" x14ac:dyDescent="0.25">
      <c r="A2887" s="3">
        <v>46064</v>
      </c>
      <c r="B2887" s="1">
        <v>523</v>
      </c>
      <c r="C2887" s="5">
        <v>120</v>
      </c>
      <c r="D2887" s="1" t="s">
        <v>1953</v>
      </c>
      <c r="E2887" s="1" t="s">
        <v>3326</v>
      </c>
      <c r="F2887" s="1" t="s">
        <v>66</v>
      </c>
      <c r="G2887" s="1" t="s">
        <v>940</v>
      </c>
      <c r="H2887" s="3">
        <v>46084</v>
      </c>
      <c r="I2887" s="1" t="s">
        <v>933</v>
      </c>
      <c r="J2887" s="1" t="s">
        <v>66</v>
      </c>
      <c r="K2887" s="1" t="s">
        <v>640</v>
      </c>
      <c r="L2887" s="1" t="s">
        <v>4305</v>
      </c>
      <c r="M2887" s="3">
        <v>46070</v>
      </c>
      <c r="N2887" s="1" t="s">
        <v>57</v>
      </c>
      <c r="O2887" s="1" t="s">
        <v>936</v>
      </c>
      <c r="P2887" s="1">
        <v>1</v>
      </c>
    </row>
    <row r="2888" spans="1:16" x14ac:dyDescent="0.25">
      <c r="A2888" s="3">
        <v>46064</v>
      </c>
      <c r="B2888" s="1">
        <v>523</v>
      </c>
      <c r="C2888" s="5">
        <v>100</v>
      </c>
      <c r="D2888" s="1" t="s">
        <v>1953</v>
      </c>
      <c r="E2888" s="1" t="s">
        <v>3326</v>
      </c>
      <c r="F2888" s="1" t="s">
        <v>66</v>
      </c>
      <c r="G2888" s="1" t="s">
        <v>940</v>
      </c>
      <c r="H2888" s="3">
        <v>46084</v>
      </c>
      <c r="I2888" s="1" t="s">
        <v>933</v>
      </c>
      <c r="J2888" s="1" t="s">
        <v>66</v>
      </c>
      <c r="K2888" s="1" t="s">
        <v>640</v>
      </c>
      <c r="L2888" s="1" t="s">
        <v>4306</v>
      </c>
      <c r="M2888" s="3">
        <v>46070</v>
      </c>
      <c r="N2888" s="1" t="s">
        <v>57</v>
      </c>
      <c r="O2888" s="1" t="s">
        <v>936</v>
      </c>
      <c r="P2888" s="1">
        <v>1</v>
      </c>
    </row>
    <row r="2889" spans="1:16" x14ac:dyDescent="0.25">
      <c r="A2889" s="3">
        <v>46064</v>
      </c>
      <c r="B2889" s="1">
        <v>523</v>
      </c>
      <c r="C2889" s="5">
        <v>50</v>
      </c>
      <c r="D2889" s="1" t="s">
        <v>1953</v>
      </c>
      <c r="E2889" s="1" t="s">
        <v>3326</v>
      </c>
      <c r="F2889" s="1" t="s">
        <v>66</v>
      </c>
      <c r="G2889" s="1" t="s">
        <v>940</v>
      </c>
      <c r="H2889" s="3">
        <v>46084</v>
      </c>
      <c r="I2889" s="1" t="s">
        <v>933</v>
      </c>
      <c r="J2889" s="1" t="s">
        <v>66</v>
      </c>
      <c r="K2889" s="1" t="s">
        <v>640</v>
      </c>
      <c r="L2889" s="1" t="s">
        <v>4307</v>
      </c>
      <c r="M2889" s="3">
        <v>46070</v>
      </c>
      <c r="N2889" s="1" t="s">
        <v>57</v>
      </c>
      <c r="O2889" s="1" t="s">
        <v>936</v>
      </c>
      <c r="P2889" s="1">
        <v>1</v>
      </c>
    </row>
    <row r="2890" spans="1:16" x14ac:dyDescent="0.25">
      <c r="A2890" s="3">
        <v>46064</v>
      </c>
      <c r="B2890" s="1">
        <v>523</v>
      </c>
      <c r="C2890" s="5">
        <v>420</v>
      </c>
      <c r="D2890" s="1" t="s">
        <v>1953</v>
      </c>
      <c r="E2890" s="1" t="s">
        <v>3326</v>
      </c>
      <c r="F2890" s="1" t="s">
        <v>66</v>
      </c>
      <c r="G2890" s="1" t="s">
        <v>940</v>
      </c>
      <c r="H2890" s="3">
        <v>46084</v>
      </c>
      <c r="I2890" s="1" t="s">
        <v>933</v>
      </c>
      <c r="J2890" s="1" t="s">
        <v>66</v>
      </c>
      <c r="K2890" s="1" t="s">
        <v>640</v>
      </c>
      <c r="L2890" s="1" t="s">
        <v>4308</v>
      </c>
      <c r="M2890" s="3">
        <v>46070</v>
      </c>
      <c r="N2890" s="1" t="s">
        <v>57</v>
      </c>
      <c r="O2890" s="1" t="s">
        <v>936</v>
      </c>
      <c r="P2890" s="1">
        <v>1</v>
      </c>
    </row>
    <row r="2891" spans="1:16" x14ac:dyDescent="0.25">
      <c r="A2891" s="3">
        <v>46064</v>
      </c>
      <c r="B2891" s="1">
        <v>523</v>
      </c>
      <c r="C2891" s="5">
        <v>200</v>
      </c>
      <c r="D2891" s="1" t="s">
        <v>1953</v>
      </c>
      <c r="E2891" s="1" t="s">
        <v>3326</v>
      </c>
      <c r="F2891" s="1" t="s">
        <v>66</v>
      </c>
      <c r="G2891" s="1" t="s">
        <v>940</v>
      </c>
      <c r="H2891" s="3">
        <v>46084</v>
      </c>
      <c r="I2891" s="1" t="s">
        <v>933</v>
      </c>
      <c r="J2891" s="1" t="s">
        <v>66</v>
      </c>
      <c r="K2891" s="1" t="s">
        <v>340</v>
      </c>
      <c r="L2891" s="1" t="s">
        <v>4309</v>
      </c>
      <c r="M2891" s="3">
        <v>46070</v>
      </c>
      <c r="N2891" s="1" t="s">
        <v>57</v>
      </c>
      <c r="O2891" s="1" t="s">
        <v>936</v>
      </c>
      <c r="P2891" s="1">
        <v>1</v>
      </c>
    </row>
    <row r="2892" spans="1:16" x14ac:dyDescent="0.25">
      <c r="A2892" s="3">
        <v>46064</v>
      </c>
      <c r="B2892" s="1">
        <v>523</v>
      </c>
      <c r="C2892" s="5">
        <v>140</v>
      </c>
      <c r="D2892" s="1" t="s">
        <v>1953</v>
      </c>
      <c r="E2892" s="1" t="s">
        <v>3326</v>
      </c>
      <c r="F2892" s="1" t="s">
        <v>66</v>
      </c>
      <c r="G2892" s="1" t="s">
        <v>940</v>
      </c>
      <c r="H2892" s="3">
        <v>46084</v>
      </c>
      <c r="I2892" s="1" t="s">
        <v>933</v>
      </c>
      <c r="J2892" s="1" t="s">
        <v>66</v>
      </c>
      <c r="K2892" s="1" t="s">
        <v>340</v>
      </c>
      <c r="L2892" s="1" t="s">
        <v>4310</v>
      </c>
      <c r="M2892" s="3">
        <v>46070</v>
      </c>
      <c r="N2892" s="1" t="s">
        <v>57</v>
      </c>
      <c r="O2892" s="1" t="s">
        <v>936</v>
      </c>
      <c r="P2892" s="1">
        <v>1</v>
      </c>
    </row>
    <row r="2893" spans="1:16" x14ac:dyDescent="0.25">
      <c r="A2893" s="3">
        <v>46064</v>
      </c>
      <c r="B2893" s="1">
        <v>523</v>
      </c>
      <c r="C2893" s="5">
        <v>160</v>
      </c>
      <c r="D2893" s="1" t="s">
        <v>1953</v>
      </c>
      <c r="E2893" s="1" t="s">
        <v>3326</v>
      </c>
      <c r="F2893" s="1" t="s">
        <v>66</v>
      </c>
      <c r="G2893" s="1" t="s">
        <v>940</v>
      </c>
      <c r="H2893" s="3">
        <v>46084</v>
      </c>
      <c r="I2893" s="1" t="s">
        <v>933</v>
      </c>
      <c r="J2893" s="1" t="s">
        <v>66</v>
      </c>
      <c r="K2893" s="1" t="s">
        <v>340</v>
      </c>
      <c r="L2893" s="1" t="s">
        <v>4311</v>
      </c>
      <c r="M2893" s="3">
        <v>46070</v>
      </c>
      <c r="N2893" s="1" t="s">
        <v>57</v>
      </c>
      <c r="O2893" s="1" t="s">
        <v>936</v>
      </c>
      <c r="P2893" s="1">
        <v>1</v>
      </c>
    </row>
    <row r="2894" spans="1:16" x14ac:dyDescent="0.25">
      <c r="A2894" s="3">
        <v>46064</v>
      </c>
      <c r="B2894" s="4">
        <v>18894</v>
      </c>
      <c r="C2894" s="5">
        <v>2940.78</v>
      </c>
      <c r="D2894" s="1" t="s">
        <v>3950</v>
      </c>
      <c r="E2894" s="1" t="s">
        <v>3951</v>
      </c>
      <c r="F2894" s="1" t="s">
        <v>906</v>
      </c>
      <c r="G2894" s="1" t="s">
        <v>940</v>
      </c>
      <c r="H2894" s="3">
        <v>46091</v>
      </c>
      <c r="I2894" s="1" t="s">
        <v>1100</v>
      </c>
      <c r="J2894" s="1" t="s">
        <v>66</v>
      </c>
      <c r="K2894" s="1" t="s">
        <v>308</v>
      </c>
      <c r="L2894" s="1" t="s">
        <v>4312</v>
      </c>
      <c r="M2894" s="3">
        <v>46070</v>
      </c>
      <c r="N2894" s="1" t="s">
        <v>57</v>
      </c>
      <c r="O2894" s="1" t="s">
        <v>936</v>
      </c>
      <c r="P2894" s="1" t="s">
        <v>937</v>
      </c>
    </row>
    <row r="2895" spans="1:16" x14ac:dyDescent="0.25">
      <c r="A2895" s="3">
        <v>46064</v>
      </c>
      <c r="B2895" s="1">
        <v>206</v>
      </c>
      <c r="C2895" s="5">
        <v>600</v>
      </c>
      <c r="D2895" s="1" t="s">
        <v>930</v>
      </c>
      <c r="E2895" s="1" t="s">
        <v>931</v>
      </c>
      <c r="F2895" s="1" t="s">
        <v>949</v>
      </c>
      <c r="G2895" s="1" t="s">
        <v>932</v>
      </c>
      <c r="H2895" s="3">
        <v>46077</v>
      </c>
      <c r="I2895" s="1" t="s">
        <v>933</v>
      </c>
      <c r="J2895" s="1" t="s">
        <v>951</v>
      </c>
      <c r="K2895" s="1" t="s">
        <v>1654</v>
      </c>
      <c r="L2895" s="1" t="s">
        <v>4313</v>
      </c>
      <c r="M2895" s="3">
        <v>46070</v>
      </c>
      <c r="N2895" s="1" t="s">
        <v>57</v>
      </c>
      <c r="O2895" s="1" t="s">
        <v>936</v>
      </c>
      <c r="P2895" s="1" t="s">
        <v>937</v>
      </c>
    </row>
    <row r="2896" spans="1:16" x14ac:dyDescent="0.25">
      <c r="A2896" s="3">
        <v>46064</v>
      </c>
      <c r="B2896" s="4">
        <v>1536</v>
      </c>
      <c r="C2896" s="5">
        <v>17860</v>
      </c>
      <c r="D2896" s="1" t="s">
        <v>1376</v>
      </c>
      <c r="E2896" s="1" t="s">
        <v>3543</v>
      </c>
      <c r="F2896" s="1" t="s">
        <v>949</v>
      </c>
      <c r="G2896" s="1" t="s">
        <v>3022</v>
      </c>
      <c r="H2896" s="3">
        <v>46079</v>
      </c>
      <c r="I2896" s="1" t="s">
        <v>933</v>
      </c>
      <c r="J2896" s="1" t="s">
        <v>951</v>
      </c>
      <c r="K2896" s="1" t="s">
        <v>340</v>
      </c>
      <c r="L2896" s="1" t="s">
        <v>4314</v>
      </c>
      <c r="M2896" s="3">
        <v>46070</v>
      </c>
      <c r="N2896" s="1" t="s">
        <v>57</v>
      </c>
      <c r="O2896" s="1" t="s">
        <v>936</v>
      </c>
      <c r="P2896" s="1" t="s">
        <v>937</v>
      </c>
    </row>
    <row r="2897" spans="1:16" x14ac:dyDescent="0.25">
      <c r="A2897" s="3">
        <v>46064</v>
      </c>
      <c r="B2897" s="1">
        <v>120</v>
      </c>
      <c r="C2897" s="5">
        <v>1600</v>
      </c>
      <c r="D2897" s="1" t="s">
        <v>4315</v>
      </c>
      <c r="E2897" s="1" t="s">
        <v>4316</v>
      </c>
      <c r="F2897" s="1" t="s">
        <v>659</v>
      </c>
      <c r="G2897" s="1" t="s">
        <v>20</v>
      </c>
      <c r="H2897" s="3">
        <v>46091</v>
      </c>
      <c r="I2897" s="1" t="s">
        <v>659</v>
      </c>
      <c r="J2897" s="1" t="s">
        <v>951</v>
      </c>
      <c r="K2897" s="1" t="s">
        <v>659</v>
      </c>
      <c r="L2897" s="1" t="s">
        <v>4317</v>
      </c>
      <c r="M2897" s="3">
        <v>46070</v>
      </c>
      <c r="N2897" s="1" t="s">
        <v>57</v>
      </c>
      <c r="O2897" s="1" t="s">
        <v>936</v>
      </c>
      <c r="P2897" s="1">
        <v>1</v>
      </c>
    </row>
    <row r="2898" spans="1:16" x14ac:dyDescent="0.25">
      <c r="A2898" s="3">
        <v>46064</v>
      </c>
      <c r="B2898" s="4">
        <v>10261</v>
      </c>
      <c r="C2898" s="5">
        <v>4425.6000000000004</v>
      </c>
      <c r="D2898" s="1" t="s">
        <v>973</v>
      </c>
      <c r="E2898" s="1" t="s">
        <v>1068</v>
      </c>
      <c r="F2898" s="1" t="s">
        <v>1814</v>
      </c>
      <c r="G2898" s="1" t="s">
        <v>998</v>
      </c>
      <c r="H2898" s="3">
        <v>46079</v>
      </c>
      <c r="I2898" s="1" t="s">
        <v>933</v>
      </c>
      <c r="J2898" s="1" t="s">
        <v>66</v>
      </c>
      <c r="K2898" s="1" t="s">
        <v>66</v>
      </c>
      <c r="L2898" s="1" t="s">
        <v>4318</v>
      </c>
      <c r="M2898" s="3">
        <v>46070</v>
      </c>
      <c r="N2898" s="1" t="s">
        <v>1814</v>
      </c>
      <c r="O2898" s="1" t="s">
        <v>998</v>
      </c>
      <c r="P2898" s="1">
        <v>1</v>
      </c>
    </row>
    <row r="2899" spans="1:16" x14ac:dyDescent="0.25">
      <c r="A2899" s="3">
        <v>46064</v>
      </c>
      <c r="B2899" s="4">
        <v>217729</v>
      </c>
      <c r="C2899" s="5">
        <v>3391.94</v>
      </c>
      <c r="D2899" s="1" t="s">
        <v>2368</v>
      </c>
      <c r="E2899" s="1" t="s">
        <v>2371</v>
      </c>
      <c r="F2899" s="1" t="s">
        <v>670</v>
      </c>
      <c r="G2899" s="1" t="s">
        <v>940</v>
      </c>
      <c r="H2899" s="1"/>
      <c r="I2899" s="1" t="s">
        <v>933</v>
      </c>
      <c r="J2899" s="1" t="s">
        <v>66</v>
      </c>
      <c r="K2899" s="1" t="s">
        <v>659</v>
      </c>
      <c r="L2899" s="1" t="s">
        <v>4319</v>
      </c>
      <c r="M2899" s="3">
        <v>46079</v>
      </c>
      <c r="N2899" s="1" t="s">
        <v>57</v>
      </c>
      <c r="O2899" s="1" t="s">
        <v>936</v>
      </c>
      <c r="P2899" s="1" t="s">
        <v>937</v>
      </c>
    </row>
    <row r="2900" spans="1:16" x14ac:dyDescent="0.25">
      <c r="A2900" s="3">
        <v>46064</v>
      </c>
      <c r="B2900" s="1">
        <v>518</v>
      </c>
      <c r="C2900" s="5">
        <v>120</v>
      </c>
      <c r="D2900" s="1" t="s">
        <v>1953</v>
      </c>
      <c r="E2900" s="1" t="s">
        <v>3326</v>
      </c>
      <c r="F2900" s="1" t="s">
        <v>286</v>
      </c>
      <c r="G2900" s="1" t="s">
        <v>940</v>
      </c>
      <c r="H2900" s="3">
        <v>46079</v>
      </c>
      <c r="I2900" s="1" t="s">
        <v>933</v>
      </c>
      <c r="J2900" s="1" t="s">
        <v>66</v>
      </c>
      <c r="K2900" s="1" t="s">
        <v>340</v>
      </c>
      <c r="L2900" s="1" t="s">
        <v>4996</v>
      </c>
      <c r="M2900" s="3">
        <v>46067</v>
      </c>
      <c r="N2900" s="1" t="s">
        <v>264</v>
      </c>
      <c r="O2900" s="1" t="s">
        <v>936</v>
      </c>
      <c r="P2900" s="1">
        <v>1</v>
      </c>
    </row>
    <row r="2901" spans="1:16" x14ac:dyDescent="0.25">
      <c r="A2901" s="3">
        <v>46064</v>
      </c>
      <c r="B2901" s="1">
        <v>518</v>
      </c>
      <c r="C2901" s="5">
        <v>20</v>
      </c>
      <c r="D2901" s="1" t="s">
        <v>1953</v>
      </c>
      <c r="E2901" s="1" t="s">
        <v>3326</v>
      </c>
      <c r="F2901" s="1" t="s">
        <v>286</v>
      </c>
      <c r="G2901" s="1" t="s">
        <v>940</v>
      </c>
      <c r="H2901" s="3">
        <v>46079</v>
      </c>
      <c r="I2901" s="1" t="s">
        <v>933</v>
      </c>
      <c r="J2901" s="1" t="s">
        <v>66</v>
      </c>
      <c r="K2901" s="1" t="s">
        <v>340</v>
      </c>
      <c r="L2901" s="1" t="s">
        <v>4997</v>
      </c>
      <c r="M2901" s="3">
        <v>46067</v>
      </c>
      <c r="N2901" s="1" t="s">
        <v>264</v>
      </c>
      <c r="O2901" s="1" t="s">
        <v>936</v>
      </c>
      <c r="P2901" s="1">
        <v>1</v>
      </c>
    </row>
    <row r="2902" spans="1:16" x14ac:dyDescent="0.25">
      <c r="A2902" s="3">
        <v>46064</v>
      </c>
      <c r="B2902" s="1">
        <v>521</v>
      </c>
      <c r="C2902" s="5">
        <v>930</v>
      </c>
      <c r="D2902" s="1" t="s">
        <v>1953</v>
      </c>
      <c r="E2902" s="1" t="s">
        <v>3326</v>
      </c>
      <c r="F2902" s="1" t="s">
        <v>289</v>
      </c>
      <c r="G2902" s="1" t="s">
        <v>940</v>
      </c>
      <c r="H2902" s="3">
        <v>46079</v>
      </c>
      <c r="I2902" s="1" t="s">
        <v>933</v>
      </c>
      <c r="J2902" s="1" t="s">
        <v>66</v>
      </c>
      <c r="K2902" s="1" t="s">
        <v>340</v>
      </c>
      <c r="L2902" s="1" t="s">
        <v>5251</v>
      </c>
      <c r="M2902" s="3">
        <v>46067</v>
      </c>
      <c r="N2902" s="1" t="s">
        <v>264</v>
      </c>
      <c r="O2902" s="1" t="s">
        <v>936</v>
      </c>
      <c r="P2902" s="1">
        <v>1</v>
      </c>
    </row>
    <row r="2903" spans="1:16" x14ac:dyDescent="0.25">
      <c r="A2903" s="3">
        <v>46064</v>
      </c>
      <c r="B2903" s="1">
        <v>521</v>
      </c>
      <c r="C2903" s="5">
        <v>460</v>
      </c>
      <c r="D2903" s="1" t="s">
        <v>1953</v>
      </c>
      <c r="E2903" s="1" t="s">
        <v>3326</v>
      </c>
      <c r="F2903" s="1" t="s">
        <v>289</v>
      </c>
      <c r="G2903" s="1" t="s">
        <v>940</v>
      </c>
      <c r="H2903" s="3">
        <v>46079</v>
      </c>
      <c r="I2903" s="1" t="s">
        <v>933</v>
      </c>
      <c r="J2903" s="1" t="s">
        <v>66</v>
      </c>
      <c r="K2903" s="1" t="s">
        <v>340</v>
      </c>
      <c r="L2903" s="1" t="s">
        <v>5252</v>
      </c>
      <c r="M2903" s="3">
        <v>46067</v>
      </c>
      <c r="N2903" s="1" t="s">
        <v>264</v>
      </c>
      <c r="O2903" s="1" t="s">
        <v>936</v>
      </c>
      <c r="P2903" s="1">
        <v>1</v>
      </c>
    </row>
    <row r="2904" spans="1:16" x14ac:dyDescent="0.25">
      <c r="A2904" s="3">
        <v>46065</v>
      </c>
      <c r="B2904" s="4">
        <v>6143</v>
      </c>
      <c r="C2904" s="5">
        <v>120</v>
      </c>
      <c r="D2904" s="1" t="s">
        <v>2001</v>
      </c>
      <c r="E2904" s="1" t="s">
        <v>2002</v>
      </c>
      <c r="F2904" s="1" t="s">
        <v>949</v>
      </c>
      <c r="G2904" s="1" t="s">
        <v>950</v>
      </c>
      <c r="H2904" s="1"/>
      <c r="I2904" s="1" t="s">
        <v>933</v>
      </c>
      <c r="J2904" s="1" t="s">
        <v>951</v>
      </c>
      <c r="K2904" s="1" t="s">
        <v>817</v>
      </c>
      <c r="L2904" s="1" t="s">
        <v>4320</v>
      </c>
      <c r="M2904" s="3">
        <v>46065</v>
      </c>
      <c r="N2904" s="1" t="s">
        <v>57</v>
      </c>
      <c r="O2904" s="1" t="s">
        <v>936</v>
      </c>
      <c r="P2904" s="1">
        <v>1</v>
      </c>
    </row>
    <row r="2905" spans="1:16" x14ac:dyDescent="0.25">
      <c r="A2905" s="3">
        <v>46065</v>
      </c>
      <c r="B2905" s="4">
        <v>96192</v>
      </c>
      <c r="C2905" s="5">
        <v>57000</v>
      </c>
      <c r="D2905" s="1" t="s">
        <v>1094</v>
      </c>
      <c r="E2905" s="1" t="s">
        <v>1095</v>
      </c>
      <c r="F2905" s="1" t="s">
        <v>66</v>
      </c>
      <c r="G2905" s="1" t="s">
        <v>998</v>
      </c>
      <c r="H2905" s="3">
        <v>46097</v>
      </c>
      <c r="I2905" s="1" t="s">
        <v>933</v>
      </c>
      <c r="J2905" s="1" t="s">
        <v>66</v>
      </c>
      <c r="K2905" s="1" t="s">
        <v>66</v>
      </c>
      <c r="L2905" s="1" t="s">
        <v>4321</v>
      </c>
      <c r="M2905" s="3">
        <v>46066</v>
      </c>
      <c r="N2905" s="1" t="s">
        <v>57</v>
      </c>
      <c r="O2905" s="1" t="s">
        <v>998</v>
      </c>
      <c r="P2905" s="1">
        <v>1</v>
      </c>
    </row>
    <row r="2906" spans="1:16" x14ac:dyDescent="0.25">
      <c r="A2906" s="3">
        <v>46065</v>
      </c>
      <c r="B2906" s="4">
        <v>10177</v>
      </c>
      <c r="C2906" s="5">
        <v>527.5</v>
      </c>
      <c r="D2906" s="1" t="s">
        <v>1573</v>
      </c>
      <c r="E2906" s="1" t="s">
        <v>2130</v>
      </c>
      <c r="F2906" s="1" t="s">
        <v>66</v>
      </c>
      <c r="G2906" s="1" t="s">
        <v>940</v>
      </c>
      <c r="H2906" s="3">
        <v>46095</v>
      </c>
      <c r="I2906" s="1" t="s">
        <v>933</v>
      </c>
      <c r="J2906" s="1" t="s">
        <v>66</v>
      </c>
      <c r="K2906" s="1" t="s">
        <v>308</v>
      </c>
      <c r="L2906" s="1" t="s">
        <v>4322</v>
      </c>
      <c r="M2906" s="3">
        <v>46066</v>
      </c>
      <c r="N2906" s="1" t="s">
        <v>57</v>
      </c>
      <c r="O2906" s="1" t="s">
        <v>936</v>
      </c>
      <c r="P2906" s="1">
        <v>1</v>
      </c>
    </row>
    <row r="2907" spans="1:16" x14ac:dyDescent="0.25">
      <c r="A2907" s="3">
        <v>46065</v>
      </c>
      <c r="B2907" s="4">
        <v>15857</v>
      </c>
      <c r="C2907" s="5">
        <v>4304</v>
      </c>
      <c r="D2907" s="1" t="s">
        <v>1144</v>
      </c>
      <c r="E2907" s="1" t="s">
        <v>1145</v>
      </c>
      <c r="F2907" s="1" t="s">
        <v>43</v>
      </c>
      <c r="G2907" s="1" t="s">
        <v>932</v>
      </c>
      <c r="H2907" s="3">
        <v>46093</v>
      </c>
      <c r="I2907" s="1" t="s">
        <v>933</v>
      </c>
      <c r="J2907" s="1" t="s">
        <v>66</v>
      </c>
      <c r="K2907" s="1" t="s">
        <v>1654</v>
      </c>
      <c r="L2907" s="1" t="s">
        <v>4323</v>
      </c>
      <c r="M2907" s="3">
        <v>46070</v>
      </c>
      <c r="N2907" s="1" t="s">
        <v>50</v>
      </c>
      <c r="O2907" s="1" t="s">
        <v>936</v>
      </c>
      <c r="P2907" s="1">
        <v>1</v>
      </c>
    </row>
    <row r="2908" spans="1:16" x14ac:dyDescent="0.25">
      <c r="A2908" s="3">
        <v>46065</v>
      </c>
      <c r="B2908" s="1">
        <v>9</v>
      </c>
      <c r="C2908" s="5">
        <v>8000</v>
      </c>
      <c r="D2908" s="1" t="s">
        <v>4324</v>
      </c>
      <c r="E2908" s="1" t="s">
        <v>4325</v>
      </c>
      <c r="F2908" s="1" t="s">
        <v>818</v>
      </c>
      <c r="G2908" s="1" t="s">
        <v>1029</v>
      </c>
      <c r="H2908" s="3">
        <v>46095</v>
      </c>
      <c r="I2908" s="1" t="s">
        <v>933</v>
      </c>
      <c r="J2908" s="1" t="s">
        <v>951</v>
      </c>
      <c r="K2908" s="1" t="s">
        <v>659</v>
      </c>
      <c r="L2908" s="1" t="s">
        <v>4326</v>
      </c>
      <c r="M2908" s="3">
        <v>46070</v>
      </c>
      <c r="N2908" s="1" t="s">
        <v>57</v>
      </c>
      <c r="O2908" s="1" t="s">
        <v>936</v>
      </c>
      <c r="P2908" s="1">
        <v>1</v>
      </c>
    </row>
    <row r="2909" spans="1:16" x14ac:dyDescent="0.25">
      <c r="A2909" s="3">
        <v>46065</v>
      </c>
      <c r="B2909" s="1">
        <v>10</v>
      </c>
      <c r="C2909" s="5">
        <v>7000</v>
      </c>
      <c r="D2909" s="1" t="s">
        <v>4324</v>
      </c>
      <c r="E2909" s="1" t="s">
        <v>4325</v>
      </c>
      <c r="F2909" s="1" t="s">
        <v>818</v>
      </c>
      <c r="G2909" s="1" t="s">
        <v>932</v>
      </c>
      <c r="H2909" s="3">
        <v>46095</v>
      </c>
      <c r="I2909" s="1" t="s">
        <v>933</v>
      </c>
      <c r="J2909" s="1" t="s">
        <v>951</v>
      </c>
      <c r="K2909" s="1" t="s">
        <v>659</v>
      </c>
      <c r="L2909" s="1" t="s">
        <v>4327</v>
      </c>
      <c r="M2909" s="3">
        <v>46070</v>
      </c>
      <c r="N2909" s="1" t="s">
        <v>57</v>
      </c>
      <c r="O2909" s="1" t="s">
        <v>936</v>
      </c>
      <c r="P2909" s="1">
        <v>1</v>
      </c>
    </row>
    <row r="2910" spans="1:16" x14ac:dyDescent="0.25">
      <c r="A2910" s="3">
        <v>46065</v>
      </c>
      <c r="B2910" s="4">
        <v>54729</v>
      </c>
      <c r="C2910" s="5">
        <v>720.39</v>
      </c>
      <c r="D2910" s="1" t="s">
        <v>4328</v>
      </c>
      <c r="E2910" s="1" t="s">
        <v>4329</v>
      </c>
      <c r="F2910" s="1" t="s">
        <v>66</v>
      </c>
      <c r="G2910" s="1" t="s">
        <v>950</v>
      </c>
      <c r="H2910" s="3">
        <v>46077</v>
      </c>
      <c r="I2910" s="1" t="s">
        <v>933</v>
      </c>
      <c r="J2910" s="1" t="s">
        <v>66</v>
      </c>
      <c r="K2910" s="1" t="s">
        <v>20</v>
      </c>
      <c r="L2910" s="1" t="s">
        <v>4330</v>
      </c>
      <c r="M2910" s="3">
        <v>46079</v>
      </c>
      <c r="N2910" s="1" t="s">
        <v>57</v>
      </c>
      <c r="O2910" s="1" t="s">
        <v>936</v>
      </c>
      <c r="P2910" s="1">
        <v>1</v>
      </c>
    </row>
    <row r="2911" spans="1:16" x14ac:dyDescent="0.25">
      <c r="A2911" s="3">
        <v>46065</v>
      </c>
      <c r="B2911" s="4">
        <v>54730</v>
      </c>
      <c r="C2911" s="5">
        <v>743.05</v>
      </c>
      <c r="D2911" s="1" t="s">
        <v>4328</v>
      </c>
      <c r="E2911" s="1" t="s">
        <v>4329</v>
      </c>
      <c r="F2911" s="1" t="s">
        <v>66</v>
      </c>
      <c r="G2911" s="1" t="s">
        <v>950</v>
      </c>
      <c r="H2911" s="3">
        <v>46077</v>
      </c>
      <c r="I2911" s="1" t="s">
        <v>933</v>
      </c>
      <c r="J2911" s="1" t="s">
        <v>66</v>
      </c>
      <c r="K2911" s="1" t="s">
        <v>20</v>
      </c>
      <c r="L2911" s="1" t="s">
        <v>4331</v>
      </c>
      <c r="M2911" s="3">
        <v>46079</v>
      </c>
      <c r="N2911" s="1" t="s">
        <v>57</v>
      </c>
      <c r="O2911" s="1" t="s">
        <v>936</v>
      </c>
      <c r="P2911" s="1">
        <v>1</v>
      </c>
    </row>
    <row r="2912" spans="1:16" x14ac:dyDescent="0.25">
      <c r="A2912" s="3">
        <v>46065</v>
      </c>
      <c r="B2912" s="4">
        <v>54864</v>
      </c>
      <c r="C2912" s="5">
        <v>719.78</v>
      </c>
      <c r="D2912" s="1" t="s">
        <v>4328</v>
      </c>
      <c r="E2912" s="1" t="s">
        <v>4329</v>
      </c>
      <c r="F2912" s="1" t="s">
        <v>66</v>
      </c>
      <c r="G2912" s="1" t="s">
        <v>950</v>
      </c>
      <c r="H2912" s="3">
        <v>46077</v>
      </c>
      <c r="I2912" s="1" t="s">
        <v>933</v>
      </c>
      <c r="J2912" s="1" t="s">
        <v>66</v>
      </c>
      <c r="K2912" s="1" t="s">
        <v>20</v>
      </c>
      <c r="L2912" s="1" t="s">
        <v>4331</v>
      </c>
      <c r="M2912" s="3">
        <v>46079</v>
      </c>
      <c r="N2912" s="1" t="s">
        <v>57</v>
      </c>
      <c r="O2912" s="1" t="s">
        <v>936</v>
      </c>
      <c r="P2912" s="1">
        <v>1</v>
      </c>
    </row>
    <row r="2913" spans="1:16" x14ac:dyDescent="0.25">
      <c r="A2913" s="3">
        <v>46065</v>
      </c>
      <c r="B2913" s="4">
        <v>54865</v>
      </c>
      <c r="C2913" s="5">
        <v>502.57</v>
      </c>
      <c r="D2913" s="1" t="s">
        <v>4328</v>
      </c>
      <c r="E2913" s="1" t="s">
        <v>4329</v>
      </c>
      <c r="F2913" s="1" t="s">
        <v>66</v>
      </c>
      <c r="G2913" s="1" t="s">
        <v>950</v>
      </c>
      <c r="H2913" s="3">
        <v>46077</v>
      </c>
      <c r="I2913" s="1" t="s">
        <v>933</v>
      </c>
      <c r="J2913" s="1" t="s">
        <v>66</v>
      </c>
      <c r="K2913" s="1" t="s">
        <v>20</v>
      </c>
      <c r="L2913" s="1" t="s">
        <v>4330</v>
      </c>
      <c r="M2913" s="3">
        <v>46079</v>
      </c>
      <c r="N2913" s="1" t="s">
        <v>57</v>
      </c>
      <c r="O2913" s="1" t="s">
        <v>936</v>
      </c>
      <c r="P2913" s="1">
        <v>1</v>
      </c>
    </row>
    <row r="2914" spans="1:16" x14ac:dyDescent="0.25">
      <c r="A2914" s="3">
        <v>46066</v>
      </c>
      <c r="B2914" s="4">
        <v>10226</v>
      </c>
      <c r="C2914" s="5">
        <v>1677.06</v>
      </c>
      <c r="D2914" s="1" t="s">
        <v>973</v>
      </c>
      <c r="E2914" s="1" t="s">
        <v>1068</v>
      </c>
      <c r="F2914" s="1" t="s">
        <v>1814</v>
      </c>
      <c r="G2914" s="1" t="s">
        <v>998</v>
      </c>
      <c r="H2914" s="3">
        <v>46078</v>
      </c>
      <c r="I2914" s="1" t="s">
        <v>933</v>
      </c>
      <c r="J2914" s="1" t="s">
        <v>66</v>
      </c>
      <c r="K2914" s="1" t="s">
        <v>1814</v>
      </c>
      <c r="L2914" s="1" t="s">
        <v>4332</v>
      </c>
      <c r="M2914" s="3">
        <v>46066</v>
      </c>
      <c r="N2914" s="1" t="s">
        <v>1814</v>
      </c>
      <c r="O2914" s="1" t="s">
        <v>998</v>
      </c>
      <c r="P2914" s="1">
        <v>1</v>
      </c>
    </row>
    <row r="2915" spans="1:16" x14ac:dyDescent="0.25">
      <c r="A2915" s="3">
        <v>46066</v>
      </c>
      <c r="B2915" s="4">
        <v>10226</v>
      </c>
      <c r="C2915" s="5">
        <v>1033.0899999999999</v>
      </c>
      <c r="D2915" s="1" t="s">
        <v>973</v>
      </c>
      <c r="E2915" s="1" t="s">
        <v>1068</v>
      </c>
      <c r="F2915" s="1" t="s">
        <v>1814</v>
      </c>
      <c r="G2915" s="1" t="s">
        <v>998</v>
      </c>
      <c r="H2915" s="3">
        <v>46078</v>
      </c>
      <c r="I2915" s="1" t="s">
        <v>933</v>
      </c>
      <c r="J2915" s="1" t="s">
        <v>66</v>
      </c>
      <c r="K2915" s="1" t="s">
        <v>1814</v>
      </c>
      <c r="L2915" s="1" t="s">
        <v>4333</v>
      </c>
      <c r="M2915" s="3">
        <v>46066</v>
      </c>
      <c r="N2915" s="1" t="s">
        <v>1814</v>
      </c>
      <c r="O2915" s="1" t="s">
        <v>998</v>
      </c>
      <c r="P2915" s="1">
        <v>1</v>
      </c>
    </row>
    <row r="2916" spans="1:16" x14ac:dyDescent="0.25">
      <c r="A2916" s="3">
        <v>46066</v>
      </c>
      <c r="B2916" s="4">
        <v>10226</v>
      </c>
      <c r="C2916" s="5">
        <v>2907.7</v>
      </c>
      <c r="D2916" s="1" t="s">
        <v>973</v>
      </c>
      <c r="E2916" s="1" t="s">
        <v>1068</v>
      </c>
      <c r="F2916" s="1" t="s">
        <v>1814</v>
      </c>
      <c r="G2916" s="1" t="s">
        <v>998</v>
      </c>
      <c r="H2916" s="3">
        <v>46078</v>
      </c>
      <c r="I2916" s="1" t="s">
        <v>933</v>
      </c>
      <c r="J2916" s="1" t="s">
        <v>66</v>
      </c>
      <c r="K2916" s="1" t="s">
        <v>1814</v>
      </c>
      <c r="L2916" s="1" t="s">
        <v>4334</v>
      </c>
      <c r="M2916" s="3">
        <v>46066</v>
      </c>
      <c r="N2916" s="1" t="s">
        <v>1814</v>
      </c>
      <c r="O2916" s="1" t="s">
        <v>998</v>
      </c>
      <c r="P2916" s="1">
        <v>1</v>
      </c>
    </row>
    <row r="2917" spans="1:16" x14ac:dyDescent="0.25">
      <c r="A2917" s="3">
        <v>46066</v>
      </c>
      <c r="B2917" s="4">
        <v>10226</v>
      </c>
      <c r="C2917" s="5">
        <v>322</v>
      </c>
      <c r="D2917" s="1" t="s">
        <v>973</v>
      </c>
      <c r="E2917" s="1" t="s">
        <v>1068</v>
      </c>
      <c r="F2917" s="1" t="s">
        <v>1814</v>
      </c>
      <c r="G2917" s="1" t="s">
        <v>998</v>
      </c>
      <c r="H2917" s="3">
        <v>46078</v>
      </c>
      <c r="I2917" s="1" t="s">
        <v>933</v>
      </c>
      <c r="J2917" s="1" t="s">
        <v>66</v>
      </c>
      <c r="K2917" s="1" t="s">
        <v>1814</v>
      </c>
      <c r="L2917" s="1" t="s">
        <v>4335</v>
      </c>
      <c r="M2917" s="3">
        <v>46066</v>
      </c>
      <c r="N2917" s="1" t="s">
        <v>1814</v>
      </c>
      <c r="O2917" s="1" t="s">
        <v>998</v>
      </c>
      <c r="P2917" s="1">
        <v>1</v>
      </c>
    </row>
    <row r="2918" spans="1:16" x14ac:dyDescent="0.25">
      <c r="A2918" s="3">
        <v>46066</v>
      </c>
      <c r="B2918" s="4">
        <v>10226</v>
      </c>
      <c r="C2918" s="5">
        <v>3242.2</v>
      </c>
      <c r="D2918" s="1" t="s">
        <v>973</v>
      </c>
      <c r="E2918" s="1" t="s">
        <v>1068</v>
      </c>
      <c r="F2918" s="1" t="s">
        <v>1814</v>
      </c>
      <c r="G2918" s="1" t="s">
        <v>998</v>
      </c>
      <c r="H2918" s="3">
        <v>46078</v>
      </c>
      <c r="I2918" s="1" t="s">
        <v>933</v>
      </c>
      <c r="J2918" s="1" t="s">
        <v>66</v>
      </c>
      <c r="K2918" s="1" t="s">
        <v>1814</v>
      </c>
      <c r="L2918" s="1" t="s">
        <v>4336</v>
      </c>
      <c r="M2918" s="3">
        <v>46066</v>
      </c>
      <c r="N2918" s="1" t="s">
        <v>1814</v>
      </c>
      <c r="O2918" s="1" t="s">
        <v>998</v>
      </c>
      <c r="P2918" s="1">
        <v>1</v>
      </c>
    </row>
    <row r="2919" spans="1:16" x14ac:dyDescent="0.25">
      <c r="A2919" s="3">
        <v>46066</v>
      </c>
      <c r="B2919" s="4">
        <v>10226</v>
      </c>
      <c r="C2919" s="5">
        <v>1391.52</v>
      </c>
      <c r="D2919" s="1" t="s">
        <v>973</v>
      </c>
      <c r="E2919" s="1" t="s">
        <v>1068</v>
      </c>
      <c r="F2919" s="1" t="s">
        <v>1814</v>
      </c>
      <c r="G2919" s="1" t="s">
        <v>998</v>
      </c>
      <c r="H2919" s="3">
        <v>46078</v>
      </c>
      <c r="I2919" s="1" t="s">
        <v>933</v>
      </c>
      <c r="J2919" s="1" t="s">
        <v>66</v>
      </c>
      <c r="K2919" s="1" t="s">
        <v>1814</v>
      </c>
      <c r="L2919" s="1" t="s">
        <v>4337</v>
      </c>
      <c r="M2919" s="3">
        <v>46066</v>
      </c>
      <c r="N2919" s="1" t="s">
        <v>1814</v>
      </c>
      <c r="O2919" s="1" t="s">
        <v>998</v>
      </c>
      <c r="P2919" s="1">
        <v>1</v>
      </c>
    </row>
    <row r="2920" spans="1:16" x14ac:dyDescent="0.25">
      <c r="A2920" s="3">
        <v>46066</v>
      </c>
      <c r="B2920" s="4">
        <v>10226</v>
      </c>
      <c r="C2920" s="5">
        <v>1224.04</v>
      </c>
      <c r="D2920" s="1" t="s">
        <v>973</v>
      </c>
      <c r="E2920" s="1" t="s">
        <v>1068</v>
      </c>
      <c r="F2920" s="1" t="s">
        <v>1814</v>
      </c>
      <c r="G2920" s="1" t="s">
        <v>998</v>
      </c>
      <c r="H2920" s="3">
        <v>46078</v>
      </c>
      <c r="I2920" s="1" t="s">
        <v>933</v>
      </c>
      <c r="J2920" s="1" t="s">
        <v>66</v>
      </c>
      <c r="K2920" s="1" t="s">
        <v>1814</v>
      </c>
      <c r="L2920" s="1" t="s">
        <v>4338</v>
      </c>
      <c r="M2920" s="3">
        <v>46066</v>
      </c>
      <c r="N2920" s="1" t="s">
        <v>1814</v>
      </c>
      <c r="O2920" s="1" t="s">
        <v>998</v>
      </c>
      <c r="P2920" s="1">
        <v>1</v>
      </c>
    </row>
    <row r="2921" spans="1:16" x14ac:dyDescent="0.25">
      <c r="A2921" s="3">
        <v>46066</v>
      </c>
      <c r="B2921" s="4">
        <v>1045</v>
      </c>
      <c r="C2921" s="5">
        <v>41900</v>
      </c>
      <c r="D2921" s="1" t="s">
        <v>1080</v>
      </c>
      <c r="E2921" s="1" t="s">
        <v>3046</v>
      </c>
      <c r="F2921" s="1" t="s">
        <v>66</v>
      </c>
      <c r="G2921" s="1" t="s">
        <v>1082</v>
      </c>
      <c r="H2921" s="3">
        <v>46090</v>
      </c>
      <c r="I2921" s="1" t="s">
        <v>933</v>
      </c>
      <c r="J2921" s="1" t="s">
        <v>66</v>
      </c>
      <c r="K2921" s="1" t="s">
        <v>66</v>
      </c>
      <c r="L2921" s="1" t="s">
        <v>4339</v>
      </c>
      <c r="M2921" s="3">
        <v>46070</v>
      </c>
      <c r="N2921" s="1" t="s">
        <v>57</v>
      </c>
      <c r="O2921" s="1" t="s">
        <v>936</v>
      </c>
      <c r="P2921" s="1">
        <v>1</v>
      </c>
    </row>
    <row r="2922" spans="1:16" x14ac:dyDescent="0.25">
      <c r="A2922" s="3">
        <v>46066</v>
      </c>
      <c r="B2922" s="4">
        <v>96244</v>
      </c>
      <c r="C2922" s="5">
        <v>2760</v>
      </c>
      <c r="D2922" s="1" t="s">
        <v>1094</v>
      </c>
      <c r="E2922" s="1" t="s">
        <v>1095</v>
      </c>
      <c r="F2922" s="1" t="s">
        <v>66</v>
      </c>
      <c r="G2922" s="1" t="s">
        <v>998</v>
      </c>
      <c r="H2922" s="3">
        <v>46097</v>
      </c>
      <c r="I2922" s="1" t="s">
        <v>933</v>
      </c>
      <c r="J2922" s="1" t="s">
        <v>66</v>
      </c>
      <c r="K2922" s="1" t="s">
        <v>66</v>
      </c>
      <c r="L2922" s="1" t="s">
        <v>4340</v>
      </c>
      <c r="M2922" s="3">
        <v>46070</v>
      </c>
      <c r="N2922" s="1" t="s">
        <v>57</v>
      </c>
      <c r="O2922" s="1" t="s">
        <v>998</v>
      </c>
      <c r="P2922" s="1">
        <v>2</v>
      </c>
    </row>
    <row r="2923" spans="1:16" x14ac:dyDescent="0.25">
      <c r="A2923" s="3">
        <v>46066</v>
      </c>
      <c r="B2923" s="4">
        <v>5085</v>
      </c>
      <c r="C2923" s="5">
        <v>367.69</v>
      </c>
      <c r="D2923" s="1" t="s">
        <v>938</v>
      </c>
      <c r="E2923" s="1" t="s">
        <v>939</v>
      </c>
      <c r="F2923" s="1" t="s">
        <v>330</v>
      </c>
      <c r="G2923" s="1" t="s">
        <v>940</v>
      </c>
      <c r="H2923" s="3">
        <v>46094</v>
      </c>
      <c r="I2923" s="1" t="s">
        <v>933</v>
      </c>
      <c r="J2923" s="1" t="s">
        <v>66</v>
      </c>
      <c r="K2923" s="1" t="s">
        <v>340</v>
      </c>
      <c r="L2923" s="1" t="s">
        <v>4341</v>
      </c>
      <c r="M2923" s="3">
        <v>46070</v>
      </c>
      <c r="N2923" s="1" t="s">
        <v>57</v>
      </c>
      <c r="O2923" s="1" t="s">
        <v>936</v>
      </c>
      <c r="P2923" s="1">
        <v>1</v>
      </c>
    </row>
    <row r="2924" spans="1:16" x14ac:dyDescent="0.25">
      <c r="A2924" s="3">
        <v>46066</v>
      </c>
      <c r="B2924" s="4">
        <v>2482</v>
      </c>
      <c r="C2924" s="5">
        <v>5380</v>
      </c>
      <c r="D2924" s="1" t="s">
        <v>1182</v>
      </c>
      <c r="E2924" s="1" t="s">
        <v>1183</v>
      </c>
      <c r="F2924" s="1" t="s">
        <v>451</v>
      </c>
      <c r="G2924" s="1" t="s">
        <v>940</v>
      </c>
      <c r="H2924" s="3">
        <v>46094</v>
      </c>
      <c r="I2924" s="1" t="s">
        <v>933</v>
      </c>
      <c r="J2924" s="1" t="s">
        <v>66</v>
      </c>
      <c r="K2924" s="1" t="s">
        <v>308</v>
      </c>
      <c r="L2924" s="1" t="s">
        <v>4342</v>
      </c>
      <c r="M2924" s="3">
        <v>46070</v>
      </c>
      <c r="N2924" s="1" t="s">
        <v>212</v>
      </c>
      <c r="O2924" s="1" t="s">
        <v>936</v>
      </c>
      <c r="P2924" s="1">
        <v>1</v>
      </c>
    </row>
    <row r="2925" spans="1:16" x14ac:dyDescent="0.25">
      <c r="A2925" s="3">
        <v>46066</v>
      </c>
      <c r="B2925" s="4">
        <v>5604</v>
      </c>
      <c r="C2925" s="5">
        <v>5000</v>
      </c>
      <c r="D2925" s="1" t="s">
        <v>1027</v>
      </c>
      <c r="E2925" s="1" t="s">
        <v>1028</v>
      </c>
      <c r="F2925" s="1" t="s">
        <v>607</v>
      </c>
      <c r="G2925" s="1" t="s">
        <v>1029</v>
      </c>
      <c r="H2925" s="3">
        <v>46080</v>
      </c>
      <c r="I2925" s="1" t="s">
        <v>933</v>
      </c>
      <c r="J2925" s="1" t="s">
        <v>66</v>
      </c>
      <c r="K2925" s="1" t="s">
        <v>308</v>
      </c>
      <c r="L2925" s="1" t="s">
        <v>4343</v>
      </c>
      <c r="M2925" s="3">
        <v>46070</v>
      </c>
      <c r="N2925" s="1" t="s">
        <v>450</v>
      </c>
      <c r="O2925" s="1" t="s">
        <v>1031</v>
      </c>
      <c r="P2925" s="1">
        <v>1</v>
      </c>
    </row>
    <row r="2926" spans="1:16" x14ac:dyDescent="0.25">
      <c r="A2926" s="3">
        <v>46066</v>
      </c>
      <c r="B2926" s="1">
        <v>401</v>
      </c>
      <c r="C2926" s="5">
        <v>480</v>
      </c>
      <c r="D2926" s="1" t="s">
        <v>1471</v>
      </c>
      <c r="E2926" s="1" t="s">
        <v>1870</v>
      </c>
      <c r="F2926" s="1" t="s">
        <v>66</v>
      </c>
      <c r="G2926" s="1" t="s">
        <v>932</v>
      </c>
      <c r="H2926" s="3">
        <v>46077</v>
      </c>
      <c r="I2926" s="1" t="s">
        <v>933</v>
      </c>
      <c r="J2926" s="1" t="s">
        <v>66</v>
      </c>
      <c r="K2926" s="1" t="s">
        <v>934</v>
      </c>
      <c r="L2926" s="1" t="s">
        <v>4344</v>
      </c>
      <c r="M2926" s="3">
        <v>46070</v>
      </c>
      <c r="N2926" s="1" t="s">
        <v>57</v>
      </c>
      <c r="O2926" s="1" t="s">
        <v>936</v>
      </c>
      <c r="P2926" s="1">
        <v>1</v>
      </c>
    </row>
    <row r="2927" spans="1:16" x14ac:dyDescent="0.25">
      <c r="A2927" s="3">
        <v>46066</v>
      </c>
      <c r="B2927" s="4">
        <v>3878</v>
      </c>
      <c r="C2927" s="5">
        <v>12000</v>
      </c>
      <c r="D2927" s="1" t="s">
        <v>1596</v>
      </c>
      <c r="E2927" s="1" t="s">
        <v>1597</v>
      </c>
      <c r="F2927" s="1" t="s">
        <v>66</v>
      </c>
      <c r="G2927" s="1" t="s">
        <v>1029</v>
      </c>
      <c r="H2927" s="3">
        <v>46086</v>
      </c>
      <c r="I2927" s="1" t="s">
        <v>933</v>
      </c>
      <c r="J2927" s="1" t="s">
        <v>66</v>
      </c>
      <c r="K2927" s="1" t="s">
        <v>308</v>
      </c>
      <c r="L2927" s="1" t="s">
        <v>4345</v>
      </c>
      <c r="M2927" s="3">
        <v>46070</v>
      </c>
      <c r="N2927" s="1" t="s">
        <v>57</v>
      </c>
      <c r="O2927" s="1" t="s">
        <v>1031</v>
      </c>
      <c r="P2927" s="1">
        <v>1</v>
      </c>
    </row>
    <row r="2928" spans="1:16" x14ac:dyDescent="0.25">
      <c r="A2928" s="3">
        <v>46066</v>
      </c>
      <c r="B2928" s="1">
        <v>163</v>
      </c>
      <c r="C2928" s="5">
        <v>12000</v>
      </c>
      <c r="D2928" s="1" t="s">
        <v>1034</v>
      </c>
      <c r="E2928" s="1" t="s">
        <v>1035</v>
      </c>
      <c r="F2928" s="1" t="s">
        <v>609</v>
      </c>
      <c r="G2928" s="1" t="s">
        <v>1029</v>
      </c>
      <c r="H2928" s="3">
        <v>46087</v>
      </c>
      <c r="I2928" s="1" t="s">
        <v>933</v>
      </c>
      <c r="J2928" s="1" t="s">
        <v>66</v>
      </c>
      <c r="K2928" s="1" t="s">
        <v>340</v>
      </c>
      <c r="L2928" s="1" t="s">
        <v>4346</v>
      </c>
      <c r="M2928" s="3">
        <v>46070</v>
      </c>
      <c r="N2928" s="1" t="s">
        <v>57</v>
      </c>
      <c r="O2928" s="1" t="s">
        <v>932</v>
      </c>
      <c r="P2928" s="1">
        <v>1</v>
      </c>
    </row>
    <row r="2929" spans="1:16" x14ac:dyDescent="0.25">
      <c r="A2929" s="3">
        <v>46066</v>
      </c>
      <c r="B2929" s="4">
        <v>199739</v>
      </c>
      <c r="C2929" s="5">
        <v>12472.92</v>
      </c>
      <c r="D2929" s="1" t="s">
        <v>2324</v>
      </c>
      <c r="E2929" s="1" t="s">
        <v>2325</v>
      </c>
      <c r="F2929" s="1" t="s">
        <v>647</v>
      </c>
      <c r="G2929" s="1" t="s">
        <v>1667</v>
      </c>
      <c r="H2929" s="3">
        <v>46097</v>
      </c>
      <c r="I2929" s="1" t="s">
        <v>1100</v>
      </c>
      <c r="J2929" s="1" t="s">
        <v>66</v>
      </c>
      <c r="K2929" s="1" t="s">
        <v>340</v>
      </c>
      <c r="L2929" s="1" t="s">
        <v>4347</v>
      </c>
      <c r="M2929" s="3">
        <v>46076</v>
      </c>
      <c r="N2929" s="1" t="s">
        <v>57</v>
      </c>
      <c r="O2929" s="1" t="s">
        <v>936</v>
      </c>
      <c r="P2929" s="1" t="s">
        <v>937</v>
      </c>
    </row>
    <row r="2930" spans="1:16" x14ac:dyDescent="0.25">
      <c r="A2930" s="3">
        <v>46066</v>
      </c>
      <c r="B2930" s="4">
        <v>96244</v>
      </c>
      <c r="C2930" s="5">
        <v>2760</v>
      </c>
      <c r="D2930" s="2">
        <v>210633000205</v>
      </c>
      <c r="E2930" s="1" t="s">
        <v>1095</v>
      </c>
      <c r="F2930" s="1" t="s">
        <v>66</v>
      </c>
      <c r="G2930" s="1" t="s">
        <v>1010</v>
      </c>
      <c r="H2930" s="3">
        <v>46097</v>
      </c>
      <c r="I2930" s="1" t="s">
        <v>933</v>
      </c>
      <c r="J2930" s="1" t="s">
        <v>66</v>
      </c>
      <c r="K2930" s="1" t="s">
        <v>340</v>
      </c>
      <c r="L2930" s="1" t="s">
        <v>4348</v>
      </c>
      <c r="M2930" s="3">
        <v>46076</v>
      </c>
      <c r="N2930" s="1" t="s">
        <v>821</v>
      </c>
      <c r="O2930" s="1" t="s">
        <v>998</v>
      </c>
      <c r="P2930" s="1">
        <v>2</v>
      </c>
    </row>
    <row r="2931" spans="1:16" x14ac:dyDescent="0.25">
      <c r="A2931" s="3">
        <v>46067</v>
      </c>
      <c r="B2931" s="4">
        <v>50606026</v>
      </c>
      <c r="C2931" s="5">
        <v>4598</v>
      </c>
      <c r="D2931" s="1" t="s">
        <v>1604</v>
      </c>
      <c r="E2931" s="1" t="s">
        <v>1605</v>
      </c>
      <c r="F2931" s="1" t="s">
        <v>955</v>
      </c>
      <c r="G2931" s="1" t="s">
        <v>472</v>
      </c>
      <c r="H2931" s="3">
        <v>45904</v>
      </c>
      <c r="I2931" s="1" t="s">
        <v>933</v>
      </c>
      <c r="J2931" s="1" t="s">
        <v>951</v>
      </c>
      <c r="K2931" s="1" t="s">
        <v>66</v>
      </c>
      <c r="L2931" s="1" t="s">
        <v>4349</v>
      </c>
      <c r="M2931" s="3">
        <v>45887</v>
      </c>
      <c r="N2931" s="1" t="s">
        <v>821</v>
      </c>
      <c r="O2931" s="1" t="s">
        <v>932</v>
      </c>
      <c r="P2931" s="1">
        <v>1</v>
      </c>
    </row>
    <row r="2932" spans="1:16" x14ac:dyDescent="0.25">
      <c r="A2932" s="3">
        <v>46067</v>
      </c>
      <c r="B2932" s="4">
        <v>5096</v>
      </c>
      <c r="C2932" s="5">
        <v>440</v>
      </c>
      <c r="D2932" s="1" t="s">
        <v>938</v>
      </c>
      <c r="E2932" s="1" t="s">
        <v>939</v>
      </c>
      <c r="F2932" s="1" t="s">
        <v>906</v>
      </c>
      <c r="G2932" s="1" t="s">
        <v>2508</v>
      </c>
      <c r="H2932" s="1"/>
      <c r="I2932" s="1" t="s">
        <v>933</v>
      </c>
      <c r="J2932" s="1" t="s">
        <v>66</v>
      </c>
      <c r="K2932" s="1" t="s">
        <v>308</v>
      </c>
      <c r="L2932" s="1" t="s">
        <v>4350</v>
      </c>
      <c r="M2932" s="3">
        <v>46069</v>
      </c>
      <c r="N2932" s="1" t="s">
        <v>57</v>
      </c>
      <c r="O2932" s="1" t="s">
        <v>936</v>
      </c>
      <c r="P2932" s="1">
        <v>1</v>
      </c>
    </row>
    <row r="2933" spans="1:16" x14ac:dyDescent="0.25">
      <c r="A2933" s="3">
        <v>46067</v>
      </c>
      <c r="B2933" s="4">
        <v>10279</v>
      </c>
      <c r="C2933" s="5">
        <v>3550.94</v>
      </c>
      <c r="D2933" s="1" t="s">
        <v>973</v>
      </c>
      <c r="E2933" s="1" t="s">
        <v>1068</v>
      </c>
      <c r="F2933" s="1" t="s">
        <v>1814</v>
      </c>
      <c r="G2933" s="1" t="s">
        <v>998</v>
      </c>
      <c r="H2933" s="3">
        <v>46082</v>
      </c>
      <c r="I2933" s="1" t="s">
        <v>933</v>
      </c>
      <c r="J2933" s="1" t="s">
        <v>66</v>
      </c>
      <c r="K2933" s="1" t="s">
        <v>66</v>
      </c>
      <c r="L2933" s="1" t="s">
        <v>4351</v>
      </c>
      <c r="M2933" s="3">
        <v>46070</v>
      </c>
      <c r="N2933" s="1" t="s">
        <v>1814</v>
      </c>
      <c r="O2933" s="1" t="s">
        <v>998</v>
      </c>
      <c r="P2933" s="1">
        <v>1</v>
      </c>
    </row>
    <row r="2934" spans="1:16" x14ac:dyDescent="0.25">
      <c r="A2934" s="3">
        <v>46068</v>
      </c>
      <c r="B2934" s="4">
        <v>1123</v>
      </c>
      <c r="C2934" s="5">
        <v>180</v>
      </c>
      <c r="D2934" s="1" t="s">
        <v>1126</v>
      </c>
      <c r="E2934" s="1" t="s">
        <v>1127</v>
      </c>
      <c r="F2934" s="1" t="s">
        <v>775</v>
      </c>
      <c r="G2934" s="1" t="s">
        <v>940</v>
      </c>
      <c r="H2934" s="3">
        <v>46020</v>
      </c>
      <c r="I2934" s="1" t="s">
        <v>933</v>
      </c>
      <c r="J2934" s="1" t="s">
        <v>66</v>
      </c>
      <c r="K2934" s="1" t="s">
        <v>340</v>
      </c>
      <c r="L2934" s="1" t="s">
        <v>4352</v>
      </c>
      <c r="M2934" s="3">
        <v>46006</v>
      </c>
      <c r="N2934" s="1" t="s">
        <v>580</v>
      </c>
      <c r="O2934" s="1" t="s">
        <v>936</v>
      </c>
      <c r="P2934" s="1">
        <v>1</v>
      </c>
    </row>
    <row r="2935" spans="1:16" x14ac:dyDescent="0.25">
      <c r="A2935" s="3">
        <v>46068</v>
      </c>
      <c r="B2935" s="4">
        <v>52086407</v>
      </c>
      <c r="C2935" s="5">
        <v>30757.11</v>
      </c>
      <c r="D2935" s="1" t="s">
        <v>1604</v>
      </c>
      <c r="E2935" s="1" t="s">
        <v>1605</v>
      </c>
      <c r="F2935" s="1" t="s">
        <v>66</v>
      </c>
      <c r="G2935" s="1" t="s">
        <v>472</v>
      </c>
      <c r="H2935" s="3">
        <v>46080</v>
      </c>
      <c r="I2935" s="1" t="s">
        <v>933</v>
      </c>
      <c r="J2935" s="1" t="s">
        <v>66</v>
      </c>
      <c r="K2935" s="1" t="s">
        <v>934</v>
      </c>
      <c r="L2935" s="1" t="s">
        <v>4353</v>
      </c>
      <c r="M2935" s="3">
        <v>46070</v>
      </c>
      <c r="N2935" s="1" t="s">
        <v>57</v>
      </c>
      <c r="O2935" s="1" t="s">
        <v>932</v>
      </c>
      <c r="P2935" s="1">
        <v>1</v>
      </c>
    </row>
    <row r="2936" spans="1:16" x14ac:dyDescent="0.25">
      <c r="A2936" s="3">
        <v>46069</v>
      </c>
      <c r="B2936" s="4">
        <v>96288</v>
      </c>
      <c r="C2936" s="5">
        <v>57000</v>
      </c>
      <c r="D2936" s="1" t="s">
        <v>1094</v>
      </c>
      <c r="E2936" s="1" t="s">
        <v>1095</v>
      </c>
      <c r="F2936" s="1" t="s">
        <v>66</v>
      </c>
      <c r="G2936" s="1" t="s">
        <v>998</v>
      </c>
      <c r="H2936" s="3">
        <v>46090</v>
      </c>
      <c r="I2936" s="1" t="s">
        <v>933</v>
      </c>
      <c r="J2936" s="1" t="s">
        <v>66</v>
      </c>
      <c r="K2936" s="1" t="s">
        <v>66</v>
      </c>
      <c r="L2936" s="1" t="s">
        <v>4354</v>
      </c>
      <c r="M2936" s="3">
        <v>46070</v>
      </c>
      <c r="N2936" s="1" t="s">
        <v>57</v>
      </c>
      <c r="O2936" s="1" t="s">
        <v>998</v>
      </c>
      <c r="P2936" s="1">
        <v>1</v>
      </c>
    </row>
    <row r="2937" spans="1:16" x14ac:dyDescent="0.25">
      <c r="A2937" s="3">
        <v>46069</v>
      </c>
      <c r="B2937" s="4">
        <v>1151</v>
      </c>
      <c r="C2937" s="5">
        <v>8190</v>
      </c>
      <c r="D2937" s="1" t="s">
        <v>1126</v>
      </c>
      <c r="E2937" s="1" t="s">
        <v>1620</v>
      </c>
      <c r="F2937" s="1" t="s">
        <v>66</v>
      </c>
      <c r="G2937" s="1" t="s">
        <v>940</v>
      </c>
      <c r="H2937" s="3">
        <v>46083</v>
      </c>
      <c r="I2937" s="1" t="s">
        <v>933</v>
      </c>
      <c r="J2937" s="1" t="s">
        <v>66</v>
      </c>
      <c r="K2937" s="1" t="s">
        <v>66</v>
      </c>
      <c r="L2937" s="1" t="s">
        <v>4355</v>
      </c>
      <c r="M2937" s="3">
        <v>46070</v>
      </c>
      <c r="N2937" s="1" t="s">
        <v>57</v>
      </c>
      <c r="O2937" s="1" t="s">
        <v>936</v>
      </c>
      <c r="P2937" s="1">
        <v>1</v>
      </c>
    </row>
    <row r="2938" spans="1:16" x14ac:dyDescent="0.25">
      <c r="A2938" s="3">
        <v>46069</v>
      </c>
      <c r="B2938" s="4">
        <v>1639</v>
      </c>
      <c r="C2938" s="5">
        <v>622.45000000000005</v>
      </c>
      <c r="D2938" s="1" t="s">
        <v>1901</v>
      </c>
      <c r="E2938" s="1" t="s">
        <v>1902</v>
      </c>
      <c r="F2938" s="1" t="s">
        <v>949</v>
      </c>
      <c r="G2938" s="1" t="s">
        <v>20</v>
      </c>
      <c r="H2938" s="3">
        <v>46097</v>
      </c>
      <c r="I2938" s="1" t="s">
        <v>933</v>
      </c>
      <c r="J2938" s="1" t="s">
        <v>951</v>
      </c>
      <c r="K2938" s="1" t="s">
        <v>934</v>
      </c>
      <c r="L2938" s="1" t="s">
        <v>4356</v>
      </c>
      <c r="M2938" s="3">
        <v>46070</v>
      </c>
      <c r="N2938" s="1" t="s">
        <v>57</v>
      </c>
      <c r="O2938" s="1" t="s">
        <v>936</v>
      </c>
      <c r="P2938" s="1">
        <v>1</v>
      </c>
    </row>
    <row r="2939" spans="1:16" x14ac:dyDescent="0.25">
      <c r="A2939" s="3">
        <v>46069</v>
      </c>
      <c r="B2939" s="4">
        <v>1715124</v>
      </c>
      <c r="C2939" s="5">
        <v>222.54</v>
      </c>
      <c r="D2939" s="1" t="s">
        <v>1855</v>
      </c>
      <c r="E2939" s="1" t="s">
        <v>2116</v>
      </c>
      <c r="F2939" s="1" t="s">
        <v>422</v>
      </c>
      <c r="G2939" s="1" t="s">
        <v>1029</v>
      </c>
      <c r="H2939" s="3">
        <v>46078</v>
      </c>
      <c r="I2939" s="1" t="s">
        <v>933</v>
      </c>
      <c r="J2939" s="1" t="s">
        <v>66</v>
      </c>
      <c r="K2939" s="1" t="s">
        <v>340</v>
      </c>
      <c r="L2939" s="1" t="s">
        <v>4357</v>
      </c>
      <c r="M2939" s="3">
        <v>46070</v>
      </c>
      <c r="N2939" s="1" t="s">
        <v>75</v>
      </c>
      <c r="O2939" s="1" t="s">
        <v>1031</v>
      </c>
      <c r="P2939" s="1">
        <v>1</v>
      </c>
    </row>
    <row r="2940" spans="1:16" x14ac:dyDescent="0.25">
      <c r="A2940" s="3">
        <v>46069</v>
      </c>
      <c r="B2940" s="4">
        <v>1717962</v>
      </c>
      <c r="C2940" s="5">
        <v>89.92</v>
      </c>
      <c r="D2940" s="1" t="s">
        <v>1855</v>
      </c>
      <c r="E2940" s="1" t="s">
        <v>2116</v>
      </c>
      <c r="F2940" s="1" t="s">
        <v>906</v>
      </c>
      <c r="G2940" s="1" t="s">
        <v>1029</v>
      </c>
      <c r="H2940" s="3">
        <v>46078</v>
      </c>
      <c r="I2940" s="1" t="s">
        <v>933</v>
      </c>
      <c r="J2940" s="1" t="s">
        <v>66</v>
      </c>
      <c r="K2940" s="1" t="s">
        <v>308</v>
      </c>
      <c r="L2940" s="1" t="s">
        <v>4357</v>
      </c>
      <c r="M2940" s="3">
        <v>46070</v>
      </c>
      <c r="N2940" s="1" t="s">
        <v>57</v>
      </c>
      <c r="O2940" s="1" t="s">
        <v>1031</v>
      </c>
      <c r="P2940" s="1">
        <v>1</v>
      </c>
    </row>
    <row r="2941" spans="1:16" x14ac:dyDescent="0.25">
      <c r="A2941" s="3">
        <v>46069</v>
      </c>
      <c r="B2941" s="4">
        <v>148527</v>
      </c>
      <c r="C2941" s="5">
        <v>527.62</v>
      </c>
      <c r="D2941" s="1" t="s">
        <v>3108</v>
      </c>
      <c r="E2941" s="1" t="s">
        <v>4358</v>
      </c>
      <c r="F2941" s="1" t="s">
        <v>966</v>
      </c>
      <c r="G2941" s="1" t="s">
        <v>20</v>
      </c>
      <c r="H2941" s="1" t="s">
        <v>4359</v>
      </c>
      <c r="I2941" s="1" t="s">
        <v>933</v>
      </c>
      <c r="J2941" s="1" t="s">
        <v>951</v>
      </c>
      <c r="K2941" s="1" t="s">
        <v>20</v>
      </c>
      <c r="L2941" s="1" t="s">
        <v>4360</v>
      </c>
      <c r="M2941" s="1" t="s">
        <v>4055</v>
      </c>
      <c r="N2941" s="1" t="s">
        <v>57</v>
      </c>
      <c r="O2941" s="1" t="s">
        <v>936</v>
      </c>
      <c r="P2941" s="1">
        <v>1</v>
      </c>
    </row>
    <row r="2942" spans="1:16" x14ac:dyDescent="0.25">
      <c r="A2942" s="3">
        <v>46069</v>
      </c>
      <c r="B2942" s="4">
        <v>1538</v>
      </c>
      <c r="C2942" s="5">
        <v>6460</v>
      </c>
      <c r="D2942" s="1" t="s">
        <v>1498</v>
      </c>
      <c r="E2942" s="1" t="s">
        <v>3543</v>
      </c>
      <c r="F2942" s="1" t="s">
        <v>966</v>
      </c>
      <c r="G2942" s="1" t="s">
        <v>932</v>
      </c>
      <c r="H2942" s="3">
        <v>46084</v>
      </c>
      <c r="I2942" s="1" t="s">
        <v>933</v>
      </c>
      <c r="J2942" s="1" t="s">
        <v>951</v>
      </c>
      <c r="K2942" s="1" t="s">
        <v>340</v>
      </c>
      <c r="L2942" s="1" t="s">
        <v>4361</v>
      </c>
      <c r="M2942" s="3">
        <v>46070</v>
      </c>
      <c r="N2942" s="1" t="s">
        <v>57</v>
      </c>
      <c r="O2942" s="1" t="s">
        <v>936</v>
      </c>
      <c r="P2942" s="1">
        <v>1</v>
      </c>
    </row>
    <row r="2943" spans="1:16" x14ac:dyDescent="0.25">
      <c r="A2943" s="3">
        <v>46069</v>
      </c>
      <c r="B2943" s="4">
        <v>10185</v>
      </c>
      <c r="C2943" s="5">
        <v>935</v>
      </c>
      <c r="D2943" s="1" t="s">
        <v>2984</v>
      </c>
      <c r="E2943" s="1" t="s">
        <v>4329</v>
      </c>
      <c r="F2943" s="1" t="s">
        <v>66</v>
      </c>
      <c r="G2943" s="1" t="s">
        <v>940</v>
      </c>
      <c r="H2943" s="3">
        <v>46099</v>
      </c>
      <c r="I2943" s="1" t="s">
        <v>933</v>
      </c>
      <c r="J2943" s="1" t="s">
        <v>66</v>
      </c>
      <c r="K2943" s="1" t="s">
        <v>308</v>
      </c>
      <c r="L2943" s="1" t="s">
        <v>4362</v>
      </c>
      <c r="M2943" s="3">
        <v>46070</v>
      </c>
      <c r="N2943" s="1" t="s">
        <v>57</v>
      </c>
      <c r="O2943" s="1" t="s">
        <v>936</v>
      </c>
      <c r="P2943" s="1" t="s">
        <v>937</v>
      </c>
    </row>
    <row r="2944" spans="1:16" x14ac:dyDescent="0.25">
      <c r="A2944" s="3">
        <v>46069</v>
      </c>
      <c r="B2944" s="4">
        <v>10303</v>
      </c>
      <c r="C2944" s="5">
        <v>4785.75</v>
      </c>
      <c r="D2944" s="1" t="s">
        <v>973</v>
      </c>
      <c r="E2944" s="1" t="s">
        <v>1068</v>
      </c>
      <c r="F2944" s="1" t="s">
        <v>66</v>
      </c>
      <c r="G2944" s="1" t="s">
        <v>1814</v>
      </c>
      <c r="H2944" s="3">
        <v>46084</v>
      </c>
      <c r="I2944" s="1" t="s">
        <v>933</v>
      </c>
      <c r="J2944" s="1" t="s">
        <v>66</v>
      </c>
      <c r="K2944" s="1" t="s">
        <v>1814</v>
      </c>
      <c r="L2944" s="1" t="s">
        <v>4363</v>
      </c>
      <c r="M2944" s="3">
        <v>46071</v>
      </c>
      <c r="N2944" s="1" t="s">
        <v>57</v>
      </c>
      <c r="O2944" s="1" t="s">
        <v>998</v>
      </c>
      <c r="P2944" s="1">
        <v>1</v>
      </c>
    </row>
    <row r="2945" spans="1:16" x14ac:dyDescent="0.25">
      <c r="A2945" s="3">
        <v>46069</v>
      </c>
      <c r="B2945" s="4">
        <v>10303</v>
      </c>
      <c r="C2945" s="5">
        <v>3983</v>
      </c>
      <c r="D2945" s="1" t="s">
        <v>973</v>
      </c>
      <c r="E2945" s="1" t="s">
        <v>1068</v>
      </c>
      <c r="F2945" s="1" t="s">
        <v>66</v>
      </c>
      <c r="G2945" s="1" t="s">
        <v>1814</v>
      </c>
      <c r="H2945" s="3">
        <v>46084</v>
      </c>
      <c r="I2945" s="1" t="s">
        <v>933</v>
      </c>
      <c r="J2945" s="1" t="s">
        <v>66</v>
      </c>
      <c r="K2945" s="1" t="s">
        <v>1814</v>
      </c>
      <c r="L2945" s="1" t="s">
        <v>4364</v>
      </c>
      <c r="M2945" s="3">
        <v>46071</v>
      </c>
      <c r="N2945" s="1" t="s">
        <v>57</v>
      </c>
      <c r="O2945" s="1" t="s">
        <v>998</v>
      </c>
      <c r="P2945" s="1">
        <v>1</v>
      </c>
    </row>
    <row r="2946" spans="1:16" x14ac:dyDescent="0.25">
      <c r="A2946" s="3">
        <v>46069</v>
      </c>
      <c r="B2946" s="4">
        <v>10303</v>
      </c>
      <c r="C2946" s="5">
        <v>4537.95</v>
      </c>
      <c r="D2946" s="1" t="s">
        <v>973</v>
      </c>
      <c r="E2946" s="1" t="s">
        <v>1068</v>
      </c>
      <c r="F2946" s="1" t="s">
        <v>66</v>
      </c>
      <c r="G2946" s="1" t="s">
        <v>1814</v>
      </c>
      <c r="H2946" s="3">
        <v>46084</v>
      </c>
      <c r="I2946" s="1" t="s">
        <v>933</v>
      </c>
      <c r="J2946" s="1" t="s">
        <v>66</v>
      </c>
      <c r="K2946" s="1" t="s">
        <v>1814</v>
      </c>
      <c r="L2946" s="1" t="s">
        <v>4365</v>
      </c>
      <c r="M2946" s="3">
        <v>46071</v>
      </c>
      <c r="N2946" s="1" t="s">
        <v>57</v>
      </c>
      <c r="O2946" s="1" t="s">
        <v>998</v>
      </c>
      <c r="P2946" s="1">
        <v>1</v>
      </c>
    </row>
    <row r="2947" spans="1:16" x14ac:dyDescent="0.25">
      <c r="A2947" s="3">
        <v>46069</v>
      </c>
      <c r="B2947" s="4">
        <v>3179</v>
      </c>
      <c r="C2947" s="5">
        <v>14000</v>
      </c>
      <c r="D2947" s="1" t="s">
        <v>1285</v>
      </c>
      <c r="E2947" s="1" t="s">
        <v>1286</v>
      </c>
      <c r="F2947" s="1" t="s">
        <v>66</v>
      </c>
      <c r="G2947" s="1" t="s">
        <v>932</v>
      </c>
      <c r="H2947" s="3">
        <v>46086</v>
      </c>
      <c r="I2947" s="1" t="s">
        <v>933</v>
      </c>
      <c r="J2947" s="1" t="s">
        <v>66</v>
      </c>
      <c r="K2947" s="1" t="s">
        <v>934</v>
      </c>
      <c r="L2947" s="1" t="s">
        <v>4366</v>
      </c>
      <c r="M2947" s="3">
        <v>46071</v>
      </c>
      <c r="N2947" s="1" t="s">
        <v>57</v>
      </c>
      <c r="O2947" s="1" t="s">
        <v>932</v>
      </c>
      <c r="P2947" s="1">
        <v>1</v>
      </c>
    </row>
    <row r="2948" spans="1:16" x14ac:dyDescent="0.25">
      <c r="A2948" s="3">
        <v>46069</v>
      </c>
      <c r="B2948" s="4">
        <v>4502</v>
      </c>
      <c r="C2948" s="5">
        <v>1019.31</v>
      </c>
      <c r="D2948" s="1" t="s">
        <v>3830</v>
      </c>
      <c r="E2948" s="1" t="s">
        <v>3831</v>
      </c>
      <c r="F2948" s="1" t="s">
        <v>422</v>
      </c>
      <c r="G2948" s="1" t="s">
        <v>940</v>
      </c>
      <c r="H2948" s="3">
        <v>46086</v>
      </c>
      <c r="I2948" s="1" t="s">
        <v>933</v>
      </c>
      <c r="J2948" s="1" t="s">
        <v>66</v>
      </c>
      <c r="K2948" s="1" t="s">
        <v>308</v>
      </c>
      <c r="L2948" s="1" t="s">
        <v>4367</v>
      </c>
      <c r="M2948" s="3">
        <v>46071</v>
      </c>
      <c r="N2948" s="1" t="s">
        <v>75</v>
      </c>
      <c r="O2948" s="1" t="s">
        <v>936</v>
      </c>
      <c r="P2948" s="1">
        <v>1</v>
      </c>
    </row>
    <row r="2949" spans="1:16" x14ac:dyDescent="0.25">
      <c r="A2949" s="3">
        <v>46069</v>
      </c>
      <c r="B2949" s="4">
        <v>1732</v>
      </c>
      <c r="C2949" s="5">
        <v>45.95</v>
      </c>
      <c r="D2949" s="1" t="s">
        <v>3830</v>
      </c>
      <c r="E2949" s="1" t="s">
        <v>3831</v>
      </c>
      <c r="F2949" s="1" t="s">
        <v>422</v>
      </c>
      <c r="G2949" s="1" t="s">
        <v>940</v>
      </c>
      <c r="H2949" s="3">
        <v>46086</v>
      </c>
      <c r="I2949" s="1" t="s">
        <v>933</v>
      </c>
      <c r="J2949" s="1" t="s">
        <v>66</v>
      </c>
      <c r="K2949" s="1" t="s">
        <v>308</v>
      </c>
      <c r="L2949" s="1" t="s">
        <v>4367</v>
      </c>
      <c r="M2949" s="3">
        <v>46071</v>
      </c>
      <c r="N2949" s="1" t="s">
        <v>75</v>
      </c>
      <c r="O2949" s="1" t="s">
        <v>936</v>
      </c>
      <c r="P2949" s="1">
        <v>1</v>
      </c>
    </row>
    <row r="2950" spans="1:16" x14ac:dyDescent="0.25">
      <c r="A2950" s="3">
        <v>46071</v>
      </c>
      <c r="B2950" s="4">
        <v>23600</v>
      </c>
      <c r="C2950" s="5">
        <v>1255</v>
      </c>
      <c r="D2950" s="1" t="s">
        <v>1319</v>
      </c>
      <c r="E2950" s="1" t="s">
        <v>1320</v>
      </c>
      <c r="F2950" s="1" t="s">
        <v>949</v>
      </c>
      <c r="G2950" s="1" t="s">
        <v>20</v>
      </c>
      <c r="H2950" s="3">
        <v>46093</v>
      </c>
      <c r="I2950" s="1" t="s">
        <v>933</v>
      </c>
      <c r="J2950" s="1" t="s">
        <v>951</v>
      </c>
      <c r="K2950" s="1" t="s">
        <v>20</v>
      </c>
      <c r="L2950" s="1" t="s">
        <v>4368</v>
      </c>
      <c r="M2950" s="3">
        <v>46070</v>
      </c>
      <c r="N2950" s="1" t="s">
        <v>57</v>
      </c>
      <c r="O2950" s="1" t="s">
        <v>936</v>
      </c>
      <c r="P2950" s="1">
        <v>2</v>
      </c>
    </row>
    <row r="2951" spans="1:16" x14ac:dyDescent="0.25">
      <c r="A2951" s="3">
        <v>46071</v>
      </c>
      <c r="B2951" s="1">
        <v>9</v>
      </c>
      <c r="C2951" s="5">
        <v>2180</v>
      </c>
      <c r="D2951" s="1" t="s">
        <v>1262</v>
      </c>
      <c r="E2951" s="1" t="s">
        <v>1507</v>
      </c>
      <c r="F2951" s="1" t="s">
        <v>949</v>
      </c>
      <c r="G2951" s="1" t="s">
        <v>940</v>
      </c>
      <c r="H2951" s="3">
        <v>46086</v>
      </c>
      <c r="I2951" s="1" t="s">
        <v>933</v>
      </c>
      <c r="J2951" s="1" t="s">
        <v>951</v>
      </c>
      <c r="K2951" s="1" t="s">
        <v>20</v>
      </c>
      <c r="L2951" s="1" t="s">
        <v>4369</v>
      </c>
      <c r="M2951" s="3">
        <v>46071</v>
      </c>
      <c r="N2951" s="1" t="s">
        <v>57</v>
      </c>
      <c r="O2951" s="1" t="s">
        <v>936</v>
      </c>
      <c r="P2951" s="1" t="s">
        <v>937</v>
      </c>
    </row>
    <row r="2952" spans="1:16" x14ac:dyDescent="0.25">
      <c r="A2952" s="3">
        <v>46071</v>
      </c>
      <c r="B2952" s="1">
        <v>7</v>
      </c>
      <c r="C2952" s="5">
        <v>2180</v>
      </c>
      <c r="D2952" s="1" t="s">
        <v>1262</v>
      </c>
      <c r="E2952" s="1" t="s">
        <v>1507</v>
      </c>
      <c r="F2952" s="1" t="s">
        <v>949</v>
      </c>
      <c r="G2952" s="1" t="s">
        <v>940</v>
      </c>
      <c r="H2952" s="3">
        <v>46086</v>
      </c>
      <c r="I2952" s="1" t="s">
        <v>933</v>
      </c>
      <c r="J2952" s="1" t="s">
        <v>951</v>
      </c>
      <c r="K2952" s="1" t="s">
        <v>20</v>
      </c>
      <c r="L2952" s="1" t="s">
        <v>4370</v>
      </c>
      <c r="M2952" s="3">
        <v>46071</v>
      </c>
      <c r="N2952" s="1" t="s">
        <v>57</v>
      </c>
      <c r="O2952" s="1" t="s">
        <v>936</v>
      </c>
      <c r="P2952" s="1" t="s">
        <v>937</v>
      </c>
    </row>
    <row r="2953" spans="1:16" x14ac:dyDescent="0.25">
      <c r="A2953" s="3">
        <v>46071</v>
      </c>
      <c r="B2953" s="4">
        <v>72913</v>
      </c>
      <c r="C2953" s="5">
        <v>5685.64</v>
      </c>
      <c r="D2953" s="1" t="s">
        <v>1253</v>
      </c>
      <c r="E2953" s="1" t="s">
        <v>1487</v>
      </c>
      <c r="F2953" s="1" t="s">
        <v>66</v>
      </c>
      <c r="G2953" s="1" t="s">
        <v>1131</v>
      </c>
      <c r="H2953" s="3">
        <v>46101</v>
      </c>
      <c r="I2953" s="1" t="s">
        <v>933</v>
      </c>
      <c r="J2953" s="1" t="s">
        <v>66</v>
      </c>
      <c r="K2953" s="1" t="s">
        <v>308</v>
      </c>
      <c r="L2953" s="1" t="s">
        <v>4371</v>
      </c>
      <c r="M2953" s="3">
        <v>46076</v>
      </c>
      <c r="N2953" s="1" t="s">
        <v>57</v>
      </c>
      <c r="O2953" s="1" t="s">
        <v>936</v>
      </c>
      <c r="P2953" s="1">
        <v>1</v>
      </c>
    </row>
    <row r="2954" spans="1:16" x14ac:dyDescent="0.25">
      <c r="A2954" s="3">
        <v>46071</v>
      </c>
      <c r="B2954" s="4">
        <v>72914</v>
      </c>
      <c r="C2954" s="5">
        <v>10500</v>
      </c>
      <c r="D2954" s="1" t="s">
        <v>1253</v>
      </c>
      <c r="E2954" s="1" t="s">
        <v>1487</v>
      </c>
      <c r="F2954" s="1" t="s">
        <v>66</v>
      </c>
      <c r="G2954" s="1" t="s">
        <v>1131</v>
      </c>
      <c r="H2954" s="3">
        <v>46101</v>
      </c>
      <c r="I2954" s="1" t="s">
        <v>933</v>
      </c>
      <c r="J2954" s="1" t="s">
        <v>66</v>
      </c>
      <c r="K2954" s="1" t="s">
        <v>308</v>
      </c>
      <c r="L2954" s="1" t="s">
        <v>4372</v>
      </c>
      <c r="M2954" s="3">
        <v>46076</v>
      </c>
      <c r="N2954" s="1" t="s">
        <v>57</v>
      </c>
      <c r="O2954" s="1" t="s">
        <v>936</v>
      </c>
      <c r="P2954" s="1">
        <v>1</v>
      </c>
    </row>
    <row r="2955" spans="1:16" x14ac:dyDescent="0.25">
      <c r="A2955" s="3">
        <v>46071</v>
      </c>
      <c r="B2955" s="1">
        <v>61</v>
      </c>
      <c r="C2955" s="5">
        <v>6621.08</v>
      </c>
      <c r="D2955" s="1" t="s">
        <v>3804</v>
      </c>
      <c r="E2955" s="1" t="s">
        <v>4029</v>
      </c>
      <c r="F2955" s="1" t="s">
        <v>392</v>
      </c>
      <c r="G2955" s="1" t="s">
        <v>940</v>
      </c>
      <c r="H2955" s="3">
        <v>46099</v>
      </c>
      <c r="I2955" s="1" t="s">
        <v>933</v>
      </c>
      <c r="J2955" s="1" t="s">
        <v>66</v>
      </c>
      <c r="K2955" s="1" t="s">
        <v>308</v>
      </c>
      <c r="L2955" s="1" t="s">
        <v>4373</v>
      </c>
      <c r="M2955" s="3">
        <v>46076</v>
      </c>
      <c r="N2955" s="1" t="s">
        <v>93</v>
      </c>
      <c r="O2955" s="1" t="s">
        <v>936</v>
      </c>
      <c r="P2955" s="1">
        <v>1</v>
      </c>
    </row>
    <row r="2956" spans="1:16" x14ac:dyDescent="0.25">
      <c r="A2956" s="3">
        <v>46071</v>
      </c>
      <c r="B2956" s="4">
        <v>2488</v>
      </c>
      <c r="C2956" s="5">
        <v>950</v>
      </c>
      <c r="D2956" s="1" t="s">
        <v>1182</v>
      </c>
      <c r="E2956" s="1" t="s">
        <v>4374</v>
      </c>
      <c r="F2956" s="1" t="s">
        <v>955</v>
      </c>
      <c r="G2956" s="1" t="s">
        <v>1260</v>
      </c>
      <c r="H2956" s="3">
        <v>46099</v>
      </c>
      <c r="I2956" s="1" t="s">
        <v>933</v>
      </c>
      <c r="J2956" s="1" t="s">
        <v>951</v>
      </c>
      <c r="K2956" s="1" t="s">
        <v>340</v>
      </c>
      <c r="L2956" s="1" t="s">
        <v>4375</v>
      </c>
      <c r="M2956" s="3">
        <v>46076</v>
      </c>
      <c r="N2956" s="1" t="s">
        <v>821</v>
      </c>
      <c r="O2956" s="1" t="s">
        <v>937</v>
      </c>
      <c r="P2956" s="1" t="s">
        <v>937</v>
      </c>
    </row>
    <row r="2957" spans="1:16" x14ac:dyDescent="0.25">
      <c r="A2957" s="3">
        <v>46071</v>
      </c>
      <c r="B2957" s="1">
        <v>129</v>
      </c>
      <c r="C2957" s="5">
        <v>2490</v>
      </c>
      <c r="D2957" s="1" t="s">
        <v>1579</v>
      </c>
      <c r="E2957" s="1" t="s">
        <v>1580</v>
      </c>
      <c r="F2957" s="1" t="s">
        <v>955</v>
      </c>
      <c r="G2957" s="1" t="s">
        <v>1260</v>
      </c>
      <c r="H2957" s="3">
        <v>46087</v>
      </c>
      <c r="I2957" s="1" t="s">
        <v>933</v>
      </c>
      <c r="J2957" s="1" t="s">
        <v>951</v>
      </c>
      <c r="K2957" s="1" t="s">
        <v>340</v>
      </c>
      <c r="L2957" s="1" t="s">
        <v>4376</v>
      </c>
      <c r="M2957" s="1"/>
      <c r="N2957" s="1" t="s">
        <v>821</v>
      </c>
      <c r="O2957" s="1" t="s">
        <v>936</v>
      </c>
      <c r="P2957" s="1">
        <v>0</v>
      </c>
    </row>
    <row r="2958" spans="1:16" x14ac:dyDescent="0.25">
      <c r="A2958" s="3">
        <v>46071</v>
      </c>
      <c r="B2958" s="1">
        <v>9</v>
      </c>
      <c r="C2958" s="5">
        <v>2180</v>
      </c>
      <c r="D2958" s="1" t="s">
        <v>1262</v>
      </c>
      <c r="E2958" s="1" t="s">
        <v>1507</v>
      </c>
      <c r="F2958" s="1" t="s">
        <v>955</v>
      </c>
      <c r="G2958" s="1" t="s">
        <v>20</v>
      </c>
      <c r="H2958" s="3">
        <v>46087</v>
      </c>
      <c r="I2958" s="1" t="s">
        <v>933</v>
      </c>
      <c r="J2958" s="1" t="s">
        <v>951</v>
      </c>
      <c r="K2958" s="1" t="s">
        <v>20</v>
      </c>
      <c r="L2958" s="1" t="s">
        <v>4377</v>
      </c>
      <c r="M2958" s="3">
        <v>46076</v>
      </c>
      <c r="N2958" s="1" t="s">
        <v>821</v>
      </c>
      <c r="O2958" s="1" t="s">
        <v>936</v>
      </c>
      <c r="P2958" s="1" t="s">
        <v>937</v>
      </c>
    </row>
    <row r="2959" spans="1:16" x14ac:dyDescent="0.25">
      <c r="A2959" s="3">
        <v>46071</v>
      </c>
      <c r="B2959" s="1">
        <v>7</v>
      </c>
      <c r="C2959" s="5">
        <v>22360</v>
      </c>
      <c r="D2959" s="1" t="s">
        <v>1262</v>
      </c>
      <c r="E2959" s="1" t="s">
        <v>1507</v>
      </c>
      <c r="F2959" s="1" t="s">
        <v>955</v>
      </c>
      <c r="G2959" s="1" t="s">
        <v>20</v>
      </c>
      <c r="H2959" s="3">
        <v>46087</v>
      </c>
      <c r="I2959" s="1" t="s">
        <v>933</v>
      </c>
      <c r="J2959" s="1" t="s">
        <v>951</v>
      </c>
      <c r="K2959" s="1" t="s">
        <v>20</v>
      </c>
      <c r="L2959" s="1" t="s">
        <v>4377</v>
      </c>
      <c r="M2959" s="3">
        <v>46076</v>
      </c>
      <c r="N2959" s="1" t="s">
        <v>821</v>
      </c>
      <c r="O2959" s="1" t="s">
        <v>936</v>
      </c>
      <c r="P2959" s="1" t="s">
        <v>937</v>
      </c>
    </row>
    <row r="2960" spans="1:16" x14ac:dyDescent="0.25">
      <c r="A2960" s="3">
        <v>46071</v>
      </c>
      <c r="B2960" s="1">
        <v>165</v>
      </c>
      <c r="C2960" s="5">
        <v>961.64</v>
      </c>
      <c r="D2960" s="1" t="s">
        <v>1370</v>
      </c>
      <c r="E2960" s="1" t="s">
        <v>1371</v>
      </c>
      <c r="F2960" s="1">
        <v>100041</v>
      </c>
      <c r="G2960" s="1" t="s">
        <v>940</v>
      </c>
      <c r="H2960" s="3">
        <v>46092</v>
      </c>
      <c r="I2960" s="1" t="s">
        <v>933</v>
      </c>
      <c r="J2960" s="1" t="s">
        <v>66</v>
      </c>
      <c r="K2960" s="1" t="s">
        <v>910</v>
      </c>
      <c r="L2960" s="1" t="s">
        <v>4378</v>
      </c>
      <c r="M2960" s="3">
        <v>46076</v>
      </c>
      <c r="N2960" s="1" t="s">
        <v>57</v>
      </c>
      <c r="O2960" s="1" t="s">
        <v>936</v>
      </c>
      <c r="P2960" s="1" t="s">
        <v>937</v>
      </c>
    </row>
    <row r="2961" spans="1:16" x14ac:dyDescent="0.25">
      <c r="A2961" s="3">
        <v>46071</v>
      </c>
      <c r="B2961" s="4">
        <v>1743</v>
      </c>
      <c r="C2961" s="5">
        <v>13200</v>
      </c>
      <c r="D2961" s="1" t="s">
        <v>4379</v>
      </c>
      <c r="E2961" s="1" t="s">
        <v>4380</v>
      </c>
      <c r="F2961" s="1" t="s">
        <v>871</v>
      </c>
      <c r="G2961" s="1" t="s">
        <v>932</v>
      </c>
      <c r="H2961" s="3">
        <v>46092</v>
      </c>
      <c r="I2961" s="1" t="s">
        <v>933</v>
      </c>
      <c r="J2961" s="1" t="s">
        <v>66</v>
      </c>
      <c r="K2961" s="1" t="s">
        <v>20</v>
      </c>
      <c r="L2961" s="1" t="s">
        <v>4381</v>
      </c>
      <c r="M2961" s="3">
        <v>46076</v>
      </c>
      <c r="N2961" s="1" t="s">
        <v>767</v>
      </c>
      <c r="O2961" s="1" t="s">
        <v>937</v>
      </c>
      <c r="P2961" s="1">
        <v>1</v>
      </c>
    </row>
    <row r="2962" spans="1:16" x14ac:dyDescent="0.25">
      <c r="A2962" s="3">
        <v>46071</v>
      </c>
      <c r="B2962" s="4">
        <v>1641</v>
      </c>
      <c r="C2962" s="5">
        <v>4713.12</v>
      </c>
      <c r="D2962" s="1" t="s">
        <v>1901</v>
      </c>
      <c r="E2962" s="1" t="s">
        <v>1902</v>
      </c>
      <c r="F2962" s="1" t="s">
        <v>955</v>
      </c>
      <c r="G2962" s="1" t="s">
        <v>20</v>
      </c>
      <c r="H2962" s="3">
        <v>46099</v>
      </c>
      <c r="I2962" s="1" t="s">
        <v>933</v>
      </c>
      <c r="J2962" s="1" t="s">
        <v>951</v>
      </c>
      <c r="K2962" s="1" t="s">
        <v>20</v>
      </c>
      <c r="L2962" s="1" t="s">
        <v>4382</v>
      </c>
      <c r="M2962" s="3">
        <v>46076</v>
      </c>
      <c r="N2962" s="1" t="s">
        <v>821</v>
      </c>
      <c r="O2962" s="1" t="s">
        <v>936</v>
      </c>
      <c r="P2962" s="1">
        <v>1</v>
      </c>
    </row>
    <row r="2963" spans="1:16" x14ac:dyDescent="0.25">
      <c r="A2963" s="3">
        <v>46071</v>
      </c>
      <c r="B2963" s="4">
        <v>1196</v>
      </c>
      <c r="C2963" s="5">
        <v>16920</v>
      </c>
      <c r="D2963" s="1" t="s">
        <v>1074</v>
      </c>
      <c r="E2963" s="1" t="s">
        <v>1075</v>
      </c>
      <c r="F2963" s="1" t="s">
        <v>949</v>
      </c>
      <c r="G2963" s="1" t="s">
        <v>1058</v>
      </c>
      <c r="H2963" s="3">
        <v>46096</v>
      </c>
      <c r="I2963" s="1" t="s">
        <v>933</v>
      </c>
      <c r="J2963" s="1" t="s">
        <v>951</v>
      </c>
      <c r="K2963" s="1" t="s">
        <v>340</v>
      </c>
      <c r="L2963" s="1" t="s">
        <v>4383</v>
      </c>
      <c r="M2963" s="3">
        <v>46076</v>
      </c>
      <c r="N2963" s="1" t="s">
        <v>821</v>
      </c>
      <c r="O2963" s="1" t="s">
        <v>936</v>
      </c>
      <c r="P2963" s="1">
        <v>1</v>
      </c>
    </row>
    <row r="2964" spans="1:16" x14ac:dyDescent="0.25">
      <c r="A2964" s="3">
        <v>46071</v>
      </c>
      <c r="B2964" s="4">
        <v>1197</v>
      </c>
      <c r="C2964" s="5">
        <v>3555</v>
      </c>
      <c r="D2964" s="1" t="s">
        <v>1074</v>
      </c>
      <c r="E2964" s="1" t="s">
        <v>1075</v>
      </c>
      <c r="F2964" s="1" t="s">
        <v>949</v>
      </c>
      <c r="G2964" s="1" t="s">
        <v>981</v>
      </c>
      <c r="H2964" s="3">
        <v>46096</v>
      </c>
      <c r="I2964" s="1" t="s">
        <v>933</v>
      </c>
      <c r="J2964" s="1" t="s">
        <v>951</v>
      </c>
      <c r="K2964" s="1" t="s">
        <v>340</v>
      </c>
      <c r="L2964" s="1" t="s">
        <v>4384</v>
      </c>
      <c r="M2964" s="3">
        <v>46076</v>
      </c>
      <c r="N2964" s="1" t="s">
        <v>821</v>
      </c>
      <c r="O2964" s="1" t="s">
        <v>936</v>
      </c>
      <c r="P2964" s="1">
        <v>1</v>
      </c>
    </row>
    <row r="2965" spans="1:16" x14ac:dyDescent="0.25">
      <c r="A2965" s="3">
        <v>46071</v>
      </c>
      <c r="B2965" s="1">
        <v>164</v>
      </c>
      <c r="C2965" s="5">
        <v>250</v>
      </c>
      <c r="D2965" s="1" t="s">
        <v>1229</v>
      </c>
      <c r="E2965" s="1" t="s">
        <v>1230</v>
      </c>
      <c r="F2965" s="1" t="s">
        <v>955</v>
      </c>
      <c r="G2965" s="1" t="s">
        <v>990</v>
      </c>
      <c r="H2965" s="3">
        <v>46086</v>
      </c>
      <c r="I2965" s="1" t="s">
        <v>933</v>
      </c>
      <c r="J2965" s="1" t="s">
        <v>951</v>
      </c>
      <c r="K2965" s="1" t="s">
        <v>66</v>
      </c>
      <c r="L2965" s="1" t="s">
        <v>4385</v>
      </c>
      <c r="M2965" s="3">
        <v>46076</v>
      </c>
      <c r="N2965" s="1" t="s">
        <v>821</v>
      </c>
      <c r="O2965" s="1" t="s">
        <v>990</v>
      </c>
      <c r="P2965" s="1">
        <v>1</v>
      </c>
    </row>
    <row r="2966" spans="1:16" x14ac:dyDescent="0.25">
      <c r="A2966" s="3">
        <v>46071</v>
      </c>
      <c r="B2966" s="1">
        <v>165</v>
      </c>
      <c r="C2966" s="5">
        <v>20</v>
      </c>
      <c r="D2966" s="1" t="s">
        <v>1229</v>
      </c>
      <c r="E2966" s="1" t="s">
        <v>1230</v>
      </c>
      <c r="F2966" s="1" t="s">
        <v>955</v>
      </c>
      <c r="G2966" s="1" t="s">
        <v>990</v>
      </c>
      <c r="H2966" s="3">
        <v>46086</v>
      </c>
      <c r="I2966" s="1" t="s">
        <v>933</v>
      </c>
      <c r="J2966" s="1" t="s">
        <v>951</v>
      </c>
      <c r="K2966" s="1" t="s">
        <v>66</v>
      </c>
      <c r="L2966" s="1" t="s">
        <v>4386</v>
      </c>
      <c r="M2966" s="3">
        <v>46076</v>
      </c>
      <c r="N2966" s="1" t="s">
        <v>821</v>
      </c>
      <c r="O2966" s="1" t="s">
        <v>990</v>
      </c>
      <c r="P2966" s="1">
        <v>1</v>
      </c>
    </row>
    <row r="2967" spans="1:16" x14ac:dyDescent="0.25">
      <c r="A2967" s="3">
        <v>46071</v>
      </c>
      <c r="B2967" s="1">
        <v>168</v>
      </c>
      <c r="C2967" s="5">
        <v>1090</v>
      </c>
      <c r="D2967" s="1" t="s">
        <v>1229</v>
      </c>
      <c r="E2967" s="1" t="s">
        <v>1230</v>
      </c>
      <c r="F2967" s="1" t="s">
        <v>245</v>
      </c>
      <c r="G2967" s="1" t="s">
        <v>990</v>
      </c>
      <c r="H2967" s="3">
        <v>46086</v>
      </c>
      <c r="I2967" s="1" t="s">
        <v>933</v>
      </c>
      <c r="J2967" s="1" t="s">
        <v>66</v>
      </c>
      <c r="K2967" s="1" t="s">
        <v>340</v>
      </c>
      <c r="L2967" s="1" t="s">
        <v>4387</v>
      </c>
      <c r="M2967" s="3">
        <v>46076</v>
      </c>
      <c r="N2967" s="1" t="s">
        <v>57</v>
      </c>
      <c r="O2967" s="1" t="s">
        <v>990</v>
      </c>
      <c r="P2967" s="1">
        <v>1</v>
      </c>
    </row>
    <row r="2968" spans="1:16" x14ac:dyDescent="0.25">
      <c r="A2968" s="3">
        <v>46071</v>
      </c>
      <c r="B2968" s="1">
        <v>166</v>
      </c>
      <c r="C2968" s="5">
        <v>130</v>
      </c>
      <c r="D2968" s="1" t="s">
        <v>1229</v>
      </c>
      <c r="E2968" s="1" t="s">
        <v>1230</v>
      </c>
      <c r="F2968" s="1" t="s">
        <v>654</v>
      </c>
      <c r="G2968" s="1" t="s">
        <v>990</v>
      </c>
      <c r="H2968" s="3">
        <v>46086</v>
      </c>
      <c r="I2968" s="1" t="s">
        <v>933</v>
      </c>
      <c r="J2968" s="1" t="s">
        <v>66</v>
      </c>
      <c r="K2968" s="1" t="s">
        <v>1654</v>
      </c>
      <c r="L2968" s="1" t="s">
        <v>4385</v>
      </c>
      <c r="M2968" s="3">
        <v>46076</v>
      </c>
      <c r="N2968" s="1" t="s">
        <v>657</v>
      </c>
      <c r="O2968" s="1" t="s">
        <v>990</v>
      </c>
      <c r="P2968" s="1">
        <v>1</v>
      </c>
    </row>
    <row r="2969" spans="1:16" x14ac:dyDescent="0.25">
      <c r="A2969" s="3">
        <v>46071</v>
      </c>
      <c r="B2969" s="1">
        <v>167</v>
      </c>
      <c r="C2969" s="5">
        <v>780</v>
      </c>
      <c r="D2969" s="1" t="s">
        <v>1229</v>
      </c>
      <c r="E2969" s="1" t="s">
        <v>1230</v>
      </c>
      <c r="F2969" s="1" t="s">
        <v>245</v>
      </c>
      <c r="G2969" s="1" t="s">
        <v>990</v>
      </c>
      <c r="H2969" s="3">
        <v>46086</v>
      </c>
      <c r="I2969" s="1" t="s">
        <v>1100</v>
      </c>
      <c r="J2969" s="1" t="s">
        <v>66</v>
      </c>
      <c r="K2969" s="1" t="s">
        <v>340</v>
      </c>
      <c r="L2969" s="1" t="s">
        <v>4388</v>
      </c>
      <c r="M2969" s="3">
        <v>46076</v>
      </c>
      <c r="N2969" s="1" t="s">
        <v>57</v>
      </c>
      <c r="O2969" s="1" t="s">
        <v>990</v>
      </c>
      <c r="P2969" s="1">
        <v>1</v>
      </c>
    </row>
    <row r="2970" spans="1:16" x14ac:dyDescent="0.25">
      <c r="A2970" s="3">
        <v>46071</v>
      </c>
      <c r="B2970" s="1">
        <v>159</v>
      </c>
      <c r="C2970" s="5">
        <v>40000</v>
      </c>
      <c r="D2970" s="1" t="s">
        <v>1511</v>
      </c>
      <c r="E2970" s="1" t="s">
        <v>4389</v>
      </c>
      <c r="F2970" s="1" t="s">
        <v>955</v>
      </c>
      <c r="G2970" s="1" t="s">
        <v>20</v>
      </c>
      <c r="H2970" s="3">
        <v>46097</v>
      </c>
      <c r="I2970" s="1" t="s">
        <v>933</v>
      </c>
      <c r="J2970" s="1" t="s">
        <v>951</v>
      </c>
      <c r="K2970" s="1" t="s">
        <v>20</v>
      </c>
      <c r="L2970" s="1" t="s">
        <v>4390</v>
      </c>
      <c r="M2970" s="3">
        <v>46076</v>
      </c>
      <c r="N2970" s="1" t="s">
        <v>821</v>
      </c>
      <c r="O2970" s="1" t="s">
        <v>936</v>
      </c>
      <c r="P2970" s="1">
        <v>1</v>
      </c>
    </row>
    <row r="2971" spans="1:16" x14ac:dyDescent="0.25">
      <c r="A2971" s="3">
        <v>46071</v>
      </c>
      <c r="B2971" s="4">
        <v>154959</v>
      </c>
      <c r="C2971" s="5">
        <v>46.2</v>
      </c>
      <c r="D2971" s="1" t="s">
        <v>1492</v>
      </c>
      <c r="E2971" s="1" t="s">
        <v>1493</v>
      </c>
      <c r="F2971" s="1" t="s">
        <v>280</v>
      </c>
      <c r="G2971" s="1" t="s">
        <v>940</v>
      </c>
      <c r="H2971" s="3">
        <v>46101</v>
      </c>
      <c r="I2971" s="1" t="s">
        <v>933</v>
      </c>
      <c r="J2971" s="1" t="s">
        <v>66</v>
      </c>
      <c r="K2971" s="1" t="s">
        <v>340</v>
      </c>
      <c r="L2971" s="1" t="s">
        <v>4717</v>
      </c>
      <c r="M2971" s="1"/>
      <c r="N2971" s="1" t="s">
        <v>264</v>
      </c>
      <c r="O2971" s="1" t="s">
        <v>936</v>
      </c>
      <c r="P2971" s="1">
        <v>0</v>
      </c>
    </row>
    <row r="2972" spans="1:16" x14ac:dyDescent="0.25">
      <c r="A2972" s="3">
        <v>46072</v>
      </c>
      <c r="B2972" s="4">
        <v>1647</v>
      </c>
      <c r="C2972" s="5">
        <v>353.18</v>
      </c>
      <c r="D2972" s="1" t="s">
        <v>1901</v>
      </c>
      <c r="E2972" s="1" t="s">
        <v>1902</v>
      </c>
      <c r="F2972" s="1" t="s">
        <v>949</v>
      </c>
      <c r="G2972" s="1" t="s">
        <v>940</v>
      </c>
      <c r="H2972" s="3">
        <v>46100</v>
      </c>
      <c r="I2972" s="1" t="s">
        <v>933</v>
      </c>
      <c r="J2972" s="1" t="s">
        <v>951</v>
      </c>
      <c r="K2972" s="1" t="s">
        <v>659</v>
      </c>
      <c r="L2972" s="1" t="s">
        <v>4392</v>
      </c>
      <c r="M2972" s="3">
        <v>46076</v>
      </c>
      <c r="N2972" s="1" t="s">
        <v>57</v>
      </c>
      <c r="O2972" s="1" t="s">
        <v>936</v>
      </c>
      <c r="P2972" s="1">
        <v>1</v>
      </c>
    </row>
    <row r="2973" spans="1:16" x14ac:dyDescent="0.25">
      <c r="A2973" s="3">
        <v>46072</v>
      </c>
      <c r="B2973" s="4">
        <v>7628</v>
      </c>
      <c r="C2973" s="5">
        <v>3081.19</v>
      </c>
      <c r="D2973" s="1" t="s">
        <v>2324</v>
      </c>
      <c r="E2973" s="1" t="s">
        <v>2325</v>
      </c>
      <c r="F2973" s="1" t="s">
        <v>647</v>
      </c>
      <c r="G2973" s="1" t="s">
        <v>1667</v>
      </c>
      <c r="H2973" s="3">
        <v>46100</v>
      </c>
      <c r="I2973" s="1" t="s">
        <v>1100</v>
      </c>
      <c r="J2973" s="1" t="s">
        <v>66</v>
      </c>
      <c r="K2973" s="1" t="s">
        <v>340</v>
      </c>
      <c r="L2973" s="1" t="s">
        <v>4393</v>
      </c>
      <c r="M2973" s="3">
        <v>46076</v>
      </c>
      <c r="N2973" s="1" t="s">
        <v>57</v>
      </c>
      <c r="O2973" s="1" t="s">
        <v>936</v>
      </c>
      <c r="P2973" s="1" t="s">
        <v>937</v>
      </c>
    </row>
    <row r="2974" spans="1:16" x14ac:dyDescent="0.25">
      <c r="A2974" s="3">
        <v>46072</v>
      </c>
      <c r="B2974" s="1">
        <v>166</v>
      </c>
      <c r="C2974" s="5">
        <v>1450</v>
      </c>
      <c r="D2974" s="1" t="s">
        <v>1370</v>
      </c>
      <c r="E2974" s="1" t="s">
        <v>1371</v>
      </c>
      <c r="F2974" s="1" t="s">
        <v>955</v>
      </c>
      <c r="G2974" s="1" t="s">
        <v>940</v>
      </c>
      <c r="H2974" s="3">
        <v>46094</v>
      </c>
      <c r="I2974" s="1" t="s">
        <v>4394</v>
      </c>
      <c r="J2974" s="1" t="s">
        <v>951</v>
      </c>
      <c r="K2974" s="1" t="s">
        <v>910</v>
      </c>
      <c r="L2974" s="1" t="s">
        <v>4395</v>
      </c>
      <c r="M2974" s="3">
        <v>46076</v>
      </c>
      <c r="N2974" s="1" t="s">
        <v>821</v>
      </c>
      <c r="O2974" s="1" t="s">
        <v>936</v>
      </c>
      <c r="P2974" s="1" t="s">
        <v>937</v>
      </c>
    </row>
    <row r="2975" spans="1:16" x14ac:dyDescent="0.25">
      <c r="A2975" s="3">
        <v>46072</v>
      </c>
      <c r="B2975" s="4">
        <v>10327</v>
      </c>
      <c r="C2975" s="5">
        <v>3290.5</v>
      </c>
      <c r="D2975" s="1" t="s">
        <v>973</v>
      </c>
      <c r="E2975" s="1" t="s">
        <v>1068</v>
      </c>
      <c r="F2975" s="1" t="s">
        <v>1814</v>
      </c>
      <c r="G2975" s="1" t="s">
        <v>998</v>
      </c>
      <c r="H2975" s="3">
        <v>46087</v>
      </c>
      <c r="I2975" s="1" t="s">
        <v>933</v>
      </c>
      <c r="J2975" s="1" t="s">
        <v>66</v>
      </c>
      <c r="K2975" s="1" t="s">
        <v>1814</v>
      </c>
      <c r="L2975" s="1" t="s">
        <v>4396</v>
      </c>
      <c r="M2975" s="3">
        <v>46076</v>
      </c>
      <c r="N2975" s="1" t="s">
        <v>1814</v>
      </c>
      <c r="O2975" s="1" t="s">
        <v>998</v>
      </c>
      <c r="P2975" s="1">
        <v>1</v>
      </c>
    </row>
    <row r="2976" spans="1:16" x14ac:dyDescent="0.25">
      <c r="A2976" s="3">
        <v>46072</v>
      </c>
      <c r="B2976" s="4">
        <v>7855947</v>
      </c>
      <c r="C2976" s="5">
        <v>105</v>
      </c>
      <c r="D2976" s="1" t="s">
        <v>4120</v>
      </c>
      <c r="E2976" s="1" t="s">
        <v>4121</v>
      </c>
      <c r="F2976" s="1" t="s">
        <v>736</v>
      </c>
      <c r="G2976" s="1" t="s">
        <v>950</v>
      </c>
      <c r="H2976" s="3">
        <v>46093</v>
      </c>
      <c r="I2976" s="1" t="s">
        <v>933</v>
      </c>
      <c r="J2976" s="1" t="s">
        <v>66</v>
      </c>
      <c r="K2976" s="1" t="s">
        <v>308</v>
      </c>
      <c r="L2976" s="1" t="s">
        <v>4397</v>
      </c>
      <c r="M2976" s="3">
        <v>46076</v>
      </c>
      <c r="N2976" s="1" t="s">
        <v>57</v>
      </c>
      <c r="O2976" s="1" t="s">
        <v>936</v>
      </c>
      <c r="P2976" s="1">
        <v>1</v>
      </c>
    </row>
    <row r="2977" spans="1:16" x14ac:dyDescent="0.25">
      <c r="A2977" s="3">
        <v>46072</v>
      </c>
      <c r="B2977" s="4">
        <v>96397</v>
      </c>
      <c r="C2977" s="5">
        <v>57000</v>
      </c>
      <c r="D2977" s="1" t="s">
        <v>1094</v>
      </c>
      <c r="E2977" s="1" t="s">
        <v>1095</v>
      </c>
      <c r="F2977" s="1" t="s">
        <v>818</v>
      </c>
      <c r="G2977" s="1" t="s">
        <v>998</v>
      </c>
      <c r="H2977" s="3">
        <v>46093</v>
      </c>
      <c r="I2977" s="1" t="s">
        <v>933</v>
      </c>
      <c r="J2977" s="1" t="s">
        <v>951</v>
      </c>
      <c r="K2977" s="1" t="s">
        <v>66</v>
      </c>
      <c r="L2977" s="4">
        <v>10000</v>
      </c>
      <c r="M2977" s="3">
        <v>46076</v>
      </c>
      <c r="N2977" s="1"/>
      <c r="O2977" s="1" t="s">
        <v>998</v>
      </c>
      <c r="P2977" s="1">
        <v>1</v>
      </c>
    </row>
    <row r="2978" spans="1:16" x14ac:dyDescent="0.25">
      <c r="A2978" s="3">
        <v>46072</v>
      </c>
      <c r="B2978" s="4">
        <v>1643</v>
      </c>
      <c r="C2978" s="5">
        <v>615.41</v>
      </c>
      <c r="D2978" s="1" t="s">
        <v>1901</v>
      </c>
      <c r="E2978" s="1" t="s">
        <v>1902</v>
      </c>
      <c r="F2978" s="1" t="s">
        <v>955</v>
      </c>
      <c r="G2978" s="1" t="s">
        <v>20</v>
      </c>
      <c r="H2978" s="3">
        <v>46100</v>
      </c>
      <c r="I2978" s="1" t="s">
        <v>933</v>
      </c>
      <c r="J2978" s="1" t="s">
        <v>951</v>
      </c>
      <c r="K2978" s="1" t="s">
        <v>20</v>
      </c>
      <c r="L2978" s="1" t="s">
        <v>4398</v>
      </c>
      <c r="M2978" s="3">
        <v>46076</v>
      </c>
      <c r="N2978" s="1" t="s">
        <v>821</v>
      </c>
      <c r="O2978" s="1" t="s">
        <v>936</v>
      </c>
      <c r="P2978" s="1">
        <v>1</v>
      </c>
    </row>
    <row r="2979" spans="1:16" x14ac:dyDescent="0.25">
      <c r="A2979" s="3">
        <v>46072</v>
      </c>
      <c r="B2979" s="4">
        <v>1645</v>
      </c>
      <c r="C2979" s="5">
        <v>2766.38</v>
      </c>
      <c r="D2979" s="1" t="s">
        <v>1901</v>
      </c>
      <c r="E2979" s="1" t="s">
        <v>1902</v>
      </c>
      <c r="F2979" s="1" t="s">
        <v>955</v>
      </c>
      <c r="G2979" s="1" t="s">
        <v>20</v>
      </c>
      <c r="H2979" s="3">
        <v>46100</v>
      </c>
      <c r="I2979" s="1" t="s">
        <v>933</v>
      </c>
      <c r="J2979" s="1" t="s">
        <v>951</v>
      </c>
      <c r="K2979" s="1" t="s">
        <v>20</v>
      </c>
      <c r="L2979" s="1" t="s">
        <v>4399</v>
      </c>
      <c r="M2979" s="3">
        <v>46076</v>
      </c>
      <c r="N2979" s="1" t="s">
        <v>821</v>
      </c>
      <c r="O2979" s="1" t="s">
        <v>936</v>
      </c>
      <c r="P2979" s="1">
        <v>1</v>
      </c>
    </row>
    <row r="2980" spans="1:16" x14ac:dyDescent="0.25">
      <c r="A2980" s="3">
        <v>46072</v>
      </c>
      <c r="B2980" s="4">
        <v>3463</v>
      </c>
      <c r="C2980" s="5">
        <v>550</v>
      </c>
      <c r="D2980" s="1" t="s">
        <v>1179</v>
      </c>
      <c r="E2980" s="1" t="s">
        <v>1180</v>
      </c>
      <c r="F2980" s="1" t="s">
        <v>201</v>
      </c>
      <c r="G2980" s="1" t="s">
        <v>1667</v>
      </c>
      <c r="H2980" s="3">
        <v>46092</v>
      </c>
      <c r="I2980" s="1" t="s">
        <v>1100</v>
      </c>
      <c r="J2980" s="1" t="s">
        <v>66</v>
      </c>
      <c r="K2980" s="1" t="s">
        <v>308</v>
      </c>
      <c r="L2980" s="1" t="s">
        <v>4402</v>
      </c>
      <c r="M2980" s="3">
        <v>46076</v>
      </c>
      <c r="N2980" s="1" t="s">
        <v>57</v>
      </c>
      <c r="O2980" s="1" t="s">
        <v>936</v>
      </c>
      <c r="P2980" s="1">
        <v>1</v>
      </c>
    </row>
    <row r="2981" spans="1:16" x14ac:dyDescent="0.25">
      <c r="A2981" s="3">
        <v>46072</v>
      </c>
      <c r="B2981" s="4">
        <v>3870</v>
      </c>
      <c r="C2981" s="5">
        <v>4181</v>
      </c>
      <c r="D2981" s="1" t="s">
        <v>1179</v>
      </c>
      <c r="E2981" s="1" t="s">
        <v>1180</v>
      </c>
      <c r="F2981" s="1" t="s">
        <v>201</v>
      </c>
      <c r="G2981" s="1" t="s">
        <v>1667</v>
      </c>
      <c r="H2981" s="3">
        <v>46092</v>
      </c>
      <c r="I2981" s="1" t="s">
        <v>1100</v>
      </c>
      <c r="J2981" s="1" t="s">
        <v>66</v>
      </c>
      <c r="K2981" s="1" t="s">
        <v>308</v>
      </c>
      <c r="L2981" s="1" t="s">
        <v>4403</v>
      </c>
      <c r="M2981" s="3">
        <v>46076</v>
      </c>
      <c r="N2981" s="1" t="s">
        <v>57</v>
      </c>
      <c r="O2981" s="1" t="s">
        <v>936</v>
      </c>
      <c r="P2981" s="1">
        <v>1</v>
      </c>
    </row>
    <row r="2982" spans="1:16" x14ac:dyDescent="0.25">
      <c r="A2982" s="3">
        <v>46072</v>
      </c>
      <c r="B2982" s="4">
        <v>3464</v>
      </c>
      <c r="C2982" s="5">
        <v>600</v>
      </c>
      <c r="D2982" s="1" t="s">
        <v>1179</v>
      </c>
      <c r="E2982" s="1" t="s">
        <v>1180</v>
      </c>
      <c r="F2982" s="1" t="s">
        <v>307</v>
      </c>
      <c r="G2982" s="1" t="s">
        <v>940</v>
      </c>
      <c r="H2982" s="3">
        <v>46092</v>
      </c>
      <c r="I2982" s="1" t="s">
        <v>933</v>
      </c>
      <c r="J2982" s="1" t="s">
        <v>66</v>
      </c>
      <c r="K2982" s="1" t="s">
        <v>308</v>
      </c>
      <c r="L2982" s="1" t="s">
        <v>4404</v>
      </c>
      <c r="M2982" s="3">
        <v>46076</v>
      </c>
      <c r="N2982" s="1" t="s">
        <v>57</v>
      </c>
      <c r="O2982" s="1" t="s">
        <v>936</v>
      </c>
      <c r="P2982" s="1">
        <v>1</v>
      </c>
    </row>
    <row r="2983" spans="1:16" x14ac:dyDescent="0.25">
      <c r="A2983" s="3">
        <v>46072</v>
      </c>
      <c r="B2983" s="4">
        <v>3869</v>
      </c>
      <c r="C2983" s="5">
        <v>750</v>
      </c>
      <c r="D2983" s="1" t="s">
        <v>1179</v>
      </c>
      <c r="E2983" s="1" t="s">
        <v>1180</v>
      </c>
      <c r="F2983" s="1" t="s">
        <v>307</v>
      </c>
      <c r="G2983" s="1" t="s">
        <v>940</v>
      </c>
      <c r="H2983" s="3">
        <v>46092</v>
      </c>
      <c r="I2983" s="1" t="s">
        <v>933</v>
      </c>
      <c r="J2983" s="1" t="s">
        <v>66</v>
      </c>
      <c r="K2983" s="1" t="s">
        <v>308</v>
      </c>
      <c r="L2983" s="1" t="s">
        <v>4405</v>
      </c>
      <c r="M2983" s="3">
        <v>46076</v>
      </c>
      <c r="N2983" s="1" t="s">
        <v>57</v>
      </c>
      <c r="O2983" s="1" t="s">
        <v>936</v>
      </c>
      <c r="P2983" s="1">
        <v>1</v>
      </c>
    </row>
    <row r="2984" spans="1:16" x14ac:dyDescent="0.25">
      <c r="A2984" s="3">
        <v>46072</v>
      </c>
      <c r="B2984" s="4">
        <v>3867</v>
      </c>
      <c r="C2984" s="5">
        <v>1500</v>
      </c>
      <c r="D2984" s="1" t="s">
        <v>1179</v>
      </c>
      <c r="E2984" s="1" t="s">
        <v>1180</v>
      </c>
      <c r="F2984" s="1" t="s">
        <v>736</v>
      </c>
      <c r="G2984" s="1" t="s">
        <v>1667</v>
      </c>
      <c r="H2984" s="3">
        <v>46092</v>
      </c>
      <c r="I2984" s="1" t="s">
        <v>1100</v>
      </c>
      <c r="J2984" s="1" t="s">
        <v>66</v>
      </c>
      <c r="K2984" s="1" t="s">
        <v>308</v>
      </c>
      <c r="L2984" s="1" t="s">
        <v>4406</v>
      </c>
      <c r="M2984" s="3">
        <v>46076</v>
      </c>
      <c r="N2984" s="1" t="s">
        <v>57</v>
      </c>
      <c r="O2984" s="1" t="s">
        <v>936</v>
      </c>
      <c r="P2984" s="1">
        <v>1</v>
      </c>
    </row>
    <row r="2985" spans="1:16" x14ac:dyDescent="0.25">
      <c r="A2985" s="3">
        <v>46072</v>
      </c>
      <c r="B2985" s="4">
        <v>3868</v>
      </c>
      <c r="C2985" s="5">
        <v>2736.21</v>
      </c>
      <c r="D2985" s="1" t="s">
        <v>1179</v>
      </c>
      <c r="E2985" s="1" t="s">
        <v>1180</v>
      </c>
      <c r="F2985" s="1" t="s">
        <v>245</v>
      </c>
      <c r="G2985" s="1" t="s">
        <v>940</v>
      </c>
      <c r="H2985" s="3">
        <v>46092</v>
      </c>
      <c r="I2985" s="1" t="s">
        <v>1100</v>
      </c>
      <c r="J2985" s="1" t="s">
        <v>66</v>
      </c>
      <c r="K2985" s="1" t="s">
        <v>340</v>
      </c>
      <c r="L2985" s="1" t="s">
        <v>4407</v>
      </c>
      <c r="M2985" s="3">
        <v>46076</v>
      </c>
      <c r="N2985" s="1" t="s">
        <v>57</v>
      </c>
      <c r="O2985" s="1" t="s">
        <v>936</v>
      </c>
      <c r="P2985" s="1">
        <v>1</v>
      </c>
    </row>
    <row r="2986" spans="1:16" x14ac:dyDescent="0.25">
      <c r="A2986" s="3">
        <v>46072</v>
      </c>
      <c r="B2986" s="4">
        <v>3465</v>
      </c>
      <c r="C2986" s="5">
        <v>750</v>
      </c>
      <c r="D2986" s="1" t="s">
        <v>1179</v>
      </c>
      <c r="E2986" s="1" t="s">
        <v>1180</v>
      </c>
      <c r="F2986" s="1" t="s">
        <v>245</v>
      </c>
      <c r="G2986" s="1" t="s">
        <v>940</v>
      </c>
      <c r="H2986" s="3">
        <v>46092</v>
      </c>
      <c r="I2986" s="1" t="s">
        <v>1100</v>
      </c>
      <c r="J2986" s="1" t="s">
        <v>66</v>
      </c>
      <c r="K2986" s="1" t="s">
        <v>340</v>
      </c>
      <c r="L2986" s="1" t="s">
        <v>4408</v>
      </c>
      <c r="M2986" s="3">
        <v>46076</v>
      </c>
      <c r="N2986" s="1" t="s">
        <v>57</v>
      </c>
      <c r="O2986" s="1" t="s">
        <v>936</v>
      </c>
      <c r="P2986" s="1">
        <v>1</v>
      </c>
    </row>
    <row r="2987" spans="1:16" x14ac:dyDescent="0.25">
      <c r="A2987" s="3">
        <v>46072</v>
      </c>
      <c r="B2987" s="4">
        <v>1130</v>
      </c>
      <c r="C2987" s="5">
        <v>4100</v>
      </c>
      <c r="D2987" s="1" t="s">
        <v>1294</v>
      </c>
      <c r="E2987" s="1" t="s">
        <v>1295</v>
      </c>
      <c r="F2987" s="1" t="s">
        <v>66</v>
      </c>
      <c r="G2987" s="1" t="s">
        <v>950</v>
      </c>
      <c r="H2987" s="3">
        <v>46086</v>
      </c>
      <c r="I2987" s="1" t="s">
        <v>933</v>
      </c>
      <c r="J2987" s="1" t="s">
        <v>66</v>
      </c>
      <c r="K2987" s="1" t="s">
        <v>66</v>
      </c>
      <c r="L2987" s="1" t="s">
        <v>4409</v>
      </c>
      <c r="M2987" s="3">
        <v>46076</v>
      </c>
      <c r="N2987" s="1" t="s">
        <v>821</v>
      </c>
      <c r="O2987" s="1" t="s">
        <v>936</v>
      </c>
      <c r="P2987" s="1">
        <v>1</v>
      </c>
    </row>
    <row r="2988" spans="1:16" x14ac:dyDescent="0.25">
      <c r="A2988" s="3">
        <v>46072</v>
      </c>
      <c r="B2988" s="1">
        <v>527</v>
      </c>
      <c r="C2988" s="5">
        <v>9880</v>
      </c>
      <c r="D2988" s="1" t="s">
        <v>1953</v>
      </c>
      <c r="E2988" s="1" t="s">
        <v>3326</v>
      </c>
      <c r="F2988" s="1" t="s">
        <v>66</v>
      </c>
      <c r="G2988" s="1" t="s">
        <v>990</v>
      </c>
      <c r="H2988" s="3">
        <v>46087</v>
      </c>
      <c r="I2988" s="1" t="s">
        <v>933</v>
      </c>
      <c r="J2988" s="1" t="s">
        <v>66</v>
      </c>
      <c r="K2988" s="1" t="s">
        <v>340</v>
      </c>
      <c r="L2988" s="1" t="s">
        <v>4410</v>
      </c>
      <c r="M2988" s="3">
        <v>46076</v>
      </c>
      <c r="N2988" s="1" t="s">
        <v>821</v>
      </c>
      <c r="O2988" s="1" t="s">
        <v>936</v>
      </c>
      <c r="P2988" s="1">
        <v>1</v>
      </c>
    </row>
    <row r="2989" spans="1:16" x14ac:dyDescent="0.25">
      <c r="A2989" s="3">
        <v>46072</v>
      </c>
      <c r="B2989" s="1">
        <v>526</v>
      </c>
      <c r="C2989" s="5">
        <v>4110</v>
      </c>
      <c r="D2989" s="1" t="s">
        <v>1953</v>
      </c>
      <c r="E2989" s="1" t="s">
        <v>3326</v>
      </c>
      <c r="F2989" s="1" t="s">
        <v>66</v>
      </c>
      <c r="G2989" s="1" t="s">
        <v>990</v>
      </c>
      <c r="H2989" s="3">
        <v>46087</v>
      </c>
      <c r="I2989" s="1" t="s">
        <v>933</v>
      </c>
      <c r="J2989" s="1" t="s">
        <v>66</v>
      </c>
      <c r="K2989" s="1" t="s">
        <v>340</v>
      </c>
      <c r="L2989" s="1" t="s">
        <v>4410</v>
      </c>
      <c r="M2989" s="3">
        <v>46076</v>
      </c>
      <c r="N2989" s="1" t="s">
        <v>821</v>
      </c>
      <c r="O2989" s="1" t="s">
        <v>936</v>
      </c>
      <c r="P2989" s="1">
        <v>1</v>
      </c>
    </row>
    <row r="2990" spans="1:16" x14ac:dyDescent="0.25">
      <c r="A2990" s="3">
        <v>46072</v>
      </c>
      <c r="B2990" s="1">
        <v>525</v>
      </c>
      <c r="C2990" s="5">
        <v>3275</v>
      </c>
      <c r="D2990" s="1" t="s">
        <v>1953</v>
      </c>
      <c r="E2990" s="1" t="s">
        <v>3326</v>
      </c>
      <c r="F2990" s="1" t="s">
        <v>66</v>
      </c>
      <c r="G2990" s="1" t="s">
        <v>990</v>
      </c>
      <c r="H2990" s="3">
        <v>46087</v>
      </c>
      <c r="I2990" s="1" t="s">
        <v>933</v>
      </c>
      <c r="J2990" s="1" t="s">
        <v>66</v>
      </c>
      <c r="K2990" s="1" t="s">
        <v>340</v>
      </c>
      <c r="L2990" s="1" t="s">
        <v>4410</v>
      </c>
      <c r="M2990" s="3">
        <v>46076</v>
      </c>
      <c r="N2990" s="1" t="s">
        <v>821</v>
      </c>
      <c r="O2990" s="1" t="s">
        <v>936</v>
      </c>
      <c r="P2990" s="1">
        <v>1</v>
      </c>
    </row>
    <row r="2991" spans="1:16" x14ac:dyDescent="0.25">
      <c r="A2991" s="3">
        <v>46072</v>
      </c>
      <c r="B2991" s="1">
        <v>52</v>
      </c>
      <c r="C2991" s="5">
        <v>6000</v>
      </c>
      <c r="D2991" s="1" t="s">
        <v>4411</v>
      </c>
      <c r="E2991" s="1" t="s">
        <v>4412</v>
      </c>
      <c r="F2991" s="1" t="s">
        <v>955</v>
      </c>
      <c r="G2991" s="1" t="s">
        <v>20</v>
      </c>
      <c r="H2991" s="3">
        <v>46086</v>
      </c>
      <c r="I2991" s="1" t="s">
        <v>933</v>
      </c>
      <c r="J2991" s="1" t="s">
        <v>951</v>
      </c>
      <c r="K2991" s="1" t="s">
        <v>20</v>
      </c>
      <c r="L2991" s="1" t="s">
        <v>4413</v>
      </c>
      <c r="M2991" s="3">
        <v>46076</v>
      </c>
      <c r="N2991" s="1" t="s">
        <v>821</v>
      </c>
      <c r="O2991" s="1" t="s">
        <v>937</v>
      </c>
      <c r="P2991" s="1">
        <v>1</v>
      </c>
    </row>
    <row r="2992" spans="1:16" x14ac:dyDescent="0.25">
      <c r="A2992" s="3">
        <v>46072</v>
      </c>
      <c r="B2992" s="1">
        <v>385</v>
      </c>
      <c r="C2992" s="5">
        <v>2231.19</v>
      </c>
      <c r="D2992" s="1" t="s">
        <v>1810</v>
      </c>
      <c r="E2992" s="1" t="s">
        <v>1811</v>
      </c>
      <c r="F2992" s="1" t="s">
        <v>955</v>
      </c>
      <c r="G2992" s="1" t="s">
        <v>20</v>
      </c>
      <c r="H2992" s="3">
        <v>46089</v>
      </c>
      <c r="I2992" s="1" t="s">
        <v>933</v>
      </c>
      <c r="J2992" s="1" t="s">
        <v>951</v>
      </c>
      <c r="K2992" s="1" t="s">
        <v>20</v>
      </c>
      <c r="L2992" s="1" t="s">
        <v>4414</v>
      </c>
      <c r="M2992" s="3">
        <v>46076</v>
      </c>
      <c r="N2992" s="1" t="s">
        <v>821</v>
      </c>
      <c r="O2992" s="1" t="s">
        <v>936</v>
      </c>
      <c r="P2992" s="1">
        <v>1</v>
      </c>
    </row>
    <row r="2993" spans="1:16" x14ac:dyDescent="0.25">
      <c r="A2993" s="3">
        <v>46072</v>
      </c>
      <c r="B2993" s="4">
        <v>55179</v>
      </c>
      <c r="C2993" s="5">
        <v>557.16999999999996</v>
      </c>
      <c r="D2993" s="1" t="s">
        <v>4328</v>
      </c>
      <c r="E2993" s="1" t="s">
        <v>4329</v>
      </c>
      <c r="F2993" s="1" t="s">
        <v>949</v>
      </c>
      <c r="G2993" s="1" t="s">
        <v>998</v>
      </c>
      <c r="H2993" s="3">
        <v>46085</v>
      </c>
      <c r="I2993" s="1" t="s">
        <v>933</v>
      </c>
      <c r="J2993" s="1" t="s">
        <v>951</v>
      </c>
      <c r="K2993" s="1" t="s">
        <v>340</v>
      </c>
      <c r="L2993" s="1" t="s">
        <v>4415</v>
      </c>
      <c r="M2993" s="3">
        <v>46079</v>
      </c>
      <c r="N2993" s="1" t="s">
        <v>57</v>
      </c>
      <c r="O2993" s="1" t="s">
        <v>936</v>
      </c>
      <c r="P2993" s="1">
        <v>1</v>
      </c>
    </row>
    <row r="2994" spans="1:16" x14ac:dyDescent="0.25">
      <c r="A2994" s="3">
        <v>46072</v>
      </c>
      <c r="B2994" s="4">
        <v>55293</v>
      </c>
      <c r="C2994" s="5">
        <v>62.18</v>
      </c>
      <c r="D2994" s="1" t="s">
        <v>4328</v>
      </c>
      <c r="E2994" s="1" t="s">
        <v>4329</v>
      </c>
      <c r="F2994" s="1" t="s">
        <v>949</v>
      </c>
      <c r="G2994" s="1" t="s">
        <v>998</v>
      </c>
      <c r="H2994" s="3">
        <v>46085</v>
      </c>
      <c r="I2994" s="1" t="s">
        <v>933</v>
      </c>
      <c r="J2994" s="1" t="s">
        <v>951</v>
      </c>
      <c r="K2994" s="1" t="s">
        <v>340</v>
      </c>
      <c r="L2994" s="1" t="s">
        <v>4415</v>
      </c>
      <c r="M2994" s="3">
        <v>46079</v>
      </c>
      <c r="N2994" s="1" t="s">
        <v>57</v>
      </c>
      <c r="O2994" s="1" t="s">
        <v>936</v>
      </c>
      <c r="P2994" s="1">
        <v>1</v>
      </c>
    </row>
    <row r="2995" spans="1:16" x14ac:dyDescent="0.25">
      <c r="A2995" s="3">
        <v>46072</v>
      </c>
      <c r="B2995" s="4">
        <v>55179</v>
      </c>
      <c r="C2995" s="5">
        <v>33.25</v>
      </c>
      <c r="D2995" s="1" t="s">
        <v>4328</v>
      </c>
      <c r="E2995" s="1" t="s">
        <v>4329</v>
      </c>
      <c r="F2995" s="1" t="s">
        <v>949</v>
      </c>
      <c r="G2995" s="1" t="s">
        <v>998</v>
      </c>
      <c r="H2995" s="3">
        <v>46085</v>
      </c>
      <c r="I2995" s="1" t="s">
        <v>933</v>
      </c>
      <c r="J2995" s="1" t="s">
        <v>951</v>
      </c>
      <c r="K2995" s="1" t="s">
        <v>340</v>
      </c>
      <c r="L2995" s="1" t="s">
        <v>4415</v>
      </c>
      <c r="M2995" s="3">
        <v>46079</v>
      </c>
      <c r="N2995" s="1" t="s">
        <v>57</v>
      </c>
      <c r="O2995" s="1" t="s">
        <v>936</v>
      </c>
      <c r="P2995" s="1">
        <v>1</v>
      </c>
    </row>
    <row r="2996" spans="1:16" x14ac:dyDescent="0.25">
      <c r="A2996" s="3">
        <v>46072</v>
      </c>
      <c r="B2996" s="4">
        <v>14492</v>
      </c>
      <c r="C2996" s="5">
        <v>29</v>
      </c>
      <c r="D2996" s="1" t="s">
        <v>1064</v>
      </c>
      <c r="E2996" s="1" t="s">
        <v>1042</v>
      </c>
      <c r="F2996" s="1" t="s">
        <v>949</v>
      </c>
      <c r="G2996" s="1" t="s">
        <v>940</v>
      </c>
      <c r="H2996" s="1"/>
      <c r="I2996" s="1" t="s">
        <v>933</v>
      </c>
      <c r="J2996" s="1" t="s">
        <v>951</v>
      </c>
      <c r="K2996" s="1" t="s">
        <v>308</v>
      </c>
      <c r="L2996" s="1" t="s">
        <v>4416</v>
      </c>
      <c r="M2996" s="3">
        <v>46079</v>
      </c>
      <c r="N2996" s="1" t="s">
        <v>57</v>
      </c>
      <c r="O2996" s="1" t="s">
        <v>936</v>
      </c>
      <c r="P2996" s="1">
        <v>1</v>
      </c>
    </row>
    <row r="2997" spans="1:16" x14ac:dyDescent="0.25">
      <c r="A2997" s="3">
        <v>46072</v>
      </c>
      <c r="B2997" s="4">
        <v>5124</v>
      </c>
      <c r="C2997" s="5">
        <v>328</v>
      </c>
      <c r="D2997" s="1" t="s">
        <v>938</v>
      </c>
      <c r="E2997" s="1" t="s">
        <v>939</v>
      </c>
      <c r="F2997" s="1" t="s">
        <v>949</v>
      </c>
      <c r="G2997" s="1" t="s">
        <v>950</v>
      </c>
      <c r="H2997" s="1"/>
      <c r="I2997" s="1" t="s">
        <v>933</v>
      </c>
      <c r="J2997" s="1" t="s">
        <v>951</v>
      </c>
      <c r="K2997" s="1" t="s">
        <v>817</v>
      </c>
      <c r="L2997" s="1" t="s">
        <v>4417</v>
      </c>
      <c r="M2997" s="3">
        <v>46079</v>
      </c>
      <c r="N2997" s="1" t="s">
        <v>57</v>
      </c>
      <c r="O2997" s="1" t="s">
        <v>936</v>
      </c>
      <c r="P2997" s="1">
        <v>1</v>
      </c>
    </row>
    <row r="2998" spans="1:16" x14ac:dyDescent="0.25">
      <c r="A2998" s="3">
        <v>46072</v>
      </c>
      <c r="B2998" s="4">
        <v>5125</v>
      </c>
      <c r="C2998" s="5">
        <v>148</v>
      </c>
      <c r="D2998" s="1" t="s">
        <v>938</v>
      </c>
      <c r="E2998" s="1" t="s">
        <v>939</v>
      </c>
      <c r="F2998" s="1" t="s">
        <v>949</v>
      </c>
      <c r="G2998" s="1" t="s">
        <v>950</v>
      </c>
      <c r="H2998" s="1"/>
      <c r="I2998" s="1" t="s">
        <v>933</v>
      </c>
      <c r="J2998" s="1" t="s">
        <v>951</v>
      </c>
      <c r="K2998" s="1" t="s">
        <v>817</v>
      </c>
      <c r="L2998" s="1" t="s">
        <v>4418</v>
      </c>
      <c r="M2998" s="3">
        <v>46079</v>
      </c>
      <c r="N2998" s="1" t="s">
        <v>57</v>
      </c>
      <c r="O2998" s="1" t="s">
        <v>936</v>
      </c>
      <c r="P2998" s="1">
        <v>1</v>
      </c>
    </row>
    <row r="2999" spans="1:16" x14ac:dyDescent="0.25">
      <c r="A2999" s="3">
        <v>46072</v>
      </c>
      <c r="B2999" s="1">
        <v>97</v>
      </c>
      <c r="C2999" s="5">
        <v>208.59</v>
      </c>
      <c r="D2999" s="1" t="s">
        <v>3118</v>
      </c>
      <c r="E2999" s="1" t="s">
        <v>3119</v>
      </c>
      <c r="F2999" s="1" t="s">
        <v>553</v>
      </c>
      <c r="G2999" s="1" t="s">
        <v>1667</v>
      </c>
      <c r="H2999" s="1"/>
      <c r="I2999" s="1" t="s">
        <v>933</v>
      </c>
      <c r="J2999" s="1" t="s">
        <v>66</v>
      </c>
      <c r="K2999" s="1" t="s">
        <v>636</v>
      </c>
      <c r="L2999" s="1" t="s">
        <v>4419</v>
      </c>
      <c r="M2999" s="3">
        <v>46079</v>
      </c>
      <c r="N2999" s="1" t="s">
        <v>57</v>
      </c>
      <c r="O2999" s="1" t="s">
        <v>936</v>
      </c>
      <c r="P2999" s="1">
        <v>1</v>
      </c>
    </row>
    <row r="3000" spans="1:16" x14ac:dyDescent="0.25">
      <c r="A3000" s="3">
        <v>46072</v>
      </c>
      <c r="B3000" s="1">
        <v>56</v>
      </c>
      <c r="C3000" s="5">
        <v>1780</v>
      </c>
      <c r="D3000" s="1" t="s">
        <v>4420</v>
      </c>
      <c r="E3000" s="1" t="s">
        <v>4421</v>
      </c>
      <c r="F3000" s="1" t="s">
        <v>330</v>
      </c>
      <c r="G3000" s="1" t="s">
        <v>940</v>
      </c>
      <c r="H3000" s="1"/>
      <c r="I3000" s="1" t="s">
        <v>933</v>
      </c>
      <c r="J3000" s="1" t="s">
        <v>66</v>
      </c>
      <c r="K3000" s="1" t="s">
        <v>340</v>
      </c>
      <c r="L3000" s="1" t="s">
        <v>4422</v>
      </c>
      <c r="M3000" s="3">
        <v>46079</v>
      </c>
      <c r="N3000" s="1" t="s">
        <v>57</v>
      </c>
      <c r="O3000" s="1" t="s">
        <v>936</v>
      </c>
      <c r="P3000" s="1">
        <v>1</v>
      </c>
    </row>
    <row r="3001" spans="1:16" x14ac:dyDescent="0.25">
      <c r="A3001" s="3">
        <v>46072</v>
      </c>
      <c r="B3001" s="4">
        <v>3462</v>
      </c>
      <c r="C3001" s="5">
        <v>650</v>
      </c>
      <c r="D3001" s="1" t="s">
        <v>1179</v>
      </c>
      <c r="E3001" s="1" t="s">
        <v>1180</v>
      </c>
      <c r="F3001" s="1" t="s">
        <v>280</v>
      </c>
      <c r="G3001" s="1" t="s">
        <v>940</v>
      </c>
      <c r="H3001" s="3">
        <v>46092</v>
      </c>
      <c r="I3001" s="1" t="s">
        <v>933</v>
      </c>
      <c r="J3001" s="1" t="s">
        <v>66</v>
      </c>
      <c r="K3001" s="1" t="s">
        <v>340</v>
      </c>
      <c r="L3001" s="1" t="s">
        <v>4720</v>
      </c>
      <c r="M3001" s="3">
        <v>46076</v>
      </c>
      <c r="N3001" s="1" t="s">
        <v>264</v>
      </c>
      <c r="O3001" s="1" t="s">
        <v>936</v>
      </c>
      <c r="P3001" s="1">
        <v>1</v>
      </c>
    </row>
    <row r="3002" spans="1:16" x14ac:dyDescent="0.25">
      <c r="A3002" s="3">
        <v>46072</v>
      </c>
      <c r="B3002" s="4">
        <v>3866</v>
      </c>
      <c r="C3002" s="5">
        <v>622</v>
      </c>
      <c r="D3002" s="1" t="s">
        <v>1179</v>
      </c>
      <c r="E3002" s="1" t="s">
        <v>1180</v>
      </c>
      <c r="F3002" s="1" t="s">
        <v>280</v>
      </c>
      <c r="G3002" s="1" t="s">
        <v>940</v>
      </c>
      <c r="H3002" s="3">
        <v>46092</v>
      </c>
      <c r="I3002" s="1" t="s">
        <v>933</v>
      </c>
      <c r="J3002" s="1" t="s">
        <v>66</v>
      </c>
      <c r="K3002" s="1" t="s">
        <v>340</v>
      </c>
      <c r="L3002" s="1" t="s">
        <v>4724</v>
      </c>
      <c r="M3002" s="3">
        <v>46076</v>
      </c>
      <c r="N3002" s="1" t="s">
        <v>264</v>
      </c>
      <c r="O3002" s="1" t="s">
        <v>936</v>
      </c>
      <c r="P3002" s="1">
        <v>1</v>
      </c>
    </row>
    <row r="3003" spans="1:16" x14ac:dyDescent="0.25">
      <c r="A3003" s="3">
        <v>46073</v>
      </c>
      <c r="B3003" s="4">
        <v>23609</v>
      </c>
      <c r="C3003" s="5">
        <v>3820</v>
      </c>
      <c r="D3003" s="1" t="s">
        <v>1319</v>
      </c>
      <c r="E3003" s="1" t="s">
        <v>1320</v>
      </c>
      <c r="F3003" s="1" t="s">
        <v>955</v>
      </c>
      <c r="G3003" s="1" t="s">
        <v>20</v>
      </c>
      <c r="H3003" s="3">
        <v>46101</v>
      </c>
      <c r="I3003" s="1" t="s">
        <v>933</v>
      </c>
      <c r="J3003" s="1" t="s">
        <v>951</v>
      </c>
      <c r="K3003" s="1" t="s">
        <v>20</v>
      </c>
      <c r="L3003" s="1" t="s">
        <v>4423</v>
      </c>
      <c r="M3003" s="3">
        <v>46076</v>
      </c>
      <c r="N3003" s="1" t="s">
        <v>821</v>
      </c>
      <c r="O3003" s="1" t="s">
        <v>936</v>
      </c>
      <c r="P3003" s="1">
        <v>1</v>
      </c>
    </row>
    <row r="3004" spans="1:16" x14ac:dyDescent="0.25">
      <c r="A3004" s="3">
        <v>46073</v>
      </c>
      <c r="B3004" s="4">
        <v>23600</v>
      </c>
      <c r="C3004" s="5">
        <v>1255</v>
      </c>
      <c r="D3004" s="1" t="s">
        <v>1319</v>
      </c>
      <c r="E3004" s="1" t="s">
        <v>1320</v>
      </c>
      <c r="F3004" s="1" t="s">
        <v>955</v>
      </c>
      <c r="G3004" s="1" t="s">
        <v>20</v>
      </c>
      <c r="H3004" s="3">
        <v>46096</v>
      </c>
      <c r="I3004" s="1" t="s">
        <v>933</v>
      </c>
      <c r="J3004" s="1" t="s">
        <v>951</v>
      </c>
      <c r="K3004" s="1" t="s">
        <v>20</v>
      </c>
      <c r="L3004" s="1" t="s">
        <v>4424</v>
      </c>
      <c r="M3004" s="3">
        <v>46076</v>
      </c>
      <c r="N3004" s="1" t="s">
        <v>821</v>
      </c>
      <c r="O3004" s="1" t="s">
        <v>936</v>
      </c>
      <c r="P3004" s="1">
        <v>2</v>
      </c>
    </row>
    <row r="3005" spans="1:16" x14ac:dyDescent="0.25">
      <c r="A3005" s="3">
        <v>46073</v>
      </c>
      <c r="B3005" s="4">
        <v>10194</v>
      </c>
      <c r="C3005" s="5">
        <v>1821.8</v>
      </c>
      <c r="D3005" s="1" t="s">
        <v>1573</v>
      </c>
      <c r="E3005" s="1" t="s">
        <v>2130</v>
      </c>
      <c r="F3005" s="1" t="s">
        <v>949</v>
      </c>
      <c r="G3005" s="1" t="s">
        <v>940</v>
      </c>
      <c r="H3005" s="3">
        <v>46103</v>
      </c>
      <c r="I3005" s="1" t="s">
        <v>4394</v>
      </c>
      <c r="J3005" s="1" t="s">
        <v>951</v>
      </c>
      <c r="K3005" s="1" t="s">
        <v>910</v>
      </c>
      <c r="L3005" s="1" t="s">
        <v>4425</v>
      </c>
      <c r="M3005" s="3">
        <v>46076</v>
      </c>
      <c r="N3005" s="1" t="s">
        <v>821</v>
      </c>
      <c r="O3005" s="1" t="s">
        <v>936</v>
      </c>
      <c r="P3005" s="1">
        <v>1</v>
      </c>
    </row>
    <row r="3006" spans="1:16" x14ac:dyDescent="0.25">
      <c r="A3006" s="3">
        <v>46073</v>
      </c>
      <c r="B3006" s="4">
        <v>2998</v>
      </c>
      <c r="C3006" s="5">
        <v>950</v>
      </c>
      <c r="D3006" s="1" t="s">
        <v>3698</v>
      </c>
      <c r="E3006" s="1" t="s">
        <v>4426</v>
      </c>
      <c r="F3006" s="1" t="s">
        <v>304</v>
      </c>
      <c r="G3006" s="1" t="s">
        <v>1667</v>
      </c>
      <c r="H3006" s="3">
        <v>46083</v>
      </c>
      <c r="I3006" s="1" t="s">
        <v>1100</v>
      </c>
      <c r="J3006" s="1" t="s">
        <v>66</v>
      </c>
      <c r="K3006" s="1" t="s">
        <v>340</v>
      </c>
      <c r="L3006" s="1" t="s">
        <v>4427</v>
      </c>
      <c r="M3006" s="3">
        <v>46076</v>
      </c>
      <c r="N3006" s="1" t="s">
        <v>57</v>
      </c>
      <c r="O3006" s="1" t="s">
        <v>936</v>
      </c>
      <c r="P3006" s="1">
        <v>1</v>
      </c>
    </row>
    <row r="3007" spans="1:16" x14ac:dyDescent="0.25">
      <c r="A3007" s="3">
        <v>46073</v>
      </c>
      <c r="B3007" s="4">
        <v>2999</v>
      </c>
      <c r="C3007" s="5">
        <v>655</v>
      </c>
      <c r="D3007" s="1" t="s">
        <v>3698</v>
      </c>
      <c r="E3007" s="1" t="s">
        <v>4426</v>
      </c>
      <c r="F3007" s="1" t="s">
        <v>304</v>
      </c>
      <c r="G3007" s="1" t="s">
        <v>1667</v>
      </c>
      <c r="H3007" s="3">
        <v>46083</v>
      </c>
      <c r="I3007" s="1" t="s">
        <v>1100</v>
      </c>
      <c r="J3007" s="1" t="s">
        <v>66</v>
      </c>
      <c r="K3007" s="1" t="s">
        <v>340</v>
      </c>
      <c r="L3007" s="1" t="s">
        <v>4427</v>
      </c>
      <c r="M3007" s="3">
        <v>46076</v>
      </c>
      <c r="N3007" s="1" t="s">
        <v>57</v>
      </c>
      <c r="O3007" s="1" t="s">
        <v>936</v>
      </c>
      <c r="P3007" s="1">
        <v>1</v>
      </c>
    </row>
    <row r="3008" spans="1:16" x14ac:dyDescent="0.25">
      <c r="A3008" s="3">
        <v>46073</v>
      </c>
      <c r="B3008" s="1">
        <v>249</v>
      </c>
      <c r="C3008" s="5">
        <v>8294.41</v>
      </c>
      <c r="D3008" s="1" t="s">
        <v>3971</v>
      </c>
      <c r="E3008" s="1" t="s">
        <v>3972</v>
      </c>
      <c r="F3008" s="1" t="s">
        <v>773</v>
      </c>
      <c r="G3008" s="1" t="s">
        <v>1667</v>
      </c>
      <c r="H3008" s="3">
        <v>46104</v>
      </c>
      <c r="I3008" s="1" t="s">
        <v>1100</v>
      </c>
      <c r="J3008" s="1" t="s">
        <v>66</v>
      </c>
      <c r="K3008" s="1" t="s">
        <v>308</v>
      </c>
      <c r="L3008" s="1" t="s">
        <v>4428</v>
      </c>
      <c r="M3008" s="3">
        <v>46079</v>
      </c>
      <c r="N3008" s="1" t="s">
        <v>57</v>
      </c>
      <c r="O3008" s="1" t="s">
        <v>936</v>
      </c>
      <c r="P3008" s="1">
        <v>1</v>
      </c>
    </row>
    <row r="3009" spans="1:16" x14ac:dyDescent="0.25">
      <c r="A3009" s="3">
        <v>46073</v>
      </c>
      <c r="B3009" s="4">
        <v>1446</v>
      </c>
      <c r="C3009" s="5">
        <v>4383.6400000000003</v>
      </c>
      <c r="D3009" s="1" t="s">
        <v>3971</v>
      </c>
      <c r="E3009" s="1" t="s">
        <v>3972</v>
      </c>
      <c r="F3009" s="1" t="s">
        <v>773</v>
      </c>
      <c r="G3009" s="1" t="s">
        <v>1667</v>
      </c>
      <c r="H3009" s="3">
        <v>46104</v>
      </c>
      <c r="I3009" s="1" t="s">
        <v>1100</v>
      </c>
      <c r="J3009" s="1" t="s">
        <v>66</v>
      </c>
      <c r="K3009" s="1" t="s">
        <v>308</v>
      </c>
      <c r="L3009" s="1" t="s">
        <v>4429</v>
      </c>
      <c r="M3009" s="3">
        <v>46076</v>
      </c>
      <c r="N3009" s="1" t="s">
        <v>57</v>
      </c>
      <c r="O3009" s="1" t="s">
        <v>936</v>
      </c>
      <c r="P3009" s="1">
        <v>1</v>
      </c>
    </row>
    <row r="3010" spans="1:16" x14ac:dyDescent="0.25">
      <c r="A3010" s="3">
        <v>46073</v>
      </c>
      <c r="B3010" s="4">
        <v>5131</v>
      </c>
      <c r="C3010" s="5">
        <v>787.76</v>
      </c>
      <c r="D3010" s="1" t="s">
        <v>938</v>
      </c>
      <c r="E3010" s="1" t="s">
        <v>939</v>
      </c>
      <c r="F3010" s="1" t="s">
        <v>255</v>
      </c>
      <c r="G3010" s="1" t="s">
        <v>940</v>
      </c>
      <c r="H3010" s="3">
        <v>46102</v>
      </c>
      <c r="I3010" s="1" t="s">
        <v>933</v>
      </c>
      <c r="J3010" s="1" t="s">
        <v>66</v>
      </c>
      <c r="K3010" s="1" t="s">
        <v>340</v>
      </c>
      <c r="L3010" s="1" t="s">
        <v>4431</v>
      </c>
      <c r="M3010" s="3">
        <v>46076</v>
      </c>
      <c r="N3010" s="1" t="s">
        <v>57</v>
      </c>
      <c r="O3010" s="1" t="s">
        <v>936</v>
      </c>
      <c r="P3010" s="1">
        <v>1</v>
      </c>
    </row>
    <row r="3011" spans="1:16" x14ac:dyDescent="0.25">
      <c r="A3011" s="3">
        <v>46073</v>
      </c>
      <c r="B3011" s="4">
        <v>10347</v>
      </c>
      <c r="C3011" s="5">
        <v>5785.2</v>
      </c>
      <c r="D3011" s="1" t="s">
        <v>973</v>
      </c>
      <c r="E3011" s="1" t="s">
        <v>1068</v>
      </c>
      <c r="F3011" s="1" t="s">
        <v>1814</v>
      </c>
      <c r="G3011" s="1" t="s">
        <v>998</v>
      </c>
      <c r="H3011" s="3">
        <v>46088</v>
      </c>
      <c r="I3011" s="1" t="s">
        <v>933</v>
      </c>
      <c r="J3011" s="1" t="s">
        <v>66</v>
      </c>
      <c r="K3011" s="1" t="s">
        <v>66</v>
      </c>
      <c r="L3011" s="1" t="s">
        <v>1814</v>
      </c>
      <c r="M3011" s="3">
        <v>46076</v>
      </c>
      <c r="N3011" s="1" t="s">
        <v>1814</v>
      </c>
      <c r="O3011" s="1" t="s">
        <v>998</v>
      </c>
      <c r="P3011" s="1">
        <v>1</v>
      </c>
    </row>
    <row r="3012" spans="1:16" x14ac:dyDescent="0.25">
      <c r="A3012" s="3">
        <v>46073</v>
      </c>
      <c r="B3012" s="1">
        <v>210</v>
      </c>
      <c r="C3012" s="5">
        <v>2650</v>
      </c>
      <c r="D3012" s="1" t="s">
        <v>930</v>
      </c>
      <c r="E3012" s="1" t="s">
        <v>931</v>
      </c>
      <c r="F3012" s="1" t="s">
        <v>955</v>
      </c>
      <c r="G3012" s="1" t="s">
        <v>940</v>
      </c>
      <c r="H3012" s="3">
        <v>46086</v>
      </c>
      <c r="I3012" s="1" t="s">
        <v>933</v>
      </c>
      <c r="J3012" s="1" t="s">
        <v>951</v>
      </c>
      <c r="K3012" s="1" t="s">
        <v>20</v>
      </c>
      <c r="L3012" s="1" t="s">
        <v>4432</v>
      </c>
      <c r="M3012" s="3">
        <v>46076</v>
      </c>
      <c r="N3012" s="1" t="s">
        <v>821</v>
      </c>
      <c r="O3012" s="1" t="s">
        <v>936</v>
      </c>
      <c r="P3012" s="1" t="s">
        <v>937</v>
      </c>
    </row>
    <row r="3013" spans="1:16" x14ac:dyDescent="0.25">
      <c r="A3013" s="3">
        <v>46073</v>
      </c>
      <c r="B3013" s="4">
        <v>112768</v>
      </c>
      <c r="C3013" s="5">
        <v>27051.439999999999</v>
      </c>
      <c r="D3013" s="1" t="s">
        <v>4433</v>
      </c>
      <c r="E3013" s="1" t="s">
        <v>4434</v>
      </c>
      <c r="F3013" s="1" t="s">
        <v>955</v>
      </c>
      <c r="G3013" s="1" t="s">
        <v>940</v>
      </c>
      <c r="H3013" s="3">
        <v>46101</v>
      </c>
      <c r="I3013" s="1" t="s">
        <v>933</v>
      </c>
      <c r="J3013" s="1" t="s">
        <v>951</v>
      </c>
      <c r="K3013" s="1" t="s">
        <v>858</v>
      </c>
      <c r="L3013" s="1" t="s">
        <v>4435</v>
      </c>
      <c r="M3013" s="3">
        <v>46079</v>
      </c>
      <c r="N3013" s="1" t="s">
        <v>821</v>
      </c>
      <c r="O3013" s="1" t="s">
        <v>937</v>
      </c>
      <c r="P3013" s="1" t="s">
        <v>937</v>
      </c>
    </row>
    <row r="3014" spans="1:16" x14ac:dyDescent="0.25">
      <c r="A3014" s="3">
        <v>46073</v>
      </c>
      <c r="B3014" s="1">
        <v>213</v>
      </c>
      <c r="C3014" s="5">
        <v>500</v>
      </c>
      <c r="D3014" s="1" t="s">
        <v>930</v>
      </c>
      <c r="E3014" s="1" t="s">
        <v>931</v>
      </c>
      <c r="F3014" s="1" t="s">
        <v>949</v>
      </c>
      <c r="G3014" s="1" t="s">
        <v>20</v>
      </c>
      <c r="H3014" s="3">
        <v>46086</v>
      </c>
      <c r="I3014" s="1" t="s">
        <v>933</v>
      </c>
      <c r="J3014" s="1" t="s">
        <v>951</v>
      </c>
      <c r="K3014" s="1" t="s">
        <v>1654</v>
      </c>
      <c r="L3014" s="1" t="s">
        <v>4436</v>
      </c>
      <c r="M3014" s="3">
        <v>46076</v>
      </c>
      <c r="N3014" s="1" t="s">
        <v>821</v>
      </c>
      <c r="O3014" s="1" t="s">
        <v>936</v>
      </c>
      <c r="P3014" s="1" t="s">
        <v>937</v>
      </c>
    </row>
    <row r="3015" spans="1:16" x14ac:dyDescent="0.25">
      <c r="A3015" s="3">
        <v>46073</v>
      </c>
      <c r="B3015" s="4">
        <v>14505</v>
      </c>
      <c r="C3015" s="5">
        <v>940</v>
      </c>
      <c r="D3015" s="1" t="s">
        <v>1064</v>
      </c>
      <c r="E3015" s="1" t="s">
        <v>1042</v>
      </c>
      <c r="F3015" s="1" t="s">
        <v>280</v>
      </c>
      <c r="G3015" s="1" t="s">
        <v>940</v>
      </c>
      <c r="H3015" s="3">
        <v>46086</v>
      </c>
      <c r="I3015" s="1" t="s">
        <v>933</v>
      </c>
      <c r="J3015" s="1" t="s">
        <v>66</v>
      </c>
      <c r="K3015" s="1" t="s">
        <v>340</v>
      </c>
      <c r="L3015" s="1" t="s">
        <v>4726</v>
      </c>
      <c r="M3015" s="3">
        <v>46076</v>
      </c>
      <c r="N3015" s="1" t="s">
        <v>264</v>
      </c>
      <c r="O3015" s="1" t="s">
        <v>936</v>
      </c>
      <c r="P3015" s="1">
        <v>1</v>
      </c>
    </row>
    <row r="3016" spans="1:16" x14ac:dyDescent="0.25">
      <c r="A3016" s="3">
        <v>46074</v>
      </c>
      <c r="B3016" s="4">
        <v>1651</v>
      </c>
      <c r="C3016" s="5">
        <v>154.19999999999999</v>
      </c>
      <c r="D3016" s="1" t="s">
        <v>1901</v>
      </c>
      <c r="E3016" s="1" t="s">
        <v>1902</v>
      </c>
      <c r="F3016" s="1" t="s">
        <v>955</v>
      </c>
      <c r="G3016" s="1" t="s">
        <v>20</v>
      </c>
      <c r="H3016" s="3">
        <v>46102</v>
      </c>
      <c r="I3016" s="1" t="s">
        <v>933</v>
      </c>
      <c r="J3016" s="1" t="s">
        <v>951</v>
      </c>
      <c r="K3016" s="1" t="s">
        <v>20</v>
      </c>
      <c r="L3016" s="1" t="s">
        <v>4437</v>
      </c>
      <c r="M3016" s="3">
        <v>46076</v>
      </c>
      <c r="N3016" s="1" t="s">
        <v>821</v>
      </c>
      <c r="O3016" s="1" t="s">
        <v>936</v>
      </c>
      <c r="P3016" s="1">
        <v>1</v>
      </c>
    </row>
    <row r="3017" spans="1:16" x14ac:dyDescent="0.25">
      <c r="A3017" s="3">
        <v>46074</v>
      </c>
      <c r="B3017" s="4">
        <v>1650</v>
      </c>
      <c r="C3017" s="5">
        <v>624.14</v>
      </c>
      <c r="D3017" s="1" t="s">
        <v>1901</v>
      </c>
      <c r="E3017" s="1" t="s">
        <v>1902</v>
      </c>
      <c r="F3017" s="1" t="s">
        <v>955</v>
      </c>
      <c r="G3017" s="1" t="s">
        <v>20</v>
      </c>
      <c r="H3017" s="3">
        <v>46102</v>
      </c>
      <c r="I3017" s="1" t="s">
        <v>933</v>
      </c>
      <c r="J3017" s="1" t="s">
        <v>951</v>
      </c>
      <c r="K3017" s="1" t="s">
        <v>20</v>
      </c>
      <c r="L3017" s="1" t="s">
        <v>4438</v>
      </c>
      <c r="M3017" s="3">
        <v>46076</v>
      </c>
      <c r="N3017" s="1" t="s">
        <v>821</v>
      </c>
      <c r="O3017" s="1" t="s">
        <v>936</v>
      </c>
      <c r="P3017" s="1">
        <v>1</v>
      </c>
    </row>
    <row r="3018" spans="1:16" x14ac:dyDescent="0.25">
      <c r="A3018" s="3">
        <v>46074</v>
      </c>
      <c r="B3018" s="4">
        <v>96459</v>
      </c>
      <c r="C3018" s="5">
        <v>57000</v>
      </c>
      <c r="D3018" s="1" t="s">
        <v>1094</v>
      </c>
      <c r="E3018" s="1" t="s">
        <v>1095</v>
      </c>
      <c r="F3018" s="1" t="s">
        <v>818</v>
      </c>
      <c r="G3018" s="1" t="s">
        <v>998</v>
      </c>
      <c r="H3018" s="3">
        <v>46097</v>
      </c>
      <c r="I3018" s="1" t="s">
        <v>933</v>
      </c>
      <c r="J3018" s="1" t="s">
        <v>951</v>
      </c>
      <c r="K3018" s="1" t="s">
        <v>66</v>
      </c>
      <c r="L3018" s="4">
        <v>10000</v>
      </c>
      <c r="M3018" s="3">
        <v>46076</v>
      </c>
      <c r="N3018" s="1"/>
      <c r="O3018" s="1" t="s">
        <v>998</v>
      </c>
      <c r="P3018" s="1">
        <v>1</v>
      </c>
    </row>
    <row r="3019" spans="1:16" x14ac:dyDescent="0.25">
      <c r="A3019" s="3">
        <v>46074</v>
      </c>
      <c r="B3019" s="4">
        <v>5138</v>
      </c>
      <c r="C3019" s="5">
        <v>1360</v>
      </c>
      <c r="D3019" s="1" t="s">
        <v>938</v>
      </c>
      <c r="E3019" s="1" t="s">
        <v>939</v>
      </c>
      <c r="F3019" s="1" t="s">
        <v>949</v>
      </c>
      <c r="G3019" s="1" t="s">
        <v>940</v>
      </c>
      <c r="H3019" s="3">
        <v>46102</v>
      </c>
      <c r="I3019" s="1" t="s">
        <v>4394</v>
      </c>
      <c r="J3019" s="1" t="s">
        <v>951</v>
      </c>
      <c r="K3019" s="1" t="s">
        <v>910</v>
      </c>
      <c r="L3019" s="1" t="s">
        <v>4439</v>
      </c>
      <c r="M3019" s="3">
        <v>46076</v>
      </c>
      <c r="N3019" s="1" t="s">
        <v>821</v>
      </c>
      <c r="O3019" s="1" t="s">
        <v>936</v>
      </c>
      <c r="P3019" s="1">
        <v>1</v>
      </c>
    </row>
    <row r="3020" spans="1:16" x14ac:dyDescent="0.25">
      <c r="A3020" s="3">
        <v>46074</v>
      </c>
      <c r="B3020" s="4">
        <v>5139</v>
      </c>
      <c r="C3020" s="5">
        <v>1850</v>
      </c>
      <c r="D3020" s="1" t="s">
        <v>938</v>
      </c>
      <c r="E3020" s="1" t="s">
        <v>939</v>
      </c>
      <c r="F3020" s="1" t="s">
        <v>949</v>
      </c>
      <c r="G3020" s="1" t="s">
        <v>940</v>
      </c>
      <c r="H3020" s="3">
        <v>46102</v>
      </c>
      <c r="I3020" s="1" t="s">
        <v>4394</v>
      </c>
      <c r="J3020" s="1" t="s">
        <v>951</v>
      </c>
      <c r="K3020" s="1" t="s">
        <v>910</v>
      </c>
      <c r="L3020" s="1" t="s">
        <v>4440</v>
      </c>
      <c r="M3020" s="3">
        <v>46076</v>
      </c>
      <c r="N3020" s="1" t="s">
        <v>821</v>
      </c>
      <c r="O3020" s="1" t="s">
        <v>936</v>
      </c>
      <c r="P3020" s="1">
        <v>1</v>
      </c>
    </row>
    <row r="3021" spans="1:16" x14ac:dyDescent="0.25">
      <c r="A3021" s="3">
        <v>46074</v>
      </c>
      <c r="B3021" s="4">
        <v>10354</v>
      </c>
      <c r="C3021" s="5">
        <v>3859.78</v>
      </c>
      <c r="D3021" s="2">
        <v>5037623000152</v>
      </c>
      <c r="E3021" s="1" t="s">
        <v>1068</v>
      </c>
      <c r="F3021" s="1" t="s">
        <v>1814</v>
      </c>
      <c r="G3021" s="1" t="s">
        <v>998</v>
      </c>
      <c r="H3021" s="3">
        <v>46089</v>
      </c>
      <c r="I3021" s="1" t="s">
        <v>933</v>
      </c>
      <c r="J3021" s="1" t="s">
        <v>66</v>
      </c>
      <c r="K3021" s="1" t="s">
        <v>340</v>
      </c>
      <c r="L3021" s="1" t="s">
        <v>4441</v>
      </c>
      <c r="M3021" s="3">
        <v>46076</v>
      </c>
      <c r="N3021" s="1" t="s">
        <v>1814</v>
      </c>
      <c r="O3021" s="1" t="s">
        <v>998</v>
      </c>
      <c r="P3021" s="1">
        <v>1</v>
      </c>
    </row>
    <row r="3022" spans="1:16" x14ac:dyDescent="0.25">
      <c r="A3022" s="3">
        <v>46074</v>
      </c>
      <c r="B3022" s="1">
        <v>387</v>
      </c>
      <c r="C3022" s="5">
        <v>622.29999999999995</v>
      </c>
      <c r="D3022" s="1" t="s">
        <v>1810</v>
      </c>
      <c r="E3022" s="1" t="s">
        <v>1811</v>
      </c>
      <c r="F3022" s="1" t="s">
        <v>955</v>
      </c>
      <c r="G3022" s="1" t="s">
        <v>20</v>
      </c>
      <c r="H3022" s="3">
        <v>46089</v>
      </c>
      <c r="I3022" s="1" t="s">
        <v>933</v>
      </c>
      <c r="J3022" s="1" t="s">
        <v>951</v>
      </c>
      <c r="K3022" s="1" t="s">
        <v>20</v>
      </c>
      <c r="L3022" s="1" t="s">
        <v>4414</v>
      </c>
      <c r="M3022" s="3">
        <v>46076</v>
      </c>
      <c r="N3022" s="1" t="s">
        <v>821</v>
      </c>
      <c r="O3022" s="1" t="s">
        <v>936</v>
      </c>
      <c r="P3022" s="1">
        <v>1</v>
      </c>
    </row>
    <row r="3023" spans="1:16" x14ac:dyDescent="0.25">
      <c r="A3023" s="3">
        <v>46074</v>
      </c>
      <c r="B3023" s="4">
        <v>23613</v>
      </c>
      <c r="C3023" s="5">
        <v>13</v>
      </c>
      <c r="D3023" s="1" t="s">
        <v>1319</v>
      </c>
      <c r="E3023" s="1" t="s">
        <v>1320</v>
      </c>
      <c r="F3023" s="1" t="s">
        <v>955</v>
      </c>
      <c r="G3023" s="1" t="s">
        <v>20</v>
      </c>
      <c r="H3023" s="3">
        <v>46104</v>
      </c>
      <c r="I3023" s="1" t="s">
        <v>933</v>
      </c>
      <c r="J3023" s="1" t="s">
        <v>951</v>
      </c>
      <c r="K3023" s="1" t="s">
        <v>20</v>
      </c>
      <c r="L3023" s="1" t="s">
        <v>4442</v>
      </c>
      <c r="M3023" s="3">
        <v>46077</v>
      </c>
      <c r="N3023" s="1" t="s">
        <v>821</v>
      </c>
      <c r="O3023" s="1" t="s">
        <v>936</v>
      </c>
      <c r="P3023" s="1">
        <v>1</v>
      </c>
    </row>
    <row r="3024" spans="1:16" x14ac:dyDescent="0.25">
      <c r="A3024" s="3">
        <v>46074</v>
      </c>
      <c r="B3024" s="4">
        <v>23612</v>
      </c>
      <c r="C3024" s="5">
        <v>296</v>
      </c>
      <c r="D3024" s="1" t="s">
        <v>1319</v>
      </c>
      <c r="E3024" s="1" t="s">
        <v>1320</v>
      </c>
      <c r="F3024" s="1" t="s">
        <v>955</v>
      </c>
      <c r="G3024" s="1" t="s">
        <v>20</v>
      </c>
      <c r="H3024" s="3">
        <v>46103</v>
      </c>
      <c r="I3024" s="1" t="s">
        <v>933</v>
      </c>
      <c r="J3024" s="1" t="s">
        <v>951</v>
      </c>
      <c r="K3024" s="1" t="s">
        <v>20</v>
      </c>
      <c r="L3024" s="1" t="s">
        <v>4443</v>
      </c>
      <c r="M3024" s="3">
        <v>46077</v>
      </c>
      <c r="N3024" s="1" t="s">
        <v>821</v>
      </c>
      <c r="O3024" s="1" t="s">
        <v>936</v>
      </c>
      <c r="P3024" s="1">
        <v>1</v>
      </c>
    </row>
    <row r="3025" spans="1:16" x14ac:dyDescent="0.25">
      <c r="A3025" s="3">
        <v>46074</v>
      </c>
      <c r="B3025" s="4">
        <v>5137</v>
      </c>
      <c r="C3025" s="5">
        <v>294.75</v>
      </c>
      <c r="D3025" s="1" t="s">
        <v>938</v>
      </c>
      <c r="E3025" s="1" t="s">
        <v>939</v>
      </c>
      <c r="F3025" s="1" t="s">
        <v>949</v>
      </c>
      <c r="G3025" s="1" t="s">
        <v>998</v>
      </c>
      <c r="H3025" s="1"/>
      <c r="I3025" s="1" t="s">
        <v>933</v>
      </c>
      <c r="J3025" s="1" t="s">
        <v>951</v>
      </c>
      <c r="K3025" s="1" t="s">
        <v>817</v>
      </c>
      <c r="L3025" s="1" t="s">
        <v>4444</v>
      </c>
      <c r="M3025" s="3">
        <v>46079</v>
      </c>
      <c r="N3025" s="1" t="s">
        <v>57</v>
      </c>
      <c r="O3025" s="1" t="s">
        <v>936</v>
      </c>
      <c r="P3025" s="1">
        <v>1</v>
      </c>
    </row>
    <row r="3026" spans="1:16" x14ac:dyDescent="0.25">
      <c r="A3026" s="3">
        <v>46074</v>
      </c>
      <c r="B3026" s="4">
        <v>5140</v>
      </c>
      <c r="C3026" s="5">
        <v>29</v>
      </c>
      <c r="D3026" s="1" t="s">
        <v>938</v>
      </c>
      <c r="E3026" s="1" t="s">
        <v>939</v>
      </c>
      <c r="F3026" s="1" t="s">
        <v>949</v>
      </c>
      <c r="G3026" s="1" t="s">
        <v>940</v>
      </c>
      <c r="H3026" s="1"/>
      <c r="I3026" s="1" t="s">
        <v>933</v>
      </c>
      <c r="J3026" s="1" t="s">
        <v>951</v>
      </c>
      <c r="K3026" s="1" t="s">
        <v>340</v>
      </c>
      <c r="L3026" s="1" t="s">
        <v>4445</v>
      </c>
      <c r="M3026" s="3">
        <v>46079</v>
      </c>
      <c r="N3026" s="1" t="s">
        <v>57</v>
      </c>
      <c r="O3026" s="1" t="s">
        <v>936</v>
      </c>
      <c r="P3026" s="1">
        <v>1</v>
      </c>
    </row>
    <row r="3027" spans="1:16" x14ac:dyDescent="0.25">
      <c r="A3027" s="3">
        <v>46075</v>
      </c>
      <c r="B3027" s="1" t="s">
        <v>4446</v>
      </c>
      <c r="C3027" s="5">
        <v>17000</v>
      </c>
      <c r="D3027" s="1" t="s">
        <v>4447</v>
      </c>
      <c r="E3027" s="1" t="s">
        <v>4448</v>
      </c>
      <c r="F3027" s="1" t="s">
        <v>654</v>
      </c>
      <c r="G3027" s="1" t="s">
        <v>932</v>
      </c>
      <c r="H3027" s="3">
        <v>46111</v>
      </c>
      <c r="I3027" s="1" t="s">
        <v>933</v>
      </c>
      <c r="J3027" s="1" t="s">
        <v>66</v>
      </c>
      <c r="K3027" s="1" t="s">
        <v>1654</v>
      </c>
      <c r="L3027" s="1" t="s">
        <v>4449</v>
      </c>
      <c r="M3027" s="3">
        <v>46079</v>
      </c>
      <c r="N3027" s="1" t="s">
        <v>657</v>
      </c>
      <c r="O3027" s="1" t="s">
        <v>936</v>
      </c>
      <c r="P3027" s="1" t="s">
        <v>937</v>
      </c>
    </row>
    <row r="3028" spans="1:16" x14ac:dyDescent="0.25">
      <c r="A3028" s="3">
        <v>46076</v>
      </c>
      <c r="B3028" s="1">
        <v>131</v>
      </c>
      <c r="C3028" s="5">
        <v>2670</v>
      </c>
      <c r="D3028" s="1" t="s">
        <v>1579</v>
      </c>
      <c r="E3028" s="1" t="s">
        <v>1580</v>
      </c>
      <c r="F3028" s="1" t="s">
        <v>955</v>
      </c>
      <c r="G3028" s="1" t="s">
        <v>1260</v>
      </c>
      <c r="H3028" s="3">
        <v>46090</v>
      </c>
      <c r="I3028" s="1" t="s">
        <v>933</v>
      </c>
      <c r="J3028" s="1" t="s">
        <v>951</v>
      </c>
      <c r="K3028" s="1" t="s">
        <v>340</v>
      </c>
      <c r="L3028" s="1" t="s">
        <v>4450</v>
      </c>
      <c r="M3028" s="3">
        <v>46077</v>
      </c>
      <c r="N3028" s="1" t="s">
        <v>821</v>
      </c>
      <c r="O3028" s="1" t="s">
        <v>936</v>
      </c>
      <c r="P3028" s="1">
        <v>1</v>
      </c>
    </row>
    <row r="3029" spans="1:16" x14ac:dyDescent="0.25">
      <c r="A3029" s="3">
        <v>46076</v>
      </c>
      <c r="B3029" s="1">
        <v>2</v>
      </c>
      <c r="C3029" s="5">
        <v>7000</v>
      </c>
      <c r="D3029" s="1" t="s">
        <v>4217</v>
      </c>
      <c r="E3029" s="1" t="s">
        <v>4218</v>
      </c>
      <c r="F3029" s="1" t="s">
        <v>955</v>
      </c>
      <c r="G3029" s="1" t="s">
        <v>20</v>
      </c>
      <c r="H3029" s="3">
        <v>46101</v>
      </c>
      <c r="I3029" s="1" t="s">
        <v>933</v>
      </c>
      <c r="J3029" s="1" t="s">
        <v>951</v>
      </c>
      <c r="K3029" s="1" t="s">
        <v>20</v>
      </c>
      <c r="L3029" s="1" t="s">
        <v>4451</v>
      </c>
      <c r="M3029" s="3">
        <v>46077</v>
      </c>
      <c r="N3029" s="1" t="s">
        <v>821</v>
      </c>
      <c r="O3029" s="1" t="s">
        <v>936</v>
      </c>
      <c r="P3029" s="1" t="s">
        <v>937</v>
      </c>
    </row>
    <row r="3030" spans="1:16" x14ac:dyDescent="0.25">
      <c r="A3030" s="3">
        <v>46076</v>
      </c>
      <c r="B3030" s="1">
        <v>121</v>
      </c>
      <c r="C3030" s="5">
        <v>1590</v>
      </c>
      <c r="D3030" s="1" t="s">
        <v>2145</v>
      </c>
      <c r="E3030" s="1" t="s">
        <v>2146</v>
      </c>
      <c r="F3030" s="1" t="s">
        <v>457</v>
      </c>
      <c r="G3030" s="1" t="s">
        <v>940</v>
      </c>
      <c r="H3030" s="3">
        <v>46094</v>
      </c>
      <c r="I3030" s="1" t="s">
        <v>933</v>
      </c>
      <c r="J3030" s="1" t="s">
        <v>66</v>
      </c>
      <c r="K3030" s="1" t="s">
        <v>308</v>
      </c>
      <c r="L3030" s="1" t="s">
        <v>4452</v>
      </c>
      <c r="M3030" s="3">
        <v>46077</v>
      </c>
      <c r="N3030" s="1" t="s">
        <v>358</v>
      </c>
      <c r="O3030" s="1" t="s">
        <v>936</v>
      </c>
      <c r="P3030" s="1">
        <v>1</v>
      </c>
    </row>
    <row r="3031" spans="1:16" x14ac:dyDescent="0.25">
      <c r="A3031" s="3">
        <v>46076</v>
      </c>
      <c r="B3031" s="1">
        <v>120</v>
      </c>
      <c r="C3031" s="5">
        <v>1110</v>
      </c>
      <c r="D3031" s="1" t="s">
        <v>2145</v>
      </c>
      <c r="E3031" s="1" t="s">
        <v>2146</v>
      </c>
      <c r="F3031" s="1" t="s">
        <v>710</v>
      </c>
      <c r="G3031" s="1" t="s">
        <v>940</v>
      </c>
      <c r="H3031" s="3">
        <v>46094</v>
      </c>
      <c r="I3031" s="1" t="s">
        <v>933</v>
      </c>
      <c r="J3031" s="1" t="s">
        <v>66</v>
      </c>
      <c r="K3031" s="1" t="s">
        <v>340</v>
      </c>
      <c r="L3031" s="1" t="s">
        <v>4453</v>
      </c>
      <c r="M3031" s="3">
        <v>46077</v>
      </c>
      <c r="N3031" s="1" t="s">
        <v>712</v>
      </c>
      <c r="O3031" s="1" t="s">
        <v>936</v>
      </c>
      <c r="P3031" s="1">
        <v>1</v>
      </c>
    </row>
    <row r="3032" spans="1:16" x14ac:dyDescent="0.25">
      <c r="A3032" s="3">
        <v>46076</v>
      </c>
      <c r="B3032" s="1">
        <v>119</v>
      </c>
      <c r="C3032" s="5">
        <v>1720</v>
      </c>
      <c r="D3032" s="1" t="s">
        <v>2145</v>
      </c>
      <c r="E3032" s="1" t="s">
        <v>2146</v>
      </c>
      <c r="F3032" s="1" t="s">
        <v>745</v>
      </c>
      <c r="G3032" s="1" t="s">
        <v>940</v>
      </c>
      <c r="H3032" s="3">
        <v>46094</v>
      </c>
      <c r="I3032" s="1" t="s">
        <v>933</v>
      </c>
      <c r="J3032" s="1" t="s">
        <v>66</v>
      </c>
      <c r="K3032" s="1" t="s">
        <v>340</v>
      </c>
      <c r="L3032" s="1" t="s">
        <v>4454</v>
      </c>
      <c r="M3032" s="3">
        <v>46077</v>
      </c>
      <c r="N3032" s="1" t="s">
        <v>50</v>
      </c>
      <c r="O3032" s="1" t="s">
        <v>936</v>
      </c>
      <c r="P3032" s="1">
        <v>1</v>
      </c>
    </row>
    <row r="3033" spans="1:16" x14ac:dyDescent="0.25">
      <c r="A3033" s="3">
        <v>46076</v>
      </c>
      <c r="B3033" s="1">
        <v>118</v>
      </c>
      <c r="C3033" s="5">
        <v>1420</v>
      </c>
      <c r="D3033" s="1" t="s">
        <v>2145</v>
      </c>
      <c r="E3033" s="1" t="s">
        <v>2146</v>
      </c>
      <c r="F3033" s="1" t="s">
        <v>745</v>
      </c>
      <c r="G3033" s="1" t="s">
        <v>940</v>
      </c>
      <c r="H3033" s="3">
        <v>46094</v>
      </c>
      <c r="I3033" s="1" t="s">
        <v>933</v>
      </c>
      <c r="J3033" s="1" t="s">
        <v>66</v>
      </c>
      <c r="K3033" s="1" t="s">
        <v>340</v>
      </c>
      <c r="L3033" s="1" t="s">
        <v>4455</v>
      </c>
      <c r="M3033" s="3">
        <v>46077</v>
      </c>
      <c r="N3033" s="1" t="s">
        <v>50</v>
      </c>
      <c r="O3033" s="1" t="s">
        <v>936</v>
      </c>
      <c r="P3033" s="1">
        <v>1</v>
      </c>
    </row>
    <row r="3034" spans="1:16" x14ac:dyDescent="0.25">
      <c r="A3034" s="3">
        <v>46076</v>
      </c>
      <c r="B3034" s="4">
        <v>10365</v>
      </c>
      <c r="C3034" s="5">
        <v>19287.240000000002</v>
      </c>
      <c r="D3034" s="1" t="s">
        <v>973</v>
      </c>
      <c r="E3034" s="1" t="s">
        <v>1068</v>
      </c>
      <c r="F3034" s="1" t="s">
        <v>1814</v>
      </c>
      <c r="G3034" s="1" t="s">
        <v>998</v>
      </c>
      <c r="H3034" s="3">
        <v>46091</v>
      </c>
      <c r="I3034" s="1" t="s">
        <v>933</v>
      </c>
      <c r="J3034" s="1" t="s">
        <v>66</v>
      </c>
      <c r="K3034" s="1" t="s">
        <v>308</v>
      </c>
      <c r="L3034" s="1" t="s">
        <v>4456</v>
      </c>
      <c r="M3034" s="3">
        <v>46078</v>
      </c>
      <c r="N3034" s="1" t="s">
        <v>1814</v>
      </c>
      <c r="O3034" s="1" t="s">
        <v>998</v>
      </c>
      <c r="P3034" s="1">
        <v>1</v>
      </c>
    </row>
    <row r="3035" spans="1:16" x14ac:dyDescent="0.25">
      <c r="A3035" s="3">
        <v>46076</v>
      </c>
      <c r="B3035" s="1">
        <v>160</v>
      </c>
      <c r="C3035" s="5">
        <v>1600</v>
      </c>
      <c r="D3035" s="1" t="s">
        <v>1867</v>
      </c>
      <c r="E3035" s="1" t="s">
        <v>1971</v>
      </c>
      <c r="F3035" s="1" t="s">
        <v>955</v>
      </c>
      <c r="G3035" s="1" t="s">
        <v>3022</v>
      </c>
      <c r="H3035" s="3">
        <v>46084</v>
      </c>
      <c r="I3035" s="1" t="s">
        <v>933</v>
      </c>
      <c r="J3035" s="1" t="s">
        <v>951</v>
      </c>
      <c r="K3035" s="1" t="s">
        <v>20</v>
      </c>
      <c r="L3035" s="1" t="s">
        <v>4457</v>
      </c>
      <c r="M3035" s="3">
        <v>46078</v>
      </c>
      <c r="N3035" s="1" t="s">
        <v>821</v>
      </c>
      <c r="O3035" s="1" t="s">
        <v>936</v>
      </c>
      <c r="P3035" s="1">
        <v>1</v>
      </c>
    </row>
    <row r="3036" spans="1:16" x14ac:dyDescent="0.25">
      <c r="A3036" s="3">
        <v>46076</v>
      </c>
      <c r="B3036" s="1">
        <v>62</v>
      </c>
      <c r="C3036" s="5">
        <v>2418.08</v>
      </c>
      <c r="D3036" s="1" t="s">
        <v>3804</v>
      </c>
      <c r="E3036" s="1" t="s">
        <v>4029</v>
      </c>
      <c r="F3036" s="1" t="s">
        <v>955</v>
      </c>
      <c r="G3036" s="1" t="s">
        <v>940</v>
      </c>
      <c r="H3036" s="3">
        <v>46104</v>
      </c>
      <c r="I3036" s="1" t="s">
        <v>4394</v>
      </c>
      <c r="J3036" s="1" t="s">
        <v>951</v>
      </c>
      <c r="K3036" s="1" t="s">
        <v>910</v>
      </c>
      <c r="L3036" s="1" t="s">
        <v>4458</v>
      </c>
      <c r="M3036" s="3">
        <v>46079</v>
      </c>
      <c r="N3036" s="1" t="s">
        <v>821</v>
      </c>
      <c r="O3036" s="1" t="s">
        <v>936</v>
      </c>
      <c r="P3036" s="1">
        <v>1</v>
      </c>
    </row>
    <row r="3037" spans="1:16" x14ac:dyDescent="0.25">
      <c r="A3037" s="3">
        <v>46076</v>
      </c>
      <c r="B3037" s="1">
        <v>74</v>
      </c>
      <c r="C3037" s="5">
        <v>750</v>
      </c>
      <c r="D3037" s="1" t="s">
        <v>4459</v>
      </c>
      <c r="E3037" s="1" t="s">
        <v>4460</v>
      </c>
      <c r="F3037" s="1" t="s">
        <v>307</v>
      </c>
      <c r="G3037" s="1" t="s">
        <v>940</v>
      </c>
      <c r="H3037" s="1" t="s">
        <v>967</v>
      </c>
      <c r="I3037" s="1" t="s">
        <v>933</v>
      </c>
      <c r="J3037" s="1" t="s">
        <v>66</v>
      </c>
      <c r="K3037" s="1" t="s">
        <v>308</v>
      </c>
      <c r="L3037" s="1" t="s">
        <v>4461</v>
      </c>
      <c r="M3037" s="3">
        <v>46087</v>
      </c>
      <c r="N3037" s="1" t="s">
        <v>57</v>
      </c>
      <c r="O3037" s="1" t="s">
        <v>936</v>
      </c>
      <c r="P3037" s="1">
        <v>1</v>
      </c>
    </row>
    <row r="3038" spans="1:16" x14ac:dyDescent="0.25">
      <c r="A3038" s="3">
        <v>46077</v>
      </c>
      <c r="B3038" s="4">
        <v>5704</v>
      </c>
      <c r="C3038" s="5">
        <v>3900</v>
      </c>
      <c r="D3038" s="1" t="s">
        <v>2048</v>
      </c>
      <c r="E3038" s="1" t="s">
        <v>2049</v>
      </c>
      <c r="F3038" s="1" t="s">
        <v>875</v>
      </c>
      <c r="G3038" s="1" t="s">
        <v>932</v>
      </c>
      <c r="H3038" s="3">
        <v>46101</v>
      </c>
      <c r="I3038" s="1" t="s">
        <v>933</v>
      </c>
      <c r="J3038" s="1" t="s">
        <v>66</v>
      </c>
      <c r="K3038" s="1" t="s">
        <v>659</v>
      </c>
      <c r="L3038" s="1" t="s">
        <v>4462</v>
      </c>
      <c r="M3038" s="3">
        <v>46077</v>
      </c>
      <c r="N3038" s="1" t="s">
        <v>879</v>
      </c>
      <c r="O3038" s="1" t="s">
        <v>936</v>
      </c>
      <c r="P3038" s="1">
        <v>1</v>
      </c>
    </row>
    <row r="3039" spans="1:16" x14ac:dyDescent="0.25">
      <c r="A3039" s="3">
        <v>46077</v>
      </c>
      <c r="B3039" s="4">
        <v>10198</v>
      </c>
      <c r="C3039" s="5">
        <v>1404.65</v>
      </c>
      <c r="D3039" s="1" t="s">
        <v>2984</v>
      </c>
      <c r="E3039" s="1" t="s">
        <v>4329</v>
      </c>
      <c r="F3039" s="1" t="s">
        <v>392</v>
      </c>
      <c r="G3039" s="1" t="s">
        <v>940</v>
      </c>
      <c r="H3039" s="3">
        <v>46107</v>
      </c>
      <c r="I3039" s="1" t="s">
        <v>933</v>
      </c>
      <c r="J3039" s="1" t="s">
        <v>66</v>
      </c>
      <c r="K3039" s="1" t="s">
        <v>308</v>
      </c>
      <c r="L3039" s="1" t="s">
        <v>4463</v>
      </c>
      <c r="M3039" s="3">
        <v>46079</v>
      </c>
      <c r="N3039" s="1" t="s">
        <v>93</v>
      </c>
      <c r="O3039" s="1" t="s">
        <v>936</v>
      </c>
      <c r="P3039" s="1" t="s">
        <v>937</v>
      </c>
    </row>
    <row r="3040" spans="1:16" x14ac:dyDescent="0.25">
      <c r="A3040" s="3">
        <v>46077</v>
      </c>
      <c r="B3040" s="4">
        <v>10379</v>
      </c>
      <c r="C3040" s="5">
        <v>20454.28</v>
      </c>
      <c r="D3040" s="2">
        <v>5037623000152</v>
      </c>
      <c r="E3040" s="1" t="s">
        <v>1068</v>
      </c>
      <c r="F3040" s="1" t="s">
        <v>1814</v>
      </c>
      <c r="G3040" s="1" t="s">
        <v>998</v>
      </c>
      <c r="H3040" s="3">
        <v>46092</v>
      </c>
      <c r="I3040" s="1" t="s">
        <v>933</v>
      </c>
      <c r="J3040" s="1" t="s">
        <v>66</v>
      </c>
      <c r="K3040" s="1" t="s">
        <v>308</v>
      </c>
      <c r="L3040" s="1" t="s">
        <v>4456</v>
      </c>
      <c r="M3040" s="3">
        <v>46079</v>
      </c>
      <c r="N3040" s="1" t="s">
        <v>1814</v>
      </c>
      <c r="O3040" s="1" t="s">
        <v>998</v>
      </c>
      <c r="P3040" s="1">
        <v>1</v>
      </c>
    </row>
    <row r="3041" spans="1:16" x14ac:dyDescent="0.25">
      <c r="A3041" s="3">
        <v>46077</v>
      </c>
      <c r="B3041" s="4">
        <v>27485</v>
      </c>
      <c r="C3041" s="5">
        <v>4500</v>
      </c>
      <c r="D3041" s="1" t="s">
        <v>2028</v>
      </c>
      <c r="E3041" s="1" t="s">
        <v>2029</v>
      </c>
      <c r="F3041" s="1" t="s">
        <v>392</v>
      </c>
      <c r="G3041" s="1" t="s">
        <v>1260</v>
      </c>
      <c r="H3041" s="3">
        <v>46104</v>
      </c>
      <c r="I3041" s="1" t="s">
        <v>933</v>
      </c>
      <c r="J3041" s="1" t="s">
        <v>66</v>
      </c>
      <c r="K3041" s="1" t="s">
        <v>308</v>
      </c>
      <c r="L3041" s="1" t="s">
        <v>4464</v>
      </c>
      <c r="M3041" s="3">
        <v>46079</v>
      </c>
      <c r="N3041" s="1" t="s">
        <v>93</v>
      </c>
      <c r="O3041" s="1" t="s">
        <v>936</v>
      </c>
      <c r="P3041" s="1" t="s">
        <v>937</v>
      </c>
    </row>
    <row r="3042" spans="1:16" x14ac:dyDescent="0.25">
      <c r="A3042" s="3">
        <v>46077</v>
      </c>
      <c r="B3042" s="4">
        <v>19101</v>
      </c>
      <c r="C3042" s="5">
        <v>970.78</v>
      </c>
      <c r="D3042" s="1" t="s">
        <v>3950</v>
      </c>
      <c r="E3042" s="1" t="s">
        <v>3951</v>
      </c>
      <c r="F3042" s="1" t="s">
        <v>426</v>
      </c>
      <c r="G3042" s="1" t="s">
        <v>940</v>
      </c>
      <c r="H3042" s="3">
        <v>46104</v>
      </c>
      <c r="I3042" s="1" t="s">
        <v>933</v>
      </c>
      <c r="J3042" s="1" t="s">
        <v>66</v>
      </c>
      <c r="K3042" s="1" t="s">
        <v>308</v>
      </c>
      <c r="L3042" s="1" t="s">
        <v>4465</v>
      </c>
      <c r="M3042" s="3">
        <v>46079</v>
      </c>
      <c r="N3042" s="1" t="s">
        <v>429</v>
      </c>
      <c r="O3042" s="1" t="s">
        <v>936</v>
      </c>
      <c r="P3042" s="1" t="s">
        <v>937</v>
      </c>
    </row>
    <row r="3043" spans="1:16" x14ac:dyDescent="0.25">
      <c r="A3043" s="3">
        <v>46077</v>
      </c>
      <c r="B3043" s="4">
        <v>2496</v>
      </c>
      <c r="C3043" s="5">
        <v>1800</v>
      </c>
      <c r="D3043" s="1" t="s">
        <v>1182</v>
      </c>
      <c r="E3043" s="1" t="s">
        <v>1183</v>
      </c>
      <c r="F3043" s="1" t="s">
        <v>650</v>
      </c>
      <c r="G3043" s="1" t="s">
        <v>940</v>
      </c>
      <c r="H3043" s="3">
        <v>46105</v>
      </c>
      <c r="I3043" s="1" t="s">
        <v>933</v>
      </c>
      <c r="J3043" s="1" t="s">
        <v>66</v>
      </c>
      <c r="K3043" s="1" t="s">
        <v>340</v>
      </c>
      <c r="L3043" s="1" t="s">
        <v>4466</v>
      </c>
      <c r="M3043" s="3">
        <v>46079</v>
      </c>
      <c r="N3043" s="1" t="s">
        <v>57</v>
      </c>
      <c r="O3043" s="1" t="s">
        <v>936</v>
      </c>
      <c r="P3043" s="1">
        <v>1</v>
      </c>
    </row>
    <row r="3044" spans="1:16" x14ac:dyDescent="0.25">
      <c r="A3044" s="3">
        <v>46077</v>
      </c>
      <c r="B3044" s="4">
        <v>5495</v>
      </c>
      <c r="C3044" s="5">
        <v>10397.84</v>
      </c>
      <c r="D3044" s="1" t="s">
        <v>2984</v>
      </c>
      <c r="E3044" s="1" t="s">
        <v>4467</v>
      </c>
      <c r="F3044" s="1" t="s">
        <v>658</v>
      </c>
      <c r="G3044" s="1" t="s">
        <v>1667</v>
      </c>
      <c r="H3044" s="3">
        <v>46106</v>
      </c>
      <c r="I3044" s="1" t="s">
        <v>1100</v>
      </c>
      <c r="J3044" s="1" t="s">
        <v>66</v>
      </c>
      <c r="K3044" s="1" t="s">
        <v>659</v>
      </c>
      <c r="L3044" s="1" t="s">
        <v>4468</v>
      </c>
      <c r="M3044" s="3">
        <v>46079</v>
      </c>
      <c r="N3044" s="1" t="s">
        <v>57</v>
      </c>
      <c r="O3044" s="1" t="s">
        <v>937</v>
      </c>
      <c r="P3044" s="1" t="s">
        <v>937</v>
      </c>
    </row>
    <row r="3045" spans="1:16" x14ac:dyDescent="0.25">
      <c r="A3045" s="3">
        <v>46077</v>
      </c>
      <c r="B3045" s="4">
        <v>96534</v>
      </c>
      <c r="C3045" s="5">
        <v>57000</v>
      </c>
      <c r="D3045" s="1" t="s">
        <v>1094</v>
      </c>
      <c r="E3045" s="1" t="s">
        <v>1095</v>
      </c>
      <c r="F3045" s="1" t="s">
        <v>818</v>
      </c>
      <c r="G3045" s="1" t="s">
        <v>998</v>
      </c>
      <c r="H3045" s="3">
        <v>46098</v>
      </c>
      <c r="I3045" s="1" t="s">
        <v>933</v>
      </c>
      <c r="J3045" s="1" t="s">
        <v>951</v>
      </c>
      <c r="K3045" s="1" t="s">
        <v>340</v>
      </c>
      <c r="L3045" s="4">
        <v>10000</v>
      </c>
      <c r="M3045" s="3">
        <v>46079</v>
      </c>
      <c r="N3045" s="1"/>
      <c r="O3045" s="1" t="s">
        <v>998</v>
      </c>
      <c r="P3045" s="1">
        <v>1</v>
      </c>
    </row>
    <row r="3046" spans="1:16" x14ac:dyDescent="0.25">
      <c r="A3046" s="3">
        <v>46077</v>
      </c>
      <c r="B3046" s="4">
        <v>1602660</v>
      </c>
      <c r="C3046" s="5">
        <v>42762.5</v>
      </c>
      <c r="D3046" s="1" t="s">
        <v>2984</v>
      </c>
      <c r="E3046" s="1" t="s">
        <v>57</v>
      </c>
      <c r="F3046" s="1" t="s">
        <v>1131</v>
      </c>
      <c r="G3046" s="1" t="s">
        <v>1254</v>
      </c>
      <c r="H3046" s="1"/>
      <c r="I3046" s="1" t="s">
        <v>933</v>
      </c>
      <c r="J3046" s="1" t="s">
        <v>1131</v>
      </c>
      <c r="K3046" s="1" t="s">
        <v>308</v>
      </c>
      <c r="L3046" s="1" t="s">
        <v>4469</v>
      </c>
      <c r="M3046" s="3">
        <v>46079</v>
      </c>
      <c r="N3046" s="1" t="s">
        <v>57</v>
      </c>
      <c r="O3046" s="1" t="s">
        <v>936</v>
      </c>
      <c r="P3046" s="1" t="s">
        <v>937</v>
      </c>
    </row>
    <row r="3047" spans="1:16" x14ac:dyDescent="0.25">
      <c r="A3047" s="3">
        <v>46077</v>
      </c>
      <c r="B3047" s="4">
        <v>1658</v>
      </c>
      <c r="C3047" s="5">
        <v>2000</v>
      </c>
      <c r="D3047" s="1" t="s">
        <v>1901</v>
      </c>
      <c r="E3047" s="1" t="s">
        <v>1902</v>
      </c>
      <c r="F3047" s="1" t="s">
        <v>949</v>
      </c>
      <c r="G3047" s="1" t="s">
        <v>20</v>
      </c>
      <c r="H3047" s="3">
        <v>46105</v>
      </c>
      <c r="I3047" s="1" t="s">
        <v>933</v>
      </c>
      <c r="J3047" s="1" t="s">
        <v>951</v>
      </c>
      <c r="K3047" s="1" t="s">
        <v>659</v>
      </c>
      <c r="L3047" s="1" t="s">
        <v>4470</v>
      </c>
      <c r="M3047" s="3">
        <v>46081</v>
      </c>
      <c r="N3047" s="1" t="s">
        <v>57</v>
      </c>
      <c r="O3047" s="1" t="s">
        <v>936</v>
      </c>
      <c r="P3047" s="1">
        <v>1</v>
      </c>
    </row>
    <row r="3048" spans="1:16" x14ac:dyDescent="0.25">
      <c r="A3048" s="3">
        <v>46078</v>
      </c>
      <c r="B3048" s="1">
        <v>81</v>
      </c>
      <c r="C3048" s="5">
        <v>1105</v>
      </c>
      <c r="D3048" s="1" t="s">
        <v>2158</v>
      </c>
      <c r="E3048" s="1" t="s">
        <v>2159</v>
      </c>
      <c r="F3048" s="1" t="s">
        <v>271</v>
      </c>
      <c r="G3048" s="1" t="s">
        <v>940</v>
      </c>
      <c r="H3048" s="3">
        <v>46095</v>
      </c>
      <c r="I3048" s="1" t="s">
        <v>933</v>
      </c>
      <c r="J3048" s="1" t="s">
        <v>66</v>
      </c>
      <c r="K3048" s="1" t="s">
        <v>340</v>
      </c>
      <c r="L3048" s="1" t="s">
        <v>4206</v>
      </c>
      <c r="M3048" s="3">
        <v>46079</v>
      </c>
      <c r="N3048" s="1" t="s">
        <v>264</v>
      </c>
      <c r="O3048" s="1" t="s">
        <v>936</v>
      </c>
      <c r="P3048" s="1" t="s">
        <v>937</v>
      </c>
    </row>
    <row r="3049" spans="1:16" x14ac:dyDescent="0.25">
      <c r="A3049" s="3">
        <v>46078</v>
      </c>
      <c r="B3049" s="1">
        <v>59</v>
      </c>
      <c r="C3049" s="5">
        <v>2020</v>
      </c>
      <c r="D3049" s="1" t="s">
        <v>2158</v>
      </c>
      <c r="E3049" s="1" t="s">
        <v>2159</v>
      </c>
      <c r="F3049" s="1" t="s">
        <v>271</v>
      </c>
      <c r="G3049" s="1" t="s">
        <v>940</v>
      </c>
      <c r="H3049" s="3">
        <v>46095</v>
      </c>
      <c r="I3049" s="1" t="s">
        <v>933</v>
      </c>
      <c r="J3049" s="1" t="s">
        <v>66</v>
      </c>
      <c r="K3049" s="1" t="s">
        <v>340</v>
      </c>
      <c r="L3049" s="1" t="s">
        <v>4208</v>
      </c>
      <c r="M3049" s="3">
        <v>46079</v>
      </c>
      <c r="N3049" s="1" t="s">
        <v>264</v>
      </c>
      <c r="O3049" s="1" t="s">
        <v>936</v>
      </c>
      <c r="P3049" s="1" t="s">
        <v>937</v>
      </c>
    </row>
    <row r="3050" spans="1:16" x14ac:dyDescent="0.25">
      <c r="A3050" s="3">
        <v>46078</v>
      </c>
      <c r="B3050" s="1">
        <v>79</v>
      </c>
      <c r="C3050" s="5">
        <v>285</v>
      </c>
      <c r="D3050" s="1" t="s">
        <v>2158</v>
      </c>
      <c r="E3050" s="1" t="s">
        <v>2159</v>
      </c>
      <c r="F3050" s="1" t="s">
        <v>339</v>
      </c>
      <c r="G3050" s="1" t="s">
        <v>940</v>
      </c>
      <c r="H3050" s="3">
        <v>46095</v>
      </c>
      <c r="I3050" s="1" t="s">
        <v>933</v>
      </c>
      <c r="J3050" s="1" t="s">
        <v>66</v>
      </c>
      <c r="K3050" s="1" t="s">
        <v>308</v>
      </c>
      <c r="L3050" s="1" t="s">
        <v>4471</v>
      </c>
      <c r="M3050" s="3">
        <v>46079</v>
      </c>
      <c r="N3050" s="1" t="s">
        <v>57</v>
      </c>
      <c r="O3050" s="1" t="s">
        <v>936</v>
      </c>
      <c r="P3050" s="1" t="s">
        <v>937</v>
      </c>
    </row>
    <row r="3051" spans="1:16" x14ac:dyDescent="0.25">
      <c r="A3051" s="3">
        <v>46078</v>
      </c>
      <c r="B3051" s="1">
        <v>78</v>
      </c>
      <c r="C3051" s="5">
        <v>220</v>
      </c>
      <c r="D3051" s="1" t="s">
        <v>2158</v>
      </c>
      <c r="E3051" s="1" t="s">
        <v>2159</v>
      </c>
      <c r="F3051" s="1" t="s">
        <v>460</v>
      </c>
      <c r="G3051" s="1" t="s">
        <v>940</v>
      </c>
      <c r="H3051" s="3">
        <v>46095</v>
      </c>
      <c r="I3051" s="1" t="s">
        <v>933</v>
      </c>
      <c r="J3051" s="1" t="s">
        <v>66</v>
      </c>
      <c r="K3051" s="1" t="s">
        <v>1654</v>
      </c>
      <c r="L3051" s="1" t="s">
        <v>4473</v>
      </c>
      <c r="M3051" s="3">
        <v>46079</v>
      </c>
      <c r="N3051" s="1" t="s">
        <v>440</v>
      </c>
      <c r="O3051" s="1" t="s">
        <v>936</v>
      </c>
      <c r="P3051" s="1" t="s">
        <v>937</v>
      </c>
    </row>
    <row r="3052" spans="1:16" x14ac:dyDescent="0.25">
      <c r="A3052" s="3">
        <v>46078</v>
      </c>
      <c r="B3052" s="1">
        <v>77</v>
      </c>
      <c r="C3052" s="5">
        <v>3053.03</v>
      </c>
      <c r="D3052" s="1" t="s">
        <v>2158</v>
      </c>
      <c r="E3052" s="1" t="s">
        <v>2159</v>
      </c>
      <c r="F3052" s="1" t="s">
        <v>654</v>
      </c>
      <c r="G3052" s="1" t="s">
        <v>940</v>
      </c>
      <c r="H3052" s="3">
        <v>46095</v>
      </c>
      <c r="I3052" s="1" t="s">
        <v>4476</v>
      </c>
      <c r="J3052" s="1" t="s">
        <v>66</v>
      </c>
      <c r="K3052" s="1" t="s">
        <v>340</v>
      </c>
      <c r="L3052" s="1" t="s">
        <v>4477</v>
      </c>
      <c r="M3052" s="3">
        <v>46079</v>
      </c>
      <c r="N3052" s="1" t="s">
        <v>657</v>
      </c>
      <c r="O3052" s="1" t="s">
        <v>936</v>
      </c>
      <c r="P3052" s="1" t="s">
        <v>937</v>
      </c>
    </row>
    <row r="3053" spans="1:16" x14ac:dyDescent="0.25">
      <c r="A3053" s="3">
        <v>46078</v>
      </c>
      <c r="B3053" s="1">
        <v>57</v>
      </c>
      <c r="C3053" s="5">
        <v>2380</v>
      </c>
      <c r="D3053" s="1" t="s">
        <v>2158</v>
      </c>
      <c r="E3053" s="1" t="s">
        <v>2159</v>
      </c>
      <c r="F3053" s="1" t="s">
        <v>654</v>
      </c>
      <c r="G3053" s="1" t="s">
        <v>940</v>
      </c>
      <c r="H3053" s="3">
        <v>46095</v>
      </c>
      <c r="I3053" s="1" t="s">
        <v>4476</v>
      </c>
      <c r="J3053" s="1" t="s">
        <v>66</v>
      </c>
      <c r="K3053" s="1" t="s">
        <v>340</v>
      </c>
      <c r="L3053" s="1" t="s">
        <v>4478</v>
      </c>
      <c r="M3053" s="3">
        <v>46079</v>
      </c>
      <c r="N3053" s="1" t="s">
        <v>657</v>
      </c>
      <c r="O3053" s="1" t="s">
        <v>936</v>
      </c>
      <c r="P3053" s="1" t="s">
        <v>937</v>
      </c>
    </row>
    <row r="3054" spans="1:16" x14ac:dyDescent="0.25">
      <c r="A3054" s="3">
        <v>46078</v>
      </c>
      <c r="B3054" s="1">
        <v>58</v>
      </c>
      <c r="C3054" s="5">
        <v>854</v>
      </c>
      <c r="D3054" s="1" t="s">
        <v>2158</v>
      </c>
      <c r="E3054" s="1" t="s">
        <v>2159</v>
      </c>
      <c r="F3054" s="1" t="s">
        <v>277</v>
      </c>
      <c r="G3054" s="1" t="s">
        <v>940</v>
      </c>
      <c r="H3054" s="3">
        <v>46095</v>
      </c>
      <c r="I3054" s="1" t="s">
        <v>933</v>
      </c>
      <c r="J3054" s="1" t="s">
        <v>66</v>
      </c>
      <c r="K3054" s="1" t="s">
        <v>934</v>
      </c>
      <c r="L3054" s="1" t="s">
        <v>4479</v>
      </c>
      <c r="M3054" s="3">
        <v>46079</v>
      </c>
      <c r="N3054" s="1" t="s">
        <v>264</v>
      </c>
      <c r="O3054" s="1" t="s">
        <v>936</v>
      </c>
      <c r="P3054" s="1" t="s">
        <v>937</v>
      </c>
    </row>
    <row r="3055" spans="1:16" x14ac:dyDescent="0.25">
      <c r="A3055" s="3">
        <v>46078</v>
      </c>
      <c r="B3055" s="1">
        <v>80</v>
      </c>
      <c r="C3055" s="5">
        <v>4160</v>
      </c>
      <c r="D3055" s="1" t="s">
        <v>2158</v>
      </c>
      <c r="E3055" s="1" t="s">
        <v>2159</v>
      </c>
      <c r="F3055" s="1" t="s">
        <v>277</v>
      </c>
      <c r="G3055" s="1" t="s">
        <v>940</v>
      </c>
      <c r="H3055" s="3">
        <v>46095</v>
      </c>
      <c r="I3055" s="1" t="s">
        <v>933</v>
      </c>
      <c r="J3055" s="1" t="s">
        <v>66</v>
      </c>
      <c r="K3055" s="1" t="s">
        <v>340</v>
      </c>
      <c r="L3055" s="1" t="s">
        <v>4480</v>
      </c>
      <c r="M3055" s="3">
        <v>46079</v>
      </c>
      <c r="N3055" s="1" t="s">
        <v>264</v>
      </c>
      <c r="O3055" s="1" t="s">
        <v>936</v>
      </c>
      <c r="P3055" s="1" t="s">
        <v>937</v>
      </c>
    </row>
    <row r="3056" spans="1:16" x14ac:dyDescent="0.25">
      <c r="A3056" s="3">
        <v>46078</v>
      </c>
      <c r="B3056" s="4">
        <v>10390</v>
      </c>
      <c r="C3056" s="5">
        <v>16320.59</v>
      </c>
      <c r="D3056" s="1" t="s">
        <v>973</v>
      </c>
      <c r="E3056" s="1" t="s">
        <v>1068</v>
      </c>
      <c r="F3056" s="1" t="s">
        <v>1814</v>
      </c>
      <c r="G3056" s="1" t="s">
        <v>998</v>
      </c>
      <c r="H3056" s="3">
        <v>46093</v>
      </c>
      <c r="I3056" s="1" t="s">
        <v>933</v>
      </c>
      <c r="J3056" s="1" t="s">
        <v>66</v>
      </c>
      <c r="K3056" s="1" t="s">
        <v>308</v>
      </c>
      <c r="L3056" s="1" t="s">
        <v>1814</v>
      </c>
      <c r="M3056" s="3">
        <v>46079</v>
      </c>
      <c r="N3056" s="1" t="s">
        <v>1814</v>
      </c>
      <c r="O3056" s="1" t="s">
        <v>998</v>
      </c>
      <c r="P3056" s="1">
        <v>1</v>
      </c>
    </row>
    <row r="3057" spans="1:16" x14ac:dyDescent="0.25">
      <c r="A3057" s="3">
        <v>46078</v>
      </c>
      <c r="B3057" s="4">
        <v>12527</v>
      </c>
      <c r="C3057" s="5">
        <v>1512</v>
      </c>
      <c r="D3057" s="1" t="s">
        <v>3812</v>
      </c>
      <c r="E3057" s="1" t="s">
        <v>3907</v>
      </c>
      <c r="F3057" s="1" t="s">
        <v>88</v>
      </c>
      <c r="G3057" s="1" t="s">
        <v>1254</v>
      </c>
      <c r="H3057" s="3">
        <v>46106</v>
      </c>
      <c r="I3057" s="1" t="s">
        <v>933</v>
      </c>
      <c r="J3057" s="1" t="s">
        <v>66</v>
      </c>
      <c r="K3057" s="1" t="s">
        <v>1654</v>
      </c>
      <c r="L3057" s="1" t="s">
        <v>4481</v>
      </c>
      <c r="M3057" s="3">
        <v>46079</v>
      </c>
      <c r="N3057" s="1" t="s">
        <v>93</v>
      </c>
      <c r="O3057" s="1" t="s">
        <v>936</v>
      </c>
      <c r="P3057" s="1">
        <v>1</v>
      </c>
    </row>
    <row r="3058" spans="1:16" x14ac:dyDescent="0.25">
      <c r="A3058" s="3">
        <v>46078</v>
      </c>
      <c r="B3058" s="4">
        <v>1214</v>
      </c>
      <c r="C3058" s="5">
        <v>9180</v>
      </c>
      <c r="D3058" s="1" t="s">
        <v>1034</v>
      </c>
      <c r="E3058" s="1" t="s">
        <v>1035</v>
      </c>
      <c r="F3058" s="1" t="s">
        <v>949</v>
      </c>
      <c r="G3058" s="1" t="s">
        <v>20</v>
      </c>
      <c r="H3058" s="3">
        <v>46097</v>
      </c>
      <c r="I3058" s="1" t="s">
        <v>933</v>
      </c>
      <c r="J3058" s="1" t="s">
        <v>951</v>
      </c>
      <c r="K3058" s="1" t="s">
        <v>659</v>
      </c>
      <c r="L3058" s="1" t="s">
        <v>4482</v>
      </c>
      <c r="M3058" s="3">
        <v>46079</v>
      </c>
      <c r="N3058" s="1" t="s">
        <v>57</v>
      </c>
      <c r="O3058" s="1" t="s">
        <v>932</v>
      </c>
      <c r="P3058" s="1">
        <v>1</v>
      </c>
    </row>
    <row r="3059" spans="1:16" x14ac:dyDescent="0.25">
      <c r="A3059" s="3">
        <v>46078</v>
      </c>
      <c r="B3059" s="4">
        <v>7859</v>
      </c>
      <c r="C3059" s="5">
        <v>901.6</v>
      </c>
      <c r="D3059" s="1" t="s">
        <v>4483</v>
      </c>
      <c r="E3059" s="1" t="s">
        <v>4484</v>
      </c>
      <c r="F3059" s="1" t="s">
        <v>736</v>
      </c>
      <c r="G3059" s="1" t="s">
        <v>981</v>
      </c>
      <c r="H3059" s="1"/>
      <c r="I3059" s="1" t="s">
        <v>933</v>
      </c>
      <c r="J3059" s="1" t="s">
        <v>66</v>
      </c>
      <c r="K3059" s="1" t="s">
        <v>340</v>
      </c>
      <c r="L3059" s="1" t="s">
        <v>4485</v>
      </c>
      <c r="M3059" s="3">
        <v>46079</v>
      </c>
      <c r="N3059" s="1" t="s">
        <v>57</v>
      </c>
      <c r="O3059" s="1" t="s">
        <v>936</v>
      </c>
      <c r="P3059" s="1">
        <v>1</v>
      </c>
    </row>
    <row r="3060" spans="1:16" x14ac:dyDescent="0.25">
      <c r="A3060" s="3">
        <v>46078</v>
      </c>
      <c r="B3060" s="4">
        <v>1661</v>
      </c>
      <c r="C3060" s="5">
        <v>398.2</v>
      </c>
      <c r="D3060" s="1" t="s">
        <v>1901</v>
      </c>
      <c r="E3060" s="1" t="s">
        <v>1902</v>
      </c>
      <c r="F3060" s="1" t="s">
        <v>949</v>
      </c>
      <c r="G3060" s="1" t="s">
        <v>20</v>
      </c>
      <c r="H3060" s="3">
        <v>46106</v>
      </c>
      <c r="I3060" s="1" t="s">
        <v>933</v>
      </c>
      <c r="J3060" s="1" t="s">
        <v>951</v>
      </c>
      <c r="K3060" s="1" t="s">
        <v>659</v>
      </c>
      <c r="L3060" s="1" t="s">
        <v>4486</v>
      </c>
      <c r="M3060" s="3">
        <v>46081</v>
      </c>
      <c r="N3060" s="1" t="s">
        <v>57</v>
      </c>
      <c r="O3060" s="1" t="s">
        <v>936</v>
      </c>
      <c r="P3060" s="1">
        <v>1</v>
      </c>
    </row>
    <row r="3061" spans="1:16" x14ac:dyDescent="0.25">
      <c r="A3061" s="3">
        <v>46078</v>
      </c>
      <c r="B3061" s="1">
        <v>58</v>
      </c>
      <c r="C3061" s="5">
        <v>854</v>
      </c>
      <c r="D3061" s="1" t="s">
        <v>2158</v>
      </c>
      <c r="E3061" s="1" t="s">
        <v>2159</v>
      </c>
      <c r="F3061" s="1" t="s">
        <v>277</v>
      </c>
      <c r="G3061" s="1" t="s">
        <v>940</v>
      </c>
      <c r="H3061" s="3">
        <v>46095</v>
      </c>
      <c r="I3061" s="1" t="s">
        <v>933</v>
      </c>
      <c r="J3061" s="1" t="s">
        <v>66</v>
      </c>
      <c r="K3061" s="1" t="s">
        <v>340</v>
      </c>
      <c r="L3061" s="1" t="s">
        <v>4573</v>
      </c>
      <c r="M3061" s="3">
        <v>46079</v>
      </c>
      <c r="N3061" s="1" t="s">
        <v>264</v>
      </c>
      <c r="O3061" s="1" t="s">
        <v>936</v>
      </c>
      <c r="P3061" s="1" t="s">
        <v>937</v>
      </c>
    </row>
    <row r="3062" spans="1:16" x14ac:dyDescent="0.25">
      <c r="A3062" s="3">
        <v>46079</v>
      </c>
      <c r="B3062" s="1">
        <v>11</v>
      </c>
      <c r="C3062" s="5">
        <v>8000</v>
      </c>
      <c r="D3062" s="1" t="s">
        <v>4324</v>
      </c>
      <c r="E3062" s="1" t="s">
        <v>4325</v>
      </c>
      <c r="F3062" s="1" t="s">
        <v>955</v>
      </c>
      <c r="G3062" s="1" t="s">
        <v>932</v>
      </c>
      <c r="H3062" s="3">
        <v>46109</v>
      </c>
      <c r="I3062" s="1" t="s">
        <v>933</v>
      </c>
      <c r="J3062" s="1" t="s">
        <v>951</v>
      </c>
      <c r="K3062" s="1" t="s">
        <v>2018</v>
      </c>
      <c r="L3062" s="1" t="s">
        <v>4487</v>
      </c>
      <c r="M3062" s="3">
        <v>46078</v>
      </c>
      <c r="N3062" s="1" t="s">
        <v>821</v>
      </c>
      <c r="O3062" s="1" t="s">
        <v>936</v>
      </c>
      <c r="P3062" s="1">
        <v>1</v>
      </c>
    </row>
    <row r="3063" spans="1:16" x14ac:dyDescent="0.25">
      <c r="A3063" s="3">
        <v>46079</v>
      </c>
      <c r="B3063" s="1">
        <v>12</v>
      </c>
      <c r="C3063" s="5">
        <v>7000</v>
      </c>
      <c r="D3063" s="1" t="s">
        <v>4324</v>
      </c>
      <c r="E3063" s="1" t="s">
        <v>4325</v>
      </c>
      <c r="F3063" s="1" t="s">
        <v>66</v>
      </c>
      <c r="G3063" s="1" t="s">
        <v>932</v>
      </c>
      <c r="H3063" s="3">
        <v>46109</v>
      </c>
      <c r="I3063" s="1" t="s">
        <v>933</v>
      </c>
      <c r="J3063" s="1" t="s">
        <v>66</v>
      </c>
      <c r="K3063" s="1" t="s">
        <v>2018</v>
      </c>
      <c r="L3063" s="1" t="s">
        <v>4488</v>
      </c>
      <c r="M3063" s="3">
        <v>46078</v>
      </c>
      <c r="N3063" s="1" t="s">
        <v>821</v>
      </c>
      <c r="O3063" s="1" t="s">
        <v>936</v>
      </c>
      <c r="P3063" s="1">
        <v>1</v>
      </c>
    </row>
    <row r="3064" spans="1:16" x14ac:dyDescent="0.25">
      <c r="A3064" s="3">
        <v>46079</v>
      </c>
      <c r="B3064" s="4">
        <v>73031</v>
      </c>
      <c r="C3064" s="5">
        <v>665</v>
      </c>
      <c r="D3064" s="1" t="s">
        <v>1253</v>
      </c>
      <c r="E3064" s="1" t="s">
        <v>1487</v>
      </c>
      <c r="F3064" s="1" t="s">
        <v>650</v>
      </c>
      <c r="G3064" s="1" t="s">
        <v>1260</v>
      </c>
      <c r="H3064" s="3">
        <v>46111</v>
      </c>
      <c r="I3064" s="1" t="s">
        <v>933</v>
      </c>
      <c r="J3064" s="1" t="s">
        <v>66</v>
      </c>
      <c r="K3064" s="1" t="s">
        <v>340</v>
      </c>
      <c r="L3064" s="1" t="s">
        <v>4489</v>
      </c>
      <c r="M3064" s="3">
        <v>46079</v>
      </c>
      <c r="N3064" s="1" t="s">
        <v>57</v>
      </c>
      <c r="O3064" s="1" t="s">
        <v>936</v>
      </c>
      <c r="P3064" s="1">
        <v>1</v>
      </c>
    </row>
    <row r="3065" spans="1:16" x14ac:dyDescent="0.25">
      <c r="A3065" s="3">
        <v>46079</v>
      </c>
      <c r="B3065" s="1">
        <v>31</v>
      </c>
      <c r="C3065" s="5">
        <v>52407.55</v>
      </c>
      <c r="D3065" s="1" t="s">
        <v>1583</v>
      </c>
      <c r="E3065" s="1" t="s">
        <v>1584</v>
      </c>
      <c r="F3065" s="1" t="s">
        <v>949</v>
      </c>
      <c r="G3065" s="1" t="s">
        <v>20</v>
      </c>
      <c r="H3065" s="3">
        <v>46097</v>
      </c>
      <c r="I3065" s="1" t="s">
        <v>933</v>
      </c>
      <c r="J3065" s="1" t="s">
        <v>951</v>
      </c>
      <c r="K3065" s="1" t="s">
        <v>934</v>
      </c>
      <c r="L3065" s="1" t="s">
        <v>4490</v>
      </c>
      <c r="M3065" s="3">
        <v>46079</v>
      </c>
      <c r="N3065" s="1" t="s">
        <v>57</v>
      </c>
      <c r="O3065" s="1" t="s">
        <v>990</v>
      </c>
      <c r="P3065" s="1">
        <v>1</v>
      </c>
    </row>
    <row r="3066" spans="1:16" x14ac:dyDescent="0.25">
      <c r="A3066" s="3">
        <v>46079</v>
      </c>
      <c r="B3066" s="4">
        <v>1192</v>
      </c>
      <c r="C3066" s="5">
        <v>2436.9499999999998</v>
      </c>
      <c r="D3066" s="1" t="s">
        <v>4491</v>
      </c>
      <c r="E3066" s="1" t="s">
        <v>4492</v>
      </c>
      <c r="F3066" s="1" t="s">
        <v>659</v>
      </c>
      <c r="G3066" s="1" t="s">
        <v>20</v>
      </c>
      <c r="H3066" s="3">
        <v>46093</v>
      </c>
      <c r="I3066" s="1" t="s">
        <v>933</v>
      </c>
      <c r="J3066" s="1" t="s">
        <v>951</v>
      </c>
      <c r="K3066" s="1" t="s">
        <v>934</v>
      </c>
      <c r="L3066" s="1" t="s">
        <v>4493</v>
      </c>
      <c r="M3066" s="3">
        <v>46079</v>
      </c>
      <c r="N3066" s="1" t="s">
        <v>57</v>
      </c>
      <c r="O3066" s="1" t="s">
        <v>936</v>
      </c>
      <c r="P3066" s="1">
        <v>1</v>
      </c>
    </row>
    <row r="3067" spans="1:16" x14ac:dyDescent="0.25">
      <c r="A3067" s="3">
        <v>46079</v>
      </c>
      <c r="B3067" s="4">
        <v>73037</v>
      </c>
      <c r="C3067" s="5">
        <v>255.2</v>
      </c>
      <c r="D3067" s="1" t="s">
        <v>1253</v>
      </c>
      <c r="E3067" s="1" t="s">
        <v>1487</v>
      </c>
      <c r="F3067" s="1" t="s">
        <v>833</v>
      </c>
      <c r="G3067" s="1" t="s">
        <v>940</v>
      </c>
      <c r="H3067" s="3">
        <v>46111</v>
      </c>
      <c r="I3067" s="1" t="s">
        <v>933</v>
      </c>
      <c r="J3067" s="1" t="s">
        <v>66</v>
      </c>
      <c r="K3067" s="1" t="s">
        <v>340</v>
      </c>
      <c r="L3067" s="1" t="s">
        <v>4494</v>
      </c>
      <c r="M3067" s="3">
        <v>46079</v>
      </c>
      <c r="N3067" s="1" t="s">
        <v>836</v>
      </c>
      <c r="O3067" s="1" t="s">
        <v>936</v>
      </c>
      <c r="P3067" s="1">
        <v>1</v>
      </c>
    </row>
    <row r="3068" spans="1:16" x14ac:dyDescent="0.25">
      <c r="A3068" s="3">
        <v>46079</v>
      </c>
      <c r="B3068" s="4">
        <v>73037</v>
      </c>
      <c r="C3068" s="5">
        <v>3798.4</v>
      </c>
      <c r="D3068" s="1" t="s">
        <v>1573</v>
      </c>
      <c r="E3068" s="1" t="s">
        <v>2130</v>
      </c>
      <c r="F3068" s="1" t="s">
        <v>66</v>
      </c>
      <c r="G3068" s="1" t="s">
        <v>940</v>
      </c>
      <c r="H3068" s="3">
        <v>46107</v>
      </c>
      <c r="I3068" s="1" t="s">
        <v>933</v>
      </c>
      <c r="J3068" s="1" t="s">
        <v>66</v>
      </c>
      <c r="K3068" s="1" t="s">
        <v>308</v>
      </c>
      <c r="L3068" s="1" t="s">
        <v>4495</v>
      </c>
      <c r="M3068" s="3">
        <v>46079</v>
      </c>
      <c r="N3068" s="1" t="s">
        <v>57</v>
      </c>
      <c r="O3068" s="1" t="s">
        <v>936</v>
      </c>
      <c r="P3068" s="1">
        <v>1</v>
      </c>
    </row>
    <row r="3069" spans="1:16" x14ac:dyDescent="0.25">
      <c r="A3069" s="3">
        <v>46079</v>
      </c>
      <c r="B3069" s="4">
        <v>1229</v>
      </c>
      <c r="C3069" s="5">
        <v>8385</v>
      </c>
      <c r="D3069" s="1" t="s">
        <v>2510</v>
      </c>
      <c r="E3069" s="1" t="s">
        <v>4496</v>
      </c>
      <c r="F3069" s="1" t="s">
        <v>66</v>
      </c>
      <c r="G3069" s="1" t="s">
        <v>940</v>
      </c>
      <c r="H3069" s="3">
        <v>46098</v>
      </c>
      <c r="I3069" s="1" t="s">
        <v>933</v>
      </c>
      <c r="J3069" s="1" t="s">
        <v>66</v>
      </c>
      <c r="K3069" s="1" t="s">
        <v>340</v>
      </c>
      <c r="L3069" s="1" t="s">
        <v>4497</v>
      </c>
      <c r="M3069" s="3">
        <v>46079</v>
      </c>
      <c r="N3069" s="1" t="s">
        <v>57</v>
      </c>
      <c r="O3069" s="1" t="s">
        <v>932</v>
      </c>
      <c r="P3069" s="1">
        <v>1</v>
      </c>
    </row>
    <row r="3070" spans="1:16" x14ac:dyDescent="0.25">
      <c r="A3070" s="3">
        <v>46079</v>
      </c>
      <c r="B3070" s="4">
        <v>96606</v>
      </c>
      <c r="C3070" s="5">
        <v>1700</v>
      </c>
      <c r="D3070" s="1" t="s">
        <v>1094</v>
      </c>
      <c r="E3070" s="1" t="s">
        <v>1095</v>
      </c>
      <c r="F3070" s="1" t="s">
        <v>66</v>
      </c>
      <c r="G3070" s="1" t="s">
        <v>1010</v>
      </c>
      <c r="H3070" s="3">
        <v>46100</v>
      </c>
      <c r="I3070" s="1" t="s">
        <v>933</v>
      </c>
      <c r="J3070" s="1" t="s">
        <v>66</v>
      </c>
      <c r="K3070" s="1" t="s">
        <v>340</v>
      </c>
      <c r="L3070" s="1" t="s">
        <v>4498</v>
      </c>
      <c r="M3070" s="3">
        <v>46080</v>
      </c>
      <c r="N3070" s="1" t="s">
        <v>57</v>
      </c>
      <c r="O3070" s="1" t="s">
        <v>998</v>
      </c>
      <c r="P3070" s="1">
        <v>1</v>
      </c>
    </row>
    <row r="3071" spans="1:16" x14ac:dyDescent="0.25">
      <c r="A3071" s="3">
        <v>46079</v>
      </c>
      <c r="B3071" s="4">
        <v>129728</v>
      </c>
      <c r="C3071" s="5">
        <v>1557.83</v>
      </c>
      <c r="D3071" s="1" t="s">
        <v>4499</v>
      </c>
      <c r="E3071" s="1" t="s">
        <v>4500</v>
      </c>
      <c r="F3071" s="1" t="s">
        <v>949</v>
      </c>
      <c r="G3071" s="1" t="s">
        <v>940</v>
      </c>
      <c r="H3071" s="3">
        <v>46111</v>
      </c>
      <c r="I3071" s="1" t="s">
        <v>933</v>
      </c>
      <c r="J3071" s="1" t="s">
        <v>951</v>
      </c>
      <c r="K3071" s="1" t="s">
        <v>659</v>
      </c>
      <c r="L3071" s="1" t="s">
        <v>4501</v>
      </c>
      <c r="M3071" s="3">
        <v>46080</v>
      </c>
      <c r="N3071" s="1" t="s">
        <v>57</v>
      </c>
      <c r="O3071" s="1" t="s">
        <v>936</v>
      </c>
      <c r="P3071" s="1">
        <v>1</v>
      </c>
    </row>
    <row r="3072" spans="1:16" x14ac:dyDescent="0.25">
      <c r="A3072" s="3">
        <v>46079</v>
      </c>
      <c r="B3072" s="4">
        <v>145837</v>
      </c>
      <c r="C3072" s="5">
        <v>367.33</v>
      </c>
      <c r="D3072" s="1" t="s">
        <v>4502</v>
      </c>
      <c r="E3072" s="1" t="s">
        <v>4503</v>
      </c>
      <c r="F3072" s="1" t="s">
        <v>591</v>
      </c>
      <c r="G3072" s="1" t="s">
        <v>940</v>
      </c>
      <c r="H3072" s="1"/>
      <c r="I3072" s="1" t="s">
        <v>1100</v>
      </c>
      <c r="J3072" s="1" t="s">
        <v>66</v>
      </c>
      <c r="K3072" s="1" t="s">
        <v>308</v>
      </c>
      <c r="L3072" s="1" t="s">
        <v>4504</v>
      </c>
      <c r="M3072" s="3">
        <v>46081</v>
      </c>
      <c r="N3072" s="1" t="s">
        <v>57</v>
      </c>
      <c r="O3072" s="1" t="s">
        <v>936</v>
      </c>
      <c r="P3072" s="1" t="s">
        <v>937</v>
      </c>
    </row>
    <row r="3073" spans="1:16" x14ac:dyDescent="0.25">
      <c r="A3073" s="3">
        <v>46080</v>
      </c>
      <c r="B3073" s="4">
        <v>1413</v>
      </c>
      <c r="C3073" s="5">
        <v>250</v>
      </c>
      <c r="D3073" s="1" t="s">
        <v>3950</v>
      </c>
      <c r="E3073" s="1" t="s">
        <v>3951</v>
      </c>
      <c r="F3073" s="1" t="s">
        <v>66</v>
      </c>
      <c r="G3073" s="1" t="s">
        <v>940</v>
      </c>
      <c r="H3073" s="3">
        <v>46108</v>
      </c>
      <c r="I3073" s="1" t="s">
        <v>933</v>
      </c>
      <c r="J3073" s="1" t="s">
        <v>66</v>
      </c>
      <c r="K3073" s="1" t="s">
        <v>308</v>
      </c>
      <c r="L3073" s="1" t="s">
        <v>4505</v>
      </c>
      <c r="M3073" s="3">
        <v>46080</v>
      </c>
      <c r="N3073" s="1" t="s">
        <v>57</v>
      </c>
      <c r="O3073" s="1" t="s">
        <v>936</v>
      </c>
      <c r="P3073" s="1" t="s">
        <v>937</v>
      </c>
    </row>
    <row r="3074" spans="1:16" x14ac:dyDescent="0.25">
      <c r="A3074" s="3">
        <v>46080</v>
      </c>
      <c r="B3074" s="4">
        <v>1413</v>
      </c>
      <c r="C3074" s="5">
        <v>550</v>
      </c>
      <c r="D3074" s="1" t="s">
        <v>3950</v>
      </c>
      <c r="E3074" s="1" t="s">
        <v>3951</v>
      </c>
      <c r="F3074" s="1" t="s">
        <v>787</v>
      </c>
      <c r="G3074" s="1" t="s">
        <v>940</v>
      </c>
      <c r="H3074" s="3">
        <v>46108</v>
      </c>
      <c r="I3074" s="1" t="s">
        <v>933</v>
      </c>
      <c r="J3074" s="1" t="s">
        <v>66</v>
      </c>
      <c r="K3074" s="1" t="s">
        <v>308</v>
      </c>
      <c r="L3074" s="1" t="s">
        <v>4506</v>
      </c>
      <c r="M3074" s="3">
        <v>46080</v>
      </c>
      <c r="N3074" s="1" t="s">
        <v>57</v>
      </c>
      <c r="O3074" s="1" t="s">
        <v>936</v>
      </c>
      <c r="P3074" s="1" t="s">
        <v>937</v>
      </c>
    </row>
    <row r="3075" spans="1:16" x14ac:dyDescent="0.25">
      <c r="A3075" s="3">
        <v>46080</v>
      </c>
      <c r="B3075" s="4">
        <v>19174</v>
      </c>
      <c r="C3075" s="5">
        <v>95.52</v>
      </c>
      <c r="D3075" s="1" t="s">
        <v>3950</v>
      </c>
      <c r="E3075" s="1" t="s">
        <v>3951</v>
      </c>
      <c r="F3075" s="1" t="s">
        <v>307</v>
      </c>
      <c r="G3075" s="1" t="s">
        <v>940</v>
      </c>
      <c r="H3075" s="3">
        <v>46108</v>
      </c>
      <c r="I3075" s="1" t="s">
        <v>933</v>
      </c>
      <c r="J3075" s="1" t="s">
        <v>66</v>
      </c>
      <c r="K3075" s="1" t="s">
        <v>308</v>
      </c>
      <c r="L3075" s="1" t="s">
        <v>4507</v>
      </c>
      <c r="M3075" s="3">
        <v>46080</v>
      </c>
      <c r="N3075" s="1" t="s">
        <v>57</v>
      </c>
      <c r="O3075" s="1" t="s">
        <v>936</v>
      </c>
      <c r="P3075" s="1" t="s">
        <v>937</v>
      </c>
    </row>
    <row r="3076" spans="1:16" x14ac:dyDescent="0.25">
      <c r="A3076" s="3">
        <v>46080</v>
      </c>
      <c r="B3076" s="4">
        <v>19174</v>
      </c>
      <c r="C3076" s="5">
        <v>129.52000000000001</v>
      </c>
      <c r="D3076" s="1" t="s">
        <v>3950</v>
      </c>
      <c r="E3076" s="1" t="s">
        <v>3951</v>
      </c>
      <c r="F3076" s="1" t="s">
        <v>457</v>
      </c>
      <c r="G3076" s="1" t="s">
        <v>1260</v>
      </c>
      <c r="H3076" s="3">
        <v>46108</v>
      </c>
      <c r="I3076" s="1" t="s">
        <v>933</v>
      </c>
      <c r="J3076" s="1" t="s">
        <v>66</v>
      </c>
      <c r="K3076" s="1" t="s">
        <v>308</v>
      </c>
      <c r="L3076" s="1" t="s">
        <v>4508</v>
      </c>
      <c r="M3076" s="3">
        <v>46080</v>
      </c>
      <c r="N3076" s="1" t="s">
        <v>358</v>
      </c>
      <c r="O3076" s="1" t="s">
        <v>936</v>
      </c>
      <c r="P3076" s="1" t="s">
        <v>937</v>
      </c>
    </row>
    <row r="3077" spans="1:16" x14ac:dyDescent="0.25">
      <c r="A3077" s="3">
        <v>46080</v>
      </c>
      <c r="B3077" s="4">
        <v>19174</v>
      </c>
      <c r="C3077" s="5">
        <v>237.72</v>
      </c>
      <c r="D3077" s="1" t="s">
        <v>3950</v>
      </c>
      <c r="E3077" s="1" t="s">
        <v>3951</v>
      </c>
      <c r="F3077" s="1" t="s">
        <v>437</v>
      </c>
      <c r="G3077" s="1" t="s">
        <v>940</v>
      </c>
      <c r="H3077" s="3">
        <v>46108</v>
      </c>
      <c r="I3077" s="1" t="s">
        <v>933</v>
      </c>
      <c r="J3077" s="1" t="s">
        <v>66</v>
      </c>
      <c r="K3077" s="1" t="s">
        <v>308</v>
      </c>
      <c r="L3077" s="1" t="s">
        <v>4509</v>
      </c>
      <c r="M3077" s="3">
        <v>46080</v>
      </c>
      <c r="N3077" s="1" t="s">
        <v>440</v>
      </c>
      <c r="O3077" s="1" t="s">
        <v>936</v>
      </c>
      <c r="P3077" s="1" t="s">
        <v>937</v>
      </c>
    </row>
    <row r="3078" spans="1:16" x14ac:dyDescent="0.25">
      <c r="A3078" s="3">
        <v>46080</v>
      </c>
      <c r="B3078" s="4">
        <v>19174</v>
      </c>
      <c r="C3078" s="5">
        <v>12.2</v>
      </c>
      <c r="D3078" s="1" t="s">
        <v>3950</v>
      </c>
      <c r="E3078" s="1" t="s">
        <v>3951</v>
      </c>
      <c r="F3078" s="1" t="s">
        <v>639</v>
      </c>
      <c r="G3078" s="1" t="s">
        <v>940</v>
      </c>
      <c r="H3078" s="3">
        <v>46108</v>
      </c>
      <c r="I3078" s="1" t="s">
        <v>933</v>
      </c>
      <c r="J3078" s="1" t="s">
        <v>66</v>
      </c>
      <c r="K3078" s="1" t="s">
        <v>308</v>
      </c>
      <c r="L3078" s="1" t="s">
        <v>4510</v>
      </c>
      <c r="M3078" s="3">
        <v>46080</v>
      </c>
      <c r="N3078" s="1" t="s">
        <v>98</v>
      </c>
      <c r="O3078" s="1" t="s">
        <v>936</v>
      </c>
      <c r="P3078" s="1" t="s">
        <v>937</v>
      </c>
    </row>
    <row r="3079" spans="1:16" x14ac:dyDescent="0.25">
      <c r="A3079" s="3">
        <v>46080</v>
      </c>
      <c r="B3079" s="4">
        <v>19174</v>
      </c>
      <c r="C3079" s="5">
        <v>75</v>
      </c>
      <c r="D3079" s="1" t="s">
        <v>3950</v>
      </c>
      <c r="E3079" s="1" t="s">
        <v>3951</v>
      </c>
      <c r="F3079" s="1" t="s">
        <v>852</v>
      </c>
      <c r="G3079" s="1" t="s">
        <v>940</v>
      </c>
      <c r="H3079" s="3">
        <v>46108</v>
      </c>
      <c r="I3079" s="1" t="s">
        <v>933</v>
      </c>
      <c r="J3079" s="1" t="s">
        <v>66</v>
      </c>
      <c r="K3079" s="1" t="s">
        <v>308</v>
      </c>
      <c r="L3079" s="1" t="s">
        <v>4511</v>
      </c>
      <c r="M3079" s="3">
        <v>46080</v>
      </c>
      <c r="N3079" s="1" t="s">
        <v>666</v>
      </c>
      <c r="O3079" s="1" t="s">
        <v>936</v>
      </c>
      <c r="P3079" s="1" t="s">
        <v>937</v>
      </c>
    </row>
    <row r="3080" spans="1:16" x14ac:dyDescent="0.25">
      <c r="A3080" s="3">
        <v>46080</v>
      </c>
      <c r="B3080" s="4">
        <v>19174</v>
      </c>
      <c r="C3080" s="5">
        <v>634.84</v>
      </c>
      <c r="D3080" s="1" t="s">
        <v>3950</v>
      </c>
      <c r="E3080" s="1" t="s">
        <v>3951</v>
      </c>
      <c r="F3080" s="1" t="s">
        <v>787</v>
      </c>
      <c r="G3080" s="1" t="s">
        <v>940</v>
      </c>
      <c r="H3080" s="3">
        <v>46108</v>
      </c>
      <c r="I3080" s="1" t="s">
        <v>933</v>
      </c>
      <c r="J3080" s="1" t="s">
        <v>66</v>
      </c>
      <c r="K3080" s="1" t="s">
        <v>308</v>
      </c>
      <c r="L3080" s="1" t="s">
        <v>4512</v>
      </c>
      <c r="M3080" s="3">
        <v>46080</v>
      </c>
      <c r="N3080" s="1" t="s">
        <v>57</v>
      </c>
      <c r="O3080" s="1" t="s">
        <v>936</v>
      </c>
      <c r="P3080" s="1" t="s">
        <v>937</v>
      </c>
    </row>
    <row r="3081" spans="1:16" x14ac:dyDescent="0.25">
      <c r="A3081" s="3">
        <v>46080</v>
      </c>
      <c r="B3081" s="4">
        <v>130483</v>
      </c>
      <c r="C3081" s="5">
        <v>1600.01</v>
      </c>
      <c r="D3081" s="1" t="s">
        <v>1964</v>
      </c>
      <c r="E3081" s="1" t="s">
        <v>1965</v>
      </c>
      <c r="F3081" s="1" t="s">
        <v>66</v>
      </c>
      <c r="G3081" s="1" t="s">
        <v>932</v>
      </c>
      <c r="H3081" s="3">
        <v>46103</v>
      </c>
      <c r="I3081" s="1" t="s">
        <v>933</v>
      </c>
      <c r="J3081" s="1" t="s">
        <v>66</v>
      </c>
      <c r="K3081" s="1" t="s">
        <v>340</v>
      </c>
      <c r="L3081" s="1" t="s">
        <v>4513</v>
      </c>
      <c r="M3081" s="3">
        <v>46080</v>
      </c>
      <c r="N3081" s="1" t="s">
        <v>57</v>
      </c>
      <c r="O3081" s="1" t="s">
        <v>932</v>
      </c>
      <c r="P3081" s="1">
        <v>1</v>
      </c>
    </row>
    <row r="3082" spans="1:16" x14ac:dyDescent="0.25">
      <c r="A3082" s="3">
        <v>46080</v>
      </c>
      <c r="B3082" s="4">
        <v>130483</v>
      </c>
      <c r="C3082" s="5">
        <v>7100</v>
      </c>
      <c r="D3082" s="1" t="s">
        <v>1964</v>
      </c>
      <c r="E3082" s="1" t="s">
        <v>1965</v>
      </c>
      <c r="F3082" s="1" t="s">
        <v>66</v>
      </c>
      <c r="G3082" s="1" t="s">
        <v>932</v>
      </c>
      <c r="H3082" s="3">
        <v>46105</v>
      </c>
      <c r="I3082" s="1" t="s">
        <v>933</v>
      </c>
      <c r="J3082" s="1" t="s">
        <v>66</v>
      </c>
      <c r="K3082" s="1" t="s">
        <v>340</v>
      </c>
      <c r="L3082" s="1" t="s">
        <v>4513</v>
      </c>
      <c r="M3082" s="3">
        <v>46080</v>
      </c>
      <c r="N3082" s="1" t="s">
        <v>57</v>
      </c>
      <c r="O3082" s="1" t="s">
        <v>932</v>
      </c>
      <c r="P3082" s="1">
        <v>1</v>
      </c>
    </row>
    <row r="3083" spans="1:16" x14ac:dyDescent="0.25">
      <c r="A3083" s="3">
        <v>46080</v>
      </c>
      <c r="B3083" s="4">
        <v>1413</v>
      </c>
      <c r="C3083" s="5">
        <v>800</v>
      </c>
      <c r="D3083" s="1" t="s">
        <v>3954</v>
      </c>
      <c r="E3083" s="1" t="s">
        <v>3955</v>
      </c>
      <c r="F3083" s="1" t="s">
        <v>787</v>
      </c>
      <c r="G3083" s="1" t="s">
        <v>940</v>
      </c>
      <c r="H3083" s="3">
        <v>46108</v>
      </c>
      <c r="I3083" s="1" t="s">
        <v>933</v>
      </c>
      <c r="J3083" s="1" t="s">
        <v>66</v>
      </c>
      <c r="K3083" s="1" t="s">
        <v>308</v>
      </c>
      <c r="L3083" s="1" t="s">
        <v>4514</v>
      </c>
      <c r="M3083" s="3">
        <v>46080</v>
      </c>
      <c r="N3083" s="1" t="s">
        <v>57</v>
      </c>
      <c r="O3083" s="1" t="s">
        <v>936</v>
      </c>
      <c r="P3083" s="1" t="s">
        <v>937</v>
      </c>
    </row>
    <row r="3084" spans="1:16" x14ac:dyDescent="0.25">
      <c r="A3084" s="3">
        <v>46080</v>
      </c>
      <c r="B3084" s="4">
        <v>96616</v>
      </c>
      <c r="C3084" s="5">
        <v>57000</v>
      </c>
      <c r="D3084" s="1" t="s">
        <v>1094</v>
      </c>
      <c r="E3084" s="1" t="s">
        <v>1095</v>
      </c>
      <c r="F3084" s="1" t="s">
        <v>66</v>
      </c>
      <c r="G3084" s="1" t="s">
        <v>998</v>
      </c>
      <c r="H3084" s="3">
        <v>46101</v>
      </c>
      <c r="I3084" s="1" t="s">
        <v>933</v>
      </c>
      <c r="J3084" s="1" t="s">
        <v>66</v>
      </c>
      <c r="K3084" s="1" t="s">
        <v>340</v>
      </c>
      <c r="L3084" s="1" t="s">
        <v>4515</v>
      </c>
      <c r="M3084" s="3">
        <v>46080</v>
      </c>
      <c r="N3084" s="1" t="s">
        <v>57</v>
      </c>
      <c r="O3084" s="1" t="s">
        <v>998</v>
      </c>
      <c r="P3084" s="1">
        <v>1</v>
      </c>
    </row>
    <row r="3085" spans="1:16" x14ac:dyDescent="0.25">
      <c r="A3085" s="3">
        <v>46080</v>
      </c>
      <c r="B3085" s="4">
        <v>5176</v>
      </c>
      <c r="C3085" s="5">
        <v>342.66</v>
      </c>
      <c r="D3085" s="1" t="s">
        <v>938</v>
      </c>
      <c r="E3085" s="1" t="s">
        <v>939</v>
      </c>
      <c r="F3085" s="1" t="s">
        <v>1567</v>
      </c>
      <c r="G3085" s="1" t="s">
        <v>998</v>
      </c>
      <c r="H3085" s="3">
        <v>46108</v>
      </c>
      <c r="I3085" s="1" t="s">
        <v>933</v>
      </c>
      <c r="J3085" s="1" t="s">
        <v>951</v>
      </c>
      <c r="K3085" s="1" t="s">
        <v>934</v>
      </c>
      <c r="L3085" s="1" t="s">
        <v>4516</v>
      </c>
      <c r="M3085" s="3">
        <v>46080</v>
      </c>
      <c r="N3085" s="1" t="s">
        <v>57</v>
      </c>
      <c r="O3085" s="1" t="s">
        <v>936</v>
      </c>
      <c r="P3085" s="1">
        <v>1</v>
      </c>
    </row>
    <row r="3086" spans="1:16" x14ac:dyDescent="0.25">
      <c r="A3086" s="3">
        <v>46080</v>
      </c>
      <c r="B3086" s="4">
        <v>10408</v>
      </c>
      <c r="C3086" s="5">
        <v>573.59</v>
      </c>
      <c r="D3086" s="1" t="s">
        <v>973</v>
      </c>
      <c r="E3086" s="1" t="s">
        <v>1068</v>
      </c>
      <c r="F3086" s="1" t="s">
        <v>66</v>
      </c>
      <c r="G3086" s="1" t="s">
        <v>998</v>
      </c>
      <c r="H3086" s="3">
        <v>46095</v>
      </c>
      <c r="I3086" s="1" t="s">
        <v>933</v>
      </c>
      <c r="J3086" s="1" t="s">
        <v>66</v>
      </c>
      <c r="K3086" s="1" t="s">
        <v>308</v>
      </c>
      <c r="L3086" s="1" t="s">
        <v>4517</v>
      </c>
      <c r="M3086" s="3">
        <v>46080</v>
      </c>
      <c r="N3086" s="1" t="s">
        <v>57</v>
      </c>
      <c r="O3086" s="1" t="s">
        <v>998</v>
      </c>
      <c r="P3086" s="1">
        <v>1</v>
      </c>
    </row>
    <row r="3087" spans="1:16" x14ac:dyDescent="0.25">
      <c r="A3087" s="3">
        <v>46080</v>
      </c>
      <c r="B3087" s="4">
        <v>10408</v>
      </c>
      <c r="C3087" s="5">
        <v>513.78</v>
      </c>
      <c r="D3087" s="1" t="s">
        <v>973</v>
      </c>
      <c r="E3087" s="1" t="s">
        <v>1068</v>
      </c>
      <c r="F3087" s="1" t="s">
        <v>66</v>
      </c>
      <c r="G3087" s="1" t="s">
        <v>998</v>
      </c>
      <c r="H3087" s="3">
        <v>46095</v>
      </c>
      <c r="I3087" s="1" t="s">
        <v>933</v>
      </c>
      <c r="J3087" s="1" t="s">
        <v>66</v>
      </c>
      <c r="K3087" s="1" t="s">
        <v>308</v>
      </c>
      <c r="L3087" s="1" t="s">
        <v>4518</v>
      </c>
      <c r="M3087" s="3">
        <v>46080</v>
      </c>
      <c r="N3087" s="1" t="s">
        <v>57</v>
      </c>
      <c r="O3087" s="1" t="s">
        <v>998</v>
      </c>
      <c r="P3087" s="1">
        <v>1</v>
      </c>
    </row>
    <row r="3088" spans="1:16" x14ac:dyDescent="0.25">
      <c r="A3088" s="3">
        <v>46080</v>
      </c>
      <c r="B3088" s="4">
        <v>10408</v>
      </c>
      <c r="C3088" s="5">
        <v>1270.29</v>
      </c>
      <c r="D3088" s="1" t="s">
        <v>973</v>
      </c>
      <c r="E3088" s="1" t="s">
        <v>1068</v>
      </c>
      <c r="F3088" s="1" t="s">
        <v>66</v>
      </c>
      <c r="G3088" s="1" t="s">
        <v>998</v>
      </c>
      <c r="H3088" s="3">
        <v>46095</v>
      </c>
      <c r="I3088" s="1" t="s">
        <v>933</v>
      </c>
      <c r="J3088" s="1" t="s">
        <v>66</v>
      </c>
      <c r="K3088" s="1" t="s">
        <v>308</v>
      </c>
      <c r="L3088" s="1" t="s">
        <v>4519</v>
      </c>
      <c r="M3088" s="3">
        <v>46080</v>
      </c>
      <c r="N3088" s="1" t="s">
        <v>57</v>
      </c>
      <c r="O3088" s="1" t="s">
        <v>998</v>
      </c>
      <c r="P3088" s="1">
        <v>1</v>
      </c>
    </row>
    <row r="3089" spans="1:16" x14ac:dyDescent="0.25">
      <c r="A3089" s="3">
        <v>46080</v>
      </c>
      <c r="B3089" s="4">
        <v>10408</v>
      </c>
      <c r="C3089" s="5">
        <v>853.5</v>
      </c>
      <c r="D3089" s="1" t="s">
        <v>973</v>
      </c>
      <c r="E3089" s="1" t="s">
        <v>1068</v>
      </c>
      <c r="F3089" s="1" t="s">
        <v>66</v>
      </c>
      <c r="G3089" s="1" t="s">
        <v>998</v>
      </c>
      <c r="H3089" s="3">
        <v>46095</v>
      </c>
      <c r="I3089" s="1" t="s">
        <v>933</v>
      </c>
      <c r="J3089" s="1" t="s">
        <v>66</v>
      </c>
      <c r="K3089" s="1" t="s">
        <v>308</v>
      </c>
      <c r="L3089" s="1" t="s">
        <v>4520</v>
      </c>
      <c r="M3089" s="3">
        <v>46080</v>
      </c>
      <c r="N3089" s="1" t="s">
        <v>57</v>
      </c>
      <c r="O3089" s="1" t="s">
        <v>998</v>
      </c>
      <c r="P3089" s="1">
        <v>1</v>
      </c>
    </row>
    <row r="3090" spans="1:16" x14ac:dyDescent="0.25">
      <c r="A3090" s="3">
        <v>46080</v>
      </c>
      <c r="B3090" s="4">
        <v>10408</v>
      </c>
      <c r="C3090" s="5">
        <v>1285.7</v>
      </c>
      <c r="D3090" s="1" t="s">
        <v>973</v>
      </c>
      <c r="E3090" s="1" t="s">
        <v>1068</v>
      </c>
      <c r="F3090" s="1" t="s">
        <v>66</v>
      </c>
      <c r="G3090" s="1" t="s">
        <v>998</v>
      </c>
      <c r="H3090" s="3">
        <v>46095</v>
      </c>
      <c r="I3090" s="1" t="s">
        <v>933</v>
      </c>
      <c r="J3090" s="1" t="s">
        <v>66</v>
      </c>
      <c r="K3090" s="1" t="s">
        <v>308</v>
      </c>
      <c r="L3090" s="1" t="s">
        <v>4521</v>
      </c>
      <c r="M3090" s="3">
        <v>46080</v>
      </c>
      <c r="N3090" s="1" t="s">
        <v>57</v>
      </c>
      <c r="O3090" s="1" t="s">
        <v>998</v>
      </c>
      <c r="P3090" s="1">
        <v>1</v>
      </c>
    </row>
    <row r="3091" spans="1:16" x14ac:dyDescent="0.25">
      <c r="A3091" s="3">
        <v>46080</v>
      </c>
      <c r="B3091" s="4">
        <v>10408</v>
      </c>
      <c r="C3091" s="5">
        <v>1481.35</v>
      </c>
      <c r="D3091" s="1" t="s">
        <v>973</v>
      </c>
      <c r="E3091" s="1" t="s">
        <v>1068</v>
      </c>
      <c r="F3091" s="1" t="s">
        <v>66</v>
      </c>
      <c r="G3091" s="1" t="s">
        <v>998</v>
      </c>
      <c r="H3091" s="3">
        <v>46095</v>
      </c>
      <c r="I3091" s="1" t="s">
        <v>933</v>
      </c>
      <c r="J3091" s="1" t="s">
        <v>66</v>
      </c>
      <c r="K3091" s="1" t="s">
        <v>308</v>
      </c>
      <c r="L3091" s="1" t="s">
        <v>4522</v>
      </c>
      <c r="M3091" s="3">
        <v>46080</v>
      </c>
      <c r="N3091" s="1" t="s">
        <v>57</v>
      </c>
      <c r="O3091" s="1" t="s">
        <v>998</v>
      </c>
      <c r="P3091" s="1">
        <v>1</v>
      </c>
    </row>
    <row r="3092" spans="1:16" x14ac:dyDescent="0.25">
      <c r="A3092" s="3">
        <v>46080</v>
      </c>
      <c r="B3092" s="4">
        <v>10408</v>
      </c>
      <c r="C3092" s="5">
        <v>1469.22</v>
      </c>
      <c r="D3092" s="1" t="s">
        <v>973</v>
      </c>
      <c r="E3092" s="1" t="s">
        <v>1068</v>
      </c>
      <c r="F3092" s="1" t="s">
        <v>66</v>
      </c>
      <c r="G3092" s="1" t="s">
        <v>998</v>
      </c>
      <c r="H3092" s="3">
        <v>46095</v>
      </c>
      <c r="I3092" s="1" t="s">
        <v>933</v>
      </c>
      <c r="J3092" s="1" t="s">
        <v>66</v>
      </c>
      <c r="K3092" s="1" t="s">
        <v>308</v>
      </c>
      <c r="L3092" s="1" t="s">
        <v>4523</v>
      </c>
      <c r="M3092" s="3">
        <v>46080</v>
      </c>
      <c r="N3092" s="1" t="s">
        <v>57</v>
      </c>
      <c r="O3092" s="1" t="s">
        <v>998</v>
      </c>
      <c r="P3092" s="1">
        <v>1</v>
      </c>
    </row>
    <row r="3093" spans="1:16" x14ac:dyDescent="0.25">
      <c r="A3093" s="3">
        <v>46080</v>
      </c>
      <c r="B3093" s="4">
        <v>10408</v>
      </c>
      <c r="C3093" s="5">
        <v>3190.21</v>
      </c>
      <c r="D3093" s="1" t="s">
        <v>973</v>
      </c>
      <c r="E3093" s="1" t="s">
        <v>1068</v>
      </c>
      <c r="F3093" s="1" t="s">
        <v>66</v>
      </c>
      <c r="G3093" s="1" t="s">
        <v>998</v>
      </c>
      <c r="H3093" s="3">
        <v>46095</v>
      </c>
      <c r="I3093" s="1" t="s">
        <v>933</v>
      </c>
      <c r="J3093" s="1" t="s">
        <v>66</v>
      </c>
      <c r="K3093" s="1" t="s">
        <v>308</v>
      </c>
      <c r="L3093" s="1" t="s">
        <v>4524</v>
      </c>
      <c r="M3093" s="3">
        <v>46080</v>
      </c>
      <c r="N3093" s="1" t="s">
        <v>57</v>
      </c>
      <c r="O3093" s="1" t="s">
        <v>998</v>
      </c>
      <c r="P3093" s="1">
        <v>1</v>
      </c>
    </row>
    <row r="3094" spans="1:16" x14ac:dyDescent="0.25">
      <c r="A3094" s="3">
        <v>46080</v>
      </c>
      <c r="B3094" s="4">
        <v>10408</v>
      </c>
      <c r="C3094" s="5">
        <v>1553.37</v>
      </c>
      <c r="D3094" s="1" t="s">
        <v>973</v>
      </c>
      <c r="E3094" s="1" t="s">
        <v>1068</v>
      </c>
      <c r="F3094" s="1" t="s">
        <v>66</v>
      </c>
      <c r="G3094" s="1" t="s">
        <v>998</v>
      </c>
      <c r="H3094" s="3">
        <v>46095</v>
      </c>
      <c r="I3094" s="1" t="s">
        <v>933</v>
      </c>
      <c r="J3094" s="1" t="s">
        <v>66</v>
      </c>
      <c r="K3094" s="1" t="s">
        <v>308</v>
      </c>
      <c r="L3094" s="1" t="s">
        <v>4525</v>
      </c>
      <c r="M3094" s="3">
        <v>46080</v>
      </c>
      <c r="N3094" s="1" t="s">
        <v>57</v>
      </c>
      <c r="O3094" s="1" t="s">
        <v>998</v>
      </c>
      <c r="P3094" s="1">
        <v>1</v>
      </c>
    </row>
    <row r="3095" spans="1:16" x14ac:dyDescent="0.25">
      <c r="A3095" s="3">
        <v>46080</v>
      </c>
      <c r="B3095" s="4">
        <v>10408</v>
      </c>
      <c r="C3095" s="5">
        <v>968.8</v>
      </c>
      <c r="D3095" s="1" t="s">
        <v>973</v>
      </c>
      <c r="E3095" s="1" t="s">
        <v>1068</v>
      </c>
      <c r="F3095" s="1" t="s">
        <v>66</v>
      </c>
      <c r="G3095" s="1" t="s">
        <v>998</v>
      </c>
      <c r="H3095" s="3">
        <v>46095</v>
      </c>
      <c r="I3095" s="1" t="s">
        <v>933</v>
      </c>
      <c r="J3095" s="1" t="s">
        <v>66</v>
      </c>
      <c r="K3095" s="1" t="s">
        <v>308</v>
      </c>
      <c r="L3095" s="1" t="s">
        <v>4526</v>
      </c>
      <c r="M3095" s="3">
        <v>46080</v>
      </c>
      <c r="N3095" s="1" t="s">
        <v>57</v>
      </c>
      <c r="O3095" s="1" t="s">
        <v>998</v>
      </c>
      <c r="P3095" s="1">
        <v>1</v>
      </c>
    </row>
    <row r="3096" spans="1:16" x14ac:dyDescent="0.25">
      <c r="A3096" s="3">
        <v>46080</v>
      </c>
      <c r="B3096" s="4">
        <v>10408</v>
      </c>
      <c r="C3096" s="5">
        <v>1677</v>
      </c>
      <c r="D3096" s="1" t="s">
        <v>973</v>
      </c>
      <c r="E3096" s="1" t="s">
        <v>1068</v>
      </c>
      <c r="F3096" s="1" t="s">
        <v>66</v>
      </c>
      <c r="G3096" s="1" t="s">
        <v>998</v>
      </c>
      <c r="H3096" s="3">
        <v>46095</v>
      </c>
      <c r="I3096" s="1" t="s">
        <v>933</v>
      </c>
      <c r="J3096" s="1" t="s">
        <v>66</v>
      </c>
      <c r="K3096" s="1" t="s">
        <v>308</v>
      </c>
      <c r="L3096" s="1" t="s">
        <v>4527</v>
      </c>
      <c r="M3096" s="3">
        <v>46080</v>
      </c>
      <c r="N3096" s="1" t="s">
        <v>57</v>
      </c>
      <c r="O3096" s="1" t="s">
        <v>998</v>
      </c>
      <c r="P3096" s="1">
        <v>1</v>
      </c>
    </row>
    <row r="3097" spans="1:16" x14ac:dyDescent="0.25">
      <c r="A3097" s="3">
        <v>46080</v>
      </c>
      <c r="B3097" s="4">
        <v>10408</v>
      </c>
      <c r="C3097" s="5">
        <v>961.65</v>
      </c>
      <c r="D3097" s="1" t="s">
        <v>973</v>
      </c>
      <c r="E3097" s="1" t="s">
        <v>1068</v>
      </c>
      <c r="F3097" s="1" t="s">
        <v>66</v>
      </c>
      <c r="G3097" s="1" t="s">
        <v>998</v>
      </c>
      <c r="H3097" s="3">
        <v>46095</v>
      </c>
      <c r="I3097" s="1" t="s">
        <v>933</v>
      </c>
      <c r="J3097" s="1" t="s">
        <v>66</v>
      </c>
      <c r="K3097" s="1" t="s">
        <v>308</v>
      </c>
      <c r="L3097" s="1" t="s">
        <v>4528</v>
      </c>
      <c r="M3097" s="3">
        <v>46080</v>
      </c>
      <c r="N3097" s="1" t="s">
        <v>57</v>
      </c>
      <c r="O3097" s="1" t="s">
        <v>998</v>
      </c>
      <c r="P3097" s="1">
        <v>1</v>
      </c>
    </row>
    <row r="3098" spans="1:16" x14ac:dyDescent="0.25">
      <c r="A3098" s="3">
        <v>46080</v>
      </c>
      <c r="B3098" s="4">
        <v>10408</v>
      </c>
      <c r="C3098" s="5">
        <v>1195.53</v>
      </c>
      <c r="D3098" s="1" t="s">
        <v>973</v>
      </c>
      <c r="E3098" s="1" t="s">
        <v>1068</v>
      </c>
      <c r="F3098" s="1" t="s">
        <v>66</v>
      </c>
      <c r="G3098" s="1" t="s">
        <v>998</v>
      </c>
      <c r="H3098" s="3">
        <v>46095</v>
      </c>
      <c r="I3098" s="1" t="s">
        <v>933</v>
      </c>
      <c r="J3098" s="1" t="s">
        <v>66</v>
      </c>
      <c r="K3098" s="1" t="s">
        <v>308</v>
      </c>
      <c r="L3098" s="1" t="s">
        <v>4529</v>
      </c>
      <c r="M3098" s="3">
        <v>46080</v>
      </c>
      <c r="N3098" s="1" t="s">
        <v>57</v>
      </c>
      <c r="O3098" s="1" t="s">
        <v>998</v>
      </c>
      <c r="P3098" s="1">
        <v>1</v>
      </c>
    </row>
    <row r="3099" spans="1:16" x14ac:dyDescent="0.25">
      <c r="A3099" s="3">
        <v>46080</v>
      </c>
      <c r="B3099" s="4">
        <v>10408</v>
      </c>
      <c r="C3099" s="5">
        <v>1324.77</v>
      </c>
      <c r="D3099" s="1" t="s">
        <v>973</v>
      </c>
      <c r="E3099" s="1" t="s">
        <v>1068</v>
      </c>
      <c r="F3099" s="1" t="s">
        <v>66</v>
      </c>
      <c r="G3099" s="1" t="s">
        <v>998</v>
      </c>
      <c r="H3099" s="3">
        <v>46095</v>
      </c>
      <c r="I3099" s="1" t="s">
        <v>933</v>
      </c>
      <c r="J3099" s="1" t="s">
        <v>66</v>
      </c>
      <c r="K3099" s="1" t="s">
        <v>308</v>
      </c>
      <c r="L3099" s="1" t="s">
        <v>4530</v>
      </c>
      <c r="M3099" s="3">
        <v>46080</v>
      </c>
      <c r="N3099" s="1" t="s">
        <v>57</v>
      </c>
      <c r="O3099" s="1" t="s">
        <v>998</v>
      </c>
      <c r="P3099" s="1">
        <v>1</v>
      </c>
    </row>
    <row r="3100" spans="1:16" x14ac:dyDescent="0.25">
      <c r="A3100" s="3">
        <v>46080</v>
      </c>
      <c r="B3100" s="4">
        <v>10408</v>
      </c>
      <c r="C3100" s="5">
        <v>967.74</v>
      </c>
      <c r="D3100" s="1" t="s">
        <v>973</v>
      </c>
      <c r="E3100" s="1" t="s">
        <v>1068</v>
      </c>
      <c r="F3100" s="1" t="s">
        <v>66</v>
      </c>
      <c r="G3100" s="1" t="s">
        <v>998</v>
      </c>
      <c r="H3100" s="3">
        <v>46095</v>
      </c>
      <c r="I3100" s="1" t="s">
        <v>933</v>
      </c>
      <c r="J3100" s="1" t="s">
        <v>66</v>
      </c>
      <c r="K3100" s="1" t="s">
        <v>308</v>
      </c>
      <c r="L3100" s="1" t="s">
        <v>4531</v>
      </c>
      <c r="M3100" s="3">
        <v>46080</v>
      </c>
      <c r="N3100" s="1" t="s">
        <v>57</v>
      </c>
      <c r="O3100" s="1" t="s">
        <v>998</v>
      </c>
      <c r="P3100" s="1">
        <v>1</v>
      </c>
    </row>
    <row r="3101" spans="1:16" x14ac:dyDescent="0.25">
      <c r="A3101" s="3">
        <v>46080</v>
      </c>
      <c r="B3101" s="4">
        <v>10408</v>
      </c>
      <c r="C3101" s="5">
        <v>1766.1</v>
      </c>
      <c r="D3101" s="1" t="s">
        <v>973</v>
      </c>
      <c r="E3101" s="1" t="s">
        <v>1068</v>
      </c>
      <c r="F3101" s="1" t="s">
        <v>66</v>
      </c>
      <c r="G3101" s="1" t="s">
        <v>998</v>
      </c>
      <c r="H3101" s="3">
        <v>46095</v>
      </c>
      <c r="I3101" s="1" t="s">
        <v>933</v>
      </c>
      <c r="J3101" s="1" t="s">
        <v>66</v>
      </c>
      <c r="K3101" s="1" t="s">
        <v>308</v>
      </c>
      <c r="L3101" s="1" t="s">
        <v>4532</v>
      </c>
      <c r="M3101" s="3">
        <v>46080</v>
      </c>
      <c r="N3101" s="1" t="s">
        <v>57</v>
      </c>
      <c r="O3101" s="1" t="s">
        <v>998</v>
      </c>
      <c r="P3101" s="1">
        <v>1</v>
      </c>
    </row>
    <row r="3102" spans="1:16" x14ac:dyDescent="0.25">
      <c r="A3102" s="3">
        <v>46080</v>
      </c>
      <c r="B3102" s="4">
        <v>10408</v>
      </c>
      <c r="C3102" s="5">
        <v>960.14</v>
      </c>
      <c r="D3102" s="1" t="s">
        <v>973</v>
      </c>
      <c r="E3102" s="1" t="s">
        <v>1068</v>
      </c>
      <c r="F3102" s="1" t="s">
        <v>66</v>
      </c>
      <c r="G3102" s="1" t="s">
        <v>998</v>
      </c>
      <c r="H3102" s="3">
        <v>46095</v>
      </c>
      <c r="I3102" s="1" t="s">
        <v>933</v>
      </c>
      <c r="J3102" s="1" t="s">
        <v>66</v>
      </c>
      <c r="K3102" s="1" t="s">
        <v>308</v>
      </c>
      <c r="L3102" s="1" t="s">
        <v>4533</v>
      </c>
      <c r="M3102" s="3">
        <v>46080</v>
      </c>
      <c r="N3102" s="1" t="s">
        <v>57</v>
      </c>
      <c r="O3102" s="1" t="s">
        <v>998</v>
      </c>
      <c r="P3102" s="1">
        <v>1</v>
      </c>
    </row>
    <row r="3103" spans="1:16" x14ac:dyDescent="0.25">
      <c r="A3103" s="3">
        <v>46080</v>
      </c>
      <c r="B3103" s="4">
        <v>10408</v>
      </c>
      <c r="C3103" s="5">
        <v>846.05</v>
      </c>
      <c r="D3103" s="1" t="s">
        <v>973</v>
      </c>
      <c r="E3103" s="1" t="s">
        <v>1068</v>
      </c>
      <c r="F3103" s="1" t="s">
        <v>66</v>
      </c>
      <c r="G3103" s="1" t="s">
        <v>998</v>
      </c>
      <c r="H3103" s="3">
        <v>46095</v>
      </c>
      <c r="I3103" s="1" t="s">
        <v>933</v>
      </c>
      <c r="J3103" s="1" t="s">
        <v>66</v>
      </c>
      <c r="K3103" s="1" t="s">
        <v>308</v>
      </c>
      <c r="L3103" s="1" t="s">
        <v>4534</v>
      </c>
      <c r="M3103" s="3">
        <v>46080</v>
      </c>
      <c r="N3103" s="1" t="s">
        <v>57</v>
      </c>
      <c r="O3103" s="1" t="s">
        <v>998</v>
      </c>
      <c r="P3103" s="1">
        <v>1</v>
      </c>
    </row>
    <row r="3104" spans="1:16" x14ac:dyDescent="0.25">
      <c r="A3104" s="3">
        <v>46080</v>
      </c>
      <c r="B3104" s="4">
        <v>10408</v>
      </c>
      <c r="C3104" s="5">
        <v>559</v>
      </c>
      <c r="D3104" s="1" t="s">
        <v>973</v>
      </c>
      <c r="E3104" s="1" t="s">
        <v>1068</v>
      </c>
      <c r="F3104" s="1" t="s">
        <v>66</v>
      </c>
      <c r="G3104" s="1" t="s">
        <v>998</v>
      </c>
      <c r="H3104" s="3">
        <v>46095</v>
      </c>
      <c r="I3104" s="1" t="s">
        <v>933</v>
      </c>
      <c r="J3104" s="1" t="s">
        <v>66</v>
      </c>
      <c r="K3104" s="1" t="s">
        <v>308</v>
      </c>
      <c r="L3104" s="1" t="s">
        <v>4535</v>
      </c>
      <c r="M3104" s="3">
        <v>46080</v>
      </c>
      <c r="N3104" s="1" t="s">
        <v>57</v>
      </c>
      <c r="O3104" s="1" t="s">
        <v>998</v>
      </c>
      <c r="P3104" s="1">
        <v>1</v>
      </c>
    </row>
    <row r="3105" spans="1:16" x14ac:dyDescent="0.25">
      <c r="A3105" s="3">
        <v>46080</v>
      </c>
      <c r="B3105" s="4">
        <v>10408</v>
      </c>
      <c r="C3105" s="5">
        <v>569</v>
      </c>
      <c r="D3105" s="1" t="s">
        <v>973</v>
      </c>
      <c r="E3105" s="1" t="s">
        <v>1068</v>
      </c>
      <c r="F3105" s="1" t="s">
        <v>66</v>
      </c>
      <c r="G3105" s="1" t="s">
        <v>998</v>
      </c>
      <c r="H3105" s="3">
        <v>46095</v>
      </c>
      <c r="I3105" s="1" t="s">
        <v>933</v>
      </c>
      <c r="J3105" s="1" t="s">
        <v>66</v>
      </c>
      <c r="K3105" s="1" t="s">
        <v>308</v>
      </c>
      <c r="L3105" s="1" t="s">
        <v>4536</v>
      </c>
      <c r="M3105" s="3">
        <v>46080</v>
      </c>
      <c r="N3105" s="1" t="s">
        <v>57</v>
      </c>
      <c r="O3105" s="1" t="s">
        <v>998</v>
      </c>
      <c r="P3105" s="1">
        <v>1</v>
      </c>
    </row>
    <row r="3106" spans="1:16" x14ac:dyDescent="0.25">
      <c r="A3106" s="3">
        <v>46080</v>
      </c>
      <c r="B3106" s="4">
        <v>10408</v>
      </c>
      <c r="C3106" s="5">
        <v>27.95</v>
      </c>
      <c r="D3106" s="1" t="s">
        <v>973</v>
      </c>
      <c r="E3106" s="1" t="s">
        <v>1068</v>
      </c>
      <c r="F3106" s="1" t="s">
        <v>66</v>
      </c>
      <c r="G3106" s="1" t="s">
        <v>998</v>
      </c>
      <c r="H3106" s="3">
        <v>46095</v>
      </c>
      <c r="I3106" s="1" t="s">
        <v>933</v>
      </c>
      <c r="J3106" s="1" t="s">
        <v>66</v>
      </c>
      <c r="K3106" s="1" t="s">
        <v>308</v>
      </c>
      <c r="L3106" s="1" t="s">
        <v>4537</v>
      </c>
      <c r="M3106" s="3">
        <v>46080</v>
      </c>
      <c r="N3106" s="1" t="s">
        <v>57</v>
      </c>
      <c r="O3106" s="1" t="s">
        <v>998</v>
      </c>
      <c r="P3106" s="1">
        <v>1</v>
      </c>
    </row>
    <row r="3107" spans="1:16" x14ac:dyDescent="0.25">
      <c r="A3107" s="3">
        <v>46080</v>
      </c>
      <c r="B3107" s="4">
        <v>10408</v>
      </c>
      <c r="C3107" s="5">
        <v>232</v>
      </c>
      <c r="D3107" s="1" t="s">
        <v>973</v>
      </c>
      <c r="E3107" s="1" t="s">
        <v>1068</v>
      </c>
      <c r="F3107" s="1" t="s">
        <v>66</v>
      </c>
      <c r="G3107" s="1" t="s">
        <v>998</v>
      </c>
      <c r="H3107" s="3">
        <v>46095</v>
      </c>
      <c r="I3107" s="1" t="s">
        <v>933</v>
      </c>
      <c r="J3107" s="1" t="s">
        <v>66</v>
      </c>
      <c r="K3107" s="1" t="s">
        <v>308</v>
      </c>
      <c r="L3107" s="1" t="s">
        <v>4538</v>
      </c>
      <c r="M3107" s="3">
        <v>46080</v>
      </c>
      <c r="N3107" s="1" t="s">
        <v>57</v>
      </c>
      <c r="O3107" s="1" t="s">
        <v>998</v>
      </c>
      <c r="P3107" s="1">
        <v>1</v>
      </c>
    </row>
    <row r="3108" spans="1:16" x14ac:dyDescent="0.25">
      <c r="A3108" s="3">
        <v>46080</v>
      </c>
      <c r="B3108" s="4">
        <v>10408</v>
      </c>
      <c r="C3108" s="5">
        <v>922.35</v>
      </c>
      <c r="D3108" s="1" t="s">
        <v>973</v>
      </c>
      <c r="E3108" s="1" t="s">
        <v>1068</v>
      </c>
      <c r="F3108" s="1" t="s">
        <v>66</v>
      </c>
      <c r="G3108" s="1" t="s">
        <v>998</v>
      </c>
      <c r="H3108" s="3">
        <v>46095</v>
      </c>
      <c r="I3108" s="1" t="s">
        <v>933</v>
      </c>
      <c r="J3108" s="1" t="s">
        <v>66</v>
      </c>
      <c r="K3108" s="1" t="s">
        <v>308</v>
      </c>
      <c r="L3108" s="1" t="s">
        <v>4539</v>
      </c>
      <c r="M3108" s="3">
        <v>46080</v>
      </c>
      <c r="N3108" s="1" t="s">
        <v>57</v>
      </c>
      <c r="O3108" s="1" t="s">
        <v>998</v>
      </c>
      <c r="P3108" s="1">
        <v>1</v>
      </c>
    </row>
    <row r="3109" spans="1:16" x14ac:dyDescent="0.25">
      <c r="A3109" s="3">
        <v>46080</v>
      </c>
      <c r="B3109" s="4">
        <v>51903</v>
      </c>
      <c r="C3109" s="5">
        <v>560</v>
      </c>
      <c r="D3109" s="1" t="s">
        <v>1489</v>
      </c>
      <c r="E3109" s="1" t="s">
        <v>1490</v>
      </c>
      <c r="F3109" s="1" t="s">
        <v>4540</v>
      </c>
      <c r="G3109" s="1" t="s">
        <v>940</v>
      </c>
      <c r="H3109" s="3">
        <v>46110</v>
      </c>
      <c r="I3109" s="1" t="s">
        <v>933</v>
      </c>
      <c r="J3109" s="1" t="s">
        <v>937</v>
      </c>
      <c r="K3109" s="1" t="s">
        <v>308</v>
      </c>
      <c r="L3109" s="1" t="s">
        <v>4541</v>
      </c>
      <c r="M3109" s="3">
        <v>46080</v>
      </c>
      <c r="N3109" s="1" t="s">
        <v>937</v>
      </c>
      <c r="O3109" s="1" t="s">
        <v>936</v>
      </c>
      <c r="P3109" s="1">
        <v>1</v>
      </c>
    </row>
    <row r="3110" spans="1:16" x14ac:dyDescent="0.25">
      <c r="A3110" s="3">
        <v>46080</v>
      </c>
      <c r="B3110" s="4">
        <v>340567</v>
      </c>
      <c r="C3110" s="5">
        <v>199.96</v>
      </c>
      <c r="D3110" s="1" t="s">
        <v>3274</v>
      </c>
      <c r="E3110" s="1" t="s">
        <v>3275</v>
      </c>
      <c r="F3110" s="1" t="s">
        <v>66</v>
      </c>
      <c r="G3110" s="1" t="s">
        <v>940</v>
      </c>
      <c r="H3110" s="3">
        <v>46095</v>
      </c>
      <c r="I3110" s="1" t="s">
        <v>933</v>
      </c>
      <c r="J3110" s="1" t="s">
        <v>66</v>
      </c>
      <c r="K3110" s="1" t="s">
        <v>340</v>
      </c>
      <c r="L3110" s="1" t="s">
        <v>4542</v>
      </c>
      <c r="M3110" s="3">
        <v>46081</v>
      </c>
      <c r="N3110" s="1" t="s">
        <v>57</v>
      </c>
      <c r="O3110" s="1" t="s">
        <v>936</v>
      </c>
      <c r="P3110" s="1">
        <v>1</v>
      </c>
    </row>
    <row r="3111" spans="1:16" x14ac:dyDescent="0.25">
      <c r="A3111" s="3">
        <v>46080</v>
      </c>
      <c r="B3111" s="4">
        <v>1736351</v>
      </c>
      <c r="C3111" s="5">
        <v>74.37</v>
      </c>
      <c r="D3111" s="1" t="s">
        <v>1855</v>
      </c>
      <c r="E3111" s="1" t="s">
        <v>2116</v>
      </c>
      <c r="F3111" s="1" t="s">
        <v>66</v>
      </c>
      <c r="G3111" s="1" t="s">
        <v>1029</v>
      </c>
      <c r="H3111" s="3">
        <v>46091</v>
      </c>
      <c r="I3111" s="1" t="s">
        <v>933</v>
      </c>
      <c r="J3111" s="1" t="s">
        <v>66</v>
      </c>
      <c r="K3111" s="1" t="s">
        <v>340</v>
      </c>
      <c r="L3111" s="1" t="s">
        <v>4543</v>
      </c>
      <c r="M3111" s="3">
        <v>46081</v>
      </c>
      <c r="N3111" s="1" t="s">
        <v>57</v>
      </c>
      <c r="O3111" s="1" t="s">
        <v>1031</v>
      </c>
      <c r="P3111" s="1">
        <v>1</v>
      </c>
    </row>
    <row r="3112" spans="1:16" x14ac:dyDescent="0.25">
      <c r="A3112" s="3">
        <v>46080</v>
      </c>
      <c r="B3112" s="4">
        <v>1520</v>
      </c>
      <c r="C3112" s="5">
        <v>107</v>
      </c>
      <c r="D3112" s="1" t="s">
        <v>4544</v>
      </c>
      <c r="E3112" s="1" t="s">
        <v>4545</v>
      </c>
      <c r="F3112" s="1" t="s">
        <v>949</v>
      </c>
      <c r="G3112" s="1" t="s">
        <v>950</v>
      </c>
      <c r="H3112" s="1">
        <v>0</v>
      </c>
      <c r="I3112" s="1" t="s">
        <v>933</v>
      </c>
      <c r="J3112" s="1" t="s">
        <v>951</v>
      </c>
      <c r="K3112" s="1" t="s">
        <v>308</v>
      </c>
      <c r="L3112" s="1" t="s">
        <v>4546</v>
      </c>
      <c r="M3112" s="3">
        <v>46086</v>
      </c>
      <c r="N3112" s="1" t="s">
        <v>57</v>
      </c>
      <c r="O3112" s="1" t="s">
        <v>936</v>
      </c>
      <c r="P3112" s="1" t="s">
        <v>937</v>
      </c>
    </row>
    <row r="3113" spans="1:16" x14ac:dyDescent="0.25">
      <c r="A3113" s="3">
        <v>46081</v>
      </c>
      <c r="B3113" s="4">
        <v>7889453</v>
      </c>
      <c r="C3113" s="5">
        <v>330</v>
      </c>
      <c r="D3113" s="1" t="s">
        <v>4120</v>
      </c>
      <c r="E3113" s="1" t="s">
        <v>4121</v>
      </c>
      <c r="F3113" s="1" t="s">
        <v>493</v>
      </c>
      <c r="G3113" s="1" t="s">
        <v>940</v>
      </c>
      <c r="H3113" s="3">
        <v>46101</v>
      </c>
      <c r="I3113" s="1" t="s">
        <v>933</v>
      </c>
      <c r="J3113" s="1" t="s">
        <v>66</v>
      </c>
      <c r="K3113" s="1" t="s">
        <v>659</v>
      </c>
      <c r="L3113" s="1" t="s">
        <v>4547</v>
      </c>
      <c r="M3113" s="3">
        <v>46080</v>
      </c>
      <c r="N3113" s="1" t="s">
        <v>497</v>
      </c>
      <c r="O3113" s="1" t="s">
        <v>936</v>
      </c>
      <c r="P3113" s="1">
        <v>1</v>
      </c>
    </row>
    <row r="3114" spans="1:16" x14ac:dyDescent="0.25">
      <c r="A3114" s="3">
        <v>46081</v>
      </c>
      <c r="B3114" s="4">
        <v>10410</v>
      </c>
      <c r="C3114" s="5">
        <v>1310.1199999999999</v>
      </c>
      <c r="D3114" s="1" t="s">
        <v>973</v>
      </c>
      <c r="E3114" s="1" t="s">
        <v>1068</v>
      </c>
      <c r="F3114" s="1" t="s">
        <v>66</v>
      </c>
      <c r="G3114" s="1" t="s">
        <v>998</v>
      </c>
      <c r="H3114" s="3">
        <v>46096</v>
      </c>
      <c r="I3114" s="1" t="s">
        <v>933</v>
      </c>
      <c r="J3114" s="1" t="s">
        <v>66</v>
      </c>
      <c r="K3114" s="1" t="s">
        <v>308</v>
      </c>
      <c r="L3114" s="1" t="s">
        <v>4548</v>
      </c>
      <c r="M3114" s="3">
        <v>46081</v>
      </c>
      <c r="N3114" s="1" t="s">
        <v>57</v>
      </c>
      <c r="O3114" s="1" t="s">
        <v>998</v>
      </c>
      <c r="P3114" s="1">
        <v>1</v>
      </c>
    </row>
    <row r="3115" spans="1:16" x14ac:dyDescent="0.25">
      <c r="A3115" s="3">
        <v>46081</v>
      </c>
      <c r="B3115" s="4">
        <v>10410</v>
      </c>
      <c r="C3115" s="5">
        <v>1000</v>
      </c>
      <c r="D3115" s="1" t="s">
        <v>973</v>
      </c>
      <c r="E3115" s="1" t="s">
        <v>1068</v>
      </c>
      <c r="F3115" s="1" t="s">
        <v>66</v>
      </c>
      <c r="G3115" s="1" t="s">
        <v>998</v>
      </c>
      <c r="H3115" s="3">
        <v>46096</v>
      </c>
      <c r="I3115" s="1" t="s">
        <v>933</v>
      </c>
      <c r="J3115" s="1" t="s">
        <v>66</v>
      </c>
      <c r="K3115" s="1" t="s">
        <v>308</v>
      </c>
      <c r="L3115" s="1" t="s">
        <v>4549</v>
      </c>
      <c r="M3115" s="3">
        <v>46081</v>
      </c>
      <c r="N3115" s="1" t="s">
        <v>57</v>
      </c>
      <c r="O3115" s="1" t="s">
        <v>998</v>
      </c>
      <c r="P3115" s="1">
        <v>1</v>
      </c>
    </row>
    <row r="3116" spans="1:16" x14ac:dyDescent="0.25">
      <c r="A3116" s="3">
        <v>46081</v>
      </c>
      <c r="B3116" s="4">
        <v>10410</v>
      </c>
      <c r="C3116" s="5">
        <v>559</v>
      </c>
      <c r="D3116" s="1" t="s">
        <v>973</v>
      </c>
      <c r="E3116" s="1" t="s">
        <v>1068</v>
      </c>
      <c r="F3116" s="1" t="s">
        <v>66</v>
      </c>
      <c r="G3116" s="1" t="s">
        <v>998</v>
      </c>
      <c r="H3116" s="3">
        <v>46096</v>
      </c>
      <c r="I3116" s="1" t="s">
        <v>933</v>
      </c>
      <c r="J3116" s="1" t="s">
        <v>66</v>
      </c>
      <c r="K3116" s="1" t="s">
        <v>308</v>
      </c>
      <c r="L3116" s="1" t="s">
        <v>4550</v>
      </c>
      <c r="M3116" s="3">
        <v>46081</v>
      </c>
      <c r="N3116" s="1" t="s">
        <v>57</v>
      </c>
      <c r="O3116" s="1" t="s">
        <v>998</v>
      </c>
      <c r="P3116" s="1">
        <v>1</v>
      </c>
    </row>
    <row r="3117" spans="1:16" x14ac:dyDescent="0.25">
      <c r="A3117" s="3">
        <v>46081</v>
      </c>
      <c r="B3117" s="4">
        <v>10410</v>
      </c>
      <c r="C3117" s="5">
        <v>1138</v>
      </c>
      <c r="D3117" s="1" t="s">
        <v>973</v>
      </c>
      <c r="E3117" s="1" t="s">
        <v>1068</v>
      </c>
      <c r="F3117" s="1" t="s">
        <v>66</v>
      </c>
      <c r="G3117" s="1" t="s">
        <v>998</v>
      </c>
      <c r="H3117" s="3">
        <v>46096</v>
      </c>
      <c r="I3117" s="1" t="s">
        <v>933</v>
      </c>
      <c r="J3117" s="1" t="s">
        <v>66</v>
      </c>
      <c r="K3117" s="1" t="s">
        <v>308</v>
      </c>
      <c r="L3117" s="1" t="s">
        <v>4551</v>
      </c>
      <c r="M3117" s="3">
        <v>46081</v>
      </c>
      <c r="N3117" s="1" t="s">
        <v>57</v>
      </c>
      <c r="O3117" s="1" t="s">
        <v>998</v>
      </c>
      <c r="P3117" s="1">
        <v>1</v>
      </c>
    </row>
    <row r="3118" spans="1:16" x14ac:dyDescent="0.25">
      <c r="A3118" s="3">
        <v>46081</v>
      </c>
      <c r="B3118" s="4">
        <v>10410</v>
      </c>
      <c r="C3118" s="5">
        <v>853.5</v>
      </c>
      <c r="D3118" s="1" t="s">
        <v>973</v>
      </c>
      <c r="E3118" s="1" t="s">
        <v>1068</v>
      </c>
      <c r="F3118" s="1" t="s">
        <v>66</v>
      </c>
      <c r="G3118" s="1" t="s">
        <v>998</v>
      </c>
      <c r="H3118" s="3">
        <v>46096</v>
      </c>
      <c r="I3118" s="1" t="s">
        <v>933</v>
      </c>
      <c r="J3118" s="1" t="s">
        <v>66</v>
      </c>
      <c r="K3118" s="1" t="s">
        <v>308</v>
      </c>
      <c r="L3118" s="1" t="s">
        <v>4552</v>
      </c>
      <c r="M3118" s="3">
        <v>46081</v>
      </c>
      <c r="N3118" s="1" t="s">
        <v>57</v>
      </c>
      <c r="O3118" s="1" t="s">
        <v>998</v>
      </c>
      <c r="P3118" s="1">
        <v>1</v>
      </c>
    </row>
    <row r="3119" spans="1:16" x14ac:dyDescent="0.25">
      <c r="A3119" s="3">
        <v>46081</v>
      </c>
      <c r="B3119" s="4">
        <v>10410</v>
      </c>
      <c r="C3119" s="5">
        <v>402.48</v>
      </c>
      <c r="D3119" s="1" t="s">
        <v>973</v>
      </c>
      <c r="E3119" s="1" t="s">
        <v>1068</v>
      </c>
      <c r="F3119" s="1" t="s">
        <v>66</v>
      </c>
      <c r="G3119" s="1" t="s">
        <v>998</v>
      </c>
      <c r="H3119" s="3">
        <v>46096</v>
      </c>
      <c r="I3119" s="1" t="s">
        <v>933</v>
      </c>
      <c r="J3119" s="1" t="s">
        <v>66</v>
      </c>
      <c r="K3119" s="1" t="s">
        <v>308</v>
      </c>
      <c r="L3119" s="1" t="s">
        <v>4553</v>
      </c>
      <c r="M3119" s="3">
        <v>46081</v>
      </c>
      <c r="N3119" s="1" t="s">
        <v>57</v>
      </c>
      <c r="O3119" s="1" t="s">
        <v>998</v>
      </c>
      <c r="P3119" s="1">
        <v>1</v>
      </c>
    </row>
    <row r="3120" spans="1:16" x14ac:dyDescent="0.25">
      <c r="A3120" s="3">
        <v>46081</v>
      </c>
      <c r="B3120" s="4">
        <v>10410</v>
      </c>
      <c r="C3120" s="5">
        <v>531.11</v>
      </c>
      <c r="D3120" s="1" t="s">
        <v>973</v>
      </c>
      <c r="E3120" s="1" t="s">
        <v>1068</v>
      </c>
      <c r="F3120" s="1" t="s">
        <v>66</v>
      </c>
      <c r="G3120" s="1" t="s">
        <v>998</v>
      </c>
      <c r="H3120" s="3">
        <v>46096</v>
      </c>
      <c r="I3120" s="1" t="s">
        <v>933</v>
      </c>
      <c r="J3120" s="1" t="s">
        <v>66</v>
      </c>
      <c r="K3120" s="1" t="s">
        <v>308</v>
      </c>
      <c r="L3120" s="1" t="s">
        <v>4554</v>
      </c>
      <c r="M3120" s="3">
        <v>46081</v>
      </c>
      <c r="N3120" s="1" t="s">
        <v>57</v>
      </c>
      <c r="O3120" s="1" t="s">
        <v>998</v>
      </c>
      <c r="P3120" s="1">
        <v>1</v>
      </c>
    </row>
    <row r="3121" spans="1:16" x14ac:dyDescent="0.25">
      <c r="A3121" s="3">
        <v>46081</v>
      </c>
      <c r="B3121" s="4">
        <v>10410</v>
      </c>
      <c r="C3121" s="5">
        <v>1707</v>
      </c>
      <c r="D3121" s="1" t="s">
        <v>973</v>
      </c>
      <c r="E3121" s="1" t="s">
        <v>1068</v>
      </c>
      <c r="F3121" s="1" t="s">
        <v>66</v>
      </c>
      <c r="G3121" s="1" t="s">
        <v>998</v>
      </c>
      <c r="H3121" s="3">
        <v>46096</v>
      </c>
      <c r="I3121" s="1" t="s">
        <v>933</v>
      </c>
      <c r="J3121" s="1" t="s">
        <v>66</v>
      </c>
      <c r="K3121" s="1" t="s">
        <v>308</v>
      </c>
      <c r="L3121" s="1" t="s">
        <v>4555</v>
      </c>
      <c r="M3121" s="3">
        <v>46081</v>
      </c>
      <c r="N3121" s="1" t="s">
        <v>57</v>
      </c>
      <c r="O3121" s="1" t="s">
        <v>998</v>
      </c>
      <c r="P3121" s="1">
        <v>1</v>
      </c>
    </row>
    <row r="3122" spans="1:16" x14ac:dyDescent="0.25">
      <c r="A3122" s="3">
        <v>46081</v>
      </c>
      <c r="B3122" s="4">
        <v>10410</v>
      </c>
      <c r="C3122" s="5">
        <v>1422.5</v>
      </c>
      <c r="D3122" s="1" t="s">
        <v>973</v>
      </c>
      <c r="E3122" s="1" t="s">
        <v>1068</v>
      </c>
      <c r="F3122" s="1" t="s">
        <v>66</v>
      </c>
      <c r="G3122" s="1" t="s">
        <v>998</v>
      </c>
      <c r="H3122" s="3">
        <v>46096</v>
      </c>
      <c r="I3122" s="1" t="s">
        <v>933</v>
      </c>
      <c r="J3122" s="1" t="s">
        <v>66</v>
      </c>
      <c r="K3122" s="1" t="s">
        <v>308</v>
      </c>
      <c r="L3122" s="1" t="s">
        <v>4556</v>
      </c>
      <c r="M3122" s="3">
        <v>46081</v>
      </c>
      <c r="N3122" s="1" t="s">
        <v>57</v>
      </c>
      <c r="O3122" s="1" t="s">
        <v>998</v>
      </c>
      <c r="P3122" s="1">
        <v>1</v>
      </c>
    </row>
    <row r="3123" spans="1:16" x14ac:dyDescent="0.25">
      <c r="A3123" s="3">
        <v>46081</v>
      </c>
      <c r="B3123" s="4">
        <v>10410</v>
      </c>
      <c r="C3123" s="5">
        <v>279.61</v>
      </c>
      <c r="D3123" s="1" t="s">
        <v>973</v>
      </c>
      <c r="E3123" s="1" t="s">
        <v>1068</v>
      </c>
      <c r="F3123" s="1" t="s">
        <v>66</v>
      </c>
      <c r="G3123" s="1" t="s">
        <v>998</v>
      </c>
      <c r="H3123" s="3">
        <v>46096</v>
      </c>
      <c r="I3123" s="1" t="s">
        <v>933</v>
      </c>
      <c r="J3123" s="1" t="s">
        <v>66</v>
      </c>
      <c r="K3123" s="1" t="s">
        <v>308</v>
      </c>
      <c r="L3123" s="1" t="s">
        <v>4557</v>
      </c>
      <c r="M3123" s="3">
        <v>46081</v>
      </c>
      <c r="N3123" s="1" t="s">
        <v>57</v>
      </c>
      <c r="O3123" s="1" t="s">
        <v>998</v>
      </c>
      <c r="P3123" s="1">
        <v>1</v>
      </c>
    </row>
    <row r="3124" spans="1:16" x14ac:dyDescent="0.25">
      <c r="A3124" s="3">
        <v>46081</v>
      </c>
      <c r="B3124" s="4">
        <v>10410</v>
      </c>
      <c r="C3124" s="5">
        <v>284.5</v>
      </c>
      <c r="D3124" s="1" t="s">
        <v>973</v>
      </c>
      <c r="E3124" s="1" t="s">
        <v>1068</v>
      </c>
      <c r="F3124" s="1" t="s">
        <v>66</v>
      </c>
      <c r="G3124" s="1" t="s">
        <v>998</v>
      </c>
      <c r="H3124" s="3">
        <v>46096</v>
      </c>
      <c r="I3124" s="1" t="s">
        <v>933</v>
      </c>
      <c r="J3124" s="1" t="s">
        <v>66</v>
      </c>
      <c r="K3124" s="1" t="s">
        <v>308</v>
      </c>
      <c r="L3124" s="1" t="s">
        <v>4558</v>
      </c>
      <c r="M3124" s="3">
        <v>46081</v>
      </c>
      <c r="N3124" s="1" t="s">
        <v>57</v>
      </c>
      <c r="O3124" s="1" t="s">
        <v>998</v>
      </c>
      <c r="P3124" s="1">
        <v>1</v>
      </c>
    </row>
    <row r="3125" spans="1:16" x14ac:dyDescent="0.25">
      <c r="A3125" s="3">
        <v>46081</v>
      </c>
      <c r="B3125" s="4">
        <v>10410</v>
      </c>
      <c r="C3125" s="5">
        <v>1185.08</v>
      </c>
      <c r="D3125" s="1" t="s">
        <v>973</v>
      </c>
      <c r="E3125" s="1" t="s">
        <v>1068</v>
      </c>
      <c r="F3125" s="1" t="s">
        <v>66</v>
      </c>
      <c r="G3125" s="1" t="s">
        <v>998</v>
      </c>
      <c r="H3125" s="3">
        <v>46096</v>
      </c>
      <c r="I3125" s="1" t="s">
        <v>933</v>
      </c>
      <c r="J3125" s="1" t="s">
        <v>66</v>
      </c>
      <c r="K3125" s="1" t="s">
        <v>308</v>
      </c>
      <c r="L3125" s="1" t="s">
        <v>4559</v>
      </c>
      <c r="M3125" s="3">
        <v>46081</v>
      </c>
      <c r="N3125" s="1" t="s">
        <v>57</v>
      </c>
      <c r="O3125" s="1" t="s">
        <v>998</v>
      </c>
      <c r="P3125" s="1">
        <v>1</v>
      </c>
    </row>
    <row r="3126" spans="1:16" x14ac:dyDescent="0.25">
      <c r="A3126" s="3">
        <v>46081</v>
      </c>
      <c r="B3126" s="4">
        <v>10410</v>
      </c>
      <c r="C3126" s="5">
        <v>290.47000000000003</v>
      </c>
      <c r="D3126" s="1" t="s">
        <v>973</v>
      </c>
      <c r="E3126" s="1" t="s">
        <v>1068</v>
      </c>
      <c r="F3126" s="1" t="s">
        <v>66</v>
      </c>
      <c r="G3126" s="1" t="s">
        <v>998</v>
      </c>
      <c r="H3126" s="3">
        <v>46096</v>
      </c>
      <c r="I3126" s="1" t="s">
        <v>933</v>
      </c>
      <c r="J3126" s="1" t="s">
        <v>66</v>
      </c>
      <c r="K3126" s="1" t="s">
        <v>308</v>
      </c>
      <c r="L3126" s="1" t="s">
        <v>4560</v>
      </c>
      <c r="M3126" s="3">
        <v>46081</v>
      </c>
      <c r="N3126" s="1" t="s">
        <v>57</v>
      </c>
      <c r="O3126" s="1" t="s">
        <v>998</v>
      </c>
      <c r="P3126" s="1">
        <v>1</v>
      </c>
    </row>
    <row r="3127" spans="1:16" x14ac:dyDescent="0.25">
      <c r="A3127" s="3">
        <v>46081</v>
      </c>
      <c r="B3127" s="4">
        <v>10410</v>
      </c>
      <c r="C3127" s="5">
        <v>902.11</v>
      </c>
      <c r="D3127" s="1" t="s">
        <v>973</v>
      </c>
      <c r="E3127" s="1" t="s">
        <v>1068</v>
      </c>
      <c r="F3127" s="1" t="s">
        <v>66</v>
      </c>
      <c r="G3127" s="1" t="s">
        <v>998</v>
      </c>
      <c r="H3127" s="3">
        <v>46096</v>
      </c>
      <c r="I3127" s="1" t="s">
        <v>933</v>
      </c>
      <c r="J3127" s="1" t="s">
        <v>66</v>
      </c>
      <c r="K3127" s="1" t="s">
        <v>308</v>
      </c>
      <c r="L3127" s="1" t="s">
        <v>4561</v>
      </c>
      <c r="M3127" s="3">
        <v>46081</v>
      </c>
      <c r="N3127" s="1" t="s">
        <v>57</v>
      </c>
      <c r="O3127" s="1" t="s">
        <v>998</v>
      </c>
      <c r="P3127" s="1">
        <v>1</v>
      </c>
    </row>
    <row r="3128" spans="1:16" x14ac:dyDescent="0.25">
      <c r="A3128" s="3">
        <v>46081</v>
      </c>
      <c r="B3128" s="4">
        <v>10410</v>
      </c>
      <c r="C3128" s="5">
        <v>1296.07</v>
      </c>
      <c r="D3128" s="1" t="s">
        <v>973</v>
      </c>
      <c r="E3128" s="1" t="s">
        <v>1068</v>
      </c>
      <c r="F3128" s="1" t="s">
        <v>66</v>
      </c>
      <c r="G3128" s="1" t="s">
        <v>998</v>
      </c>
      <c r="H3128" s="3">
        <v>46096</v>
      </c>
      <c r="I3128" s="1" t="s">
        <v>933</v>
      </c>
      <c r="J3128" s="1" t="s">
        <v>66</v>
      </c>
      <c r="K3128" s="1" t="s">
        <v>308</v>
      </c>
      <c r="L3128" s="1" t="s">
        <v>4562</v>
      </c>
      <c r="M3128" s="3">
        <v>46081</v>
      </c>
      <c r="N3128" s="1" t="s">
        <v>57</v>
      </c>
      <c r="O3128" s="1" t="s">
        <v>998</v>
      </c>
      <c r="P3128" s="1">
        <v>1</v>
      </c>
    </row>
    <row r="3129" spans="1:16" x14ac:dyDescent="0.25">
      <c r="A3129" s="3">
        <v>46081</v>
      </c>
      <c r="B3129" s="4">
        <v>1732412</v>
      </c>
      <c r="C3129" s="5">
        <v>354.36</v>
      </c>
      <c r="D3129" s="1" t="s">
        <v>1855</v>
      </c>
      <c r="E3129" s="1" t="s">
        <v>2116</v>
      </c>
      <c r="F3129" s="1" t="s">
        <v>66</v>
      </c>
      <c r="G3129" s="1" t="s">
        <v>1029</v>
      </c>
      <c r="H3129" s="3">
        <v>46091</v>
      </c>
      <c r="I3129" s="1" t="s">
        <v>933</v>
      </c>
      <c r="J3129" s="1" t="s">
        <v>66</v>
      </c>
      <c r="K3129" s="1" t="s">
        <v>340</v>
      </c>
      <c r="L3129" s="1" t="s">
        <v>4543</v>
      </c>
      <c r="M3129" s="3">
        <v>46081</v>
      </c>
      <c r="N3129" s="1" t="s">
        <v>57</v>
      </c>
      <c r="O3129" s="1" t="s">
        <v>1031</v>
      </c>
      <c r="P3129" s="1">
        <v>1</v>
      </c>
    </row>
    <row r="3130" spans="1:16" x14ac:dyDescent="0.25">
      <c r="A3130" s="3">
        <v>46081</v>
      </c>
      <c r="B3130" s="4">
        <v>2500</v>
      </c>
      <c r="C3130" s="5">
        <v>1800</v>
      </c>
      <c r="D3130" s="1" t="s">
        <v>1182</v>
      </c>
      <c r="E3130" s="1" t="s">
        <v>1183</v>
      </c>
      <c r="F3130" s="1" t="s">
        <v>4540</v>
      </c>
      <c r="G3130" s="1" t="s">
        <v>940</v>
      </c>
      <c r="H3130" s="3">
        <v>46109</v>
      </c>
      <c r="I3130" s="1" t="s">
        <v>933</v>
      </c>
      <c r="J3130" s="1" t="s">
        <v>937</v>
      </c>
      <c r="K3130" s="1" t="s">
        <v>308</v>
      </c>
      <c r="L3130" s="1" t="s">
        <v>4563</v>
      </c>
      <c r="M3130" s="3">
        <v>46081</v>
      </c>
      <c r="N3130" s="1" t="s">
        <v>937</v>
      </c>
      <c r="O3130" s="1" t="s">
        <v>936</v>
      </c>
      <c r="P3130" s="1">
        <v>1</v>
      </c>
    </row>
    <row r="3131" spans="1:16" x14ac:dyDescent="0.25">
      <c r="A3131" s="3">
        <v>46081</v>
      </c>
      <c r="B3131" s="4">
        <v>341742</v>
      </c>
      <c r="C3131" s="5">
        <v>135.06</v>
      </c>
      <c r="D3131" s="1" t="s">
        <v>992</v>
      </c>
      <c r="E3131" s="1" t="s">
        <v>1243</v>
      </c>
      <c r="F3131" s="1" t="s">
        <v>66</v>
      </c>
      <c r="G3131" s="1" t="s">
        <v>950</v>
      </c>
      <c r="H3131" s="1">
        <v>0</v>
      </c>
      <c r="I3131" s="1" t="s">
        <v>933</v>
      </c>
      <c r="J3131" s="1" t="s">
        <v>66</v>
      </c>
      <c r="K3131" s="1" t="s">
        <v>308</v>
      </c>
      <c r="L3131" s="1" t="s">
        <v>4564</v>
      </c>
      <c r="M3131" s="3">
        <v>46086</v>
      </c>
      <c r="N3131" s="1" t="s">
        <v>57</v>
      </c>
      <c r="O3131" s="1" t="s">
        <v>4565</v>
      </c>
      <c r="P3131" s="1">
        <v>1</v>
      </c>
    </row>
    <row r="3132" spans="1:16" x14ac:dyDescent="0.25">
      <c r="A3132" s="3">
        <v>46082</v>
      </c>
      <c r="B3132" s="4">
        <v>52204020</v>
      </c>
      <c r="C3132" s="5">
        <v>31252.86</v>
      </c>
      <c r="D3132" s="1" t="s">
        <v>1604</v>
      </c>
      <c r="E3132" s="1" t="s">
        <v>1605</v>
      </c>
      <c r="F3132" s="1" t="s">
        <v>955</v>
      </c>
      <c r="G3132" s="1" t="s">
        <v>472</v>
      </c>
      <c r="H3132" s="3">
        <v>46097</v>
      </c>
      <c r="I3132" s="1" t="s">
        <v>933</v>
      </c>
      <c r="J3132" s="1" t="s">
        <v>951</v>
      </c>
      <c r="K3132" s="1" t="s">
        <v>934</v>
      </c>
      <c r="L3132" s="1" t="s">
        <v>4566</v>
      </c>
      <c r="M3132" s="3">
        <v>46081</v>
      </c>
      <c r="N3132" s="1" t="s">
        <v>57</v>
      </c>
      <c r="O3132" s="1" t="s">
        <v>932</v>
      </c>
      <c r="P3132" s="1">
        <v>1</v>
      </c>
    </row>
    <row r="3133" spans="1:16" x14ac:dyDescent="0.25">
      <c r="A3133" s="3">
        <v>46082</v>
      </c>
      <c r="B3133" s="1">
        <v>307</v>
      </c>
      <c r="C3133" s="5">
        <v>4600</v>
      </c>
      <c r="D3133" s="1" t="s">
        <v>4567</v>
      </c>
      <c r="E3133" s="1" t="s">
        <v>4568</v>
      </c>
      <c r="F3133" s="1" t="s">
        <v>185</v>
      </c>
      <c r="G3133" s="1" t="s">
        <v>932</v>
      </c>
      <c r="H3133" s="3">
        <v>46097</v>
      </c>
      <c r="I3133" s="1" t="s">
        <v>933</v>
      </c>
      <c r="J3133" s="1" t="s">
        <v>66</v>
      </c>
      <c r="K3133" s="1" t="s">
        <v>308</v>
      </c>
      <c r="L3133" s="1" t="s">
        <v>4569</v>
      </c>
      <c r="M3133" s="3">
        <v>46084</v>
      </c>
      <c r="N3133" s="1" t="s">
        <v>190</v>
      </c>
      <c r="O3133" s="1" t="s">
        <v>1031</v>
      </c>
      <c r="P3133" s="1">
        <v>1</v>
      </c>
    </row>
    <row r="3134" spans="1:16" x14ac:dyDescent="0.25">
      <c r="A3134" s="3">
        <v>46083</v>
      </c>
      <c r="B3134" s="1">
        <v>88</v>
      </c>
      <c r="C3134" s="5">
        <v>320</v>
      </c>
      <c r="D3134" s="1" t="s">
        <v>3998</v>
      </c>
      <c r="E3134" s="1" t="s">
        <v>3999</v>
      </c>
      <c r="F3134" s="1" t="s">
        <v>268</v>
      </c>
      <c r="G3134" s="1" t="s">
        <v>940</v>
      </c>
      <c r="H3134" s="1" t="s">
        <v>967</v>
      </c>
      <c r="I3134" s="1" t="s">
        <v>933</v>
      </c>
      <c r="J3134" s="1" t="s">
        <v>66</v>
      </c>
      <c r="K3134" s="1" t="s">
        <v>308</v>
      </c>
      <c r="L3134" s="1" t="s">
        <v>4000</v>
      </c>
      <c r="M3134" s="3">
        <v>46087</v>
      </c>
      <c r="N3134" s="1" t="s">
        <v>264</v>
      </c>
      <c r="O3134" s="1" t="s">
        <v>936</v>
      </c>
      <c r="P3134" s="1">
        <v>1</v>
      </c>
    </row>
    <row r="3135" spans="1:16" x14ac:dyDescent="0.25">
      <c r="A3135" s="3">
        <v>46083</v>
      </c>
      <c r="B3135" s="4">
        <v>1153</v>
      </c>
      <c r="C3135" s="5">
        <v>1985</v>
      </c>
      <c r="D3135" s="1" t="s">
        <v>1126</v>
      </c>
      <c r="E3135" s="1" t="s">
        <v>1620</v>
      </c>
      <c r="F3135" s="1" t="s">
        <v>274</v>
      </c>
      <c r="G3135" s="1" t="s">
        <v>940</v>
      </c>
      <c r="H3135" s="3">
        <v>46098</v>
      </c>
      <c r="I3135" s="1" t="s">
        <v>933</v>
      </c>
      <c r="J3135" s="1" t="s">
        <v>66</v>
      </c>
      <c r="K3135" s="1" t="s">
        <v>340</v>
      </c>
      <c r="L3135" s="1" t="s">
        <v>4228</v>
      </c>
      <c r="M3135" s="3">
        <v>46084</v>
      </c>
      <c r="N3135" s="1" t="s">
        <v>264</v>
      </c>
      <c r="O3135" s="1" t="s">
        <v>936</v>
      </c>
      <c r="P3135" s="1">
        <v>1</v>
      </c>
    </row>
    <row r="3136" spans="1:16" x14ac:dyDescent="0.25">
      <c r="A3136" s="3">
        <v>46083</v>
      </c>
      <c r="B3136" s="4">
        <v>2432</v>
      </c>
      <c r="C3136" s="5">
        <v>112</v>
      </c>
      <c r="D3136" s="1" t="s">
        <v>4570</v>
      </c>
      <c r="E3136" s="1" t="s">
        <v>4571</v>
      </c>
      <c r="F3136" s="1" t="s">
        <v>66</v>
      </c>
      <c r="G3136" s="1" t="s">
        <v>940</v>
      </c>
      <c r="H3136" s="1">
        <v>0</v>
      </c>
      <c r="I3136" s="1" t="s">
        <v>933</v>
      </c>
      <c r="J3136" s="1" t="s">
        <v>66</v>
      </c>
      <c r="K3136" s="1" t="s">
        <v>308</v>
      </c>
      <c r="L3136" s="1" t="s">
        <v>4572</v>
      </c>
      <c r="M3136" s="3">
        <v>46086</v>
      </c>
      <c r="N3136" s="1" t="s">
        <v>57</v>
      </c>
      <c r="O3136" s="1" t="s">
        <v>936</v>
      </c>
      <c r="P3136" s="1">
        <v>1</v>
      </c>
    </row>
    <row r="3137" spans="1:16" x14ac:dyDescent="0.25">
      <c r="A3137" s="3">
        <v>46083</v>
      </c>
      <c r="B3137" s="4">
        <v>1153</v>
      </c>
      <c r="C3137" s="5">
        <v>1450</v>
      </c>
      <c r="D3137" s="1" t="s">
        <v>1126</v>
      </c>
      <c r="E3137" s="1" t="s">
        <v>1620</v>
      </c>
      <c r="F3137" s="1">
        <v>100041</v>
      </c>
      <c r="G3137" s="1" t="s">
        <v>940</v>
      </c>
      <c r="H3137" s="3">
        <v>46098</v>
      </c>
      <c r="I3137" s="1" t="s">
        <v>933</v>
      </c>
      <c r="J3137" s="1" t="s">
        <v>66</v>
      </c>
      <c r="K3137" s="1" t="s">
        <v>308</v>
      </c>
      <c r="L3137" s="1" t="s">
        <v>4574</v>
      </c>
      <c r="M3137" s="3">
        <v>46084</v>
      </c>
      <c r="N3137" s="1" t="s">
        <v>57</v>
      </c>
      <c r="O3137" s="1" t="s">
        <v>936</v>
      </c>
      <c r="P3137" s="1">
        <v>1</v>
      </c>
    </row>
    <row r="3138" spans="1:16" x14ac:dyDescent="0.25">
      <c r="A3138" s="3">
        <v>46083</v>
      </c>
      <c r="B3138" s="4">
        <v>1153</v>
      </c>
      <c r="C3138" s="5">
        <v>750</v>
      </c>
      <c r="D3138" s="1" t="s">
        <v>1126</v>
      </c>
      <c r="E3138" s="1" t="s">
        <v>1620</v>
      </c>
      <c r="F3138" s="1">
        <v>100041</v>
      </c>
      <c r="G3138" s="1" t="s">
        <v>940</v>
      </c>
      <c r="H3138" s="3">
        <v>46098</v>
      </c>
      <c r="I3138" s="1" t="s">
        <v>933</v>
      </c>
      <c r="J3138" s="1" t="s">
        <v>66</v>
      </c>
      <c r="K3138" s="1" t="s">
        <v>308</v>
      </c>
      <c r="L3138" s="1" t="s">
        <v>4575</v>
      </c>
      <c r="M3138" s="3">
        <v>46084</v>
      </c>
      <c r="N3138" s="1" t="s">
        <v>57</v>
      </c>
      <c r="O3138" s="1" t="s">
        <v>936</v>
      </c>
      <c r="P3138" s="1">
        <v>1</v>
      </c>
    </row>
    <row r="3139" spans="1:16" x14ac:dyDescent="0.25">
      <c r="A3139" s="3">
        <v>46083</v>
      </c>
      <c r="B3139" s="4">
        <v>1153</v>
      </c>
      <c r="C3139" s="5">
        <v>2850</v>
      </c>
      <c r="D3139" s="1" t="s">
        <v>1126</v>
      </c>
      <c r="E3139" s="1" t="s">
        <v>1620</v>
      </c>
      <c r="F3139" s="1" t="s">
        <v>66</v>
      </c>
      <c r="G3139" s="1" t="s">
        <v>940</v>
      </c>
      <c r="H3139" s="3">
        <v>46098</v>
      </c>
      <c r="I3139" s="1" t="s">
        <v>933</v>
      </c>
      <c r="J3139" s="1" t="s">
        <v>66</v>
      </c>
      <c r="K3139" s="1" t="s">
        <v>340</v>
      </c>
      <c r="L3139" s="1" t="s">
        <v>4576</v>
      </c>
      <c r="M3139" s="3">
        <v>46084</v>
      </c>
      <c r="N3139" s="1" t="s">
        <v>57</v>
      </c>
      <c r="O3139" s="1" t="s">
        <v>936</v>
      </c>
      <c r="P3139" s="1">
        <v>1</v>
      </c>
    </row>
    <row r="3140" spans="1:16" x14ac:dyDescent="0.25">
      <c r="A3140" s="3">
        <v>46083</v>
      </c>
      <c r="B3140" s="4">
        <v>1153</v>
      </c>
      <c r="C3140" s="5">
        <v>575</v>
      </c>
      <c r="D3140" s="1" t="s">
        <v>1126</v>
      </c>
      <c r="E3140" s="1" t="s">
        <v>1620</v>
      </c>
      <c r="F3140" s="1" t="s">
        <v>392</v>
      </c>
      <c r="G3140" s="1" t="s">
        <v>940</v>
      </c>
      <c r="H3140" s="3">
        <v>46098</v>
      </c>
      <c r="I3140" s="1" t="s">
        <v>933</v>
      </c>
      <c r="J3140" s="1" t="s">
        <v>66</v>
      </c>
      <c r="K3140" s="1" t="s">
        <v>308</v>
      </c>
      <c r="L3140" s="1" t="s">
        <v>4577</v>
      </c>
      <c r="M3140" s="3">
        <v>46084</v>
      </c>
      <c r="N3140" s="1" t="s">
        <v>93</v>
      </c>
      <c r="O3140" s="1" t="s">
        <v>936</v>
      </c>
      <c r="P3140" s="1">
        <v>1</v>
      </c>
    </row>
    <row r="3141" spans="1:16" x14ac:dyDescent="0.25">
      <c r="A3141" s="3">
        <v>46083</v>
      </c>
      <c r="B3141" s="4">
        <v>1153</v>
      </c>
      <c r="C3141" s="5">
        <v>6550</v>
      </c>
      <c r="D3141" s="1" t="s">
        <v>1126</v>
      </c>
      <c r="E3141" s="1" t="s">
        <v>1620</v>
      </c>
      <c r="F3141" s="1" t="s">
        <v>66</v>
      </c>
      <c r="G3141" s="1" t="s">
        <v>940</v>
      </c>
      <c r="H3141" s="3">
        <v>46098</v>
      </c>
      <c r="I3141" s="1" t="s">
        <v>933</v>
      </c>
      <c r="J3141" s="1" t="s">
        <v>66</v>
      </c>
      <c r="K3141" s="1" t="s">
        <v>340</v>
      </c>
      <c r="L3141" s="1" t="s">
        <v>4578</v>
      </c>
      <c r="M3141" s="3">
        <v>46084</v>
      </c>
      <c r="N3141" s="1" t="s">
        <v>57</v>
      </c>
      <c r="O3141" s="1" t="s">
        <v>936</v>
      </c>
      <c r="P3141" s="1">
        <v>1</v>
      </c>
    </row>
    <row r="3142" spans="1:16" x14ac:dyDescent="0.25">
      <c r="A3142" s="3">
        <v>46083</v>
      </c>
      <c r="B3142" s="4">
        <v>1153</v>
      </c>
      <c r="C3142" s="5">
        <v>300</v>
      </c>
      <c r="D3142" s="1" t="s">
        <v>1126</v>
      </c>
      <c r="E3142" s="1" t="s">
        <v>1620</v>
      </c>
      <c r="F3142" s="1" t="s">
        <v>759</v>
      </c>
      <c r="G3142" s="1" t="s">
        <v>940</v>
      </c>
      <c r="H3142" s="3">
        <v>46098</v>
      </c>
      <c r="I3142" s="1" t="s">
        <v>933</v>
      </c>
      <c r="J3142" s="1" t="s">
        <v>66</v>
      </c>
      <c r="K3142" s="1" t="s">
        <v>340</v>
      </c>
      <c r="L3142" s="1" t="s">
        <v>4579</v>
      </c>
      <c r="M3142" s="3">
        <v>46084</v>
      </c>
      <c r="N3142" s="1" t="s">
        <v>75</v>
      </c>
      <c r="O3142" s="1" t="s">
        <v>936</v>
      </c>
      <c r="P3142" s="1">
        <v>1</v>
      </c>
    </row>
    <row r="3143" spans="1:16" x14ac:dyDescent="0.25">
      <c r="A3143" s="3">
        <v>46083</v>
      </c>
      <c r="B3143" s="4">
        <v>1153</v>
      </c>
      <c r="C3143" s="5">
        <v>580</v>
      </c>
      <c r="D3143" s="1" t="s">
        <v>1126</v>
      </c>
      <c r="E3143" s="1" t="s">
        <v>1620</v>
      </c>
      <c r="F3143" s="1" t="s">
        <v>66</v>
      </c>
      <c r="G3143" s="1" t="s">
        <v>940</v>
      </c>
      <c r="H3143" s="3">
        <v>46098</v>
      </c>
      <c r="I3143" s="1" t="s">
        <v>933</v>
      </c>
      <c r="J3143" s="1" t="s">
        <v>66</v>
      </c>
      <c r="K3143" s="1" t="s">
        <v>340</v>
      </c>
      <c r="L3143" s="1" t="s">
        <v>4580</v>
      </c>
      <c r="M3143" s="3">
        <v>46084</v>
      </c>
      <c r="N3143" s="1" t="s">
        <v>57</v>
      </c>
      <c r="O3143" s="1" t="s">
        <v>936</v>
      </c>
      <c r="P3143" s="1">
        <v>1</v>
      </c>
    </row>
    <row r="3144" spans="1:16" x14ac:dyDescent="0.25">
      <c r="A3144" s="3">
        <v>46083</v>
      </c>
      <c r="B3144" s="4">
        <v>1153</v>
      </c>
      <c r="C3144" s="5">
        <v>180</v>
      </c>
      <c r="D3144" s="1" t="s">
        <v>1126</v>
      </c>
      <c r="E3144" s="1" t="s">
        <v>1620</v>
      </c>
      <c r="F3144" s="1" t="s">
        <v>66</v>
      </c>
      <c r="G3144" s="1" t="s">
        <v>940</v>
      </c>
      <c r="H3144" s="3">
        <v>46098</v>
      </c>
      <c r="I3144" s="1" t="s">
        <v>933</v>
      </c>
      <c r="J3144" s="1" t="s">
        <v>66</v>
      </c>
      <c r="K3144" s="1" t="s">
        <v>308</v>
      </c>
      <c r="L3144" s="1" t="s">
        <v>4581</v>
      </c>
      <c r="M3144" s="3">
        <v>46084</v>
      </c>
      <c r="N3144" s="1" t="s">
        <v>57</v>
      </c>
      <c r="O3144" s="1" t="s">
        <v>936</v>
      </c>
      <c r="P3144" s="1">
        <v>1</v>
      </c>
    </row>
    <row r="3145" spans="1:16" x14ac:dyDescent="0.25">
      <c r="A3145" s="3">
        <v>46083</v>
      </c>
      <c r="B3145" s="4">
        <v>1153</v>
      </c>
      <c r="C3145" s="5">
        <v>2350</v>
      </c>
      <c r="D3145" s="1" t="s">
        <v>1126</v>
      </c>
      <c r="E3145" s="1" t="s">
        <v>1620</v>
      </c>
      <c r="F3145" s="1" t="s">
        <v>949</v>
      </c>
      <c r="G3145" s="1" t="s">
        <v>940</v>
      </c>
      <c r="H3145" s="3">
        <v>46098</v>
      </c>
      <c r="I3145" s="1" t="s">
        <v>933</v>
      </c>
      <c r="J3145" s="1" t="s">
        <v>951</v>
      </c>
      <c r="K3145" s="1" t="s">
        <v>977</v>
      </c>
      <c r="L3145" s="1" t="s">
        <v>4582</v>
      </c>
      <c r="M3145" s="3">
        <v>46084</v>
      </c>
      <c r="N3145" s="1" t="s">
        <v>57</v>
      </c>
      <c r="O3145" s="1" t="s">
        <v>936</v>
      </c>
      <c r="P3145" s="1">
        <v>1</v>
      </c>
    </row>
    <row r="3146" spans="1:16" x14ac:dyDescent="0.25">
      <c r="A3146" s="3">
        <v>46083</v>
      </c>
      <c r="B3146" s="4">
        <v>1153</v>
      </c>
      <c r="C3146" s="5">
        <v>490</v>
      </c>
      <c r="D3146" s="1" t="s">
        <v>1126</v>
      </c>
      <c r="E3146" s="1" t="s">
        <v>1620</v>
      </c>
      <c r="F3146" s="1" t="s">
        <v>392</v>
      </c>
      <c r="G3146" s="1" t="s">
        <v>940</v>
      </c>
      <c r="H3146" s="3">
        <v>46098</v>
      </c>
      <c r="I3146" s="1" t="s">
        <v>933</v>
      </c>
      <c r="J3146" s="1" t="s">
        <v>66</v>
      </c>
      <c r="K3146" s="1" t="s">
        <v>308</v>
      </c>
      <c r="L3146" s="1" t="s">
        <v>4583</v>
      </c>
      <c r="M3146" s="3">
        <v>46084</v>
      </c>
      <c r="N3146" s="1" t="s">
        <v>93</v>
      </c>
      <c r="O3146" s="1" t="s">
        <v>936</v>
      </c>
      <c r="P3146" s="1">
        <v>1</v>
      </c>
    </row>
    <row r="3147" spans="1:16" x14ac:dyDescent="0.25">
      <c r="A3147" s="3">
        <v>46083</v>
      </c>
      <c r="B3147" s="4">
        <v>1153</v>
      </c>
      <c r="C3147" s="5">
        <v>1750</v>
      </c>
      <c r="D3147" s="1" t="s">
        <v>1126</v>
      </c>
      <c r="E3147" s="1" t="s">
        <v>1620</v>
      </c>
      <c r="F3147" s="1" t="s">
        <v>66</v>
      </c>
      <c r="G3147" s="1" t="s">
        <v>940</v>
      </c>
      <c r="H3147" s="3">
        <v>46098</v>
      </c>
      <c r="I3147" s="1" t="s">
        <v>933</v>
      </c>
      <c r="J3147" s="1" t="s">
        <v>66</v>
      </c>
      <c r="K3147" s="1" t="s">
        <v>308</v>
      </c>
      <c r="L3147" s="1" t="s">
        <v>4584</v>
      </c>
      <c r="M3147" s="3">
        <v>46084</v>
      </c>
      <c r="N3147" s="1" t="s">
        <v>57</v>
      </c>
      <c r="O3147" s="1" t="s">
        <v>936</v>
      </c>
      <c r="P3147" s="1">
        <v>1</v>
      </c>
    </row>
    <row r="3148" spans="1:16" x14ac:dyDescent="0.25">
      <c r="A3148" s="3">
        <v>46083</v>
      </c>
      <c r="B3148" s="4">
        <v>1153</v>
      </c>
      <c r="C3148" s="5">
        <v>685</v>
      </c>
      <c r="D3148" s="1" t="s">
        <v>1126</v>
      </c>
      <c r="E3148" s="1" t="s">
        <v>1620</v>
      </c>
      <c r="F3148" s="1" t="s">
        <v>478</v>
      </c>
      <c r="G3148" s="1" t="s">
        <v>940</v>
      </c>
      <c r="H3148" s="3">
        <v>46098</v>
      </c>
      <c r="I3148" s="1" t="s">
        <v>933</v>
      </c>
      <c r="J3148" s="1" t="s">
        <v>66</v>
      </c>
      <c r="K3148" s="1" t="s">
        <v>340</v>
      </c>
      <c r="L3148" s="1" t="s">
        <v>4585</v>
      </c>
      <c r="M3148" s="3">
        <v>46084</v>
      </c>
      <c r="N3148" s="1" t="s">
        <v>440</v>
      </c>
      <c r="O3148" s="1" t="s">
        <v>936</v>
      </c>
      <c r="P3148" s="1">
        <v>1</v>
      </c>
    </row>
    <row r="3149" spans="1:16" x14ac:dyDescent="0.25">
      <c r="A3149" s="3">
        <v>46083</v>
      </c>
      <c r="B3149" s="4">
        <v>1206</v>
      </c>
      <c r="C3149" s="5">
        <v>350</v>
      </c>
      <c r="D3149" s="1" t="s">
        <v>1074</v>
      </c>
      <c r="E3149" s="1" t="s">
        <v>1075</v>
      </c>
      <c r="F3149" s="1" t="s">
        <v>799</v>
      </c>
      <c r="G3149" s="1" t="s">
        <v>1058</v>
      </c>
      <c r="H3149" s="3">
        <v>46109</v>
      </c>
      <c r="I3149" s="1" t="s">
        <v>933</v>
      </c>
      <c r="J3149" s="1" t="s">
        <v>66</v>
      </c>
      <c r="K3149" s="1" t="s">
        <v>308</v>
      </c>
      <c r="L3149" s="1" t="s">
        <v>4587</v>
      </c>
      <c r="M3149" s="3">
        <v>46084</v>
      </c>
      <c r="N3149" s="1" t="s">
        <v>57</v>
      </c>
      <c r="O3149" s="1" t="s">
        <v>936</v>
      </c>
      <c r="P3149" s="1">
        <v>1</v>
      </c>
    </row>
    <row r="3150" spans="1:16" x14ac:dyDescent="0.25">
      <c r="A3150" s="3">
        <v>46083</v>
      </c>
      <c r="B3150" s="4">
        <v>1206</v>
      </c>
      <c r="C3150" s="5">
        <v>350</v>
      </c>
      <c r="D3150" s="1" t="s">
        <v>1074</v>
      </c>
      <c r="E3150" s="1" t="s">
        <v>1075</v>
      </c>
      <c r="F3150" s="1" t="s">
        <v>504</v>
      </c>
      <c r="G3150" s="1" t="s">
        <v>1058</v>
      </c>
      <c r="H3150" s="3">
        <v>46109</v>
      </c>
      <c r="I3150" s="1" t="s">
        <v>933</v>
      </c>
      <c r="J3150" s="1" t="s">
        <v>66</v>
      </c>
      <c r="K3150" s="1" t="s">
        <v>308</v>
      </c>
      <c r="L3150" s="1" t="s">
        <v>4588</v>
      </c>
      <c r="M3150" s="3">
        <v>46084</v>
      </c>
      <c r="N3150" s="1" t="s">
        <v>57</v>
      </c>
      <c r="O3150" s="1" t="s">
        <v>936</v>
      </c>
      <c r="P3150" s="1">
        <v>1</v>
      </c>
    </row>
    <row r="3151" spans="1:16" x14ac:dyDescent="0.25">
      <c r="A3151" s="3">
        <v>46083</v>
      </c>
      <c r="B3151" s="4">
        <v>1206</v>
      </c>
      <c r="C3151" s="5">
        <v>280</v>
      </c>
      <c r="D3151" s="1" t="s">
        <v>1074</v>
      </c>
      <c r="E3151" s="1" t="s">
        <v>1075</v>
      </c>
      <c r="F3151" s="1" t="s">
        <v>255</v>
      </c>
      <c r="G3151" s="1" t="s">
        <v>1058</v>
      </c>
      <c r="H3151" s="3">
        <v>46109</v>
      </c>
      <c r="I3151" s="1" t="s">
        <v>933</v>
      </c>
      <c r="J3151" s="1" t="s">
        <v>66</v>
      </c>
      <c r="K3151" s="1" t="s">
        <v>308</v>
      </c>
      <c r="L3151" s="1" t="s">
        <v>4589</v>
      </c>
      <c r="M3151" s="3">
        <v>46084</v>
      </c>
      <c r="N3151" s="1" t="s">
        <v>57</v>
      </c>
      <c r="O3151" s="1" t="s">
        <v>936</v>
      </c>
      <c r="P3151" s="1">
        <v>1</v>
      </c>
    </row>
    <row r="3152" spans="1:16" x14ac:dyDescent="0.25">
      <c r="A3152" s="3">
        <v>46083</v>
      </c>
      <c r="B3152" s="4">
        <v>1206</v>
      </c>
      <c r="C3152" s="5">
        <v>80</v>
      </c>
      <c r="D3152" s="1" t="s">
        <v>1074</v>
      </c>
      <c r="E3152" s="1" t="s">
        <v>1075</v>
      </c>
      <c r="F3152" s="1" t="s">
        <v>66</v>
      </c>
      <c r="G3152" s="1" t="s">
        <v>1058</v>
      </c>
      <c r="H3152" s="3">
        <v>46109</v>
      </c>
      <c r="I3152" s="1" t="s">
        <v>933</v>
      </c>
      <c r="J3152" s="1" t="s">
        <v>66</v>
      </c>
      <c r="K3152" s="1" t="s">
        <v>308</v>
      </c>
      <c r="L3152" s="1" t="s">
        <v>4590</v>
      </c>
      <c r="M3152" s="3">
        <v>46084</v>
      </c>
      <c r="N3152" s="1" t="s">
        <v>57</v>
      </c>
      <c r="O3152" s="1" t="s">
        <v>936</v>
      </c>
      <c r="P3152" s="1">
        <v>1</v>
      </c>
    </row>
    <row r="3153" spans="1:16" x14ac:dyDescent="0.25">
      <c r="A3153" s="3">
        <v>46083</v>
      </c>
      <c r="B3153" s="4">
        <v>1206</v>
      </c>
      <c r="C3153" s="5">
        <v>40</v>
      </c>
      <c r="D3153" s="1" t="s">
        <v>1074</v>
      </c>
      <c r="E3153" s="1" t="s">
        <v>1075</v>
      </c>
      <c r="F3153" s="1" t="s">
        <v>66</v>
      </c>
      <c r="G3153" s="1" t="s">
        <v>1058</v>
      </c>
      <c r="H3153" s="3">
        <v>46109</v>
      </c>
      <c r="I3153" s="1" t="s">
        <v>933</v>
      </c>
      <c r="J3153" s="1" t="s">
        <v>66</v>
      </c>
      <c r="K3153" s="1" t="s">
        <v>817</v>
      </c>
      <c r="L3153" s="1" t="s">
        <v>4591</v>
      </c>
      <c r="M3153" s="3">
        <v>46084</v>
      </c>
      <c r="N3153" s="1" t="s">
        <v>57</v>
      </c>
      <c r="O3153" s="1" t="s">
        <v>936</v>
      </c>
      <c r="P3153" s="1">
        <v>1</v>
      </c>
    </row>
    <row r="3154" spans="1:16" x14ac:dyDescent="0.25">
      <c r="A3154" s="3">
        <v>46083</v>
      </c>
      <c r="B3154" s="4">
        <v>1206</v>
      </c>
      <c r="C3154" s="5">
        <v>400</v>
      </c>
      <c r="D3154" s="1" t="s">
        <v>1074</v>
      </c>
      <c r="E3154" s="1" t="s">
        <v>1075</v>
      </c>
      <c r="F3154" s="1" t="s">
        <v>837</v>
      </c>
      <c r="G3154" s="1" t="s">
        <v>1058</v>
      </c>
      <c r="H3154" s="3">
        <v>46109</v>
      </c>
      <c r="I3154" s="1" t="s">
        <v>933</v>
      </c>
      <c r="J3154" s="1" t="s">
        <v>66</v>
      </c>
      <c r="K3154" s="1" t="s">
        <v>340</v>
      </c>
      <c r="L3154" s="1" t="s">
        <v>4592</v>
      </c>
      <c r="M3154" s="3">
        <v>46084</v>
      </c>
      <c r="N3154" s="1" t="s">
        <v>57</v>
      </c>
      <c r="O3154" s="1" t="s">
        <v>936</v>
      </c>
      <c r="P3154" s="1">
        <v>1</v>
      </c>
    </row>
    <row r="3155" spans="1:16" x14ac:dyDescent="0.25">
      <c r="A3155" s="3">
        <v>46083</v>
      </c>
      <c r="B3155" s="4">
        <v>1206</v>
      </c>
      <c r="C3155" s="5">
        <v>230</v>
      </c>
      <c r="D3155" s="1" t="s">
        <v>1074</v>
      </c>
      <c r="E3155" s="1" t="s">
        <v>1075</v>
      </c>
      <c r="F3155" s="1" t="s">
        <v>775</v>
      </c>
      <c r="G3155" s="1" t="s">
        <v>1058</v>
      </c>
      <c r="H3155" s="3">
        <v>46109</v>
      </c>
      <c r="I3155" s="1" t="s">
        <v>933</v>
      </c>
      <c r="J3155" s="1" t="s">
        <v>66</v>
      </c>
      <c r="K3155" s="1" t="s">
        <v>340</v>
      </c>
      <c r="L3155" s="1" t="s">
        <v>4593</v>
      </c>
      <c r="M3155" s="3">
        <v>46084</v>
      </c>
      <c r="N3155" s="1" t="s">
        <v>57</v>
      </c>
      <c r="O3155" s="1" t="s">
        <v>936</v>
      </c>
      <c r="P3155" s="1">
        <v>1</v>
      </c>
    </row>
    <row r="3156" spans="1:16" x14ac:dyDescent="0.25">
      <c r="A3156" s="3">
        <v>46083</v>
      </c>
      <c r="B3156" s="4">
        <v>1206</v>
      </c>
      <c r="C3156" s="5">
        <v>200</v>
      </c>
      <c r="D3156" s="1" t="s">
        <v>1074</v>
      </c>
      <c r="E3156" s="1" t="s">
        <v>1075</v>
      </c>
      <c r="F3156" s="1" t="s">
        <v>753</v>
      </c>
      <c r="G3156" s="1" t="s">
        <v>1058</v>
      </c>
      <c r="H3156" s="3">
        <v>46109</v>
      </c>
      <c r="I3156" s="1" t="s">
        <v>933</v>
      </c>
      <c r="J3156" s="1" t="s">
        <v>66</v>
      </c>
      <c r="K3156" s="1" t="s">
        <v>340</v>
      </c>
      <c r="L3156" s="1" t="s">
        <v>4594</v>
      </c>
      <c r="M3156" s="3">
        <v>46084</v>
      </c>
      <c r="N3156" s="1" t="s">
        <v>57</v>
      </c>
      <c r="O3156" s="1" t="s">
        <v>936</v>
      </c>
      <c r="P3156" s="1">
        <v>1</v>
      </c>
    </row>
    <row r="3157" spans="1:16" x14ac:dyDescent="0.25">
      <c r="A3157" s="3">
        <v>46083</v>
      </c>
      <c r="B3157" s="4">
        <v>1206</v>
      </c>
      <c r="C3157" s="5">
        <v>130</v>
      </c>
      <c r="D3157" s="1" t="s">
        <v>1074</v>
      </c>
      <c r="E3157" s="1" t="s">
        <v>1075</v>
      </c>
      <c r="F3157" s="1" t="s">
        <v>392</v>
      </c>
      <c r="G3157" s="1" t="s">
        <v>1058</v>
      </c>
      <c r="H3157" s="3">
        <v>46109</v>
      </c>
      <c r="I3157" s="1" t="s">
        <v>933</v>
      </c>
      <c r="J3157" s="1" t="s">
        <v>66</v>
      </c>
      <c r="K3157" s="1" t="s">
        <v>640</v>
      </c>
      <c r="L3157" s="1" t="s">
        <v>4595</v>
      </c>
      <c r="M3157" s="3">
        <v>46084</v>
      </c>
      <c r="N3157" s="1" t="s">
        <v>57</v>
      </c>
      <c r="O3157" s="1" t="s">
        <v>936</v>
      </c>
      <c r="P3157" s="1">
        <v>1</v>
      </c>
    </row>
    <row r="3158" spans="1:16" x14ac:dyDescent="0.25">
      <c r="A3158" s="3">
        <v>46083</v>
      </c>
      <c r="B3158" s="4">
        <v>1206</v>
      </c>
      <c r="C3158" s="5">
        <v>280</v>
      </c>
      <c r="D3158" s="1" t="s">
        <v>1074</v>
      </c>
      <c r="E3158" s="1" t="s">
        <v>1075</v>
      </c>
      <c r="F3158" s="1" t="s">
        <v>255</v>
      </c>
      <c r="G3158" s="1" t="s">
        <v>1058</v>
      </c>
      <c r="H3158" s="3">
        <v>46109</v>
      </c>
      <c r="I3158" s="1" t="s">
        <v>933</v>
      </c>
      <c r="J3158" s="1" t="s">
        <v>66</v>
      </c>
      <c r="K3158" s="1" t="s">
        <v>340</v>
      </c>
      <c r="L3158" s="1" t="s">
        <v>4596</v>
      </c>
      <c r="M3158" s="3">
        <v>46084</v>
      </c>
      <c r="N3158" s="1" t="s">
        <v>57</v>
      </c>
      <c r="O3158" s="1" t="s">
        <v>936</v>
      </c>
      <c r="P3158" s="1">
        <v>1</v>
      </c>
    </row>
    <row r="3159" spans="1:16" x14ac:dyDescent="0.25">
      <c r="A3159" s="3">
        <v>46083</v>
      </c>
      <c r="B3159" s="4">
        <v>1206</v>
      </c>
      <c r="C3159" s="5">
        <v>80</v>
      </c>
      <c r="D3159" s="1" t="s">
        <v>1074</v>
      </c>
      <c r="E3159" s="1" t="s">
        <v>1075</v>
      </c>
      <c r="F3159" s="1" t="s">
        <v>66</v>
      </c>
      <c r="G3159" s="1" t="s">
        <v>1058</v>
      </c>
      <c r="H3159" s="3">
        <v>46109</v>
      </c>
      <c r="I3159" s="1" t="s">
        <v>933</v>
      </c>
      <c r="J3159" s="1" t="s">
        <v>66</v>
      </c>
      <c r="K3159" s="1" t="s">
        <v>340</v>
      </c>
      <c r="L3159" s="1" t="s">
        <v>4597</v>
      </c>
      <c r="M3159" s="3">
        <v>46084</v>
      </c>
      <c r="N3159" s="1" t="s">
        <v>57</v>
      </c>
      <c r="O3159" s="1" t="s">
        <v>936</v>
      </c>
      <c r="P3159" s="1">
        <v>1</v>
      </c>
    </row>
    <row r="3160" spans="1:16" x14ac:dyDescent="0.25">
      <c r="A3160" s="3">
        <v>46083</v>
      </c>
      <c r="B3160" s="4">
        <v>1206</v>
      </c>
      <c r="C3160" s="5">
        <v>80</v>
      </c>
      <c r="D3160" s="1" t="s">
        <v>1074</v>
      </c>
      <c r="E3160" s="1" t="s">
        <v>1075</v>
      </c>
      <c r="F3160" s="1" t="s">
        <v>66</v>
      </c>
      <c r="G3160" s="1" t="s">
        <v>1058</v>
      </c>
      <c r="H3160" s="3">
        <v>46109</v>
      </c>
      <c r="I3160" s="1" t="s">
        <v>933</v>
      </c>
      <c r="J3160" s="1" t="s">
        <v>66</v>
      </c>
      <c r="K3160" s="1" t="s">
        <v>640</v>
      </c>
      <c r="L3160" s="1" t="s">
        <v>4598</v>
      </c>
      <c r="M3160" s="3">
        <v>46084</v>
      </c>
      <c r="N3160" s="1" t="s">
        <v>57</v>
      </c>
      <c r="O3160" s="1" t="s">
        <v>936</v>
      </c>
      <c r="P3160" s="1">
        <v>1</v>
      </c>
    </row>
    <row r="3161" spans="1:16" x14ac:dyDescent="0.25">
      <c r="A3161" s="3">
        <v>46083</v>
      </c>
      <c r="B3161" s="4">
        <v>1206</v>
      </c>
      <c r="C3161" s="5">
        <v>280</v>
      </c>
      <c r="D3161" s="1" t="s">
        <v>1074</v>
      </c>
      <c r="E3161" s="1" t="s">
        <v>1075</v>
      </c>
      <c r="F3161" s="1" t="s">
        <v>304</v>
      </c>
      <c r="G3161" s="1" t="s">
        <v>1058</v>
      </c>
      <c r="H3161" s="3">
        <v>46109</v>
      </c>
      <c r="I3161" s="1" t="s">
        <v>933</v>
      </c>
      <c r="J3161" s="1" t="s">
        <v>66</v>
      </c>
      <c r="K3161" s="1" t="s">
        <v>340</v>
      </c>
      <c r="L3161" s="1" t="s">
        <v>4599</v>
      </c>
      <c r="M3161" s="3">
        <v>46084</v>
      </c>
      <c r="N3161" s="1" t="s">
        <v>57</v>
      </c>
      <c r="O3161" s="1" t="s">
        <v>936</v>
      </c>
      <c r="P3161" s="1">
        <v>1</v>
      </c>
    </row>
    <row r="3162" spans="1:16" x14ac:dyDescent="0.25">
      <c r="A3162" s="3">
        <v>46083</v>
      </c>
      <c r="B3162" s="4">
        <v>1206</v>
      </c>
      <c r="C3162" s="5">
        <v>600</v>
      </c>
      <c r="D3162" s="1" t="s">
        <v>1074</v>
      </c>
      <c r="E3162" s="1" t="s">
        <v>1075</v>
      </c>
      <c r="F3162" s="1" t="s">
        <v>647</v>
      </c>
      <c r="G3162" s="1" t="s">
        <v>1058</v>
      </c>
      <c r="H3162" s="3">
        <v>46109</v>
      </c>
      <c r="I3162" s="1" t="s">
        <v>933</v>
      </c>
      <c r="J3162" s="1" t="s">
        <v>66</v>
      </c>
      <c r="K3162" s="1" t="s">
        <v>340</v>
      </c>
      <c r="L3162" s="1" t="s">
        <v>4600</v>
      </c>
      <c r="M3162" s="3">
        <v>46084</v>
      </c>
      <c r="N3162" s="1" t="s">
        <v>57</v>
      </c>
      <c r="O3162" s="1" t="s">
        <v>936</v>
      </c>
      <c r="P3162" s="1">
        <v>1</v>
      </c>
    </row>
    <row r="3163" spans="1:16" x14ac:dyDescent="0.25">
      <c r="A3163" s="3">
        <v>46083</v>
      </c>
      <c r="B3163" s="4">
        <v>1206</v>
      </c>
      <c r="C3163" s="5">
        <v>280</v>
      </c>
      <c r="D3163" s="1" t="s">
        <v>1074</v>
      </c>
      <c r="E3163" s="1" t="s">
        <v>1075</v>
      </c>
      <c r="F3163" s="1" t="s">
        <v>43</v>
      </c>
      <c r="G3163" s="1" t="s">
        <v>1058</v>
      </c>
      <c r="H3163" s="3">
        <v>46109</v>
      </c>
      <c r="I3163" s="1" t="s">
        <v>933</v>
      </c>
      <c r="J3163" s="1" t="s">
        <v>66</v>
      </c>
      <c r="K3163" s="1" t="s">
        <v>640</v>
      </c>
      <c r="L3163" s="1" t="s">
        <v>4601</v>
      </c>
      <c r="M3163" s="3">
        <v>46084</v>
      </c>
      <c r="N3163" s="1" t="s">
        <v>57</v>
      </c>
      <c r="O3163" s="1" t="s">
        <v>936</v>
      </c>
      <c r="P3163" s="1">
        <v>1</v>
      </c>
    </row>
    <row r="3164" spans="1:16" x14ac:dyDescent="0.25">
      <c r="A3164" s="3">
        <v>46083</v>
      </c>
      <c r="B3164" s="4">
        <v>1206</v>
      </c>
      <c r="C3164" s="5">
        <v>280</v>
      </c>
      <c r="D3164" s="1" t="s">
        <v>1074</v>
      </c>
      <c r="E3164" s="1" t="s">
        <v>1075</v>
      </c>
      <c r="F3164" s="1" t="s">
        <v>639</v>
      </c>
      <c r="G3164" s="1" t="s">
        <v>1058</v>
      </c>
      <c r="H3164" s="3">
        <v>46109</v>
      </c>
      <c r="I3164" s="1" t="s">
        <v>933</v>
      </c>
      <c r="J3164" s="1" t="s">
        <v>66</v>
      </c>
      <c r="K3164" s="1" t="s">
        <v>640</v>
      </c>
      <c r="L3164" s="1" t="s">
        <v>4602</v>
      </c>
      <c r="M3164" s="3">
        <v>46084</v>
      </c>
      <c r="N3164" s="1" t="s">
        <v>57</v>
      </c>
      <c r="O3164" s="1" t="s">
        <v>936</v>
      </c>
      <c r="P3164" s="1">
        <v>1</v>
      </c>
    </row>
    <row r="3165" spans="1:16" x14ac:dyDescent="0.25">
      <c r="A3165" s="3">
        <v>46083</v>
      </c>
      <c r="B3165" s="4">
        <v>1206</v>
      </c>
      <c r="C3165" s="5">
        <v>250</v>
      </c>
      <c r="D3165" s="1" t="s">
        <v>1074</v>
      </c>
      <c r="E3165" s="1" t="s">
        <v>1075</v>
      </c>
      <c r="F3165" s="1" t="s">
        <v>683</v>
      </c>
      <c r="G3165" s="1" t="s">
        <v>1058</v>
      </c>
      <c r="H3165" s="3">
        <v>46109</v>
      </c>
      <c r="I3165" s="1" t="s">
        <v>933</v>
      </c>
      <c r="J3165" s="1" t="s">
        <v>66</v>
      </c>
      <c r="K3165" s="1" t="s">
        <v>1654</v>
      </c>
      <c r="L3165" s="1" t="s">
        <v>4603</v>
      </c>
      <c r="M3165" s="3">
        <v>46084</v>
      </c>
      <c r="N3165" s="1" t="s">
        <v>57</v>
      </c>
      <c r="O3165" s="1" t="s">
        <v>936</v>
      </c>
      <c r="P3165" s="1">
        <v>1</v>
      </c>
    </row>
    <row r="3166" spans="1:16" x14ac:dyDescent="0.25">
      <c r="A3166" s="3">
        <v>46083</v>
      </c>
      <c r="B3166" s="4">
        <v>1206</v>
      </c>
      <c r="C3166" s="5">
        <v>700</v>
      </c>
      <c r="D3166" s="1" t="s">
        <v>1074</v>
      </c>
      <c r="E3166" s="1" t="s">
        <v>1075</v>
      </c>
      <c r="F3166" s="1" t="s">
        <v>553</v>
      </c>
      <c r="G3166" s="1" t="s">
        <v>1058</v>
      </c>
      <c r="H3166" s="3">
        <v>46109</v>
      </c>
      <c r="I3166" s="1" t="s">
        <v>933</v>
      </c>
      <c r="J3166" s="1" t="s">
        <v>66</v>
      </c>
      <c r="K3166" s="1" t="s">
        <v>636</v>
      </c>
      <c r="L3166" s="1" t="s">
        <v>4604</v>
      </c>
      <c r="M3166" s="3">
        <v>46084</v>
      </c>
      <c r="N3166" s="1" t="s">
        <v>57</v>
      </c>
      <c r="O3166" s="1" t="s">
        <v>936</v>
      </c>
      <c r="P3166" s="1">
        <v>1</v>
      </c>
    </row>
    <row r="3167" spans="1:16" x14ac:dyDescent="0.25">
      <c r="A3167" s="3">
        <v>46083</v>
      </c>
      <c r="B3167" s="4">
        <v>1206</v>
      </c>
      <c r="C3167" s="5">
        <v>80</v>
      </c>
      <c r="D3167" s="1" t="s">
        <v>1074</v>
      </c>
      <c r="E3167" s="1" t="s">
        <v>1075</v>
      </c>
      <c r="F3167" s="1" t="s">
        <v>66</v>
      </c>
      <c r="G3167" s="1" t="s">
        <v>1058</v>
      </c>
      <c r="H3167" s="3">
        <v>46109</v>
      </c>
      <c r="I3167" s="1" t="s">
        <v>933</v>
      </c>
      <c r="J3167" s="1" t="s">
        <v>66</v>
      </c>
      <c r="K3167" s="1" t="s">
        <v>817</v>
      </c>
      <c r="L3167" s="1" t="s">
        <v>4605</v>
      </c>
      <c r="M3167" s="3">
        <v>46084</v>
      </c>
      <c r="N3167" s="1" t="s">
        <v>57</v>
      </c>
      <c r="O3167" s="1" t="s">
        <v>936</v>
      </c>
      <c r="P3167" s="1">
        <v>1</v>
      </c>
    </row>
    <row r="3168" spans="1:16" x14ac:dyDescent="0.25">
      <c r="A3168" s="3">
        <v>46083</v>
      </c>
      <c r="B3168" s="4">
        <v>1206</v>
      </c>
      <c r="C3168" s="5">
        <v>80</v>
      </c>
      <c r="D3168" s="1" t="s">
        <v>1074</v>
      </c>
      <c r="E3168" s="1" t="s">
        <v>1075</v>
      </c>
      <c r="F3168" s="1" t="s">
        <v>66</v>
      </c>
      <c r="G3168" s="1" t="s">
        <v>1058</v>
      </c>
      <c r="H3168" s="3">
        <v>46109</v>
      </c>
      <c r="I3168" s="1" t="s">
        <v>933</v>
      </c>
      <c r="J3168" s="1" t="s">
        <v>66</v>
      </c>
      <c r="K3168" s="1" t="s">
        <v>66</v>
      </c>
      <c r="L3168" s="1" t="s">
        <v>4606</v>
      </c>
      <c r="M3168" s="3">
        <v>46084</v>
      </c>
      <c r="N3168" s="1" t="s">
        <v>57</v>
      </c>
      <c r="O3168" s="1" t="s">
        <v>936</v>
      </c>
      <c r="P3168" s="1">
        <v>1</v>
      </c>
    </row>
    <row r="3169" spans="1:16" x14ac:dyDescent="0.25">
      <c r="A3169" s="3">
        <v>46083</v>
      </c>
      <c r="B3169" s="4">
        <v>1206</v>
      </c>
      <c r="C3169" s="5">
        <v>80</v>
      </c>
      <c r="D3169" s="1" t="s">
        <v>1074</v>
      </c>
      <c r="E3169" s="1" t="s">
        <v>1075</v>
      </c>
      <c r="F3169" s="1" t="s">
        <v>66</v>
      </c>
      <c r="G3169" s="1" t="s">
        <v>1058</v>
      </c>
      <c r="H3169" s="3">
        <v>46109</v>
      </c>
      <c r="I3169" s="1" t="s">
        <v>933</v>
      </c>
      <c r="J3169" s="1" t="s">
        <v>66</v>
      </c>
      <c r="K3169" s="1" t="s">
        <v>817</v>
      </c>
      <c r="L3169" s="1" t="s">
        <v>4607</v>
      </c>
      <c r="M3169" s="3">
        <v>46084</v>
      </c>
      <c r="N3169" s="1" t="s">
        <v>57</v>
      </c>
      <c r="O3169" s="1" t="s">
        <v>936</v>
      </c>
      <c r="P3169" s="1">
        <v>1</v>
      </c>
    </row>
    <row r="3170" spans="1:16" x14ac:dyDescent="0.25">
      <c r="A3170" s="3">
        <v>46083</v>
      </c>
      <c r="B3170" s="4">
        <v>1206</v>
      </c>
      <c r="C3170" s="5">
        <v>80</v>
      </c>
      <c r="D3170" s="1" t="s">
        <v>1074</v>
      </c>
      <c r="E3170" s="1" t="s">
        <v>1075</v>
      </c>
      <c r="F3170" s="1" t="s">
        <v>66</v>
      </c>
      <c r="G3170" s="1" t="s">
        <v>1058</v>
      </c>
      <c r="H3170" s="3">
        <v>46109</v>
      </c>
      <c r="I3170" s="1" t="s">
        <v>933</v>
      </c>
      <c r="J3170" s="1" t="s">
        <v>66</v>
      </c>
      <c r="K3170" s="1" t="s">
        <v>2085</v>
      </c>
      <c r="L3170" s="1" t="s">
        <v>4608</v>
      </c>
      <c r="M3170" s="3">
        <v>46084</v>
      </c>
      <c r="N3170" s="1" t="s">
        <v>57</v>
      </c>
      <c r="O3170" s="1" t="s">
        <v>936</v>
      </c>
      <c r="P3170" s="1">
        <v>1</v>
      </c>
    </row>
    <row r="3171" spans="1:16" x14ac:dyDescent="0.25">
      <c r="A3171" s="3">
        <v>46083</v>
      </c>
      <c r="B3171" s="4">
        <v>1206</v>
      </c>
      <c r="C3171" s="5">
        <v>280</v>
      </c>
      <c r="D3171" s="1" t="s">
        <v>1074</v>
      </c>
      <c r="E3171" s="1" t="s">
        <v>1075</v>
      </c>
      <c r="F3171" s="1" t="s">
        <v>201</v>
      </c>
      <c r="G3171" s="1" t="s">
        <v>1058</v>
      </c>
      <c r="H3171" s="3">
        <v>46109</v>
      </c>
      <c r="I3171" s="1" t="s">
        <v>933</v>
      </c>
      <c r="J3171" s="1" t="s">
        <v>66</v>
      </c>
      <c r="K3171" s="1" t="s">
        <v>636</v>
      </c>
      <c r="L3171" s="1" t="s">
        <v>4609</v>
      </c>
      <c r="M3171" s="3">
        <v>46084</v>
      </c>
      <c r="N3171" s="1" t="s">
        <v>57</v>
      </c>
      <c r="O3171" s="1" t="s">
        <v>936</v>
      </c>
      <c r="P3171" s="1">
        <v>1</v>
      </c>
    </row>
    <row r="3172" spans="1:16" x14ac:dyDescent="0.25">
      <c r="A3172" s="3">
        <v>46083</v>
      </c>
      <c r="B3172" s="4">
        <v>1206</v>
      </c>
      <c r="C3172" s="5">
        <v>80</v>
      </c>
      <c r="D3172" s="1" t="s">
        <v>1074</v>
      </c>
      <c r="E3172" s="1" t="s">
        <v>1075</v>
      </c>
      <c r="F3172" s="1" t="s">
        <v>66</v>
      </c>
      <c r="G3172" s="1" t="s">
        <v>1058</v>
      </c>
      <c r="H3172" s="3">
        <v>46109</v>
      </c>
      <c r="I3172" s="1" t="s">
        <v>933</v>
      </c>
      <c r="J3172" s="1" t="s">
        <v>66</v>
      </c>
      <c r="K3172" s="1" t="s">
        <v>340</v>
      </c>
      <c r="L3172" s="1" t="s">
        <v>4610</v>
      </c>
      <c r="M3172" s="3">
        <v>46084</v>
      </c>
      <c r="N3172" s="1" t="s">
        <v>57</v>
      </c>
      <c r="O3172" s="1" t="s">
        <v>936</v>
      </c>
      <c r="P3172" s="1">
        <v>1</v>
      </c>
    </row>
    <row r="3173" spans="1:16" x14ac:dyDescent="0.25">
      <c r="A3173" s="3">
        <v>46083</v>
      </c>
      <c r="B3173" s="4">
        <v>1206</v>
      </c>
      <c r="C3173" s="5">
        <v>80</v>
      </c>
      <c r="D3173" s="1" t="s">
        <v>1074</v>
      </c>
      <c r="E3173" s="1" t="s">
        <v>1075</v>
      </c>
      <c r="F3173" s="1" t="s">
        <v>66</v>
      </c>
      <c r="G3173" s="1" t="s">
        <v>1058</v>
      </c>
      <c r="H3173" s="3">
        <v>46109</v>
      </c>
      <c r="I3173" s="1" t="s">
        <v>933</v>
      </c>
      <c r="J3173" s="1" t="s">
        <v>66</v>
      </c>
      <c r="K3173" s="1" t="s">
        <v>1654</v>
      </c>
      <c r="L3173" s="1" t="s">
        <v>4611</v>
      </c>
      <c r="M3173" s="3">
        <v>46084</v>
      </c>
      <c r="N3173" s="1" t="s">
        <v>57</v>
      </c>
      <c r="O3173" s="1" t="s">
        <v>936</v>
      </c>
      <c r="P3173" s="1">
        <v>1</v>
      </c>
    </row>
    <row r="3174" spans="1:16" x14ac:dyDescent="0.25">
      <c r="A3174" s="3">
        <v>46083</v>
      </c>
      <c r="B3174" s="4">
        <v>1206</v>
      </c>
      <c r="C3174" s="5">
        <v>80</v>
      </c>
      <c r="D3174" s="1" t="s">
        <v>1074</v>
      </c>
      <c r="E3174" s="1" t="s">
        <v>1075</v>
      </c>
      <c r="F3174" s="1" t="s">
        <v>66</v>
      </c>
      <c r="G3174" s="1" t="s">
        <v>1058</v>
      </c>
      <c r="H3174" s="3">
        <v>46109</v>
      </c>
      <c r="I3174" s="1" t="s">
        <v>933</v>
      </c>
      <c r="J3174" s="1" t="s">
        <v>66</v>
      </c>
      <c r="K3174" s="1" t="s">
        <v>2085</v>
      </c>
      <c r="L3174" s="1" t="s">
        <v>4612</v>
      </c>
      <c r="M3174" s="3">
        <v>46084</v>
      </c>
      <c r="N3174" s="1" t="s">
        <v>57</v>
      </c>
      <c r="O3174" s="1" t="s">
        <v>936</v>
      </c>
      <c r="P3174" s="1">
        <v>1</v>
      </c>
    </row>
    <row r="3175" spans="1:16" x14ac:dyDescent="0.25">
      <c r="A3175" s="3">
        <v>46083</v>
      </c>
      <c r="B3175" s="4">
        <v>1206</v>
      </c>
      <c r="C3175" s="5">
        <v>600</v>
      </c>
      <c r="D3175" s="1" t="s">
        <v>1074</v>
      </c>
      <c r="E3175" s="1" t="s">
        <v>1075</v>
      </c>
      <c r="F3175" s="1" t="s">
        <v>647</v>
      </c>
      <c r="G3175" s="1" t="s">
        <v>1058</v>
      </c>
      <c r="H3175" s="3">
        <v>46109</v>
      </c>
      <c r="I3175" s="1" t="s">
        <v>933</v>
      </c>
      <c r="J3175" s="1" t="s">
        <v>66</v>
      </c>
      <c r="K3175" s="1" t="s">
        <v>340</v>
      </c>
      <c r="L3175" s="1" t="s">
        <v>4600</v>
      </c>
      <c r="M3175" s="3">
        <v>46084</v>
      </c>
      <c r="N3175" s="1" t="s">
        <v>57</v>
      </c>
      <c r="O3175" s="1" t="s">
        <v>936</v>
      </c>
      <c r="P3175" s="1">
        <v>1</v>
      </c>
    </row>
    <row r="3176" spans="1:16" x14ac:dyDescent="0.25">
      <c r="A3176" s="3">
        <v>46083</v>
      </c>
      <c r="B3176" s="4">
        <v>1206</v>
      </c>
      <c r="C3176" s="5">
        <v>250</v>
      </c>
      <c r="D3176" s="1" t="s">
        <v>1074</v>
      </c>
      <c r="E3176" s="1" t="s">
        <v>1075</v>
      </c>
      <c r="F3176" s="1" t="s">
        <v>775</v>
      </c>
      <c r="G3176" s="1" t="s">
        <v>1058</v>
      </c>
      <c r="H3176" s="3">
        <v>46109</v>
      </c>
      <c r="I3176" s="1" t="s">
        <v>933</v>
      </c>
      <c r="J3176" s="1" t="s">
        <v>66</v>
      </c>
      <c r="K3176" s="1" t="s">
        <v>340</v>
      </c>
      <c r="L3176" s="1" t="s">
        <v>4613</v>
      </c>
      <c r="M3176" s="3">
        <v>46084</v>
      </c>
      <c r="N3176" s="1" t="s">
        <v>57</v>
      </c>
      <c r="O3176" s="1" t="s">
        <v>936</v>
      </c>
      <c r="P3176" s="1">
        <v>1</v>
      </c>
    </row>
    <row r="3177" spans="1:16" x14ac:dyDescent="0.25">
      <c r="A3177" s="3">
        <v>46083</v>
      </c>
      <c r="B3177" s="4">
        <v>1206</v>
      </c>
      <c r="C3177" s="5">
        <v>280</v>
      </c>
      <c r="D3177" s="1" t="s">
        <v>1074</v>
      </c>
      <c r="E3177" s="1" t="s">
        <v>1075</v>
      </c>
      <c r="F3177" s="1" t="s">
        <v>245</v>
      </c>
      <c r="G3177" s="1" t="s">
        <v>1058</v>
      </c>
      <c r="H3177" s="3">
        <v>46109</v>
      </c>
      <c r="I3177" s="1" t="s">
        <v>933</v>
      </c>
      <c r="J3177" s="1" t="s">
        <v>66</v>
      </c>
      <c r="K3177" s="1" t="s">
        <v>308</v>
      </c>
      <c r="L3177" s="1" t="s">
        <v>4614</v>
      </c>
      <c r="M3177" s="3">
        <v>46084</v>
      </c>
      <c r="N3177" s="1" t="s">
        <v>57</v>
      </c>
      <c r="O3177" s="1" t="s">
        <v>936</v>
      </c>
      <c r="P3177" s="1">
        <v>1</v>
      </c>
    </row>
    <row r="3178" spans="1:16" x14ac:dyDescent="0.25">
      <c r="A3178" s="3">
        <v>46083</v>
      </c>
      <c r="B3178" s="4">
        <v>1206</v>
      </c>
      <c r="C3178" s="5">
        <v>280</v>
      </c>
      <c r="D3178" s="1" t="s">
        <v>1074</v>
      </c>
      <c r="E3178" s="1" t="s">
        <v>1075</v>
      </c>
      <c r="F3178" s="1" t="s">
        <v>83</v>
      </c>
      <c r="G3178" s="1" t="s">
        <v>1058</v>
      </c>
      <c r="H3178" s="3">
        <v>46109</v>
      </c>
      <c r="I3178" s="1" t="s">
        <v>933</v>
      </c>
      <c r="J3178" s="1" t="s">
        <v>66</v>
      </c>
      <c r="K3178" s="1" t="s">
        <v>1654</v>
      </c>
      <c r="L3178" s="1" t="s">
        <v>4615</v>
      </c>
      <c r="M3178" s="3">
        <v>46084</v>
      </c>
      <c r="N3178" s="1" t="s">
        <v>57</v>
      </c>
      <c r="O3178" s="1" t="s">
        <v>936</v>
      </c>
      <c r="P3178" s="1">
        <v>1</v>
      </c>
    </row>
    <row r="3179" spans="1:16" x14ac:dyDescent="0.25">
      <c r="A3179" s="3">
        <v>46083</v>
      </c>
      <c r="B3179" s="4">
        <v>1206</v>
      </c>
      <c r="C3179" s="5">
        <v>80</v>
      </c>
      <c r="D3179" s="1" t="s">
        <v>1074</v>
      </c>
      <c r="E3179" s="1" t="s">
        <v>1075</v>
      </c>
      <c r="F3179" s="1" t="s">
        <v>66</v>
      </c>
      <c r="G3179" s="1" t="s">
        <v>1058</v>
      </c>
      <c r="H3179" s="3">
        <v>46109</v>
      </c>
      <c r="I3179" s="1" t="s">
        <v>933</v>
      </c>
      <c r="J3179" s="1" t="s">
        <v>66</v>
      </c>
      <c r="K3179" s="1" t="s">
        <v>340</v>
      </c>
      <c r="L3179" s="1" t="s">
        <v>4597</v>
      </c>
      <c r="M3179" s="3">
        <v>46084</v>
      </c>
      <c r="N3179" s="1" t="s">
        <v>57</v>
      </c>
      <c r="O3179" s="1" t="s">
        <v>936</v>
      </c>
      <c r="P3179" s="1">
        <v>1</v>
      </c>
    </row>
    <row r="3180" spans="1:16" x14ac:dyDescent="0.25">
      <c r="A3180" s="3">
        <v>46083</v>
      </c>
      <c r="B3180" s="4">
        <v>1206</v>
      </c>
      <c r="C3180" s="5">
        <v>280</v>
      </c>
      <c r="D3180" s="1" t="s">
        <v>1074</v>
      </c>
      <c r="E3180" s="1" t="s">
        <v>1075</v>
      </c>
      <c r="F3180" s="1" t="s">
        <v>66</v>
      </c>
      <c r="G3180" s="1" t="s">
        <v>1058</v>
      </c>
      <c r="H3180" s="3">
        <v>46109</v>
      </c>
      <c r="I3180" s="1" t="s">
        <v>933</v>
      </c>
      <c r="J3180" s="1" t="s">
        <v>66</v>
      </c>
      <c r="K3180" s="1" t="s">
        <v>640</v>
      </c>
      <c r="L3180" s="1" t="s">
        <v>4617</v>
      </c>
      <c r="M3180" s="3">
        <v>46084</v>
      </c>
      <c r="N3180" s="1" t="s">
        <v>57</v>
      </c>
      <c r="O3180" s="1" t="s">
        <v>936</v>
      </c>
      <c r="P3180" s="1">
        <v>1</v>
      </c>
    </row>
    <row r="3181" spans="1:16" x14ac:dyDescent="0.25">
      <c r="A3181" s="3">
        <v>46083</v>
      </c>
      <c r="B3181" s="4">
        <v>1206</v>
      </c>
      <c r="C3181" s="5">
        <v>80</v>
      </c>
      <c r="D3181" s="1" t="s">
        <v>1074</v>
      </c>
      <c r="E3181" s="1" t="s">
        <v>1075</v>
      </c>
      <c r="F3181" s="1" t="s">
        <v>66</v>
      </c>
      <c r="G3181" s="1" t="s">
        <v>1058</v>
      </c>
      <c r="H3181" s="3">
        <v>46109</v>
      </c>
      <c r="I3181" s="1" t="s">
        <v>933</v>
      </c>
      <c r="J3181" s="1" t="s">
        <v>66</v>
      </c>
      <c r="K3181" s="1" t="s">
        <v>2085</v>
      </c>
      <c r="L3181" s="1" t="s">
        <v>4618</v>
      </c>
      <c r="M3181" s="3">
        <v>46084</v>
      </c>
      <c r="N3181" s="1" t="s">
        <v>57</v>
      </c>
      <c r="O3181" s="1" t="s">
        <v>936</v>
      </c>
      <c r="P3181" s="1">
        <v>1</v>
      </c>
    </row>
    <row r="3182" spans="1:16" x14ac:dyDescent="0.25">
      <c r="A3182" s="3">
        <v>46083</v>
      </c>
      <c r="B3182" s="4">
        <v>1206</v>
      </c>
      <c r="C3182" s="5">
        <v>80</v>
      </c>
      <c r="D3182" s="1" t="s">
        <v>1074</v>
      </c>
      <c r="E3182" s="1" t="s">
        <v>1075</v>
      </c>
      <c r="F3182" s="1" t="s">
        <v>66</v>
      </c>
      <c r="G3182" s="1" t="s">
        <v>1058</v>
      </c>
      <c r="H3182" s="3">
        <v>46109</v>
      </c>
      <c r="I3182" s="1" t="s">
        <v>933</v>
      </c>
      <c r="J3182" s="1" t="s">
        <v>66</v>
      </c>
      <c r="K3182" s="1" t="s">
        <v>817</v>
      </c>
      <c r="L3182" s="1" t="s">
        <v>4619</v>
      </c>
      <c r="M3182" s="3">
        <v>46084</v>
      </c>
      <c r="N3182" s="1" t="s">
        <v>57</v>
      </c>
      <c r="O3182" s="1" t="s">
        <v>936</v>
      </c>
      <c r="P3182" s="1">
        <v>1</v>
      </c>
    </row>
    <row r="3183" spans="1:16" x14ac:dyDescent="0.25">
      <c r="A3183" s="3">
        <v>46083</v>
      </c>
      <c r="B3183" s="4">
        <v>1206</v>
      </c>
      <c r="C3183" s="5">
        <v>280</v>
      </c>
      <c r="D3183" s="1" t="s">
        <v>1074</v>
      </c>
      <c r="E3183" s="1" t="s">
        <v>1075</v>
      </c>
      <c r="F3183" s="1" t="s">
        <v>304</v>
      </c>
      <c r="G3183" s="1" t="s">
        <v>1058</v>
      </c>
      <c r="H3183" s="3">
        <v>46109</v>
      </c>
      <c r="I3183" s="1" t="s">
        <v>933</v>
      </c>
      <c r="J3183" s="1" t="s">
        <v>66</v>
      </c>
      <c r="K3183" s="1" t="s">
        <v>340</v>
      </c>
      <c r="L3183" s="1" t="s">
        <v>4599</v>
      </c>
      <c r="M3183" s="3">
        <v>46084</v>
      </c>
      <c r="N3183" s="1" t="s">
        <v>57</v>
      </c>
      <c r="O3183" s="1" t="s">
        <v>936</v>
      </c>
      <c r="P3183" s="1">
        <v>1</v>
      </c>
    </row>
    <row r="3184" spans="1:16" x14ac:dyDescent="0.25">
      <c r="A3184" s="3">
        <v>46083</v>
      </c>
      <c r="B3184" s="4">
        <v>1207</v>
      </c>
      <c r="C3184" s="5">
        <v>25</v>
      </c>
      <c r="D3184" s="1" t="s">
        <v>1074</v>
      </c>
      <c r="E3184" s="1" t="s">
        <v>1075</v>
      </c>
      <c r="F3184" s="1" t="s">
        <v>66</v>
      </c>
      <c r="G3184" s="1" t="s">
        <v>981</v>
      </c>
      <c r="H3184" s="3">
        <v>46109</v>
      </c>
      <c r="I3184" s="1" t="s">
        <v>933</v>
      </c>
      <c r="J3184" s="1" t="s">
        <v>66</v>
      </c>
      <c r="K3184" s="1" t="s">
        <v>1654</v>
      </c>
      <c r="L3184" s="1" t="s">
        <v>4620</v>
      </c>
      <c r="M3184" s="3">
        <v>46084</v>
      </c>
      <c r="N3184" s="1" t="s">
        <v>57</v>
      </c>
      <c r="O3184" s="1" t="s">
        <v>936</v>
      </c>
      <c r="P3184" s="1">
        <v>1</v>
      </c>
    </row>
    <row r="3185" spans="1:16" x14ac:dyDescent="0.25">
      <c r="A3185" s="3">
        <v>46083</v>
      </c>
      <c r="B3185" s="4">
        <v>1207</v>
      </c>
      <c r="C3185" s="5">
        <v>4760</v>
      </c>
      <c r="D3185" s="1" t="s">
        <v>1074</v>
      </c>
      <c r="E3185" s="1" t="s">
        <v>1075</v>
      </c>
      <c r="F3185" s="1" t="s">
        <v>759</v>
      </c>
      <c r="G3185" s="1" t="s">
        <v>981</v>
      </c>
      <c r="H3185" s="3">
        <v>46109</v>
      </c>
      <c r="I3185" s="1" t="s">
        <v>1484</v>
      </c>
      <c r="J3185" s="1" t="s">
        <v>66</v>
      </c>
      <c r="K3185" s="1" t="s">
        <v>340</v>
      </c>
      <c r="L3185" s="1" t="s">
        <v>4621</v>
      </c>
      <c r="M3185" s="3">
        <v>46084</v>
      </c>
      <c r="N3185" s="1" t="s">
        <v>57</v>
      </c>
      <c r="O3185" s="1" t="s">
        <v>936</v>
      </c>
      <c r="P3185" s="1">
        <v>1</v>
      </c>
    </row>
    <row r="3186" spans="1:16" x14ac:dyDescent="0.25">
      <c r="A3186" s="3">
        <v>46083</v>
      </c>
      <c r="B3186" s="4">
        <v>1207</v>
      </c>
      <c r="C3186" s="5">
        <v>1000</v>
      </c>
      <c r="D3186" s="1" t="s">
        <v>1074</v>
      </c>
      <c r="E3186" s="1" t="s">
        <v>1075</v>
      </c>
      <c r="F3186" s="1" t="s">
        <v>736</v>
      </c>
      <c r="G3186" s="1" t="s">
        <v>981</v>
      </c>
      <c r="H3186" s="3">
        <v>46109</v>
      </c>
      <c r="I3186" s="1" t="s">
        <v>933</v>
      </c>
      <c r="J3186" s="1" t="s">
        <v>66</v>
      </c>
      <c r="K3186" s="1" t="s">
        <v>308</v>
      </c>
      <c r="L3186" s="1" t="s">
        <v>4622</v>
      </c>
      <c r="M3186" s="3">
        <v>46084</v>
      </c>
      <c r="N3186" s="1" t="s">
        <v>57</v>
      </c>
      <c r="O3186" s="1" t="s">
        <v>936</v>
      </c>
      <c r="P3186" s="1">
        <v>1</v>
      </c>
    </row>
    <row r="3187" spans="1:16" x14ac:dyDescent="0.25">
      <c r="A3187" s="3">
        <v>46083</v>
      </c>
      <c r="B3187" s="4">
        <v>1207</v>
      </c>
      <c r="C3187" s="5">
        <v>300</v>
      </c>
      <c r="D3187" s="1" t="s">
        <v>1074</v>
      </c>
      <c r="E3187" s="1" t="s">
        <v>1075</v>
      </c>
      <c r="F3187" s="1" t="s">
        <v>647</v>
      </c>
      <c r="G3187" s="1" t="s">
        <v>981</v>
      </c>
      <c r="H3187" s="3">
        <v>46109</v>
      </c>
      <c r="I3187" s="1" t="s">
        <v>933</v>
      </c>
      <c r="J3187" s="1" t="s">
        <v>66</v>
      </c>
      <c r="K3187" s="1" t="s">
        <v>340</v>
      </c>
      <c r="L3187" s="1" t="s">
        <v>4623</v>
      </c>
      <c r="M3187" s="3">
        <v>46084</v>
      </c>
      <c r="N3187" s="1" t="s">
        <v>57</v>
      </c>
      <c r="O3187" s="1" t="s">
        <v>936</v>
      </c>
      <c r="P3187" s="1">
        <v>1</v>
      </c>
    </row>
    <row r="3188" spans="1:16" x14ac:dyDescent="0.25">
      <c r="A3188" s="3">
        <v>46083</v>
      </c>
      <c r="B3188" s="4">
        <v>1207</v>
      </c>
      <c r="C3188" s="5">
        <v>3760</v>
      </c>
      <c r="D3188" s="1" t="s">
        <v>1074</v>
      </c>
      <c r="E3188" s="1" t="s">
        <v>1075</v>
      </c>
      <c r="F3188" s="1" t="s">
        <v>66</v>
      </c>
      <c r="G3188" s="1" t="s">
        <v>981</v>
      </c>
      <c r="H3188" s="3">
        <v>46109</v>
      </c>
      <c r="I3188" s="1" t="s">
        <v>933</v>
      </c>
      <c r="J3188" s="1" t="s">
        <v>66</v>
      </c>
      <c r="K3188" s="1" t="s">
        <v>340</v>
      </c>
      <c r="L3188" s="1" t="s">
        <v>4624</v>
      </c>
      <c r="M3188" s="3">
        <v>46084</v>
      </c>
      <c r="N3188" s="1" t="s">
        <v>57</v>
      </c>
      <c r="O3188" s="1" t="s">
        <v>936</v>
      </c>
      <c r="P3188" s="1">
        <v>1</v>
      </c>
    </row>
    <row r="3189" spans="1:16" x14ac:dyDescent="0.25">
      <c r="A3189" s="3">
        <v>46083</v>
      </c>
      <c r="B3189" s="4">
        <v>1207</v>
      </c>
      <c r="C3189" s="5">
        <v>100</v>
      </c>
      <c r="D3189" s="1" t="s">
        <v>1074</v>
      </c>
      <c r="E3189" s="1" t="s">
        <v>1075</v>
      </c>
      <c r="F3189" s="1" t="s">
        <v>759</v>
      </c>
      <c r="G3189" s="1" t="s">
        <v>981</v>
      </c>
      <c r="H3189" s="3">
        <v>46109</v>
      </c>
      <c r="I3189" s="1" t="s">
        <v>933</v>
      </c>
      <c r="J3189" s="1" t="s">
        <v>66</v>
      </c>
      <c r="K3189" s="1" t="s">
        <v>340</v>
      </c>
      <c r="L3189" s="1" t="s">
        <v>4625</v>
      </c>
      <c r="M3189" s="3">
        <v>46084</v>
      </c>
      <c r="N3189" s="1" t="s">
        <v>57</v>
      </c>
      <c r="O3189" s="1" t="s">
        <v>936</v>
      </c>
      <c r="P3189" s="1">
        <v>1</v>
      </c>
    </row>
    <row r="3190" spans="1:16" x14ac:dyDescent="0.25">
      <c r="A3190" s="3">
        <v>46083</v>
      </c>
      <c r="B3190" s="4">
        <v>1207</v>
      </c>
      <c r="C3190" s="5">
        <v>180</v>
      </c>
      <c r="D3190" s="1" t="s">
        <v>1074</v>
      </c>
      <c r="E3190" s="1" t="s">
        <v>1075</v>
      </c>
      <c r="F3190" s="1" t="s">
        <v>639</v>
      </c>
      <c r="G3190" s="1" t="s">
        <v>981</v>
      </c>
      <c r="H3190" s="3">
        <v>46109</v>
      </c>
      <c r="I3190" s="1" t="s">
        <v>933</v>
      </c>
      <c r="J3190" s="1" t="s">
        <v>66</v>
      </c>
      <c r="K3190" s="1" t="s">
        <v>640</v>
      </c>
      <c r="L3190" s="1" t="s">
        <v>4626</v>
      </c>
      <c r="M3190" s="3">
        <v>46084</v>
      </c>
      <c r="N3190" s="1" t="s">
        <v>57</v>
      </c>
      <c r="O3190" s="1" t="s">
        <v>936</v>
      </c>
      <c r="P3190" s="1">
        <v>1</v>
      </c>
    </row>
    <row r="3191" spans="1:16" x14ac:dyDescent="0.25">
      <c r="A3191" s="3">
        <v>46083</v>
      </c>
      <c r="B3191" s="4">
        <v>1207</v>
      </c>
      <c r="C3191" s="5">
        <v>380</v>
      </c>
      <c r="D3191" s="1" t="s">
        <v>1074</v>
      </c>
      <c r="E3191" s="1" t="s">
        <v>1075</v>
      </c>
      <c r="F3191" s="1" t="s">
        <v>66</v>
      </c>
      <c r="G3191" s="1" t="s">
        <v>981</v>
      </c>
      <c r="H3191" s="3">
        <v>46109</v>
      </c>
      <c r="I3191" s="1" t="s">
        <v>933</v>
      </c>
      <c r="J3191" s="1" t="s">
        <v>66</v>
      </c>
      <c r="K3191" s="1" t="s">
        <v>1812</v>
      </c>
      <c r="L3191" s="1" t="s">
        <v>4627</v>
      </c>
      <c r="M3191" s="3">
        <v>46084</v>
      </c>
      <c r="N3191" s="1" t="s">
        <v>57</v>
      </c>
      <c r="O3191" s="1" t="s">
        <v>936</v>
      </c>
      <c r="P3191" s="1">
        <v>1</v>
      </c>
    </row>
    <row r="3192" spans="1:16" x14ac:dyDescent="0.25">
      <c r="A3192" s="3">
        <v>46083</v>
      </c>
      <c r="B3192" s="4">
        <v>1207</v>
      </c>
      <c r="C3192" s="5">
        <v>40</v>
      </c>
      <c r="D3192" s="1" t="s">
        <v>1074</v>
      </c>
      <c r="E3192" s="1" t="s">
        <v>1075</v>
      </c>
      <c r="F3192" s="1" t="s">
        <v>654</v>
      </c>
      <c r="G3192" s="1" t="s">
        <v>981</v>
      </c>
      <c r="H3192" s="3">
        <v>46109</v>
      </c>
      <c r="I3192" s="1" t="s">
        <v>933</v>
      </c>
      <c r="J3192" s="1" t="s">
        <v>66</v>
      </c>
      <c r="K3192" s="1" t="s">
        <v>640</v>
      </c>
      <c r="L3192" s="1" t="s">
        <v>4628</v>
      </c>
      <c r="M3192" s="3">
        <v>46084</v>
      </c>
      <c r="N3192" s="1" t="s">
        <v>57</v>
      </c>
      <c r="O3192" s="1" t="s">
        <v>936</v>
      </c>
      <c r="P3192" s="1">
        <v>1</v>
      </c>
    </row>
    <row r="3193" spans="1:16" x14ac:dyDescent="0.25">
      <c r="A3193" s="3">
        <v>46083</v>
      </c>
      <c r="B3193" s="1">
        <v>11</v>
      </c>
      <c r="C3193" s="5">
        <v>16380</v>
      </c>
      <c r="D3193" s="1" t="s">
        <v>1262</v>
      </c>
      <c r="E3193" s="1" t="s">
        <v>1507</v>
      </c>
      <c r="F3193" s="1" t="s">
        <v>949</v>
      </c>
      <c r="G3193" s="1" t="s">
        <v>20</v>
      </c>
      <c r="H3193" s="3">
        <v>46096</v>
      </c>
      <c r="I3193" s="1" t="s">
        <v>933</v>
      </c>
      <c r="J3193" s="1" t="s">
        <v>951</v>
      </c>
      <c r="K3193" s="1" t="s">
        <v>934</v>
      </c>
      <c r="L3193" s="1" t="s">
        <v>4629</v>
      </c>
      <c r="M3193" s="3">
        <v>46084</v>
      </c>
      <c r="N3193" s="1" t="s">
        <v>57</v>
      </c>
      <c r="O3193" s="1" t="s">
        <v>936</v>
      </c>
      <c r="P3193" s="1" t="s">
        <v>937</v>
      </c>
    </row>
    <row r="3194" spans="1:16" x14ac:dyDescent="0.25">
      <c r="A3194" s="3">
        <v>46083</v>
      </c>
      <c r="B3194" s="1">
        <v>11</v>
      </c>
      <c r="C3194" s="5">
        <v>1980</v>
      </c>
      <c r="D3194" s="1" t="s">
        <v>1262</v>
      </c>
      <c r="E3194" s="1" t="s">
        <v>1507</v>
      </c>
      <c r="F3194" s="1" t="s">
        <v>949</v>
      </c>
      <c r="G3194" s="1" t="s">
        <v>20</v>
      </c>
      <c r="H3194" s="3">
        <v>46096</v>
      </c>
      <c r="I3194" s="1" t="s">
        <v>933</v>
      </c>
      <c r="J3194" s="1" t="s">
        <v>951</v>
      </c>
      <c r="K3194" s="1" t="s">
        <v>934</v>
      </c>
      <c r="L3194" s="1" t="s">
        <v>4630</v>
      </c>
      <c r="M3194" s="3">
        <v>46084</v>
      </c>
      <c r="N3194" s="1" t="s">
        <v>57</v>
      </c>
      <c r="O3194" s="1" t="s">
        <v>936</v>
      </c>
      <c r="P3194" s="1" t="s">
        <v>937</v>
      </c>
    </row>
    <row r="3195" spans="1:16" x14ac:dyDescent="0.25">
      <c r="A3195" s="3">
        <v>46083</v>
      </c>
      <c r="B3195" s="1">
        <v>11</v>
      </c>
      <c r="C3195" s="5">
        <v>7410</v>
      </c>
      <c r="D3195" s="1" t="s">
        <v>1262</v>
      </c>
      <c r="E3195" s="1" t="s">
        <v>1507</v>
      </c>
      <c r="F3195" s="1" t="s">
        <v>949</v>
      </c>
      <c r="G3195" s="1" t="s">
        <v>20</v>
      </c>
      <c r="H3195" s="3">
        <v>46096</v>
      </c>
      <c r="I3195" s="1" t="s">
        <v>933</v>
      </c>
      <c r="J3195" s="1" t="s">
        <v>951</v>
      </c>
      <c r="K3195" s="1" t="s">
        <v>934</v>
      </c>
      <c r="L3195" s="1" t="s">
        <v>4631</v>
      </c>
      <c r="M3195" s="3">
        <v>46084</v>
      </c>
      <c r="N3195" s="1" t="s">
        <v>57</v>
      </c>
      <c r="O3195" s="1" t="s">
        <v>936</v>
      </c>
      <c r="P3195" s="1" t="s">
        <v>937</v>
      </c>
    </row>
    <row r="3196" spans="1:16" x14ac:dyDescent="0.25">
      <c r="A3196" s="3">
        <v>46083</v>
      </c>
      <c r="B3196" s="1">
        <v>10</v>
      </c>
      <c r="C3196" s="5">
        <v>1900</v>
      </c>
      <c r="D3196" s="1" t="s">
        <v>1262</v>
      </c>
      <c r="E3196" s="1" t="s">
        <v>1507</v>
      </c>
      <c r="F3196" s="1" t="s">
        <v>949</v>
      </c>
      <c r="G3196" s="1" t="s">
        <v>20</v>
      </c>
      <c r="H3196" s="3">
        <v>46096</v>
      </c>
      <c r="I3196" s="1" t="s">
        <v>933</v>
      </c>
      <c r="J3196" s="1" t="s">
        <v>951</v>
      </c>
      <c r="K3196" s="1" t="s">
        <v>934</v>
      </c>
      <c r="L3196" s="1" t="s">
        <v>4632</v>
      </c>
      <c r="M3196" s="3">
        <v>46084</v>
      </c>
      <c r="N3196" s="1" t="s">
        <v>57</v>
      </c>
      <c r="O3196" s="1" t="s">
        <v>936</v>
      </c>
      <c r="P3196" s="1" t="s">
        <v>937</v>
      </c>
    </row>
    <row r="3197" spans="1:16" x14ac:dyDescent="0.25">
      <c r="A3197" s="3">
        <v>46083</v>
      </c>
      <c r="B3197" s="4">
        <v>10444</v>
      </c>
      <c r="C3197" s="5">
        <v>2795.06</v>
      </c>
      <c r="D3197" s="1" t="s">
        <v>973</v>
      </c>
      <c r="E3197" s="1" t="s">
        <v>1068</v>
      </c>
      <c r="F3197" s="1" t="s">
        <v>66</v>
      </c>
      <c r="G3197" s="1" t="s">
        <v>998</v>
      </c>
      <c r="H3197" s="3">
        <v>46098</v>
      </c>
      <c r="I3197" s="1" t="s">
        <v>933</v>
      </c>
      <c r="J3197" s="1" t="s">
        <v>66</v>
      </c>
      <c r="K3197" s="1" t="s">
        <v>308</v>
      </c>
      <c r="L3197" s="1" t="s">
        <v>4633</v>
      </c>
      <c r="M3197" s="3">
        <v>46084</v>
      </c>
      <c r="N3197" s="1" t="s">
        <v>57</v>
      </c>
      <c r="O3197" s="1" t="s">
        <v>998</v>
      </c>
      <c r="P3197" s="1">
        <v>1</v>
      </c>
    </row>
    <row r="3198" spans="1:16" x14ac:dyDescent="0.25">
      <c r="A3198" s="3">
        <v>46083</v>
      </c>
      <c r="B3198" s="4">
        <v>10444</v>
      </c>
      <c r="C3198" s="5">
        <v>944.71</v>
      </c>
      <c r="D3198" s="1" t="s">
        <v>973</v>
      </c>
      <c r="E3198" s="1" t="s">
        <v>1068</v>
      </c>
      <c r="F3198" s="1" t="s">
        <v>66</v>
      </c>
      <c r="G3198" s="1" t="s">
        <v>998</v>
      </c>
      <c r="H3198" s="3">
        <v>46098</v>
      </c>
      <c r="I3198" s="1" t="s">
        <v>933</v>
      </c>
      <c r="J3198" s="1" t="s">
        <v>66</v>
      </c>
      <c r="K3198" s="1" t="s">
        <v>308</v>
      </c>
      <c r="L3198" s="1" t="s">
        <v>4634</v>
      </c>
      <c r="M3198" s="3">
        <v>46084</v>
      </c>
      <c r="N3198" s="1" t="s">
        <v>57</v>
      </c>
      <c r="O3198" s="1" t="s">
        <v>998</v>
      </c>
      <c r="P3198" s="1">
        <v>1</v>
      </c>
    </row>
    <row r="3199" spans="1:16" x14ac:dyDescent="0.25">
      <c r="A3199" s="3">
        <v>46083</v>
      </c>
      <c r="B3199" s="4">
        <v>10444</v>
      </c>
      <c r="C3199" s="5">
        <v>1056.51</v>
      </c>
      <c r="D3199" s="1" t="s">
        <v>973</v>
      </c>
      <c r="E3199" s="1" t="s">
        <v>1068</v>
      </c>
      <c r="F3199" s="1" t="s">
        <v>66</v>
      </c>
      <c r="G3199" s="1" t="s">
        <v>998</v>
      </c>
      <c r="H3199" s="3">
        <v>46098</v>
      </c>
      <c r="I3199" s="1" t="s">
        <v>933</v>
      </c>
      <c r="J3199" s="1" t="s">
        <v>66</v>
      </c>
      <c r="K3199" s="1" t="s">
        <v>308</v>
      </c>
      <c r="L3199" s="1" t="s">
        <v>4635</v>
      </c>
      <c r="M3199" s="3">
        <v>46084</v>
      </c>
      <c r="N3199" s="1" t="s">
        <v>57</v>
      </c>
      <c r="O3199" s="1" t="s">
        <v>998</v>
      </c>
      <c r="P3199" s="1">
        <v>1</v>
      </c>
    </row>
    <row r="3200" spans="1:16" x14ac:dyDescent="0.25">
      <c r="A3200" s="3">
        <v>46083</v>
      </c>
      <c r="B3200" s="4">
        <v>10444</v>
      </c>
      <c r="C3200" s="5">
        <v>978.81</v>
      </c>
      <c r="D3200" s="1" t="s">
        <v>973</v>
      </c>
      <c r="E3200" s="1" t="s">
        <v>1068</v>
      </c>
      <c r="F3200" s="1" t="s">
        <v>66</v>
      </c>
      <c r="G3200" s="1" t="s">
        <v>998</v>
      </c>
      <c r="H3200" s="3">
        <v>46098</v>
      </c>
      <c r="I3200" s="1" t="s">
        <v>933</v>
      </c>
      <c r="J3200" s="1" t="s">
        <v>66</v>
      </c>
      <c r="K3200" s="1" t="s">
        <v>308</v>
      </c>
      <c r="L3200" s="1" t="s">
        <v>4636</v>
      </c>
      <c r="M3200" s="3">
        <v>46084</v>
      </c>
      <c r="N3200" s="1" t="s">
        <v>57</v>
      </c>
      <c r="O3200" s="1" t="s">
        <v>998</v>
      </c>
      <c r="P3200" s="1">
        <v>1</v>
      </c>
    </row>
    <row r="3201" spans="1:16" x14ac:dyDescent="0.25">
      <c r="A3201" s="3">
        <v>46083</v>
      </c>
      <c r="B3201" s="4">
        <v>10444</v>
      </c>
      <c r="C3201" s="5">
        <v>839.11</v>
      </c>
      <c r="D3201" s="1" t="s">
        <v>973</v>
      </c>
      <c r="E3201" s="1" t="s">
        <v>1068</v>
      </c>
      <c r="F3201" s="1" t="s">
        <v>66</v>
      </c>
      <c r="G3201" s="1" t="s">
        <v>998</v>
      </c>
      <c r="H3201" s="3">
        <v>46098</v>
      </c>
      <c r="I3201" s="1" t="s">
        <v>933</v>
      </c>
      <c r="J3201" s="1" t="s">
        <v>66</v>
      </c>
      <c r="K3201" s="1" t="s">
        <v>308</v>
      </c>
      <c r="L3201" s="1" t="s">
        <v>4637</v>
      </c>
      <c r="M3201" s="3">
        <v>46084</v>
      </c>
      <c r="N3201" s="1" t="s">
        <v>57</v>
      </c>
      <c r="O3201" s="1" t="s">
        <v>998</v>
      </c>
      <c r="P3201" s="1">
        <v>1</v>
      </c>
    </row>
    <row r="3202" spans="1:16" x14ac:dyDescent="0.25">
      <c r="A3202" s="3">
        <v>46083</v>
      </c>
      <c r="B3202" s="4">
        <v>10444</v>
      </c>
      <c r="C3202" s="5">
        <v>1637.87</v>
      </c>
      <c r="D3202" s="1" t="s">
        <v>973</v>
      </c>
      <c r="E3202" s="1" t="s">
        <v>1068</v>
      </c>
      <c r="F3202" s="1" t="s">
        <v>66</v>
      </c>
      <c r="G3202" s="1" t="s">
        <v>998</v>
      </c>
      <c r="H3202" s="3">
        <v>46098</v>
      </c>
      <c r="I3202" s="1" t="s">
        <v>933</v>
      </c>
      <c r="J3202" s="1" t="s">
        <v>66</v>
      </c>
      <c r="K3202" s="1" t="s">
        <v>308</v>
      </c>
      <c r="L3202" s="1" t="s">
        <v>4638</v>
      </c>
      <c r="M3202" s="3">
        <v>46084</v>
      </c>
      <c r="N3202" s="1" t="s">
        <v>57</v>
      </c>
      <c r="O3202" s="1" t="s">
        <v>998</v>
      </c>
      <c r="P3202" s="1">
        <v>1</v>
      </c>
    </row>
    <row r="3203" spans="1:16" x14ac:dyDescent="0.25">
      <c r="A3203" s="3">
        <v>46083</v>
      </c>
      <c r="B3203" s="4">
        <v>10444</v>
      </c>
      <c r="C3203" s="5">
        <v>4639.7</v>
      </c>
      <c r="D3203" s="1" t="s">
        <v>973</v>
      </c>
      <c r="E3203" s="1" t="s">
        <v>1068</v>
      </c>
      <c r="F3203" s="1" t="s">
        <v>66</v>
      </c>
      <c r="G3203" s="1" t="s">
        <v>998</v>
      </c>
      <c r="H3203" s="3">
        <v>46098</v>
      </c>
      <c r="I3203" s="1" t="s">
        <v>933</v>
      </c>
      <c r="J3203" s="1" t="s">
        <v>66</v>
      </c>
      <c r="K3203" s="1" t="s">
        <v>308</v>
      </c>
      <c r="L3203" s="1" t="s">
        <v>4639</v>
      </c>
      <c r="M3203" s="3">
        <v>46084</v>
      </c>
      <c r="N3203" s="1" t="s">
        <v>57</v>
      </c>
      <c r="O3203" s="1" t="s">
        <v>998</v>
      </c>
      <c r="P3203" s="1">
        <v>1</v>
      </c>
    </row>
    <row r="3204" spans="1:16" x14ac:dyDescent="0.25">
      <c r="A3204" s="3">
        <v>46083</v>
      </c>
      <c r="B3204" s="4">
        <v>10444</v>
      </c>
      <c r="C3204" s="5">
        <v>895.01</v>
      </c>
      <c r="D3204" s="1" t="s">
        <v>973</v>
      </c>
      <c r="E3204" s="1" t="s">
        <v>1068</v>
      </c>
      <c r="F3204" s="1" t="s">
        <v>66</v>
      </c>
      <c r="G3204" s="1" t="s">
        <v>998</v>
      </c>
      <c r="H3204" s="3">
        <v>46098</v>
      </c>
      <c r="I3204" s="1" t="s">
        <v>933</v>
      </c>
      <c r="J3204" s="1" t="s">
        <v>66</v>
      </c>
      <c r="K3204" s="1" t="s">
        <v>308</v>
      </c>
      <c r="L3204" s="1" t="s">
        <v>4640</v>
      </c>
      <c r="M3204" s="3">
        <v>46084</v>
      </c>
      <c r="N3204" s="1" t="s">
        <v>57</v>
      </c>
      <c r="O3204" s="1" t="s">
        <v>998</v>
      </c>
      <c r="P3204" s="1">
        <v>1</v>
      </c>
    </row>
    <row r="3205" spans="1:16" x14ac:dyDescent="0.25">
      <c r="A3205" s="3">
        <v>46083</v>
      </c>
      <c r="B3205" s="4">
        <v>10444</v>
      </c>
      <c r="C3205" s="5">
        <v>855.49</v>
      </c>
      <c r="D3205" s="1" t="s">
        <v>973</v>
      </c>
      <c r="E3205" s="1" t="s">
        <v>1068</v>
      </c>
      <c r="F3205" s="1" t="s">
        <v>66</v>
      </c>
      <c r="G3205" s="1" t="s">
        <v>998</v>
      </c>
      <c r="H3205" s="3">
        <v>46098</v>
      </c>
      <c r="I3205" s="1" t="s">
        <v>933</v>
      </c>
      <c r="J3205" s="1" t="s">
        <v>66</v>
      </c>
      <c r="K3205" s="1" t="s">
        <v>308</v>
      </c>
      <c r="L3205" s="1" t="s">
        <v>4641</v>
      </c>
      <c r="M3205" s="3">
        <v>46084</v>
      </c>
      <c r="N3205" s="1" t="s">
        <v>57</v>
      </c>
      <c r="O3205" s="1" t="s">
        <v>998</v>
      </c>
      <c r="P3205" s="1">
        <v>1</v>
      </c>
    </row>
    <row r="3206" spans="1:16" x14ac:dyDescent="0.25">
      <c r="A3206" s="3">
        <v>46083</v>
      </c>
      <c r="B3206" s="4">
        <v>10444</v>
      </c>
      <c r="C3206" s="5">
        <v>1423.98</v>
      </c>
      <c r="D3206" s="1" t="s">
        <v>973</v>
      </c>
      <c r="E3206" s="1" t="s">
        <v>1068</v>
      </c>
      <c r="F3206" s="1" t="s">
        <v>66</v>
      </c>
      <c r="G3206" s="1" t="s">
        <v>998</v>
      </c>
      <c r="H3206" s="3">
        <v>46098</v>
      </c>
      <c r="I3206" s="1" t="s">
        <v>933</v>
      </c>
      <c r="J3206" s="1" t="s">
        <v>66</v>
      </c>
      <c r="K3206" s="1" t="s">
        <v>308</v>
      </c>
      <c r="L3206" s="1" t="s">
        <v>4642</v>
      </c>
      <c r="M3206" s="3">
        <v>46084</v>
      </c>
      <c r="N3206" s="1" t="s">
        <v>57</v>
      </c>
      <c r="O3206" s="1" t="s">
        <v>998</v>
      </c>
      <c r="P3206" s="1">
        <v>1</v>
      </c>
    </row>
    <row r="3207" spans="1:16" x14ac:dyDescent="0.25">
      <c r="A3207" s="3">
        <v>46083</v>
      </c>
      <c r="B3207" s="4">
        <v>10444</v>
      </c>
      <c r="C3207" s="5">
        <v>1324.77</v>
      </c>
      <c r="D3207" s="1" t="s">
        <v>973</v>
      </c>
      <c r="E3207" s="1" t="s">
        <v>1068</v>
      </c>
      <c r="F3207" s="1" t="s">
        <v>66</v>
      </c>
      <c r="G3207" s="1" t="s">
        <v>998</v>
      </c>
      <c r="H3207" s="3">
        <v>46098</v>
      </c>
      <c r="I3207" s="1" t="s">
        <v>933</v>
      </c>
      <c r="J3207" s="1" t="s">
        <v>66</v>
      </c>
      <c r="K3207" s="1" t="s">
        <v>308</v>
      </c>
      <c r="L3207" s="1" t="s">
        <v>4643</v>
      </c>
      <c r="M3207" s="3">
        <v>46084</v>
      </c>
      <c r="N3207" s="1" t="s">
        <v>57</v>
      </c>
      <c r="O3207" s="1" t="s">
        <v>998</v>
      </c>
      <c r="P3207" s="1">
        <v>1</v>
      </c>
    </row>
    <row r="3208" spans="1:16" x14ac:dyDescent="0.25">
      <c r="A3208" s="3">
        <v>46083</v>
      </c>
      <c r="B3208" s="4">
        <v>10444</v>
      </c>
      <c r="C3208" s="5">
        <v>2520.67</v>
      </c>
      <c r="D3208" s="1" t="s">
        <v>973</v>
      </c>
      <c r="E3208" s="1" t="s">
        <v>1068</v>
      </c>
      <c r="F3208" s="1" t="s">
        <v>66</v>
      </c>
      <c r="G3208" s="1" t="s">
        <v>998</v>
      </c>
      <c r="H3208" s="3">
        <v>46098</v>
      </c>
      <c r="I3208" s="1" t="s">
        <v>933</v>
      </c>
      <c r="J3208" s="1" t="s">
        <v>66</v>
      </c>
      <c r="K3208" s="1" t="s">
        <v>308</v>
      </c>
      <c r="L3208" s="1" t="s">
        <v>4644</v>
      </c>
      <c r="M3208" s="3">
        <v>46084</v>
      </c>
      <c r="N3208" s="1" t="s">
        <v>57</v>
      </c>
      <c r="O3208" s="1" t="s">
        <v>998</v>
      </c>
      <c r="P3208" s="1">
        <v>1</v>
      </c>
    </row>
    <row r="3209" spans="1:16" x14ac:dyDescent="0.25">
      <c r="A3209" s="3">
        <v>46083</v>
      </c>
      <c r="B3209" s="4">
        <v>10444</v>
      </c>
      <c r="C3209" s="5">
        <v>1352.84</v>
      </c>
      <c r="D3209" s="1" t="s">
        <v>973</v>
      </c>
      <c r="E3209" s="1" t="s">
        <v>1068</v>
      </c>
      <c r="F3209" s="1" t="s">
        <v>66</v>
      </c>
      <c r="G3209" s="1" t="s">
        <v>998</v>
      </c>
      <c r="H3209" s="3">
        <v>46098</v>
      </c>
      <c r="I3209" s="1" t="s">
        <v>933</v>
      </c>
      <c r="J3209" s="1" t="s">
        <v>66</v>
      </c>
      <c r="K3209" s="1" t="s">
        <v>308</v>
      </c>
      <c r="L3209" s="1" t="s">
        <v>4645</v>
      </c>
      <c r="M3209" s="3">
        <v>46084</v>
      </c>
      <c r="N3209" s="1" t="s">
        <v>57</v>
      </c>
      <c r="O3209" s="1" t="s">
        <v>998</v>
      </c>
      <c r="P3209" s="1">
        <v>1</v>
      </c>
    </row>
    <row r="3210" spans="1:16" x14ac:dyDescent="0.25">
      <c r="A3210" s="3">
        <v>46083</v>
      </c>
      <c r="B3210" s="4">
        <v>10444</v>
      </c>
      <c r="C3210" s="5">
        <v>2560.56</v>
      </c>
      <c r="D3210" s="1" t="s">
        <v>973</v>
      </c>
      <c r="E3210" s="1" t="s">
        <v>1068</v>
      </c>
      <c r="F3210" s="1" t="s">
        <v>66</v>
      </c>
      <c r="G3210" s="1" t="s">
        <v>998</v>
      </c>
      <c r="H3210" s="3">
        <v>46098</v>
      </c>
      <c r="I3210" s="1" t="s">
        <v>933</v>
      </c>
      <c r="J3210" s="1" t="s">
        <v>66</v>
      </c>
      <c r="K3210" s="1" t="s">
        <v>308</v>
      </c>
      <c r="L3210" s="1" t="s">
        <v>4646</v>
      </c>
      <c r="M3210" s="3">
        <v>46084</v>
      </c>
      <c r="N3210" s="1" t="s">
        <v>57</v>
      </c>
      <c r="O3210" s="1" t="s">
        <v>998</v>
      </c>
      <c r="P3210" s="1">
        <v>1</v>
      </c>
    </row>
    <row r="3211" spans="1:16" x14ac:dyDescent="0.25">
      <c r="A3211" s="3">
        <v>46083</v>
      </c>
      <c r="B3211" s="4">
        <v>10444</v>
      </c>
      <c r="C3211" s="5">
        <v>1629.93</v>
      </c>
      <c r="D3211" s="1" t="s">
        <v>973</v>
      </c>
      <c r="E3211" s="1" t="s">
        <v>1068</v>
      </c>
      <c r="F3211" s="1" t="s">
        <v>66</v>
      </c>
      <c r="G3211" s="1" t="s">
        <v>998</v>
      </c>
      <c r="H3211" s="3">
        <v>46098</v>
      </c>
      <c r="I3211" s="1" t="s">
        <v>933</v>
      </c>
      <c r="J3211" s="1" t="s">
        <v>66</v>
      </c>
      <c r="K3211" s="1" t="s">
        <v>308</v>
      </c>
      <c r="L3211" s="1" t="s">
        <v>4647</v>
      </c>
      <c r="M3211" s="3">
        <v>46084</v>
      </c>
      <c r="N3211" s="1" t="s">
        <v>57</v>
      </c>
      <c r="O3211" s="1" t="s">
        <v>998</v>
      </c>
      <c r="P3211" s="1">
        <v>1</v>
      </c>
    </row>
    <row r="3212" spans="1:16" x14ac:dyDescent="0.25">
      <c r="A3212" s="3">
        <v>46083</v>
      </c>
      <c r="B3212" s="4">
        <v>10444</v>
      </c>
      <c r="C3212" s="5">
        <v>569</v>
      </c>
      <c r="D3212" s="1" t="s">
        <v>973</v>
      </c>
      <c r="E3212" s="1" t="s">
        <v>1068</v>
      </c>
      <c r="F3212" s="1" t="s">
        <v>66</v>
      </c>
      <c r="G3212" s="1" t="s">
        <v>998</v>
      </c>
      <c r="H3212" s="3">
        <v>46098</v>
      </c>
      <c r="I3212" s="1" t="s">
        <v>933</v>
      </c>
      <c r="J3212" s="1" t="s">
        <v>66</v>
      </c>
      <c r="K3212" s="1" t="s">
        <v>308</v>
      </c>
      <c r="L3212" s="1" t="s">
        <v>4648</v>
      </c>
      <c r="M3212" s="3">
        <v>46084</v>
      </c>
      <c r="N3212" s="1" t="s">
        <v>57</v>
      </c>
      <c r="O3212" s="1" t="s">
        <v>998</v>
      </c>
      <c r="P3212" s="1">
        <v>1</v>
      </c>
    </row>
    <row r="3213" spans="1:16" x14ac:dyDescent="0.25">
      <c r="A3213" s="3">
        <v>46083</v>
      </c>
      <c r="B3213" s="4">
        <v>10444</v>
      </c>
      <c r="C3213" s="5">
        <v>569</v>
      </c>
      <c r="D3213" s="1" t="s">
        <v>973</v>
      </c>
      <c r="E3213" s="1" t="s">
        <v>1068</v>
      </c>
      <c r="F3213" s="1" t="s">
        <v>66</v>
      </c>
      <c r="G3213" s="1" t="s">
        <v>998</v>
      </c>
      <c r="H3213" s="3">
        <v>46098</v>
      </c>
      <c r="I3213" s="1" t="s">
        <v>933</v>
      </c>
      <c r="J3213" s="1" t="s">
        <v>66</v>
      </c>
      <c r="K3213" s="1" t="s">
        <v>308</v>
      </c>
      <c r="L3213" s="1" t="s">
        <v>4649</v>
      </c>
      <c r="M3213" s="3">
        <v>46084</v>
      </c>
      <c r="N3213" s="1" t="s">
        <v>57</v>
      </c>
      <c r="O3213" s="1" t="s">
        <v>998</v>
      </c>
      <c r="P3213" s="1">
        <v>1</v>
      </c>
    </row>
    <row r="3214" spans="1:16" x14ac:dyDescent="0.25">
      <c r="A3214" s="3">
        <v>46083</v>
      </c>
      <c r="B3214" s="4">
        <v>10444</v>
      </c>
      <c r="C3214" s="5">
        <v>995.02</v>
      </c>
      <c r="D3214" s="1" t="s">
        <v>973</v>
      </c>
      <c r="E3214" s="1" t="s">
        <v>1068</v>
      </c>
      <c r="F3214" s="1" t="s">
        <v>66</v>
      </c>
      <c r="G3214" s="1" t="s">
        <v>998</v>
      </c>
      <c r="H3214" s="3">
        <v>46098</v>
      </c>
      <c r="I3214" s="1" t="s">
        <v>933</v>
      </c>
      <c r="J3214" s="1" t="s">
        <v>66</v>
      </c>
      <c r="K3214" s="1" t="s">
        <v>308</v>
      </c>
      <c r="L3214" s="1" t="s">
        <v>4650</v>
      </c>
      <c r="M3214" s="3">
        <v>46084</v>
      </c>
      <c r="N3214" s="1" t="s">
        <v>57</v>
      </c>
      <c r="O3214" s="1" t="s">
        <v>998</v>
      </c>
      <c r="P3214" s="1">
        <v>1</v>
      </c>
    </row>
    <row r="3215" spans="1:16" x14ac:dyDescent="0.25">
      <c r="A3215" s="3">
        <v>46083</v>
      </c>
      <c r="B3215" s="4">
        <v>10444</v>
      </c>
      <c r="C3215" s="5">
        <v>2389.8000000000002</v>
      </c>
      <c r="D3215" s="1" t="s">
        <v>973</v>
      </c>
      <c r="E3215" s="1" t="s">
        <v>1068</v>
      </c>
      <c r="F3215" s="1" t="s">
        <v>66</v>
      </c>
      <c r="G3215" s="1" t="s">
        <v>998</v>
      </c>
      <c r="H3215" s="3">
        <v>46098</v>
      </c>
      <c r="I3215" s="1" t="s">
        <v>933</v>
      </c>
      <c r="J3215" s="1" t="s">
        <v>66</v>
      </c>
      <c r="K3215" s="1" t="s">
        <v>308</v>
      </c>
      <c r="L3215" s="1" t="s">
        <v>4651</v>
      </c>
      <c r="M3215" s="3">
        <v>46084</v>
      </c>
      <c r="N3215" s="1" t="s">
        <v>57</v>
      </c>
      <c r="O3215" s="1" t="s">
        <v>998</v>
      </c>
      <c r="P3215" s="1">
        <v>1</v>
      </c>
    </row>
    <row r="3216" spans="1:16" x14ac:dyDescent="0.25">
      <c r="A3216" s="3">
        <v>46083</v>
      </c>
      <c r="B3216" s="4">
        <v>10444</v>
      </c>
      <c r="C3216" s="5">
        <v>1425.56</v>
      </c>
      <c r="D3216" s="1" t="s">
        <v>973</v>
      </c>
      <c r="E3216" s="1" t="s">
        <v>1068</v>
      </c>
      <c r="F3216" s="1" t="s">
        <v>66</v>
      </c>
      <c r="G3216" s="1" t="s">
        <v>998</v>
      </c>
      <c r="H3216" s="3">
        <v>46098</v>
      </c>
      <c r="I3216" s="1" t="s">
        <v>933</v>
      </c>
      <c r="J3216" s="1" t="s">
        <v>66</v>
      </c>
      <c r="K3216" s="1" t="s">
        <v>308</v>
      </c>
      <c r="L3216" s="1" t="s">
        <v>4652</v>
      </c>
      <c r="M3216" s="3">
        <v>46084</v>
      </c>
      <c r="N3216" s="1" t="s">
        <v>57</v>
      </c>
      <c r="O3216" s="1" t="s">
        <v>998</v>
      </c>
      <c r="P3216" s="1">
        <v>1</v>
      </c>
    </row>
    <row r="3217" spans="1:16" x14ac:dyDescent="0.25">
      <c r="A3217" s="3">
        <v>46083</v>
      </c>
      <c r="B3217" s="4">
        <v>10444</v>
      </c>
      <c r="C3217" s="5">
        <v>2300.0100000000002</v>
      </c>
      <c r="D3217" s="1" t="s">
        <v>973</v>
      </c>
      <c r="E3217" s="1" t="s">
        <v>1068</v>
      </c>
      <c r="F3217" s="1" t="s">
        <v>66</v>
      </c>
      <c r="G3217" s="1" t="s">
        <v>998</v>
      </c>
      <c r="H3217" s="3">
        <v>46098</v>
      </c>
      <c r="I3217" s="1" t="s">
        <v>933</v>
      </c>
      <c r="J3217" s="1" t="s">
        <v>66</v>
      </c>
      <c r="K3217" s="1" t="s">
        <v>308</v>
      </c>
      <c r="L3217" s="1" t="s">
        <v>4653</v>
      </c>
      <c r="M3217" s="3">
        <v>46084</v>
      </c>
      <c r="N3217" s="1" t="s">
        <v>57</v>
      </c>
      <c r="O3217" s="1" t="s">
        <v>998</v>
      </c>
      <c r="P3217" s="1">
        <v>1</v>
      </c>
    </row>
    <row r="3218" spans="1:16" x14ac:dyDescent="0.25">
      <c r="A3218" s="3">
        <v>46083</v>
      </c>
      <c r="B3218" s="4">
        <v>10444</v>
      </c>
      <c r="C3218" s="5">
        <v>4357.97</v>
      </c>
      <c r="D3218" s="1" t="s">
        <v>973</v>
      </c>
      <c r="E3218" s="1" t="s">
        <v>1068</v>
      </c>
      <c r="F3218" s="1" t="s">
        <v>66</v>
      </c>
      <c r="G3218" s="1" t="s">
        <v>998</v>
      </c>
      <c r="H3218" s="3">
        <v>46098</v>
      </c>
      <c r="I3218" s="1" t="s">
        <v>933</v>
      </c>
      <c r="J3218" s="1" t="s">
        <v>66</v>
      </c>
      <c r="K3218" s="1" t="s">
        <v>308</v>
      </c>
      <c r="L3218" s="1" t="s">
        <v>4654</v>
      </c>
      <c r="M3218" s="3">
        <v>46084</v>
      </c>
      <c r="N3218" s="1" t="s">
        <v>57</v>
      </c>
      <c r="O3218" s="1" t="s">
        <v>998</v>
      </c>
      <c r="P3218" s="1">
        <v>1</v>
      </c>
    </row>
    <row r="3219" spans="1:16" x14ac:dyDescent="0.25">
      <c r="A3219" s="3">
        <v>46083</v>
      </c>
      <c r="B3219" s="4">
        <v>10450</v>
      </c>
      <c r="C3219" s="5">
        <v>25606.54</v>
      </c>
      <c r="D3219" s="1" t="s">
        <v>973</v>
      </c>
      <c r="E3219" s="1" t="s">
        <v>1068</v>
      </c>
      <c r="F3219" s="1" t="s">
        <v>66</v>
      </c>
      <c r="G3219" s="1" t="s">
        <v>998</v>
      </c>
      <c r="H3219" s="3">
        <v>46098</v>
      </c>
      <c r="I3219" s="1" t="s">
        <v>933</v>
      </c>
      <c r="J3219" s="1" t="s">
        <v>66</v>
      </c>
      <c r="K3219" s="1" t="s">
        <v>308</v>
      </c>
      <c r="L3219" s="1" t="s">
        <v>4655</v>
      </c>
      <c r="M3219" s="3">
        <v>46084</v>
      </c>
      <c r="N3219" s="1" t="s">
        <v>57</v>
      </c>
      <c r="O3219" s="1" t="s">
        <v>998</v>
      </c>
      <c r="P3219" s="1">
        <v>1</v>
      </c>
    </row>
    <row r="3220" spans="1:16" x14ac:dyDescent="0.25">
      <c r="A3220" s="3">
        <v>46083</v>
      </c>
      <c r="B3220" s="4">
        <v>10452</v>
      </c>
      <c r="C3220" s="5">
        <v>10242</v>
      </c>
      <c r="D3220" s="1" t="s">
        <v>973</v>
      </c>
      <c r="E3220" s="1" t="s">
        <v>1068</v>
      </c>
      <c r="F3220" s="1" t="s">
        <v>66</v>
      </c>
      <c r="G3220" s="1" t="s">
        <v>998</v>
      </c>
      <c r="H3220" s="3">
        <v>46098</v>
      </c>
      <c r="I3220" s="1" t="s">
        <v>933</v>
      </c>
      <c r="J3220" s="1" t="s">
        <v>66</v>
      </c>
      <c r="K3220" s="1" t="s">
        <v>308</v>
      </c>
      <c r="L3220" s="1" t="s">
        <v>4656</v>
      </c>
      <c r="M3220" s="3">
        <v>46084</v>
      </c>
      <c r="N3220" s="1" t="s">
        <v>57</v>
      </c>
      <c r="O3220" s="1" t="s">
        <v>998</v>
      </c>
      <c r="P3220" s="1">
        <v>1</v>
      </c>
    </row>
    <row r="3221" spans="1:16" x14ac:dyDescent="0.25">
      <c r="A3221" s="3">
        <v>46083</v>
      </c>
      <c r="B3221" s="1">
        <v>164</v>
      </c>
      <c r="C3221" s="5">
        <v>18500</v>
      </c>
      <c r="D3221" s="1" t="s">
        <v>1511</v>
      </c>
      <c r="E3221" s="1" t="s">
        <v>1512</v>
      </c>
      <c r="F3221" s="1" t="s">
        <v>659</v>
      </c>
      <c r="G3221" s="1" t="s">
        <v>20</v>
      </c>
      <c r="H3221" s="3">
        <v>46107</v>
      </c>
      <c r="I3221" s="1" t="s">
        <v>933</v>
      </c>
      <c r="J3221" s="1" t="s">
        <v>951</v>
      </c>
      <c r="K3221" s="1" t="s">
        <v>934</v>
      </c>
      <c r="L3221" s="1" t="s">
        <v>4657</v>
      </c>
      <c r="M3221" s="3">
        <v>46084</v>
      </c>
      <c r="N3221" s="1" t="s">
        <v>57</v>
      </c>
      <c r="O3221" s="1" t="s">
        <v>936</v>
      </c>
      <c r="P3221" s="1">
        <v>1</v>
      </c>
    </row>
    <row r="3222" spans="1:16" x14ac:dyDescent="0.25">
      <c r="A3222" s="3">
        <v>46083</v>
      </c>
      <c r="B3222" s="1">
        <v>9</v>
      </c>
      <c r="C3222" s="5">
        <v>6000</v>
      </c>
      <c r="D3222" s="1" t="s">
        <v>4106</v>
      </c>
      <c r="E3222" s="1" t="s">
        <v>4107</v>
      </c>
      <c r="F3222" s="1" t="s">
        <v>66</v>
      </c>
      <c r="G3222" s="1" t="s">
        <v>932</v>
      </c>
      <c r="H3222" s="3">
        <v>46098</v>
      </c>
      <c r="I3222" s="1" t="s">
        <v>933</v>
      </c>
      <c r="J3222" s="1" t="s">
        <v>66</v>
      </c>
      <c r="K3222" s="1" t="s">
        <v>1654</v>
      </c>
      <c r="L3222" s="1" t="s">
        <v>4658</v>
      </c>
      <c r="M3222" s="3">
        <v>46084</v>
      </c>
      <c r="N3222" s="1" t="s">
        <v>57</v>
      </c>
      <c r="O3222" s="1" t="s">
        <v>936</v>
      </c>
      <c r="P3222" s="1" t="s">
        <v>937</v>
      </c>
    </row>
    <row r="3223" spans="1:16" x14ac:dyDescent="0.25">
      <c r="A3223" s="3">
        <v>46083</v>
      </c>
      <c r="B3223" s="1">
        <v>174</v>
      </c>
      <c r="C3223" s="5">
        <v>14000</v>
      </c>
      <c r="D3223" s="1" t="s">
        <v>1197</v>
      </c>
      <c r="E3223" s="1" t="s">
        <v>1198</v>
      </c>
      <c r="F3223" s="1" t="s">
        <v>66</v>
      </c>
      <c r="G3223" s="1" t="s">
        <v>932</v>
      </c>
      <c r="H3223" s="3">
        <v>46096</v>
      </c>
      <c r="I3223" s="1" t="s">
        <v>933</v>
      </c>
      <c r="J3223" s="1" t="s">
        <v>66</v>
      </c>
      <c r="K3223" s="1" t="s">
        <v>934</v>
      </c>
      <c r="L3223" s="1" t="s">
        <v>4659</v>
      </c>
      <c r="M3223" s="3">
        <v>46084</v>
      </c>
      <c r="N3223" s="1" t="s">
        <v>57</v>
      </c>
      <c r="O3223" s="1" t="s">
        <v>936</v>
      </c>
      <c r="P3223" s="1">
        <v>1</v>
      </c>
    </row>
    <row r="3224" spans="1:16" x14ac:dyDescent="0.25">
      <c r="A3224" s="3">
        <v>46083</v>
      </c>
      <c r="B3224" s="4">
        <v>10217</v>
      </c>
      <c r="C3224" s="5">
        <v>1598.2</v>
      </c>
      <c r="D3224" s="1" t="s">
        <v>1573</v>
      </c>
      <c r="E3224" s="1" t="s">
        <v>2130</v>
      </c>
      <c r="F3224" s="1" t="s">
        <v>66</v>
      </c>
      <c r="G3224" s="1" t="s">
        <v>940</v>
      </c>
      <c r="H3224" s="3">
        <v>46113</v>
      </c>
      <c r="I3224" s="1" t="s">
        <v>933</v>
      </c>
      <c r="J3224" s="1" t="s">
        <v>66</v>
      </c>
      <c r="K3224" s="1" t="s">
        <v>308</v>
      </c>
      <c r="L3224" s="1" t="s">
        <v>4660</v>
      </c>
      <c r="M3224" s="3">
        <v>46084</v>
      </c>
      <c r="N3224" s="1" t="s">
        <v>4661</v>
      </c>
      <c r="O3224" s="1" t="s">
        <v>936</v>
      </c>
      <c r="P3224" s="1">
        <v>1</v>
      </c>
    </row>
    <row r="3225" spans="1:16" x14ac:dyDescent="0.25">
      <c r="A3225" s="3">
        <v>46083</v>
      </c>
      <c r="B3225" s="4">
        <v>155612</v>
      </c>
      <c r="C3225" s="5">
        <v>1182.8499999999999</v>
      </c>
      <c r="D3225" s="1" t="s">
        <v>1492</v>
      </c>
      <c r="E3225" s="1" t="s">
        <v>1493</v>
      </c>
      <c r="F3225" s="1" t="s">
        <v>66</v>
      </c>
      <c r="G3225" s="1" t="s">
        <v>940</v>
      </c>
      <c r="H3225" s="3">
        <v>46113</v>
      </c>
      <c r="I3225" s="1" t="s">
        <v>933</v>
      </c>
      <c r="J3225" s="1" t="s">
        <v>66</v>
      </c>
      <c r="K3225" s="1" t="s">
        <v>340</v>
      </c>
      <c r="L3225" s="1" t="s">
        <v>4662</v>
      </c>
      <c r="M3225" s="3">
        <v>46087</v>
      </c>
      <c r="N3225" s="1" t="s">
        <v>57</v>
      </c>
      <c r="O3225" s="1" t="s">
        <v>936</v>
      </c>
      <c r="P3225" s="1">
        <v>1</v>
      </c>
    </row>
    <row r="3226" spans="1:16" x14ac:dyDescent="0.25">
      <c r="A3226" s="3">
        <v>46083</v>
      </c>
      <c r="B3226" s="4">
        <v>6742</v>
      </c>
      <c r="C3226" s="5">
        <v>108</v>
      </c>
      <c r="D3226" s="1" t="s">
        <v>2001</v>
      </c>
      <c r="E3226" s="1" t="s">
        <v>2002</v>
      </c>
      <c r="F3226" s="1" t="s">
        <v>906</v>
      </c>
      <c r="G3226" s="1" t="s">
        <v>940</v>
      </c>
      <c r="H3226" s="1" t="s">
        <v>967</v>
      </c>
      <c r="I3226" s="1" t="s">
        <v>933</v>
      </c>
      <c r="J3226" s="1" t="s">
        <v>66</v>
      </c>
      <c r="K3226" s="1" t="s">
        <v>308</v>
      </c>
      <c r="L3226" s="1" t="s">
        <v>4000</v>
      </c>
      <c r="M3226" s="3">
        <v>46087</v>
      </c>
      <c r="N3226" s="1" t="s">
        <v>57</v>
      </c>
      <c r="O3226" s="1" t="s">
        <v>936</v>
      </c>
      <c r="P3226" s="1">
        <v>1</v>
      </c>
    </row>
    <row r="3227" spans="1:16" x14ac:dyDescent="0.25">
      <c r="A3227" s="3">
        <v>46083</v>
      </c>
      <c r="B3227" s="4">
        <v>12927</v>
      </c>
      <c r="C3227" s="5">
        <v>124.34</v>
      </c>
      <c r="D3227" s="1" t="s">
        <v>4663</v>
      </c>
      <c r="E3227" s="1" t="s">
        <v>4664</v>
      </c>
      <c r="F3227" s="1" t="s">
        <v>906</v>
      </c>
      <c r="G3227" s="1" t="s">
        <v>940</v>
      </c>
      <c r="H3227" s="1" t="s">
        <v>967</v>
      </c>
      <c r="I3227" s="1" t="s">
        <v>933</v>
      </c>
      <c r="J3227" s="1" t="s">
        <v>66</v>
      </c>
      <c r="K3227" s="1" t="s">
        <v>308</v>
      </c>
      <c r="L3227" s="1" t="s">
        <v>4665</v>
      </c>
      <c r="M3227" s="3">
        <v>46087</v>
      </c>
      <c r="N3227" s="1" t="s">
        <v>57</v>
      </c>
      <c r="O3227" s="1" t="s">
        <v>936</v>
      </c>
      <c r="P3227" s="1">
        <v>1</v>
      </c>
    </row>
    <row r="3228" spans="1:16" x14ac:dyDescent="0.25">
      <c r="A3228" s="3">
        <v>46083</v>
      </c>
      <c r="B3228" s="4">
        <v>30137</v>
      </c>
      <c r="C3228" s="5">
        <v>520</v>
      </c>
      <c r="D3228" s="1" t="s">
        <v>4666</v>
      </c>
      <c r="E3228" s="1" t="s">
        <v>4667</v>
      </c>
      <c r="F3228" s="1" t="s">
        <v>66</v>
      </c>
      <c r="G3228" s="1" t="s">
        <v>940</v>
      </c>
      <c r="H3228" s="1" t="s">
        <v>967</v>
      </c>
      <c r="I3228" s="1" t="s">
        <v>933</v>
      </c>
      <c r="J3228" s="1" t="s">
        <v>66</v>
      </c>
      <c r="K3228" s="1" t="s">
        <v>308</v>
      </c>
      <c r="L3228" s="1" t="s">
        <v>4000</v>
      </c>
      <c r="M3228" s="3">
        <v>46087</v>
      </c>
      <c r="N3228" s="1" t="s">
        <v>57</v>
      </c>
      <c r="O3228" s="1" t="s">
        <v>936</v>
      </c>
      <c r="P3228" s="1">
        <v>1</v>
      </c>
    </row>
    <row r="3229" spans="1:16" x14ac:dyDescent="0.25">
      <c r="A3229" s="3">
        <v>46083</v>
      </c>
      <c r="B3229" s="4">
        <v>12932</v>
      </c>
      <c r="C3229" s="5">
        <v>32.1</v>
      </c>
      <c r="D3229" s="1" t="s">
        <v>4663</v>
      </c>
      <c r="E3229" s="1" t="s">
        <v>4664</v>
      </c>
      <c r="F3229" s="1" t="s">
        <v>906</v>
      </c>
      <c r="G3229" s="1" t="s">
        <v>940</v>
      </c>
      <c r="H3229" s="1" t="s">
        <v>967</v>
      </c>
      <c r="I3229" s="1" t="s">
        <v>933</v>
      </c>
      <c r="J3229" s="1" t="s">
        <v>66</v>
      </c>
      <c r="K3229" s="1" t="s">
        <v>308</v>
      </c>
      <c r="L3229" s="1" t="s">
        <v>4668</v>
      </c>
      <c r="M3229" s="3">
        <v>46087</v>
      </c>
      <c r="N3229" s="1" t="s">
        <v>57</v>
      </c>
      <c r="O3229" s="1" t="s">
        <v>936</v>
      </c>
      <c r="P3229" s="1">
        <v>1</v>
      </c>
    </row>
    <row r="3230" spans="1:16" x14ac:dyDescent="0.25">
      <c r="A3230" s="3">
        <v>46083</v>
      </c>
      <c r="B3230" s="1">
        <v>674</v>
      </c>
      <c r="C3230" s="5">
        <v>480</v>
      </c>
      <c r="D3230" s="1" t="s">
        <v>4666</v>
      </c>
      <c r="E3230" s="1" t="s">
        <v>4667</v>
      </c>
      <c r="F3230" s="1" t="s">
        <v>426</v>
      </c>
      <c r="G3230" s="1" t="s">
        <v>940</v>
      </c>
      <c r="H3230" s="1" t="s">
        <v>967</v>
      </c>
      <c r="I3230" s="1" t="s">
        <v>933</v>
      </c>
      <c r="J3230" s="1" t="s">
        <v>66</v>
      </c>
      <c r="K3230" s="1" t="s">
        <v>308</v>
      </c>
      <c r="L3230" s="1" t="s">
        <v>4000</v>
      </c>
      <c r="M3230" s="3">
        <v>46087</v>
      </c>
      <c r="N3230" s="1" t="s">
        <v>429</v>
      </c>
      <c r="O3230" s="1" t="s">
        <v>936</v>
      </c>
      <c r="P3230" s="1">
        <v>1</v>
      </c>
    </row>
    <row r="3231" spans="1:16" x14ac:dyDescent="0.25">
      <c r="A3231" s="3">
        <v>46083</v>
      </c>
      <c r="B3231" s="1">
        <v>68</v>
      </c>
      <c r="C3231" s="5">
        <v>280</v>
      </c>
      <c r="D3231" s="1" t="s">
        <v>4669</v>
      </c>
      <c r="E3231" s="1" t="s">
        <v>4670</v>
      </c>
      <c r="F3231" s="1" t="s">
        <v>906</v>
      </c>
      <c r="G3231" s="1" t="s">
        <v>940</v>
      </c>
      <c r="H3231" s="1" t="s">
        <v>967</v>
      </c>
      <c r="I3231" s="1" t="s">
        <v>933</v>
      </c>
      <c r="J3231" s="1" t="s">
        <v>66</v>
      </c>
      <c r="K3231" s="1" t="s">
        <v>308</v>
      </c>
      <c r="L3231" s="1" t="s">
        <v>4671</v>
      </c>
      <c r="M3231" s="3">
        <v>46087</v>
      </c>
      <c r="N3231" s="1" t="s">
        <v>57</v>
      </c>
      <c r="O3231" s="1" t="s">
        <v>936</v>
      </c>
      <c r="P3231" s="1">
        <v>1</v>
      </c>
    </row>
    <row r="3232" spans="1:16" x14ac:dyDescent="0.25">
      <c r="A3232" s="3">
        <v>46083</v>
      </c>
      <c r="B3232" s="4">
        <v>1052</v>
      </c>
      <c r="C3232" s="5">
        <v>1800</v>
      </c>
      <c r="D3232" s="1" t="s">
        <v>1080</v>
      </c>
      <c r="E3232" s="1" t="s">
        <v>3046</v>
      </c>
      <c r="F3232" s="1" t="s">
        <v>66</v>
      </c>
      <c r="G3232" s="1" t="s">
        <v>940</v>
      </c>
      <c r="H3232" s="3">
        <v>46109</v>
      </c>
      <c r="I3232" s="1" t="s">
        <v>933</v>
      </c>
      <c r="J3232" s="1" t="s">
        <v>66</v>
      </c>
      <c r="K3232" s="1" t="s">
        <v>340</v>
      </c>
      <c r="L3232" s="1" t="s">
        <v>4672</v>
      </c>
      <c r="M3232" s="3">
        <v>46084</v>
      </c>
      <c r="N3232" s="1" t="s">
        <v>57</v>
      </c>
      <c r="O3232" s="1" t="s">
        <v>936</v>
      </c>
      <c r="P3232" s="1">
        <v>1</v>
      </c>
    </row>
    <row r="3233" spans="1:16" x14ac:dyDescent="0.25">
      <c r="A3233" s="3">
        <v>46083</v>
      </c>
      <c r="B3233" s="4">
        <v>1052</v>
      </c>
      <c r="C3233" s="5">
        <v>1800</v>
      </c>
      <c r="D3233" s="1" t="s">
        <v>1080</v>
      </c>
      <c r="E3233" s="1" t="s">
        <v>3046</v>
      </c>
      <c r="F3233" s="1" t="s">
        <v>66</v>
      </c>
      <c r="G3233" s="1" t="s">
        <v>940</v>
      </c>
      <c r="H3233" s="3">
        <v>46109</v>
      </c>
      <c r="I3233" s="1" t="s">
        <v>933</v>
      </c>
      <c r="J3233" s="1" t="s">
        <v>66</v>
      </c>
      <c r="K3233" s="1" t="s">
        <v>340</v>
      </c>
      <c r="L3233" s="1" t="s">
        <v>4673</v>
      </c>
      <c r="M3233" s="3">
        <v>46084</v>
      </c>
      <c r="N3233" s="1" t="s">
        <v>57</v>
      </c>
      <c r="O3233" s="1" t="s">
        <v>936</v>
      </c>
      <c r="P3233" s="1">
        <v>1</v>
      </c>
    </row>
    <row r="3234" spans="1:16" x14ac:dyDescent="0.25">
      <c r="A3234" s="3">
        <v>46083</v>
      </c>
      <c r="B3234" s="4">
        <v>1052</v>
      </c>
      <c r="C3234" s="5">
        <v>1800</v>
      </c>
      <c r="D3234" s="1" t="s">
        <v>1080</v>
      </c>
      <c r="E3234" s="1" t="s">
        <v>3046</v>
      </c>
      <c r="F3234" s="1" t="s">
        <v>66</v>
      </c>
      <c r="G3234" s="1" t="s">
        <v>940</v>
      </c>
      <c r="H3234" s="3">
        <v>46109</v>
      </c>
      <c r="I3234" s="1" t="s">
        <v>933</v>
      </c>
      <c r="J3234" s="1" t="s">
        <v>66</v>
      </c>
      <c r="K3234" s="1" t="s">
        <v>340</v>
      </c>
      <c r="L3234" s="1" t="s">
        <v>4674</v>
      </c>
      <c r="M3234" s="3">
        <v>46084</v>
      </c>
      <c r="N3234" s="1" t="s">
        <v>57</v>
      </c>
      <c r="O3234" s="1" t="s">
        <v>936</v>
      </c>
      <c r="P3234" s="1">
        <v>1</v>
      </c>
    </row>
    <row r="3235" spans="1:16" x14ac:dyDescent="0.25">
      <c r="A3235" s="3">
        <v>46083</v>
      </c>
      <c r="B3235" s="4">
        <v>1052</v>
      </c>
      <c r="C3235" s="5">
        <v>6000</v>
      </c>
      <c r="D3235" s="1" t="s">
        <v>1080</v>
      </c>
      <c r="E3235" s="1" t="s">
        <v>3046</v>
      </c>
      <c r="F3235" s="1" t="s">
        <v>66</v>
      </c>
      <c r="G3235" s="1" t="s">
        <v>940</v>
      </c>
      <c r="H3235" s="3">
        <v>46109</v>
      </c>
      <c r="I3235" s="1" t="s">
        <v>933</v>
      </c>
      <c r="J3235" s="1" t="s">
        <v>66</v>
      </c>
      <c r="K3235" s="1" t="s">
        <v>340</v>
      </c>
      <c r="L3235" s="1" t="s">
        <v>4675</v>
      </c>
      <c r="M3235" s="3">
        <v>46084</v>
      </c>
      <c r="N3235" s="1" t="s">
        <v>57</v>
      </c>
      <c r="O3235" s="1" t="s">
        <v>936</v>
      </c>
      <c r="P3235" s="1">
        <v>1</v>
      </c>
    </row>
    <row r="3236" spans="1:16" x14ac:dyDescent="0.25">
      <c r="A3236" s="3">
        <v>46083</v>
      </c>
      <c r="B3236" s="4">
        <v>1052</v>
      </c>
      <c r="C3236" s="5">
        <v>6000</v>
      </c>
      <c r="D3236" s="1" t="s">
        <v>1080</v>
      </c>
      <c r="E3236" s="1" t="s">
        <v>3046</v>
      </c>
      <c r="F3236" s="1" t="s">
        <v>578</v>
      </c>
      <c r="G3236" s="1" t="s">
        <v>940</v>
      </c>
      <c r="H3236" s="3">
        <v>46109</v>
      </c>
      <c r="I3236" s="1" t="s">
        <v>933</v>
      </c>
      <c r="J3236" s="1" t="s">
        <v>66</v>
      </c>
      <c r="K3236" s="1" t="s">
        <v>340</v>
      </c>
      <c r="L3236" s="1" t="s">
        <v>4676</v>
      </c>
      <c r="M3236" s="3">
        <v>46084</v>
      </c>
      <c r="N3236" s="1" t="s">
        <v>57</v>
      </c>
      <c r="O3236" s="1" t="s">
        <v>936</v>
      </c>
      <c r="P3236" s="1">
        <v>1</v>
      </c>
    </row>
    <row r="3237" spans="1:16" x14ac:dyDescent="0.25">
      <c r="A3237" s="3">
        <v>46083</v>
      </c>
      <c r="B3237" s="4">
        <v>1052</v>
      </c>
      <c r="C3237" s="5">
        <v>6000</v>
      </c>
      <c r="D3237" s="1" t="s">
        <v>1080</v>
      </c>
      <c r="E3237" s="1" t="s">
        <v>3046</v>
      </c>
      <c r="F3237" s="1" t="s">
        <v>66</v>
      </c>
      <c r="G3237" s="1" t="s">
        <v>940</v>
      </c>
      <c r="H3237" s="3">
        <v>46109</v>
      </c>
      <c r="I3237" s="1" t="s">
        <v>933</v>
      </c>
      <c r="J3237" s="1" t="s">
        <v>66</v>
      </c>
      <c r="K3237" s="1" t="s">
        <v>340</v>
      </c>
      <c r="L3237" s="1" t="s">
        <v>4677</v>
      </c>
      <c r="M3237" s="3">
        <v>46084</v>
      </c>
      <c r="N3237" s="1" t="s">
        <v>57</v>
      </c>
      <c r="O3237" s="1" t="s">
        <v>936</v>
      </c>
      <c r="P3237" s="1">
        <v>1</v>
      </c>
    </row>
    <row r="3238" spans="1:16" x14ac:dyDescent="0.25">
      <c r="A3238" s="3">
        <v>46083</v>
      </c>
      <c r="B3238" s="4">
        <v>1052</v>
      </c>
      <c r="C3238" s="5">
        <v>9600</v>
      </c>
      <c r="D3238" s="1" t="s">
        <v>1080</v>
      </c>
      <c r="E3238" s="1" t="s">
        <v>3046</v>
      </c>
      <c r="F3238" s="1" t="s">
        <v>4678</v>
      </c>
      <c r="G3238" s="1" t="s">
        <v>940</v>
      </c>
      <c r="H3238" s="3">
        <v>46109</v>
      </c>
      <c r="I3238" s="1" t="s">
        <v>933</v>
      </c>
      <c r="J3238" s="1" t="s">
        <v>937</v>
      </c>
      <c r="K3238" s="1" t="s">
        <v>340</v>
      </c>
      <c r="L3238" s="1" t="s">
        <v>4679</v>
      </c>
      <c r="M3238" s="3">
        <v>46084</v>
      </c>
      <c r="N3238" s="1" t="s">
        <v>57</v>
      </c>
      <c r="O3238" s="1" t="s">
        <v>936</v>
      </c>
      <c r="P3238" s="1">
        <v>1</v>
      </c>
    </row>
    <row r="3239" spans="1:16" x14ac:dyDescent="0.25">
      <c r="A3239" s="3">
        <v>46083</v>
      </c>
      <c r="B3239" s="4">
        <v>1054</v>
      </c>
      <c r="C3239" s="5">
        <v>1510</v>
      </c>
      <c r="D3239" s="1" t="s">
        <v>1080</v>
      </c>
      <c r="E3239" s="1" t="s">
        <v>3046</v>
      </c>
      <c r="F3239" s="1" t="s">
        <v>966</v>
      </c>
      <c r="G3239" s="1" t="s">
        <v>940</v>
      </c>
      <c r="H3239" s="3">
        <v>46109</v>
      </c>
      <c r="I3239" s="1" t="s">
        <v>933</v>
      </c>
      <c r="J3239" s="1" t="s">
        <v>951</v>
      </c>
      <c r="K3239" s="1" t="s">
        <v>340</v>
      </c>
      <c r="L3239" s="1" t="s">
        <v>4680</v>
      </c>
      <c r="M3239" s="3">
        <v>46084</v>
      </c>
      <c r="N3239" s="1" t="s">
        <v>57</v>
      </c>
      <c r="O3239" s="1" t="s">
        <v>936</v>
      </c>
      <c r="P3239" s="1">
        <v>1</v>
      </c>
    </row>
    <row r="3240" spans="1:16" x14ac:dyDescent="0.25">
      <c r="A3240" s="3">
        <v>46083</v>
      </c>
      <c r="B3240" s="4">
        <v>30138</v>
      </c>
      <c r="C3240" s="5">
        <v>520</v>
      </c>
      <c r="D3240" s="1" t="s">
        <v>4666</v>
      </c>
      <c r="E3240" s="1" t="s">
        <v>4667</v>
      </c>
      <c r="F3240" s="1" t="s">
        <v>426</v>
      </c>
      <c r="G3240" s="1" t="s">
        <v>940</v>
      </c>
      <c r="H3240" s="3">
        <v>46122</v>
      </c>
      <c r="I3240" s="1" t="s">
        <v>933</v>
      </c>
      <c r="J3240" s="1" t="s">
        <v>66</v>
      </c>
      <c r="K3240" s="1" t="s">
        <v>308</v>
      </c>
      <c r="L3240" s="1" t="s">
        <v>4681</v>
      </c>
      <c r="M3240" s="3">
        <v>46093</v>
      </c>
      <c r="N3240" s="1" t="s">
        <v>429</v>
      </c>
      <c r="O3240" s="1" t="s">
        <v>936</v>
      </c>
      <c r="P3240" s="1">
        <v>1</v>
      </c>
    </row>
    <row r="3241" spans="1:16" x14ac:dyDescent="0.25">
      <c r="A3241" s="3">
        <v>46083</v>
      </c>
      <c r="B3241" s="4">
        <v>30191</v>
      </c>
      <c r="C3241" s="5">
        <v>1870.74</v>
      </c>
      <c r="D3241" s="1" t="s">
        <v>4666</v>
      </c>
      <c r="E3241" s="1" t="s">
        <v>4667</v>
      </c>
      <c r="F3241" s="1" t="s">
        <v>478</v>
      </c>
      <c r="G3241" s="1" t="s">
        <v>940</v>
      </c>
      <c r="H3241" s="3">
        <v>46122</v>
      </c>
      <c r="I3241" s="1" t="s">
        <v>933</v>
      </c>
      <c r="J3241" s="1" t="s">
        <v>66</v>
      </c>
      <c r="K3241" s="1" t="s">
        <v>308</v>
      </c>
      <c r="L3241" s="1" t="s">
        <v>4681</v>
      </c>
      <c r="M3241" s="3">
        <v>46093</v>
      </c>
      <c r="N3241" s="1" t="s">
        <v>440</v>
      </c>
      <c r="O3241" s="1" t="s">
        <v>936</v>
      </c>
      <c r="P3241" s="1">
        <v>1</v>
      </c>
    </row>
    <row r="3242" spans="1:16" x14ac:dyDescent="0.25">
      <c r="A3242" s="3">
        <v>46083</v>
      </c>
      <c r="B3242" s="1">
        <v>675</v>
      </c>
      <c r="C3242" s="5">
        <v>480</v>
      </c>
      <c r="D3242" s="1" t="s">
        <v>4666</v>
      </c>
      <c r="E3242" s="1" t="s">
        <v>4667</v>
      </c>
      <c r="F3242" s="1" t="s">
        <v>906</v>
      </c>
      <c r="G3242" s="1" t="s">
        <v>940</v>
      </c>
      <c r="H3242" s="3">
        <v>46122</v>
      </c>
      <c r="I3242" s="1" t="s">
        <v>933</v>
      </c>
      <c r="J3242" s="1" t="s">
        <v>66</v>
      </c>
      <c r="K3242" s="1" t="s">
        <v>308</v>
      </c>
      <c r="L3242" s="1" t="s">
        <v>4681</v>
      </c>
      <c r="M3242" s="3">
        <v>46093</v>
      </c>
      <c r="N3242" s="1" t="s">
        <v>57</v>
      </c>
      <c r="O3242" s="1" t="s">
        <v>936</v>
      </c>
      <c r="P3242" s="1">
        <v>1</v>
      </c>
    </row>
    <row r="3243" spans="1:16" x14ac:dyDescent="0.25">
      <c r="A3243" s="3">
        <v>46083</v>
      </c>
      <c r="B3243" s="1">
        <v>697</v>
      </c>
      <c r="C3243" s="5">
        <v>3870</v>
      </c>
      <c r="D3243" s="1" t="s">
        <v>4666</v>
      </c>
      <c r="E3243" s="1" t="s">
        <v>4667</v>
      </c>
      <c r="F3243" s="1" t="s">
        <v>453</v>
      </c>
      <c r="G3243" s="1" t="s">
        <v>940</v>
      </c>
      <c r="H3243" s="3">
        <v>46122</v>
      </c>
      <c r="I3243" s="1" t="s">
        <v>933</v>
      </c>
      <c r="J3243" s="1" t="s">
        <v>66</v>
      </c>
      <c r="K3243" s="1" t="s">
        <v>308</v>
      </c>
      <c r="L3243" s="1" t="s">
        <v>4681</v>
      </c>
      <c r="M3243" s="3">
        <v>46093</v>
      </c>
      <c r="N3243" s="1" t="s">
        <v>455</v>
      </c>
      <c r="O3243" s="1" t="s">
        <v>936</v>
      </c>
      <c r="P3243" s="1">
        <v>1</v>
      </c>
    </row>
    <row r="3244" spans="1:16" x14ac:dyDescent="0.25">
      <c r="A3244" s="3">
        <v>46083</v>
      </c>
      <c r="B3244" s="4">
        <v>1206</v>
      </c>
      <c r="C3244" s="5">
        <v>280</v>
      </c>
      <c r="D3244" s="1" t="s">
        <v>1074</v>
      </c>
      <c r="E3244" s="1" t="s">
        <v>1075</v>
      </c>
      <c r="F3244" s="1" t="s">
        <v>283</v>
      </c>
      <c r="G3244" s="1" t="s">
        <v>1058</v>
      </c>
      <c r="H3244" s="3">
        <v>46109</v>
      </c>
      <c r="I3244" s="1" t="s">
        <v>933</v>
      </c>
      <c r="J3244" s="1" t="s">
        <v>66</v>
      </c>
      <c r="K3244" s="1" t="s">
        <v>340</v>
      </c>
      <c r="L3244" s="1" t="s">
        <v>4756</v>
      </c>
      <c r="M3244" s="3">
        <v>46084</v>
      </c>
      <c r="N3244" s="1" t="s">
        <v>57</v>
      </c>
      <c r="O3244" s="1" t="s">
        <v>936</v>
      </c>
      <c r="P3244" s="1">
        <v>1</v>
      </c>
    </row>
    <row r="3245" spans="1:16" x14ac:dyDescent="0.25">
      <c r="A3245" s="3">
        <v>46083</v>
      </c>
      <c r="B3245" s="4">
        <v>14612</v>
      </c>
      <c r="C3245" s="5">
        <v>150</v>
      </c>
      <c r="D3245" s="1" t="s">
        <v>1064</v>
      </c>
      <c r="E3245" s="1" t="s">
        <v>1042</v>
      </c>
      <c r="F3245" s="1" t="s">
        <v>66</v>
      </c>
      <c r="G3245" s="1" t="s">
        <v>940</v>
      </c>
      <c r="H3245" s="1" t="s">
        <v>4055</v>
      </c>
      <c r="I3245" s="1" t="s">
        <v>933</v>
      </c>
      <c r="J3245" s="1" t="s">
        <v>66</v>
      </c>
      <c r="K3245" s="1" t="s">
        <v>66</v>
      </c>
      <c r="L3245" s="1" t="s">
        <v>5159</v>
      </c>
      <c r="M3245" s="1" t="s">
        <v>4055</v>
      </c>
      <c r="N3245" s="1" t="s">
        <v>57</v>
      </c>
      <c r="O3245" s="1" t="s">
        <v>936</v>
      </c>
      <c r="P3245" s="1">
        <v>1</v>
      </c>
    </row>
    <row r="3246" spans="1:16" x14ac:dyDescent="0.25">
      <c r="A3246" s="3">
        <v>46084</v>
      </c>
      <c r="B3246" s="1" t="s">
        <v>3341</v>
      </c>
      <c r="C3246" s="5">
        <v>5210</v>
      </c>
      <c r="D3246" s="1" t="s">
        <v>1179</v>
      </c>
      <c r="E3246" s="1" t="s">
        <v>1180</v>
      </c>
      <c r="F3246" s="1" t="s">
        <v>259</v>
      </c>
      <c r="G3246" s="1" t="s">
        <v>940</v>
      </c>
      <c r="H3246" s="3">
        <v>46104</v>
      </c>
      <c r="I3246" s="1" t="s">
        <v>933</v>
      </c>
      <c r="J3246" s="1" t="s">
        <v>66</v>
      </c>
      <c r="K3246" s="1" t="s">
        <v>340</v>
      </c>
      <c r="L3246" s="1" t="s">
        <v>3342</v>
      </c>
      <c r="M3246" s="3">
        <v>46084</v>
      </c>
      <c r="N3246" s="1" t="s">
        <v>264</v>
      </c>
      <c r="O3246" s="1" t="s">
        <v>936</v>
      </c>
      <c r="P3246" s="1">
        <v>1</v>
      </c>
    </row>
    <row r="3247" spans="1:16" x14ac:dyDescent="0.25">
      <c r="A3247" s="3">
        <v>46084</v>
      </c>
      <c r="B3247" s="1">
        <v>530</v>
      </c>
      <c r="C3247" s="5">
        <v>60</v>
      </c>
      <c r="D3247" s="1" t="s">
        <v>1953</v>
      </c>
      <c r="E3247" s="1" t="s">
        <v>3326</v>
      </c>
      <c r="F3247" s="1" t="s">
        <v>259</v>
      </c>
      <c r="G3247" s="1" t="s">
        <v>940</v>
      </c>
      <c r="H3247" s="3">
        <v>46104</v>
      </c>
      <c r="I3247" s="1" t="s">
        <v>933</v>
      </c>
      <c r="J3247" s="1" t="s">
        <v>66</v>
      </c>
      <c r="K3247" s="1" t="s">
        <v>340</v>
      </c>
      <c r="L3247" s="1" t="s">
        <v>3346</v>
      </c>
      <c r="M3247" s="3">
        <v>46087</v>
      </c>
      <c r="N3247" s="1" t="s">
        <v>57</v>
      </c>
      <c r="O3247" s="1" t="s">
        <v>936</v>
      </c>
      <c r="P3247" s="1">
        <v>1</v>
      </c>
    </row>
    <row r="3248" spans="1:16" x14ac:dyDescent="0.25">
      <c r="A3248" s="3">
        <v>46084</v>
      </c>
      <c r="B3248" s="1">
        <v>535</v>
      </c>
      <c r="C3248" s="5">
        <v>50</v>
      </c>
      <c r="D3248" s="1" t="s">
        <v>3998</v>
      </c>
      <c r="E3248" s="1" t="s">
        <v>3999</v>
      </c>
      <c r="F3248" s="1" t="s">
        <v>268</v>
      </c>
      <c r="G3248" s="1" t="s">
        <v>940</v>
      </c>
      <c r="H3248" s="1" t="s">
        <v>967</v>
      </c>
      <c r="I3248" s="1" t="s">
        <v>933</v>
      </c>
      <c r="J3248" s="1" t="s">
        <v>66</v>
      </c>
      <c r="K3248" s="1" t="s">
        <v>308</v>
      </c>
      <c r="L3248" s="1" t="s">
        <v>4000</v>
      </c>
      <c r="M3248" s="3">
        <v>46087</v>
      </c>
      <c r="N3248" s="1" t="s">
        <v>264</v>
      </c>
      <c r="O3248" s="1" t="s">
        <v>936</v>
      </c>
      <c r="P3248" s="1">
        <v>1</v>
      </c>
    </row>
    <row r="3249" spans="1:16" x14ac:dyDescent="0.25">
      <c r="A3249" s="3">
        <v>46084</v>
      </c>
      <c r="B3249" s="1">
        <v>537</v>
      </c>
      <c r="C3249" s="5">
        <v>150</v>
      </c>
      <c r="D3249" s="1" t="s">
        <v>3998</v>
      </c>
      <c r="E3249" s="1" t="s">
        <v>3999</v>
      </c>
      <c r="F3249" s="1" t="s">
        <v>268</v>
      </c>
      <c r="G3249" s="1" t="s">
        <v>940</v>
      </c>
      <c r="H3249" s="1" t="s">
        <v>967</v>
      </c>
      <c r="I3249" s="1" t="s">
        <v>933</v>
      </c>
      <c r="J3249" s="1" t="s">
        <v>66</v>
      </c>
      <c r="K3249" s="1" t="s">
        <v>308</v>
      </c>
      <c r="L3249" s="1" t="s">
        <v>4000</v>
      </c>
      <c r="M3249" s="3">
        <v>46087</v>
      </c>
      <c r="N3249" s="1" t="s">
        <v>264</v>
      </c>
      <c r="O3249" s="1" t="s">
        <v>936</v>
      </c>
      <c r="P3249" s="1">
        <v>1</v>
      </c>
    </row>
    <row r="3250" spans="1:16" x14ac:dyDescent="0.25">
      <c r="A3250" s="3">
        <v>46084</v>
      </c>
      <c r="B3250" s="1">
        <v>533</v>
      </c>
      <c r="C3250" s="5">
        <v>250</v>
      </c>
      <c r="D3250" s="1" t="s">
        <v>3998</v>
      </c>
      <c r="E3250" s="1" t="s">
        <v>3999</v>
      </c>
      <c r="F3250" s="1" t="s">
        <v>268</v>
      </c>
      <c r="G3250" s="1" t="s">
        <v>940</v>
      </c>
      <c r="H3250" s="1" t="s">
        <v>967</v>
      </c>
      <c r="I3250" s="1" t="s">
        <v>933</v>
      </c>
      <c r="J3250" s="1" t="s">
        <v>66</v>
      </c>
      <c r="K3250" s="1" t="s">
        <v>308</v>
      </c>
      <c r="L3250" s="1" t="s">
        <v>4000</v>
      </c>
      <c r="M3250" s="3">
        <v>46087</v>
      </c>
      <c r="N3250" s="1" t="s">
        <v>264</v>
      </c>
      <c r="O3250" s="1" t="s">
        <v>936</v>
      </c>
      <c r="P3250" s="1">
        <v>1</v>
      </c>
    </row>
    <row r="3251" spans="1:16" x14ac:dyDescent="0.25">
      <c r="A3251" s="3">
        <v>46084</v>
      </c>
      <c r="B3251" s="1">
        <v>530</v>
      </c>
      <c r="C3251" s="5">
        <v>570</v>
      </c>
      <c r="D3251" s="1" t="s">
        <v>1953</v>
      </c>
      <c r="E3251" s="1" t="s">
        <v>3326</v>
      </c>
      <c r="F3251" s="1" t="s">
        <v>271</v>
      </c>
      <c r="G3251" s="1" t="s">
        <v>940</v>
      </c>
      <c r="H3251" s="3">
        <v>46104</v>
      </c>
      <c r="I3251" s="1" t="s">
        <v>933</v>
      </c>
      <c r="J3251" s="1" t="s">
        <v>66</v>
      </c>
      <c r="K3251" s="1" t="s">
        <v>340</v>
      </c>
      <c r="L3251" s="1" t="s">
        <v>4211</v>
      </c>
      <c r="M3251" s="3">
        <v>46087</v>
      </c>
      <c r="N3251" s="1" t="s">
        <v>57</v>
      </c>
      <c r="O3251" s="1" t="s">
        <v>936</v>
      </c>
      <c r="P3251" s="1">
        <v>1</v>
      </c>
    </row>
    <row r="3252" spans="1:16" x14ac:dyDescent="0.25">
      <c r="A3252" s="3">
        <v>46084</v>
      </c>
      <c r="B3252" s="1">
        <v>530</v>
      </c>
      <c r="C3252" s="5">
        <v>80</v>
      </c>
      <c r="D3252" s="1" t="s">
        <v>1953</v>
      </c>
      <c r="E3252" s="1" t="s">
        <v>3326</v>
      </c>
      <c r="F3252" s="1" t="s">
        <v>274</v>
      </c>
      <c r="G3252" s="1" t="s">
        <v>940</v>
      </c>
      <c r="H3252" s="3">
        <v>46104</v>
      </c>
      <c r="I3252" s="1" t="s">
        <v>933</v>
      </c>
      <c r="J3252" s="1" t="s">
        <v>66</v>
      </c>
      <c r="K3252" s="1" t="s">
        <v>340</v>
      </c>
      <c r="L3252" s="1" t="s">
        <v>4267</v>
      </c>
      <c r="M3252" s="3">
        <v>46087</v>
      </c>
      <c r="N3252" s="1" t="s">
        <v>57</v>
      </c>
      <c r="O3252" s="1" t="s">
        <v>936</v>
      </c>
      <c r="P3252" s="1">
        <v>1</v>
      </c>
    </row>
    <row r="3253" spans="1:16" x14ac:dyDescent="0.25">
      <c r="A3253" s="3">
        <v>46084</v>
      </c>
      <c r="B3253" s="1">
        <v>531</v>
      </c>
      <c r="C3253" s="5">
        <v>130</v>
      </c>
      <c r="D3253" s="1" t="s">
        <v>1953</v>
      </c>
      <c r="E3253" s="1" t="s">
        <v>3326</v>
      </c>
      <c r="F3253" s="1" t="s">
        <v>274</v>
      </c>
      <c r="G3253" s="1" t="s">
        <v>940</v>
      </c>
      <c r="H3253" s="3">
        <v>46108</v>
      </c>
      <c r="I3253" s="1" t="s">
        <v>933</v>
      </c>
      <c r="J3253" s="1" t="s">
        <v>66</v>
      </c>
      <c r="K3253" s="1" t="s">
        <v>340</v>
      </c>
      <c r="L3253" s="1" t="s">
        <v>4268</v>
      </c>
      <c r="M3253" s="3">
        <v>46087</v>
      </c>
      <c r="N3253" s="1" t="s">
        <v>57</v>
      </c>
      <c r="O3253" s="1" t="s">
        <v>936</v>
      </c>
      <c r="P3253" s="1">
        <v>1</v>
      </c>
    </row>
    <row r="3254" spans="1:16" x14ac:dyDescent="0.25">
      <c r="A3254" s="3">
        <v>46084</v>
      </c>
      <c r="B3254" s="4">
        <v>46911</v>
      </c>
      <c r="C3254" s="5">
        <v>6925</v>
      </c>
      <c r="D3254" s="1" t="s">
        <v>4682</v>
      </c>
      <c r="E3254" s="1" t="s">
        <v>4683</v>
      </c>
      <c r="F3254" s="1" t="s">
        <v>66</v>
      </c>
      <c r="G3254" s="1" t="s">
        <v>1131</v>
      </c>
      <c r="H3254" s="3">
        <v>46111</v>
      </c>
      <c r="I3254" s="1" t="s">
        <v>933</v>
      </c>
      <c r="J3254" s="1" t="s">
        <v>66</v>
      </c>
      <c r="K3254" s="1" t="s">
        <v>340</v>
      </c>
      <c r="L3254" s="1" t="s">
        <v>4684</v>
      </c>
      <c r="M3254" s="3">
        <v>46084</v>
      </c>
      <c r="N3254" s="1" t="s">
        <v>57</v>
      </c>
      <c r="O3254" s="1" t="s">
        <v>936</v>
      </c>
      <c r="P3254" s="1">
        <v>1</v>
      </c>
    </row>
    <row r="3255" spans="1:16" x14ac:dyDescent="0.25">
      <c r="A3255" s="3">
        <v>46084</v>
      </c>
      <c r="B3255" s="4">
        <v>10472</v>
      </c>
      <c r="C3255" s="5">
        <v>19656.97</v>
      </c>
      <c r="D3255" s="1" t="s">
        <v>973</v>
      </c>
      <c r="E3255" s="1" t="s">
        <v>1068</v>
      </c>
      <c r="F3255" s="1" t="s">
        <v>66</v>
      </c>
      <c r="G3255" s="1" t="s">
        <v>998</v>
      </c>
      <c r="H3255" s="3">
        <v>46099</v>
      </c>
      <c r="I3255" s="1" t="s">
        <v>933</v>
      </c>
      <c r="J3255" s="1" t="s">
        <v>66</v>
      </c>
      <c r="K3255" s="1" t="s">
        <v>340</v>
      </c>
      <c r="L3255" s="1" t="s">
        <v>4685</v>
      </c>
      <c r="M3255" s="3">
        <v>46084</v>
      </c>
      <c r="N3255" s="1" t="s">
        <v>57</v>
      </c>
      <c r="O3255" s="1" t="s">
        <v>998</v>
      </c>
      <c r="P3255" s="1">
        <v>1</v>
      </c>
    </row>
    <row r="3256" spans="1:16" x14ac:dyDescent="0.25">
      <c r="A3256" s="3">
        <v>46084</v>
      </c>
      <c r="B3256" s="4">
        <v>10471</v>
      </c>
      <c r="C3256" s="5">
        <v>11381.19</v>
      </c>
      <c r="D3256" s="1" t="s">
        <v>973</v>
      </c>
      <c r="E3256" s="1" t="s">
        <v>1068</v>
      </c>
      <c r="F3256" s="1" t="s">
        <v>66</v>
      </c>
      <c r="G3256" s="1" t="s">
        <v>998</v>
      </c>
      <c r="H3256" s="3">
        <v>46099</v>
      </c>
      <c r="I3256" s="1" t="s">
        <v>933</v>
      </c>
      <c r="J3256" s="1" t="s">
        <v>66</v>
      </c>
      <c r="K3256" s="1" t="s">
        <v>340</v>
      </c>
      <c r="L3256" s="1" t="s">
        <v>4686</v>
      </c>
      <c r="M3256" s="3">
        <v>46084</v>
      </c>
      <c r="N3256" s="1" t="s">
        <v>57</v>
      </c>
      <c r="O3256" s="1" t="s">
        <v>998</v>
      </c>
      <c r="P3256" s="1">
        <v>1</v>
      </c>
    </row>
    <row r="3257" spans="1:16" x14ac:dyDescent="0.25">
      <c r="A3257" s="3">
        <v>46084</v>
      </c>
      <c r="B3257" s="4">
        <v>10470</v>
      </c>
      <c r="C3257" s="5">
        <v>11380.11</v>
      </c>
      <c r="D3257" s="1" t="s">
        <v>973</v>
      </c>
      <c r="E3257" s="1" t="s">
        <v>1068</v>
      </c>
      <c r="F3257" s="1" t="s">
        <v>66</v>
      </c>
      <c r="G3257" s="1" t="s">
        <v>998</v>
      </c>
      <c r="H3257" s="3">
        <v>46099</v>
      </c>
      <c r="I3257" s="1" t="s">
        <v>933</v>
      </c>
      <c r="J3257" s="1" t="s">
        <v>66</v>
      </c>
      <c r="K3257" s="1" t="s">
        <v>340</v>
      </c>
      <c r="L3257" s="1" t="s">
        <v>4686</v>
      </c>
      <c r="M3257" s="3">
        <v>46084</v>
      </c>
      <c r="N3257" s="1" t="s">
        <v>57</v>
      </c>
      <c r="O3257" s="1" t="s">
        <v>998</v>
      </c>
      <c r="P3257" s="1">
        <v>1</v>
      </c>
    </row>
    <row r="3258" spans="1:16" x14ac:dyDescent="0.25">
      <c r="A3258" s="3">
        <v>46084</v>
      </c>
      <c r="B3258" s="4">
        <v>10468</v>
      </c>
      <c r="C3258" s="5">
        <v>11380.06</v>
      </c>
      <c r="D3258" s="1" t="s">
        <v>973</v>
      </c>
      <c r="E3258" s="1" t="s">
        <v>1068</v>
      </c>
      <c r="F3258" s="1" t="s">
        <v>66</v>
      </c>
      <c r="G3258" s="1" t="s">
        <v>998</v>
      </c>
      <c r="H3258" s="3">
        <v>46099</v>
      </c>
      <c r="I3258" s="1" t="s">
        <v>933</v>
      </c>
      <c r="J3258" s="1" t="s">
        <v>66</v>
      </c>
      <c r="K3258" s="1" t="s">
        <v>340</v>
      </c>
      <c r="L3258" s="1" t="s">
        <v>4686</v>
      </c>
      <c r="M3258" s="3">
        <v>46084</v>
      </c>
      <c r="N3258" s="1" t="s">
        <v>57</v>
      </c>
      <c r="O3258" s="1" t="s">
        <v>998</v>
      </c>
      <c r="P3258" s="1">
        <v>1</v>
      </c>
    </row>
    <row r="3259" spans="1:16" x14ac:dyDescent="0.25">
      <c r="A3259" s="3">
        <v>46084</v>
      </c>
      <c r="B3259" s="1" t="s">
        <v>4687</v>
      </c>
      <c r="C3259" s="5">
        <v>3493</v>
      </c>
      <c r="D3259" s="1" t="s">
        <v>1179</v>
      </c>
      <c r="E3259" s="1" t="s">
        <v>1180</v>
      </c>
      <c r="F3259" s="1" t="s">
        <v>625</v>
      </c>
      <c r="G3259" s="1" t="s">
        <v>940</v>
      </c>
      <c r="H3259" s="3">
        <v>46104</v>
      </c>
      <c r="I3259" s="1" t="s">
        <v>933</v>
      </c>
      <c r="J3259" s="1" t="s">
        <v>66</v>
      </c>
      <c r="K3259" s="1" t="s">
        <v>308</v>
      </c>
      <c r="L3259" s="1" t="s">
        <v>4688</v>
      </c>
      <c r="M3259" s="3">
        <v>46084</v>
      </c>
      <c r="N3259" s="1" t="s">
        <v>628</v>
      </c>
      <c r="O3259" s="1" t="s">
        <v>936</v>
      </c>
      <c r="P3259" s="1">
        <v>1</v>
      </c>
    </row>
    <row r="3260" spans="1:16" x14ac:dyDescent="0.25">
      <c r="A3260" s="3">
        <v>46084</v>
      </c>
      <c r="B3260" s="1" t="s">
        <v>4689</v>
      </c>
      <c r="C3260" s="5">
        <v>1810</v>
      </c>
      <c r="D3260" s="1" t="s">
        <v>1179</v>
      </c>
      <c r="E3260" s="1" t="s">
        <v>1180</v>
      </c>
      <c r="F3260" s="1" t="s">
        <v>66</v>
      </c>
      <c r="G3260" s="1" t="s">
        <v>940</v>
      </c>
      <c r="H3260" s="3">
        <v>46104</v>
      </c>
      <c r="I3260" s="1" t="s">
        <v>933</v>
      </c>
      <c r="J3260" s="1" t="s">
        <v>66</v>
      </c>
      <c r="K3260" s="1" t="s">
        <v>308</v>
      </c>
      <c r="L3260" s="1" t="s">
        <v>4690</v>
      </c>
      <c r="M3260" s="3">
        <v>46084</v>
      </c>
      <c r="N3260" s="1" t="s">
        <v>57</v>
      </c>
      <c r="O3260" s="1" t="s">
        <v>936</v>
      </c>
      <c r="P3260" s="1">
        <v>1</v>
      </c>
    </row>
    <row r="3261" spans="1:16" x14ac:dyDescent="0.25">
      <c r="A3261" s="3">
        <v>46084</v>
      </c>
      <c r="B3261" s="4">
        <v>3883</v>
      </c>
      <c r="C3261" s="5">
        <v>890</v>
      </c>
      <c r="D3261" s="1" t="s">
        <v>1179</v>
      </c>
      <c r="E3261" s="1" t="s">
        <v>1180</v>
      </c>
      <c r="F3261" s="1" t="s">
        <v>66</v>
      </c>
      <c r="G3261" s="1" t="s">
        <v>940</v>
      </c>
      <c r="H3261" s="3">
        <v>46104</v>
      </c>
      <c r="I3261" s="1" t="s">
        <v>933</v>
      </c>
      <c r="J3261" s="1" t="s">
        <v>66</v>
      </c>
      <c r="K3261" s="1" t="s">
        <v>308</v>
      </c>
      <c r="L3261" s="1" t="s">
        <v>4691</v>
      </c>
      <c r="M3261" s="3">
        <v>46084</v>
      </c>
      <c r="N3261" s="1" t="s">
        <v>57</v>
      </c>
      <c r="O3261" s="1" t="s">
        <v>936</v>
      </c>
      <c r="P3261" s="1">
        <v>1</v>
      </c>
    </row>
    <row r="3262" spans="1:16" x14ac:dyDescent="0.25">
      <c r="A3262" s="3">
        <v>46084</v>
      </c>
      <c r="B3262" s="4">
        <v>3882</v>
      </c>
      <c r="C3262" s="5">
        <v>45</v>
      </c>
      <c r="D3262" s="1" t="s">
        <v>1179</v>
      </c>
      <c r="E3262" s="1" t="s">
        <v>1180</v>
      </c>
      <c r="F3262" s="1" t="s">
        <v>66</v>
      </c>
      <c r="G3262" s="1" t="s">
        <v>940</v>
      </c>
      <c r="H3262" s="3">
        <v>46104</v>
      </c>
      <c r="I3262" s="1" t="s">
        <v>933</v>
      </c>
      <c r="J3262" s="1" t="s">
        <v>66</v>
      </c>
      <c r="K3262" s="1" t="s">
        <v>340</v>
      </c>
      <c r="L3262" s="1" t="s">
        <v>4692</v>
      </c>
      <c r="M3262" s="3">
        <v>46084</v>
      </c>
      <c r="N3262" s="1" t="s">
        <v>57</v>
      </c>
      <c r="O3262" s="1" t="s">
        <v>936</v>
      </c>
      <c r="P3262" s="1">
        <v>1</v>
      </c>
    </row>
    <row r="3263" spans="1:16" x14ac:dyDescent="0.25">
      <c r="A3263" s="3">
        <v>46084</v>
      </c>
      <c r="B3263" s="4">
        <v>73092</v>
      </c>
      <c r="C3263" s="5">
        <v>600</v>
      </c>
      <c r="D3263" s="1" t="s">
        <v>1253</v>
      </c>
      <c r="E3263" s="1" t="s">
        <v>1487</v>
      </c>
      <c r="F3263" s="1" t="s">
        <v>647</v>
      </c>
      <c r="G3263" s="1" t="s">
        <v>940</v>
      </c>
      <c r="H3263" s="3">
        <v>46114</v>
      </c>
      <c r="I3263" s="1" t="s">
        <v>933</v>
      </c>
      <c r="J3263" s="1" t="s">
        <v>66</v>
      </c>
      <c r="K3263" s="1" t="s">
        <v>340</v>
      </c>
      <c r="L3263" s="1" t="s">
        <v>4694</v>
      </c>
      <c r="M3263" s="3">
        <v>46084</v>
      </c>
      <c r="N3263" s="1" t="s">
        <v>57</v>
      </c>
      <c r="O3263" s="1" t="s">
        <v>936</v>
      </c>
      <c r="P3263" s="1">
        <v>1</v>
      </c>
    </row>
    <row r="3264" spans="1:16" x14ac:dyDescent="0.25">
      <c r="A3264" s="3">
        <v>46084</v>
      </c>
      <c r="B3264" s="4">
        <v>73080</v>
      </c>
      <c r="C3264" s="5">
        <v>3721.44</v>
      </c>
      <c r="D3264" s="1" t="s">
        <v>1253</v>
      </c>
      <c r="E3264" s="1" t="s">
        <v>1487</v>
      </c>
      <c r="F3264" s="1" t="s">
        <v>609</v>
      </c>
      <c r="G3264" s="1" t="s">
        <v>1131</v>
      </c>
      <c r="H3264" s="3">
        <v>46113</v>
      </c>
      <c r="I3264" s="1" t="s">
        <v>933</v>
      </c>
      <c r="J3264" s="1" t="s">
        <v>66</v>
      </c>
      <c r="K3264" s="1" t="s">
        <v>340</v>
      </c>
      <c r="L3264" s="1" t="s">
        <v>4695</v>
      </c>
      <c r="M3264" s="3">
        <v>46084</v>
      </c>
      <c r="N3264" s="1" t="s">
        <v>57</v>
      </c>
      <c r="O3264" s="1" t="s">
        <v>936</v>
      </c>
      <c r="P3264" s="1">
        <v>1</v>
      </c>
    </row>
    <row r="3265" spans="1:16" x14ac:dyDescent="0.25">
      <c r="A3265" s="3">
        <v>46084</v>
      </c>
      <c r="B3265" s="4">
        <v>73081</v>
      </c>
      <c r="C3265" s="5">
        <v>1353.2</v>
      </c>
      <c r="D3265" s="1" t="s">
        <v>1253</v>
      </c>
      <c r="E3265" s="1" t="s">
        <v>1487</v>
      </c>
      <c r="F3265" s="1" t="s">
        <v>547</v>
      </c>
      <c r="G3265" s="1" t="s">
        <v>940</v>
      </c>
      <c r="H3265" s="3">
        <v>46113</v>
      </c>
      <c r="I3265" s="1" t="s">
        <v>933</v>
      </c>
      <c r="J3265" s="1" t="s">
        <v>66</v>
      </c>
      <c r="K3265" s="1" t="s">
        <v>1654</v>
      </c>
      <c r="L3265" s="1" t="s">
        <v>4696</v>
      </c>
      <c r="M3265" s="3">
        <v>46084</v>
      </c>
      <c r="N3265" s="1" t="s">
        <v>57</v>
      </c>
      <c r="O3265" s="1" t="s">
        <v>936</v>
      </c>
      <c r="P3265" s="1">
        <v>1</v>
      </c>
    </row>
    <row r="3266" spans="1:16" x14ac:dyDescent="0.25">
      <c r="A3266" s="3">
        <v>46084</v>
      </c>
      <c r="B3266" s="1">
        <v>133</v>
      </c>
      <c r="C3266" s="5">
        <v>8500</v>
      </c>
      <c r="D3266" s="1" t="s">
        <v>1579</v>
      </c>
      <c r="E3266" s="1" t="s">
        <v>1580</v>
      </c>
      <c r="F3266" s="1" t="s">
        <v>599</v>
      </c>
      <c r="G3266" s="1" t="s">
        <v>1621</v>
      </c>
      <c r="H3266" s="3">
        <v>46104</v>
      </c>
      <c r="I3266" s="1" t="s">
        <v>1100</v>
      </c>
      <c r="J3266" s="1" t="s">
        <v>66</v>
      </c>
      <c r="K3266" s="1" t="s">
        <v>340</v>
      </c>
      <c r="L3266" s="1" t="s">
        <v>4697</v>
      </c>
      <c r="M3266" s="3">
        <v>46084</v>
      </c>
      <c r="N3266" s="1" t="s">
        <v>57</v>
      </c>
      <c r="O3266" s="1" t="s">
        <v>936</v>
      </c>
      <c r="P3266" s="1">
        <v>1</v>
      </c>
    </row>
    <row r="3267" spans="1:16" x14ac:dyDescent="0.25">
      <c r="A3267" s="3">
        <v>46084</v>
      </c>
      <c r="B3267" s="1">
        <v>146</v>
      </c>
      <c r="C3267" s="5">
        <v>6000</v>
      </c>
      <c r="D3267" s="1" t="s">
        <v>2996</v>
      </c>
      <c r="E3267" s="1" t="s">
        <v>2997</v>
      </c>
      <c r="F3267" s="1" t="s">
        <v>504</v>
      </c>
      <c r="G3267" s="1" t="s">
        <v>932</v>
      </c>
      <c r="H3267" s="3">
        <v>46105</v>
      </c>
      <c r="I3267" s="1" t="s">
        <v>933</v>
      </c>
      <c r="J3267" s="1" t="s">
        <v>66</v>
      </c>
      <c r="K3267" s="1" t="s">
        <v>659</v>
      </c>
      <c r="L3267" s="1" t="s">
        <v>4698</v>
      </c>
      <c r="M3267" s="3">
        <v>46084</v>
      </c>
      <c r="N3267" s="1" t="s">
        <v>2997</v>
      </c>
      <c r="O3267" s="1" t="s">
        <v>936</v>
      </c>
      <c r="P3267" s="1">
        <v>1</v>
      </c>
    </row>
    <row r="3268" spans="1:16" x14ac:dyDescent="0.25">
      <c r="A3268" s="3">
        <v>46084</v>
      </c>
      <c r="B3268" s="4">
        <v>200104652</v>
      </c>
      <c r="C3268" s="5">
        <v>140</v>
      </c>
      <c r="D3268" s="1" t="s">
        <v>3317</v>
      </c>
      <c r="E3268" s="1" t="s">
        <v>3318</v>
      </c>
      <c r="F3268" s="1" t="s">
        <v>66</v>
      </c>
      <c r="G3268" s="1" t="s">
        <v>932</v>
      </c>
      <c r="H3268" s="3">
        <v>46097</v>
      </c>
      <c r="I3268" s="1" t="s">
        <v>933</v>
      </c>
      <c r="J3268" s="1" t="s">
        <v>66</v>
      </c>
      <c r="K3268" s="1" t="s">
        <v>308</v>
      </c>
      <c r="L3268" s="1" t="s">
        <v>4699</v>
      </c>
      <c r="M3268" s="3">
        <v>46084</v>
      </c>
      <c r="N3268" s="1" t="s">
        <v>3318</v>
      </c>
      <c r="O3268" s="1" t="s">
        <v>932</v>
      </c>
      <c r="P3268" s="1">
        <v>1</v>
      </c>
    </row>
    <row r="3269" spans="1:16" x14ac:dyDescent="0.25">
      <c r="A3269" s="3">
        <v>46084</v>
      </c>
      <c r="B3269" s="4">
        <v>12719</v>
      </c>
      <c r="C3269" s="5">
        <v>560</v>
      </c>
      <c r="D3269" s="1" t="s">
        <v>3317</v>
      </c>
      <c r="E3269" s="1" t="s">
        <v>3318</v>
      </c>
      <c r="F3269" s="1" t="s">
        <v>66</v>
      </c>
      <c r="G3269" s="1" t="s">
        <v>932</v>
      </c>
      <c r="H3269" s="3">
        <v>46097</v>
      </c>
      <c r="I3269" s="1" t="s">
        <v>933</v>
      </c>
      <c r="J3269" s="1" t="s">
        <v>66</v>
      </c>
      <c r="K3269" s="1" t="s">
        <v>308</v>
      </c>
      <c r="L3269" s="1" t="s">
        <v>4700</v>
      </c>
      <c r="M3269" s="3">
        <v>46084</v>
      </c>
      <c r="N3269" s="1" t="s">
        <v>3318</v>
      </c>
      <c r="O3269" s="1" t="s">
        <v>932</v>
      </c>
      <c r="P3269" s="1">
        <v>1</v>
      </c>
    </row>
    <row r="3270" spans="1:16" x14ac:dyDescent="0.25">
      <c r="A3270" s="3">
        <v>46084</v>
      </c>
      <c r="B3270" s="4">
        <v>5200</v>
      </c>
      <c r="C3270" s="5">
        <v>471.36</v>
      </c>
      <c r="D3270" s="1" t="s">
        <v>938</v>
      </c>
      <c r="E3270" s="1" t="s">
        <v>939</v>
      </c>
      <c r="F3270" s="1" t="s">
        <v>66</v>
      </c>
      <c r="G3270" s="1" t="s">
        <v>940</v>
      </c>
      <c r="H3270" s="3">
        <v>46115</v>
      </c>
      <c r="I3270" s="1" t="s">
        <v>933</v>
      </c>
      <c r="J3270" s="1" t="s">
        <v>66</v>
      </c>
      <c r="K3270" s="1" t="s">
        <v>308</v>
      </c>
      <c r="L3270" s="1" t="s">
        <v>4701</v>
      </c>
      <c r="M3270" s="3">
        <v>46084</v>
      </c>
      <c r="N3270" s="1" t="s">
        <v>4702</v>
      </c>
      <c r="O3270" s="1" t="s">
        <v>936</v>
      </c>
      <c r="P3270" s="1">
        <v>1</v>
      </c>
    </row>
    <row r="3271" spans="1:16" x14ac:dyDescent="0.25">
      <c r="A3271" s="3">
        <v>46084</v>
      </c>
      <c r="B3271" s="4">
        <v>5196</v>
      </c>
      <c r="C3271" s="5">
        <v>4270</v>
      </c>
      <c r="D3271" s="1" t="s">
        <v>938</v>
      </c>
      <c r="E3271" s="1" t="s">
        <v>939</v>
      </c>
      <c r="F3271" s="1" t="s">
        <v>66</v>
      </c>
      <c r="G3271" s="1" t="s">
        <v>940</v>
      </c>
      <c r="H3271" s="3">
        <v>46114</v>
      </c>
      <c r="I3271" s="1" t="s">
        <v>933</v>
      </c>
      <c r="J3271" s="1" t="s">
        <v>66</v>
      </c>
      <c r="K3271" s="1" t="s">
        <v>308</v>
      </c>
      <c r="L3271" s="1" t="s">
        <v>4703</v>
      </c>
      <c r="M3271" s="3">
        <v>46084</v>
      </c>
      <c r="N3271" s="1" t="s">
        <v>4702</v>
      </c>
      <c r="O3271" s="1" t="s">
        <v>936</v>
      </c>
      <c r="P3271" s="1">
        <v>1</v>
      </c>
    </row>
    <row r="3272" spans="1:16" x14ac:dyDescent="0.25">
      <c r="A3272" s="3">
        <v>46084</v>
      </c>
      <c r="B3272" s="4">
        <v>46912</v>
      </c>
      <c r="C3272" s="5">
        <v>3559</v>
      </c>
      <c r="D3272" s="1" t="s">
        <v>4682</v>
      </c>
      <c r="E3272" s="1" t="s">
        <v>4683</v>
      </c>
      <c r="F3272" s="1" t="s">
        <v>66</v>
      </c>
      <c r="G3272" s="1" t="s">
        <v>1131</v>
      </c>
      <c r="H3272" s="3">
        <v>46111</v>
      </c>
      <c r="I3272" s="1" t="s">
        <v>933</v>
      </c>
      <c r="J3272" s="1" t="s">
        <v>66</v>
      </c>
      <c r="K3272" s="1" t="s">
        <v>340</v>
      </c>
      <c r="L3272" s="1" t="s">
        <v>4684</v>
      </c>
      <c r="M3272" s="3">
        <v>46084</v>
      </c>
      <c r="N3272" s="1" t="s">
        <v>57</v>
      </c>
      <c r="O3272" s="1" t="s">
        <v>936</v>
      </c>
      <c r="P3272" s="1">
        <v>1</v>
      </c>
    </row>
    <row r="3273" spans="1:16" x14ac:dyDescent="0.25">
      <c r="A3273" s="3">
        <v>46084</v>
      </c>
      <c r="B3273" s="1">
        <v>179</v>
      </c>
      <c r="C3273" s="5">
        <v>1693.28</v>
      </c>
      <c r="D3273" s="1" t="s">
        <v>1370</v>
      </c>
      <c r="E3273" s="1" t="s">
        <v>1371</v>
      </c>
      <c r="F3273" s="1" t="s">
        <v>66</v>
      </c>
      <c r="G3273" s="1" t="s">
        <v>940</v>
      </c>
      <c r="H3273" s="3">
        <v>46105</v>
      </c>
      <c r="I3273" s="1" t="s">
        <v>933</v>
      </c>
      <c r="J3273" s="1" t="s">
        <v>66</v>
      </c>
      <c r="K3273" s="1" t="s">
        <v>340</v>
      </c>
      <c r="L3273" s="1" t="s">
        <v>4704</v>
      </c>
      <c r="M3273" s="3">
        <v>46084</v>
      </c>
      <c r="N3273" s="1" t="s">
        <v>57</v>
      </c>
      <c r="O3273" s="1" t="s">
        <v>936</v>
      </c>
      <c r="P3273" s="1" t="s">
        <v>937</v>
      </c>
    </row>
    <row r="3274" spans="1:16" x14ac:dyDescent="0.25">
      <c r="A3274" s="3">
        <v>46084</v>
      </c>
      <c r="B3274" s="4">
        <v>3477</v>
      </c>
      <c r="C3274" s="5">
        <v>2238.7800000000002</v>
      </c>
      <c r="D3274" s="1" t="s">
        <v>1134</v>
      </c>
      <c r="E3274" s="1" t="s">
        <v>1282</v>
      </c>
      <c r="F3274" s="1" t="s">
        <v>949</v>
      </c>
      <c r="G3274" s="1" t="s">
        <v>20</v>
      </c>
      <c r="H3274" s="3">
        <v>46099</v>
      </c>
      <c r="I3274" s="1" t="s">
        <v>933</v>
      </c>
      <c r="J3274" s="1" t="s">
        <v>951</v>
      </c>
      <c r="K3274" s="1" t="s">
        <v>934</v>
      </c>
      <c r="L3274" s="1" t="s">
        <v>4705</v>
      </c>
      <c r="M3274" s="3">
        <v>46087</v>
      </c>
      <c r="N3274" s="1" t="s">
        <v>57</v>
      </c>
      <c r="O3274" s="1" t="s">
        <v>936</v>
      </c>
      <c r="P3274" s="1">
        <v>1</v>
      </c>
    </row>
    <row r="3275" spans="1:16" x14ac:dyDescent="0.25">
      <c r="A3275" s="3">
        <v>46084</v>
      </c>
      <c r="B3275" s="1">
        <v>398</v>
      </c>
      <c r="C3275" s="5">
        <v>3238.7</v>
      </c>
      <c r="D3275" s="1" t="s">
        <v>1810</v>
      </c>
      <c r="E3275" s="1" t="s">
        <v>1811</v>
      </c>
      <c r="F3275" s="1" t="s">
        <v>949</v>
      </c>
      <c r="G3275" s="1" t="s">
        <v>20</v>
      </c>
      <c r="H3275" s="3">
        <v>46098</v>
      </c>
      <c r="I3275" s="1" t="s">
        <v>933</v>
      </c>
      <c r="J3275" s="1" t="s">
        <v>951</v>
      </c>
      <c r="K3275" s="1" t="s">
        <v>934</v>
      </c>
      <c r="L3275" s="1" t="s">
        <v>4706</v>
      </c>
      <c r="M3275" s="3">
        <v>46087</v>
      </c>
      <c r="N3275" s="1" t="s">
        <v>57</v>
      </c>
      <c r="O3275" s="1" t="s">
        <v>936</v>
      </c>
      <c r="P3275" s="1">
        <v>1</v>
      </c>
    </row>
    <row r="3276" spans="1:16" x14ac:dyDescent="0.25">
      <c r="A3276" s="3">
        <v>46084</v>
      </c>
      <c r="B3276" s="4">
        <v>2507</v>
      </c>
      <c r="C3276" s="5">
        <v>690</v>
      </c>
      <c r="D3276" s="1" t="s">
        <v>1182</v>
      </c>
      <c r="E3276" s="1" t="s">
        <v>1183</v>
      </c>
      <c r="F3276" s="1" t="s">
        <v>732</v>
      </c>
      <c r="G3276" s="1" t="s">
        <v>940</v>
      </c>
      <c r="H3276" s="3">
        <v>46115</v>
      </c>
      <c r="I3276" s="1" t="s">
        <v>933</v>
      </c>
      <c r="J3276" s="1" t="s">
        <v>66</v>
      </c>
      <c r="K3276" s="1" t="s">
        <v>340</v>
      </c>
      <c r="L3276" s="1" t="s">
        <v>4707</v>
      </c>
      <c r="M3276" s="3">
        <v>46087</v>
      </c>
      <c r="N3276" s="1" t="s">
        <v>115</v>
      </c>
      <c r="O3276" s="1" t="s">
        <v>936</v>
      </c>
      <c r="P3276" s="1">
        <v>1</v>
      </c>
    </row>
    <row r="3277" spans="1:16" x14ac:dyDescent="0.25">
      <c r="A3277" s="3">
        <v>46084</v>
      </c>
      <c r="B3277" s="4">
        <v>2505</v>
      </c>
      <c r="C3277" s="5">
        <v>700</v>
      </c>
      <c r="D3277" s="1" t="s">
        <v>1182</v>
      </c>
      <c r="E3277" s="1" t="s">
        <v>1183</v>
      </c>
      <c r="F3277" s="1" t="s">
        <v>513</v>
      </c>
      <c r="G3277" s="1" t="s">
        <v>940</v>
      </c>
      <c r="H3277" s="3">
        <v>46115</v>
      </c>
      <c r="I3277" s="1" t="s">
        <v>933</v>
      </c>
      <c r="J3277" s="1" t="s">
        <v>66</v>
      </c>
      <c r="K3277" s="1" t="s">
        <v>308</v>
      </c>
      <c r="L3277" s="1" t="s">
        <v>4707</v>
      </c>
      <c r="M3277" s="3">
        <v>46087</v>
      </c>
      <c r="N3277" s="1" t="s">
        <v>98</v>
      </c>
      <c r="O3277" s="1" t="s">
        <v>936</v>
      </c>
      <c r="P3277" s="1">
        <v>1</v>
      </c>
    </row>
    <row r="3278" spans="1:16" x14ac:dyDescent="0.25">
      <c r="A3278" s="3">
        <v>46084</v>
      </c>
      <c r="B3278" s="4">
        <v>2502</v>
      </c>
      <c r="C3278" s="5">
        <v>900</v>
      </c>
      <c r="D3278" s="1" t="s">
        <v>1182</v>
      </c>
      <c r="E3278" s="1" t="s">
        <v>1183</v>
      </c>
      <c r="F3278" s="1" t="s">
        <v>787</v>
      </c>
      <c r="G3278" s="1" t="s">
        <v>940</v>
      </c>
      <c r="H3278" s="3">
        <v>46115</v>
      </c>
      <c r="I3278" s="1" t="s">
        <v>933</v>
      </c>
      <c r="J3278" s="1" t="s">
        <v>66</v>
      </c>
      <c r="K3278" s="1" t="s">
        <v>308</v>
      </c>
      <c r="L3278" s="1" t="s">
        <v>4707</v>
      </c>
      <c r="M3278" s="3">
        <v>46087</v>
      </c>
      <c r="N3278" s="1" t="s">
        <v>57</v>
      </c>
      <c r="O3278" s="1" t="s">
        <v>936</v>
      </c>
      <c r="P3278" s="1">
        <v>1</v>
      </c>
    </row>
    <row r="3279" spans="1:16" x14ac:dyDescent="0.25">
      <c r="A3279" s="3">
        <v>46084</v>
      </c>
      <c r="B3279" s="4">
        <v>2503</v>
      </c>
      <c r="C3279" s="5">
        <v>1080</v>
      </c>
      <c r="D3279" s="1" t="s">
        <v>1182</v>
      </c>
      <c r="E3279" s="1" t="s">
        <v>1183</v>
      </c>
      <c r="F3279" s="1" t="s">
        <v>66</v>
      </c>
      <c r="G3279" s="1" t="s">
        <v>940</v>
      </c>
      <c r="H3279" s="3">
        <v>46115</v>
      </c>
      <c r="I3279" s="1" t="s">
        <v>933</v>
      </c>
      <c r="J3279" s="1" t="s">
        <v>66</v>
      </c>
      <c r="K3279" s="1" t="s">
        <v>308</v>
      </c>
      <c r="L3279" s="1" t="s">
        <v>4707</v>
      </c>
      <c r="M3279" s="3">
        <v>46087</v>
      </c>
      <c r="N3279" s="1" t="s">
        <v>57</v>
      </c>
      <c r="O3279" s="1" t="s">
        <v>936</v>
      </c>
      <c r="P3279" s="1">
        <v>1</v>
      </c>
    </row>
    <row r="3280" spans="1:16" x14ac:dyDescent="0.25">
      <c r="A3280" s="3">
        <v>46084</v>
      </c>
      <c r="B3280" s="4">
        <v>2504</v>
      </c>
      <c r="C3280" s="5">
        <v>700</v>
      </c>
      <c r="D3280" s="1" t="s">
        <v>1182</v>
      </c>
      <c r="E3280" s="1" t="s">
        <v>1183</v>
      </c>
      <c r="F3280" s="1" t="s">
        <v>66</v>
      </c>
      <c r="G3280" s="1" t="s">
        <v>940</v>
      </c>
      <c r="H3280" s="3">
        <v>46115</v>
      </c>
      <c r="I3280" s="1" t="s">
        <v>933</v>
      </c>
      <c r="J3280" s="1" t="s">
        <v>66</v>
      </c>
      <c r="K3280" s="1" t="s">
        <v>308</v>
      </c>
      <c r="L3280" s="1" t="s">
        <v>4707</v>
      </c>
      <c r="M3280" s="3">
        <v>46087</v>
      </c>
      <c r="N3280" s="1" t="s">
        <v>57</v>
      </c>
      <c r="O3280" s="1" t="s">
        <v>936</v>
      </c>
      <c r="P3280" s="1">
        <v>1</v>
      </c>
    </row>
    <row r="3281" spans="1:16" x14ac:dyDescent="0.25">
      <c r="A3281" s="3">
        <v>46084</v>
      </c>
      <c r="B3281" s="1">
        <v>534</v>
      </c>
      <c r="C3281" s="5">
        <v>350</v>
      </c>
      <c r="D3281" s="1" t="s">
        <v>3998</v>
      </c>
      <c r="E3281" s="1" t="s">
        <v>3999</v>
      </c>
      <c r="F3281" s="1" t="s">
        <v>426</v>
      </c>
      <c r="G3281" s="1" t="s">
        <v>940</v>
      </c>
      <c r="H3281" s="1" t="s">
        <v>967</v>
      </c>
      <c r="I3281" s="1" t="s">
        <v>933</v>
      </c>
      <c r="J3281" s="1" t="s">
        <v>66</v>
      </c>
      <c r="K3281" s="1" t="s">
        <v>308</v>
      </c>
      <c r="L3281" s="1" t="s">
        <v>4000</v>
      </c>
      <c r="M3281" s="3">
        <v>46087</v>
      </c>
      <c r="N3281" s="1" t="s">
        <v>429</v>
      </c>
      <c r="O3281" s="1" t="s">
        <v>936</v>
      </c>
      <c r="P3281" s="1">
        <v>1</v>
      </c>
    </row>
    <row r="3282" spans="1:16" x14ac:dyDescent="0.25">
      <c r="A3282" s="3">
        <v>46084</v>
      </c>
      <c r="B3282" s="1">
        <v>530</v>
      </c>
      <c r="C3282" s="5">
        <v>80</v>
      </c>
      <c r="D3282" s="1" t="s">
        <v>1953</v>
      </c>
      <c r="E3282" s="1" t="s">
        <v>3326</v>
      </c>
      <c r="F3282" s="1" t="s">
        <v>66</v>
      </c>
      <c r="G3282" s="1" t="s">
        <v>940</v>
      </c>
      <c r="H3282" s="3">
        <v>46104</v>
      </c>
      <c r="I3282" s="1" t="s">
        <v>933</v>
      </c>
      <c r="J3282" s="1" t="s">
        <v>66</v>
      </c>
      <c r="K3282" s="1" t="s">
        <v>340</v>
      </c>
      <c r="L3282" s="1" t="s">
        <v>4711</v>
      </c>
      <c r="M3282" s="3">
        <v>46087</v>
      </c>
      <c r="N3282" s="1" t="s">
        <v>57</v>
      </c>
      <c r="O3282" s="1" t="s">
        <v>936</v>
      </c>
      <c r="P3282" s="1">
        <v>1</v>
      </c>
    </row>
    <row r="3283" spans="1:16" x14ac:dyDescent="0.25">
      <c r="A3283" s="3">
        <v>46084</v>
      </c>
      <c r="B3283" s="1">
        <v>530</v>
      </c>
      <c r="C3283" s="5">
        <v>340</v>
      </c>
      <c r="D3283" s="1" t="s">
        <v>1953</v>
      </c>
      <c r="E3283" s="1" t="s">
        <v>3326</v>
      </c>
      <c r="F3283" s="1" t="s">
        <v>426</v>
      </c>
      <c r="G3283" s="1" t="s">
        <v>940</v>
      </c>
      <c r="H3283" s="3">
        <v>46104</v>
      </c>
      <c r="I3283" s="1" t="s">
        <v>933</v>
      </c>
      <c r="J3283" s="1" t="s">
        <v>66</v>
      </c>
      <c r="K3283" s="1" t="s">
        <v>308</v>
      </c>
      <c r="L3283" s="1" t="s">
        <v>4712</v>
      </c>
      <c r="M3283" s="3">
        <v>46087</v>
      </c>
      <c r="N3283" s="1" t="s">
        <v>57</v>
      </c>
      <c r="O3283" s="1" t="s">
        <v>936</v>
      </c>
      <c r="P3283" s="1">
        <v>1</v>
      </c>
    </row>
    <row r="3284" spans="1:16" x14ac:dyDescent="0.25">
      <c r="A3284" s="3">
        <v>46084</v>
      </c>
      <c r="B3284" s="1">
        <v>530</v>
      </c>
      <c r="C3284" s="5">
        <v>300</v>
      </c>
      <c r="D3284" s="1" t="s">
        <v>1953</v>
      </c>
      <c r="E3284" s="1" t="s">
        <v>3326</v>
      </c>
      <c r="F3284" s="1" t="s">
        <v>66</v>
      </c>
      <c r="G3284" s="1" t="s">
        <v>940</v>
      </c>
      <c r="H3284" s="3">
        <v>46104</v>
      </c>
      <c r="I3284" s="1" t="s">
        <v>933</v>
      </c>
      <c r="J3284" s="1" t="s">
        <v>66</v>
      </c>
      <c r="K3284" s="1" t="s">
        <v>340</v>
      </c>
      <c r="L3284" s="1" t="s">
        <v>4713</v>
      </c>
      <c r="M3284" s="3">
        <v>46087</v>
      </c>
      <c r="N3284" s="1" t="s">
        <v>57</v>
      </c>
      <c r="O3284" s="1" t="s">
        <v>936</v>
      </c>
      <c r="P3284" s="1">
        <v>1</v>
      </c>
    </row>
    <row r="3285" spans="1:16" x14ac:dyDescent="0.25">
      <c r="A3285" s="3">
        <v>46084</v>
      </c>
      <c r="B3285" s="1">
        <v>530</v>
      </c>
      <c r="C3285" s="5">
        <v>130</v>
      </c>
      <c r="D3285" s="1" t="s">
        <v>1953</v>
      </c>
      <c r="E3285" s="1" t="s">
        <v>3326</v>
      </c>
      <c r="F3285" s="1" t="s">
        <v>453</v>
      </c>
      <c r="G3285" s="1" t="s">
        <v>940</v>
      </c>
      <c r="H3285" s="3">
        <v>46104</v>
      </c>
      <c r="I3285" s="1" t="s">
        <v>933</v>
      </c>
      <c r="J3285" s="1" t="s">
        <v>66</v>
      </c>
      <c r="K3285" s="1" t="s">
        <v>1654</v>
      </c>
      <c r="L3285" s="1" t="s">
        <v>4714</v>
      </c>
      <c r="M3285" s="3">
        <v>46087</v>
      </c>
      <c r="N3285" s="1" t="s">
        <v>57</v>
      </c>
      <c r="O3285" s="1" t="s">
        <v>936</v>
      </c>
      <c r="P3285" s="1">
        <v>1</v>
      </c>
    </row>
    <row r="3286" spans="1:16" x14ac:dyDescent="0.25">
      <c r="A3286" s="3">
        <v>46084</v>
      </c>
      <c r="B3286" s="1">
        <v>530</v>
      </c>
      <c r="C3286" s="5">
        <v>280</v>
      </c>
      <c r="D3286" s="1" t="s">
        <v>1953</v>
      </c>
      <c r="E3286" s="1" t="s">
        <v>3326</v>
      </c>
      <c r="F3286" s="1" t="s">
        <v>457</v>
      </c>
      <c r="G3286" s="1" t="s">
        <v>940</v>
      </c>
      <c r="H3286" s="3">
        <v>46104</v>
      </c>
      <c r="I3286" s="1" t="s">
        <v>933</v>
      </c>
      <c r="J3286" s="1" t="s">
        <v>66</v>
      </c>
      <c r="K3286" s="1" t="s">
        <v>1654</v>
      </c>
      <c r="L3286" s="1" t="s">
        <v>4716</v>
      </c>
      <c r="M3286" s="3">
        <v>46087</v>
      </c>
      <c r="N3286" s="1" t="s">
        <v>57</v>
      </c>
      <c r="O3286" s="1" t="s">
        <v>936</v>
      </c>
      <c r="P3286" s="1">
        <v>1</v>
      </c>
    </row>
    <row r="3287" spans="1:16" x14ac:dyDescent="0.25">
      <c r="A3287" s="3">
        <v>46084</v>
      </c>
      <c r="B3287" s="1">
        <v>530</v>
      </c>
      <c r="C3287" s="5">
        <v>780</v>
      </c>
      <c r="D3287" s="1" t="s">
        <v>1953</v>
      </c>
      <c r="E3287" s="1" t="s">
        <v>3326</v>
      </c>
      <c r="F3287" s="1" t="s">
        <v>419</v>
      </c>
      <c r="G3287" s="1" t="s">
        <v>940</v>
      </c>
      <c r="H3287" s="3">
        <v>46104</v>
      </c>
      <c r="I3287" s="1" t="s">
        <v>933</v>
      </c>
      <c r="J3287" s="1" t="s">
        <v>66</v>
      </c>
      <c r="K3287" s="1" t="s">
        <v>640</v>
      </c>
      <c r="L3287" s="1" t="s">
        <v>4718</v>
      </c>
      <c r="M3287" s="3">
        <v>46087</v>
      </c>
      <c r="N3287" s="1" t="s">
        <v>57</v>
      </c>
      <c r="O3287" s="1" t="s">
        <v>936</v>
      </c>
      <c r="P3287" s="1">
        <v>1</v>
      </c>
    </row>
    <row r="3288" spans="1:16" x14ac:dyDescent="0.25">
      <c r="A3288" s="3">
        <v>46084</v>
      </c>
      <c r="B3288" s="1">
        <v>530</v>
      </c>
      <c r="C3288" s="5">
        <v>100</v>
      </c>
      <c r="D3288" s="1" t="s">
        <v>1953</v>
      </c>
      <c r="E3288" s="1" t="s">
        <v>3326</v>
      </c>
      <c r="F3288" s="1" t="s">
        <v>66</v>
      </c>
      <c r="G3288" s="1" t="s">
        <v>940</v>
      </c>
      <c r="H3288" s="3">
        <v>46104</v>
      </c>
      <c r="I3288" s="1" t="s">
        <v>933</v>
      </c>
      <c r="J3288" s="1" t="s">
        <v>66</v>
      </c>
      <c r="K3288" s="1" t="s">
        <v>340</v>
      </c>
      <c r="L3288" s="1" t="s">
        <v>4719</v>
      </c>
      <c r="M3288" s="3">
        <v>46087</v>
      </c>
      <c r="N3288" s="1" t="s">
        <v>57</v>
      </c>
      <c r="O3288" s="1" t="s">
        <v>936</v>
      </c>
      <c r="P3288" s="1">
        <v>1</v>
      </c>
    </row>
    <row r="3289" spans="1:16" x14ac:dyDescent="0.25">
      <c r="A3289" s="3">
        <v>46084</v>
      </c>
      <c r="B3289" s="1">
        <v>530</v>
      </c>
      <c r="C3289" s="5">
        <v>550</v>
      </c>
      <c r="D3289" s="1" t="s">
        <v>1953</v>
      </c>
      <c r="E3289" s="1" t="s">
        <v>3326</v>
      </c>
      <c r="F3289" s="1" t="s">
        <v>66</v>
      </c>
      <c r="G3289" s="1" t="s">
        <v>940</v>
      </c>
      <c r="H3289" s="3">
        <v>46104</v>
      </c>
      <c r="I3289" s="1" t="s">
        <v>933</v>
      </c>
      <c r="J3289" s="1" t="s">
        <v>66</v>
      </c>
      <c r="K3289" s="1" t="s">
        <v>340</v>
      </c>
      <c r="L3289" s="1" t="s">
        <v>4721</v>
      </c>
      <c r="M3289" s="3">
        <v>46087</v>
      </c>
      <c r="N3289" s="1" t="s">
        <v>57</v>
      </c>
      <c r="O3289" s="1" t="s">
        <v>936</v>
      </c>
      <c r="P3289" s="1">
        <v>1</v>
      </c>
    </row>
    <row r="3290" spans="1:16" x14ac:dyDescent="0.25">
      <c r="A3290" s="3">
        <v>46084</v>
      </c>
      <c r="B3290" s="1">
        <v>530</v>
      </c>
      <c r="C3290" s="5">
        <v>230</v>
      </c>
      <c r="D3290" s="1" t="s">
        <v>1953</v>
      </c>
      <c r="E3290" s="1" t="s">
        <v>3326</v>
      </c>
      <c r="F3290" s="1" t="s">
        <v>66</v>
      </c>
      <c r="G3290" s="1" t="s">
        <v>940</v>
      </c>
      <c r="H3290" s="3">
        <v>46104</v>
      </c>
      <c r="I3290" s="1" t="s">
        <v>933</v>
      </c>
      <c r="J3290" s="1" t="s">
        <v>66</v>
      </c>
      <c r="K3290" s="1" t="s">
        <v>340</v>
      </c>
      <c r="L3290" s="1" t="s">
        <v>4722</v>
      </c>
      <c r="M3290" s="3">
        <v>46087</v>
      </c>
      <c r="N3290" s="1" t="s">
        <v>57</v>
      </c>
      <c r="O3290" s="1" t="s">
        <v>936</v>
      </c>
      <c r="P3290" s="1">
        <v>1</v>
      </c>
    </row>
    <row r="3291" spans="1:16" x14ac:dyDescent="0.25">
      <c r="A3291" s="3">
        <v>46084</v>
      </c>
      <c r="B3291" s="1">
        <v>530</v>
      </c>
      <c r="C3291" s="5">
        <v>200</v>
      </c>
      <c r="D3291" s="1" t="s">
        <v>1953</v>
      </c>
      <c r="E3291" s="1" t="s">
        <v>3326</v>
      </c>
      <c r="F3291" s="1" t="s">
        <v>748</v>
      </c>
      <c r="G3291" s="1" t="s">
        <v>940</v>
      </c>
      <c r="H3291" s="3">
        <v>46104</v>
      </c>
      <c r="I3291" s="1" t="s">
        <v>933</v>
      </c>
      <c r="J3291" s="1" t="s">
        <v>66</v>
      </c>
      <c r="K3291" s="1" t="s">
        <v>340</v>
      </c>
      <c r="L3291" s="1" t="s">
        <v>4723</v>
      </c>
      <c r="M3291" s="3">
        <v>46087</v>
      </c>
      <c r="N3291" s="1" t="s">
        <v>57</v>
      </c>
      <c r="O3291" s="1" t="s">
        <v>936</v>
      </c>
      <c r="P3291" s="1">
        <v>1</v>
      </c>
    </row>
    <row r="3292" spans="1:16" x14ac:dyDescent="0.25">
      <c r="A3292" s="3">
        <v>46084</v>
      </c>
      <c r="B3292" s="1">
        <v>530</v>
      </c>
      <c r="C3292" s="5">
        <v>60</v>
      </c>
      <c r="D3292" s="1" t="s">
        <v>1953</v>
      </c>
      <c r="E3292" s="1" t="s">
        <v>3326</v>
      </c>
      <c r="F3292" s="1" t="s">
        <v>400</v>
      </c>
      <c r="G3292" s="1" t="s">
        <v>940</v>
      </c>
      <c r="H3292" s="3">
        <v>46104</v>
      </c>
      <c r="I3292" s="1" t="s">
        <v>933</v>
      </c>
      <c r="J3292" s="1" t="s">
        <v>66</v>
      </c>
      <c r="K3292" s="1" t="s">
        <v>340</v>
      </c>
      <c r="L3292" s="1" t="s">
        <v>4725</v>
      </c>
      <c r="M3292" s="3">
        <v>46087</v>
      </c>
      <c r="N3292" s="1" t="s">
        <v>57</v>
      </c>
      <c r="O3292" s="1" t="s">
        <v>936</v>
      </c>
      <c r="P3292" s="1">
        <v>1</v>
      </c>
    </row>
    <row r="3293" spans="1:16" x14ac:dyDescent="0.25">
      <c r="A3293" s="3">
        <v>46084</v>
      </c>
      <c r="B3293" s="1">
        <v>530</v>
      </c>
      <c r="C3293" s="5">
        <v>300</v>
      </c>
      <c r="D3293" s="1" t="s">
        <v>1953</v>
      </c>
      <c r="E3293" s="1" t="s">
        <v>3326</v>
      </c>
      <c r="F3293" s="1" t="s">
        <v>906</v>
      </c>
      <c r="G3293" s="1" t="s">
        <v>940</v>
      </c>
      <c r="H3293" s="3">
        <v>46104</v>
      </c>
      <c r="I3293" s="1" t="s">
        <v>933</v>
      </c>
      <c r="J3293" s="1" t="s">
        <v>66</v>
      </c>
      <c r="K3293" s="1" t="s">
        <v>308</v>
      </c>
      <c r="L3293" s="1" t="s">
        <v>4727</v>
      </c>
      <c r="M3293" s="3">
        <v>46087</v>
      </c>
      <c r="N3293" s="1" t="s">
        <v>57</v>
      </c>
      <c r="O3293" s="1" t="s">
        <v>936</v>
      </c>
      <c r="P3293" s="1">
        <v>1</v>
      </c>
    </row>
    <row r="3294" spans="1:16" x14ac:dyDescent="0.25">
      <c r="A3294" s="3">
        <v>46084</v>
      </c>
      <c r="B3294" s="1">
        <v>530</v>
      </c>
      <c r="C3294" s="5">
        <v>220</v>
      </c>
      <c r="D3294" s="1" t="s">
        <v>1953</v>
      </c>
      <c r="E3294" s="1" t="s">
        <v>3326</v>
      </c>
      <c r="F3294" s="1" t="s">
        <v>66</v>
      </c>
      <c r="G3294" s="1" t="s">
        <v>940</v>
      </c>
      <c r="H3294" s="3">
        <v>46104</v>
      </c>
      <c r="I3294" s="1" t="s">
        <v>933</v>
      </c>
      <c r="J3294" s="1" t="s">
        <v>66</v>
      </c>
      <c r="K3294" s="1" t="s">
        <v>340</v>
      </c>
      <c r="L3294" s="1" t="s">
        <v>4728</v>
      </c>
      <c r="M3294" s="3">
        <v>46087</v>
      </c>
      <c r="N3294" s="1" t="s">
        <v>57</v>
      </c>
      <c r="O3294" s="1" t="s">
        <v>936</v>
      </c>
      <c r="P3294" s="1">
        <v>1</v>
      </c>
    </row>
    <row r="3295" spans="1:16" x14ac:dyDescent="0.25">
      <c r="A3295" s="3">
        <v>46084</v>
      </c>
      <c r="B3295" s="1">
        <v>530</v>
      </c>
      <c r="C3295" s="5">
        <v>180</v>
      </c>
      <c r="D3295" s="1" t="s">
        <v>1953</v>
      </c>
      <c r="E3295" s="1" t="s">
        <v>3326</v>
      </c>
      <c r="F3295" s="1" t="s">
        <v>43</v>
      </c>
      <c r="G3295" s="1" t="s">
        <v>940</v>
      </c>
      <c r="H3295" s="3">
        <v>46104</v>
      </c>
      <c r="I3295" s="1" t="s">
        <v>933</v>
      </c>
      <c r="J3295" s="1" t="s">
        <v>66</v>
      </c>
      <c r="K3295" s="1" t="s">
        <v>640</v>
      </c>
      <c r="L3295" s="1" t="s">
        <v>4729</v>
      </c>
      <c r="M3295" s="3">
        <v>46087</v>
      </c>
      <c r="N3295" s="1" t="s">
        <v>57</v>
      </c>
      <c r="O3295" s="1" t="s">
        <v>936</v>
      </c>
      <c r="P3295" s="1">
        <v>1</v>
      </c>
    </row>
    <row r="3296" spans="1:16" x14ac:dyDescent="0.25">
      <c r="A3296" s="3">
        <v>46084</v>
      </c>
      <c r="B3296" s="1">
        <v>530</v>
      </c>
      <c r="C3296" s="5">
        <v>60</v>
      </c>
      <c r="D3296" s="1" t="s">
        <v>1953</v>
      </c>
      <c r="E3296" s="1" t="s">
        <v>3326</v>
      </c>
      <c r="F3296" s="1" t="s">
        <v>66</v>
      </c>
      <c r="G3296" s="1" t="s">
        <v>940</v>
      </c>
      <c r="H3296" s="3">
        <v>46104</v>
      </c>
      <c r="I3296" s="1" t="s">
        <v>933</v>
      </c>
      <c r="J3296" s="1" t="s">
        <v>66</v>
      </c>
      <c r="K3296" s="1" t="s">
        <v>640</v>
      </c>
      <c r="L3296" s="1" t="s">
        <v>4730</v>
      </c>
      <c r="M3296" s="3">
        <v>46087</v>
      </c>
      <c r="N3296" s="1" t="s">
        <v>57</v>
      </c>
      <c r="O3296" s="1" t="s">
        <v>936</v>
      </c>
      <c r="P3296" s="1">
        <v>1</v>
      </c>
    </row>
    <row r="3297" spans="1:16" x14ac:dyDescent="0.25">
      <c r="A3297" s="3">
        <v>46084</v>
      </c>
      <c r="B3297" s="1">
        <v>530</v>
      </c>
      <c r="C3297" s="5">
        <v>360</v>
      </c>
      <c r="D3297" s="1" t="s">
        <v>1953</v>
      </c>
      <c r="E3297" s="1" t="s">
        <v>3326</v>
      </c>
      <c r="F3297" s="1" t="s">
        <v>66</v>
      </c>
      <c r="G3297" s="1" t="s">
        <v>940</v>
      </c>
      <c r="H3297" s="3">
        <v>46104</v>
      </c>
      <c r="I3297" s="1" t="s">
        <v>933</v>
      </c>
      <c r="J3297" s="1" t="s">
        <v>66</v>
      </c>
      <c r="K3297" s="1" t="s">
        <v>340</v>
      </c>
      <c r="L3297" s="1" t="s">
        <v>4731</v>
      </c>
      <c r="M3297" s="3">
        <v>46087</v>
      </c>
      <c r="N3297" s="1" t="s">
        <v>57</v>
      </c>
      <c r="O3297" s="1" t="s">
        <v>936</v>
      </c>
      <c r="P3297" s="1">
        <v>1</v>
      </c>
    </row>
    <row r="3298" spans="1:16" x14ac:dyDescent="0.25">
      <c r="A3298" s="3">
        <v>46084</v>
      </c>
      <c r="B3298" s="1">
        <v>530</v>
      </c>
      <c r="C3298" s="5">
        <v>220</v>
      </c>
      <c r="D3298" s="1" t="s">
        <v>1953</v>
      </c>
      <c r="E3298" s="1" t="s">
        <v>3326</v>
      </c>
      <c r="F3298" s="1" t="s">
        <v>759</v>
      </c>
      <c r="G3298" s="1" t="s">
        <v>940</v>
      </c>
      <c r="H3298" s="3">
        <v>46104</v>
      </c>
      <c r="I3298" s="1" t="s">
        <v>933</v>
      </c>
      <c r="J3298" s="1" t="s">
        <v>66</v>
      </c>
      <c r="K3298" s="1" t="s">
        <v>340</v>
      </c>
      <c r="L3298" s="1" t="s">
        <v>4732</v>
      </c>
      <c r="M3298" s="3">
        <v>46087</v>
      </c>
      <c r="N3298" s="1" t="s">
        <v>57</v>
      </c>
      <c r="O3298" s="1" t="s">
        <v>936</v>
      </c>
      <c r="P3298" s="1">
        <v>1</v>
      </c>
    </row>
    <row r="3299" spans="1:16" x14ac:dyDescent="0.25">
      <c r="A3299" s="3">
        <v>46084</v>
      </c>
      <c r="B3299" s="1">
        <v>530</v>
      </c>
      <c r="C3299" s="5">
        <v>350</v>
      </c>
      <c r="D3299" s="1" t="s">
        <v>1953</v>
      </c>
      <c r="E3299" s="1" t="s">
        <v>3326</v>
      </c>
      <c r="F3299" s="1" t="s">
        <v>753</v>
      </c>
      <c r="G3299" s="1" t="s">
        <v>940</v>
      </c>
      <c r="H3299" s="3">
        <v>46104</v>
      </c>
      <c r="I3299" s="1" t="s">
        <v>933</v>
      </c>
      <c r="J3299" s="1" t="s">
        <v>66</v>
      </c>
      <c r="K3299" s="1" t="s">
        <v>308</v>
      </c>
      <c r="L3299" s="1" t="s">
        <v>4734</v>
      </c>
      <c r="M3299" s="3">
        <v>46087</v>
      </c>
      <c r="N3299" s="1" t="s">
        <v>57</v>
      </c>
      <c r="O3299" s="1" t="s">
        <v>936</v>
      </c>
      <c r="P3299" s="1">
        <v>1</v>
      </c>
    </row>
    <row r="3300" spans="1:16" x14ac:dyDescent="0.25">
      <c r="A3300" s="3">
        <v>46084</v>
      </c>
      <c r="B3300" s="1">
        <v>530</v>
      </c>
      <c r="C3300" s="5">
        <v>70</v>
      </c>
      <c r="D3300" s="1" t="s">
        <v>1953</v>
      </c>
      <c r="E3300" s="1" t="s">
        <v>3326</v>
      </c>
      <c r="F3300" s="1" t="s">
        <v>437</v>
      </c>
      <c r="G3300" s="1" t="s">
        <v>940</v>
      </c>
      <c r="H3300" s="3">
        <v>46104</v>
      </c>
      <c r="I3300" s="1" t="s">
        <v>933</v>
      </c>
      <c r="J3300" s="1" t="s">
        <v>66</v>
      </c>
      <c r="K3300" s="1" t="s">
        <v>340</v>
      </c>
      <c r="L3300" s="1" t="s">
        <v>4735</v>
      </c>
      <c r="M3300" s="3">
        <v>46087</v>
      </c>
      <c r="N3300" s="1" t="s">
        <v>57</v>
      </c>
      <c r="O3300" s="1" t="s">
        <v>936</v>
      </c>
      <c r="P3300" s="1">
        <v>1</v>
      </c>
    </row>
    <row r="3301" spans="1:16" x14ac:dyDescent="0.25">
      <c r="A3301" s="3">
        <v>46084</v>
      </c>
      <c r="B3301" s="1">
        <v>530</v>
      </c>
      <c r="C3301" s="5">
        <v>160</v>
      </c>
      <c r="D3301" s="1" t="s">
        <v>1953</v>
      </c>
      <c r="E3301" s="1" t="s">
        <v>3326</v>
      </c>
      <c r="F3301" s="1" t="s">
        <v>422</v>
      </c>
      <c r="G3301" s="1" t="s">
        <v>940</v>
      </c>
      <c r="H3301" s="3">
        <v>46104</v>
      </c>
      <c r="I3301" s="1" t="s">
        <v>933</v>
      </c>
      <c r="J3301" s="1" t="s">
        <v>66</v>
      </c>
      <c r="K3301" s="1" t="s">
        <v>308</v>
      </c>
      <c r="L3301" s="1" t="s">
        <v>4737</v>
      </c>
      <c r="M3301" s="3">
        <v>46087</v>
      </c>
      <c r="N3301" s="1" t="s">
        <v>57</v>
      </c>
      <c r="O3301" s="1" t="s">
        <v>936</v>
      </c>
      <c r="P3301" s="1">
        <v>1</v>
      </c>
    </row>
    <row r="3302" spans="1:16" x14ac:dyDescent="0.25">
      <c r="A3302" s="3">
        <v>46084</v>
      </c>
      <c r="B3302" s="1">
        <v>530</v>
      </c>
      <c r="C3302" s="5">
        <v>200</v>
      </c>
      <c r="D3302" s="1" t="s">
        <v>1953</v>
      </c>
      <c r="E3302" s="1" t="s">
        <v>3326</v>
      </c>
      <c r="F3302" s="1" t="s">
        <v>513</v>
      </c>
      <c r="G3302" s="1" t="s">
        <v>940</v>
      </c>
      <c r="H3302" s="3">
        <v>46104</v>
      </c>
      <c r="I3302" s="1" t="s">
        <v>933</v>
      </c>
      <c r="J3302" s="1" t="s">
        <v>66</v>
      </c>
      <c r="K3302" s="1" t="s">
        <v>640</v>
      </c>
      <c r="L3302" s="1" t="s">
        <v>4738</v>
      </c>
      <c r="M3302" s="3">
        <v>46087</v>
      </c>
      <c r="N3302" s="1" t="s">
        <v>57</v>
      </c>
      <c r="O3302" s="1" t="s">
        <v>936</v>
      </c>
      <c r="P3302" s="1">
        <v>1</v>
      </c>
    </row>
    <row r="3303" spans="1:16" x14ac:dyDescent="0.25">
      <c r="A3303" s="3">
        <v>46084</v>
      </c>
      <c r="B3303" s="1">
        <v>530</v>
      </c>
      <c r="C3303" s="5">
        <v>140</v>
      </c>
      <c r="D3303" s="1" t="s">
        <v>1953</v>
      </c>
      <c r="E3303" s="1" t="s">
        <v>3326</v>
      </c>
      <c r="F3303" s="1" t="s">
        <v>732</v>
      </c>
      <c r="G3303" s="1" t="s">
        <v>940</v>
      </c>
      <c r="H3303" s="3">
        <v>46104</v>
      </c>
      <c r="I3303" s="1" t="s">
        <v>933</v>
      </c>
      <c r="J3303" s="1" t="s">
        <v>66</v>
      </c>
      <c r="K3303" s="1" t="s">
        <v>308</v>
      </c>
      <c r="L3303" s="1" t="s">
        <v>4739</v>
      </c>
      <c r="M3303" s="3">
        <v>46087</v>
      </c>
      <c r="N3303" s="1" t="s">
        <v>57</v>
      </c>
      <c r="O3303" s="1" t="s">
        <v>936</v>
      </c>
      <c r="P3303" s="1">
        <v>1</v>
      </c>
    </row>
    <row r="3304" spans="1:16" x14ac:dyDescent="0.25">
      <c r="A3304" s="3">
        <v>46084</v>
      </c>
      <c r="B3304" s="1">
        <v>530</v>
      </c>
      <c r="C3304" s="5">
        <v>580</v>
      </c>
      <c r="D3304" s="1" t="s">
        <v>1953</v>
      </c>
      <c r="E3304" s="1" t="s">
        <v>3326</v>
      </c>
      <c r="F3304" s="1" t="s">
        <v>906</v>
      </c>
      <c r="G3304" s="1" t="s">
        <v>940</v>
      </c>
      <c r="H3304" s="3">
        <v>46104</v>
      </c>
      <c r="I3304" s="1" t="s">
        <v>933</v>
      </c>
      <c r="J3304" s="1" t="s">
        <v>66</v>
      </c>
      <c r="K3304" s="1" t="s">
        <v>308</v>
      </c>
      <c r="L3304" s="1" t="s">
        <v>4740</v>
      </c>
      <c r="M3304" s="3">
        <v>46087</v>
      </c>
      <c r="N3304" s="1" t="s">
        <v>57</v>
      </c>
      <c r="O3304" s="1" t="s">
        <v>936</v>
      </c>
      <c r="P3304" s="1">
        <v>1</v>
      </c>
    </row>
    <row r="3305" spans="1:16" x14ac:dyDescent="0.25">
      <c r="A3305" s="3">
        <v>46084</v>
      </c>
      <c r="B3305" s="1">
        <v>530</v>
      </c>
      <c r="C3305" s="5">
        <v>40</v>
      </c>
      <c r="D3305" s="1" t="s">
        <v>1953</v>
      </c>
      <c r="E3305" s="1" t="s">
        <v>3326</v>
      </c>
      <c r="F3305" s="1" t="s">
        <v>255</v>
      </c>
      <c r="G3305" s="1" t="s">
        <v>940</v>
      </c>
      <c r="H3305" s="3">
        <v>46104</v>
      </c>
      <c r="I3305" s="1" t="s">
        <v>933</v>
      </c>
      <c r="J3305" s="1" t="s">
        <v>66</v>
      </c>
      <c r="K3305" s="1" t="s">
        <v>308</v>
      </c>
      <c r="L3305" s="1" t="s">
        <v>4741</v>
      </c>
      <c r="M3305" s="3">
        <v>46087</v>
      </c>
      <c r="N3305" s="1" t="s">
        <v>57</v>
      </c>
      <c r="O3305" s="1" t="s">
        <v>936</v>
      </c>
      <c r="P3305" s="1">
        <v>1</v>
      </c>
    </row>
    <row r="3306" spans="1:16" x14ac:dyDescent="0.25">
      <c r="A3306" s="3">
        <v>46084</v>
      </c>
      <c r="B3306" s="1">
        <v>530</v>
      </c>
      <c r="C3306" s="5">
        <v>180</v>
      </c>
      <c r="D3306" s="1" t="s">
        <v>1953</v>
      </c>
      <c r="E3306" s="1" t="s">
        <v>3326</v>
      </c>
      <c r="F3306" s="1" t="s">
        <v>426</v>
      </c>
      <c r="G3306" s="1" t="s">
        <v>940</v>
      </c>
      <c r="H3306" s="3">
        <v>46104</v>
      </c>
      <c r="I3306" s="1" t="s">
        <v>933</v>
      </c>
      <c r="J3306" s="1" t="s">
        <v>66</v>
      </c>
      <c r="K3306" s="1" t="s">
        <v>308</v>
      </c>
      <c r="L3306" s="1" t="s">
        <v>4742</v>
      </c>
      <c r="M3306" s="3">
        <v>46087</v>
      </c>
      <c r="N3306" s="1" t="s">
        <v>57</v>
      </c>
      <c r="O3306" s="1" t="s">
        <v>936</v>
      </c>
      <c r="P3306" s="1">
        <v>1</v>
      </c>
    </row>
    <row r="3307" spans="1:16" x14ac:dyDescent="0.25">
      <c r="A3307" s="3">
        <v>46084</v>
      </c>
      <c r="B3307" s="1">
        <v>530</v>
      </c>
      <c r="C3307" s="5">
        <v>80</v>
      </c>
      <c r="D3307" s="1" t="s">
        <v>1953</v>
      </c>
      <c r="E3307" s="1" t="s">
        <v>3326</v>
      </c>
      <c r="F3307" s="1" t="s">
        <v>841</v>
      </c>
      <c r="G3307" s="1" t="s">
        <v>940</v>
      </c>
      <c r="H3307" s="3">
        <v>46104</v>
      </c>
      <c r="I3307" s="1" t="s">
        <v>933</v>
      </c>
      <c r="J3307" s="1" t="s">
        <v>66</v>
      </c>
      <c r="K3307" s="1" t="s">
        <v>340</v>
      </c>
      <c r="L3307" s="1" t="s">
        <v>4711</v>
      </c>
      <c r="M3307" s="3">
        <v>46087</v>
      </c>
      <c r="N3307" s="1" t="s">
        <v>57</v>
      </c>
      <c r="O3307" s="1" t="s">
        <v>936</v>
      </c>
      <c r="P3307" s="1">
        <v>1</v>
      </c>
    </row>
    <row r="3308" spans="1:16" x14ac:dyDescent="0.25">
      <c r="A3308" s="3">
        <v>46084</v>
      </c>
      <c r="B3308" s="1">
        <v>530</v>
      </c>
      <c r="C3308" s="5">
        <v>1820</v>
      </c>
      <c r="D3308" s="1" t="s">
        <v>1953</v>
      </c>
      <c r="E3308" s="1" t="s">
        <v>3326</v>
      </c>
      <c r="F3308" s="1" t="s">
        <v>66</v>
      </c>
      <c r="G3308" s="1" t="s">
        <v>940</v>
      </c>
      <c r="H3308" s="3">
        <v>46104</v>
      </c>
      <c r="I3308" s="1" t="s">
        <v>933</v>
      </c>
      <c r="J3308" s="1" t="s">
        <v>66</v>
      </c>
      <c r="K3308" s="1" t="s">
        <v>308</v>
      </c>
      <c r="L3308" s="1" t="s">
        <v>4744</v>
      </c>
      <c r="M3308" s="3">
        <v>46087</v>
      </c>
      <c r="N3308" s="1" t="s">
        <v>57</v>
      </c>
      <c r="O3308" s="1" t="s">
        <v>936</v>
      </c>
      <c r="P3308" s="1">
        <v>1</v>
      </c>
    </row>
    <row r="3309" spans="1:16" x14ac:dyDescent="0.25">
      <c r="A3309" s="3">
        <v>46084</v>
      </c>
      <c r="B3309" s="1">
        <v>530</v>
      </c>
      <c r="C3309" s="5">
        <v>270</v>
      </c>
      <c r="D3309" s="1" t="s">
        <v>1953</v>
      </c>
      <c r="E3309" s="1" t="s">
        <v>3326</v>
      </c>
      <c r="F3309" s="1" t="s">
        <v>66</v>
      </c>
      <c r="G3309" s="1" t="s">
        <v>940</v>
      </c>
      <c r="H3309" s="3">
        <v>46104</v>
      </c>
      <c r="I3309" s="1" t="s">
        <v>933</v>
      </c>
      <c r="J3309" s="1" t="s">
        <v>66</v>
      </c>
      <c r="K3309" s="1" t="s">
        <v>308</v>
      </c>
      <c r="L3309" s="1" t="s">
        <v>4745</v>
      </c>
      <c r="M3309" s="3">
        <v>46087</v>
      </c>
      <c r="N3309" s="1" t="s">
        <v>57</v>
      </c>
      <c r="O3309" s="1" t="s">
        <v>936</v>
      </c>
      <c r="P3309" s="1">
        <v>1</v>
      </c>
    </row>
    <row r="3310" spans="1:16" x14ac:dyDescent="0.25">
      <c r="A3310" s="3">
        <v>46084</v>
      </c>
      <c r="B3310" s="1">
        <v>530</v>
      </c>
      <c r="C3310" s="5">
        <v>270</v>
      </c>
      <c r="D3310" s="1" t="s">
        <v>1953</v>
      </c>
      <c r="E3310" s="1" t="s">
        <v>3326</v>
      </c>
      <c r="F3310" s="1" t="s">
        <v>66</v>
      </c>
      <c r="G3310" s="1" t="s">
        <v>940</v>
      </c>
      <c r="H3310" s="3">
        <v>46104</v>
      </c>
      <c r="I3310" s="1" t="s">
        <v>933</v>
      </c>
      <c r="J3310" s="1" t="s">
        <v>66</v>
      </c>
      <c r="K3310" s="1" t="s">
        <v>308</v>
      </c>
      <c r="L3310" s="1" t="s">
        <v>4745</v>
      </c>
      <c r="M3310" s="3">
        <v>46087</v>
      </c>
      <c r="N3310" s="1" t="s">
        <v>57</v>
      </c>
      <c r="O3310" s="1" t="s">
        <v>936</v>
      </c>
      <c r="P3310" s="1">
        <v>1</v>
      </c>
    </row>
    <row r="3311" spans="1:16" x14ac:dyDescent="0.25">
      <c r="A3311" s="3">
        <v>46084</v>
      </c>
      <c r="B3311" s="1">
        <v>530</v>
      </c>
      <c r="C3311" s="5">
        <v>270</v>
      </c>
      <c r="D3311" s="1" t="s">
        <v>1953</v>
      </c>
      <c r="E3311" s="1" t="s">
        <v>3326</v>
      </c>
      <c r="F3311" s="1" t="s">
        <v>66</v>
      </c>
      <c r="G3311" s="1" t="s">
        <v>940</v>
      </c>
      <c r="H3311" s="3">
        <v>46104</v>
      </c>
      <c r="I3311" s="1" t="s">
        <v>933</v>
      </c>
      <c r="J3311" s="1" t="s">
        <v>66</v>
      </c>
      <c r="K3311" s="1" t="s">
        <v>308</v>
      </c>
      <c r="L3311" s="1" t="s">
        <v>4745</v>
      </c>
      <c r="M3311" s="3">
        <v>46087</v>
      </c>
      <c r="N3311" s="1" t="s">
        <v>57</v>
      </c>
      <c r="O3311" s="1" t="s">
        <v>936</v>
      </c>
      <c r="P3311" s="1">
        <v>1</v>
      </c>
    </row>
    <row r="3312" spans="1:16" x14ac:dyDescent="0.25">
      <c r="A3312" s="3">
        <v>46084</v>
      </c>
      <c r="B3312" s="1">
        <v>531</v>
      </c>
      <c r="C3312" s="5">
        <v>120</v>
      </c>
      <c r="D3312" s="1" t="s">
        <v>1953</v>
      </c>
      <c r="E3312" s="1" t="s">
        <v>3326</v>
      </c>
      <c r="F3312" s="1" t="s">
        <v>43</v>
      </c>
      <c r="G3312" s="1" t="s">
        <v>940</v>
      </c>
      <c r="H3312" s="3">
        <v>46108</v>
      </c>
      <c r="I3312" s="1" t="s">
        <v>933</v>
      </c>
      <c r="J3312" s="1" t="s">
        <v>66</v>
      </c>
      <c r="K3312" s="1" t="s">
        <v>640</v>
      </c>
      <c r="L3312" s="1" t="s">
        <v>4746</v>
      </c>
      <c r="M3312" s="3">
        <v>46087</v>
      </c>
      <c r="N3312" s="1" t="s">
        <v>57</v>
      </c>
      <c r="O3312" s="1" t="s">
        <v>936</v>
      </c>
      <c r="P3312" s="1">
        <v>1</v>
      </c>
    </row>
    <row r="3313" spans="1:16" x14ac:dyDescent="0.25">
      <c r="A3313" s="3">
        <v>46084</v>
      </c>
      <c r="B3313" s="1">
        <v>531</v>
      </c>
      <c r="C3313" s="5">
        <v>355</v>
      </c>
      <c r="D3313" s="1" t="s">
        <v>1953</v>
      </c>
      <c r="E3313" s="1" t="s">
        <v>3326</v>
      </c>
      <c r="F3313" s="1" t="s">
        <v>667</v>
      </c>
      <c r="G3313" s="1" t="s">
        <v>940</v>
      </c>
      <c r="H3313" s="3">
        <v>46108</v>
      </c>
      <c r="I3313" s="1" t="s">
        <v>933</v>
      </c>
      <c r="J3313" s="1" t="s">
        <v>66</v>
      </c>
      <c r="K3313" s="1" t="s">
        <v>340</v>
      </c>
      <c r="L3313" s="1" t="s">
        <v>4748</v>
      </c>
      <c r="M3313" s="3">
        <v>46087</v>
      </c>
      <c r="N3313" s="1" t="s">
        <v>57</v>
      </c>
      <c r="O3313" s="1" t="s">
        <v>936</v>
      </c>
      <c r="P3313" s="1">
        <v>1</v>
      </c>
    </row>
    <row r="3314" spans="1:16" x14ac:dyDescent="0.25">
      <c r="A3314" s="3">
        <v>46084</v>
      </c>
      <c r="B3314" s="1">
        <v>531</v>
      </c>
      <c r="C3314" s="5">
        <v>800</v>
      </c>
      <c r="D3314" s="1" t="s">
        <v>1953</v>
      </c>
      <c r="E3314" s="1" t="s">
        <v>3326</v>
      </c>
      <c r="F3314" s="1" t="s">
        <v>949</v>
      </c>
      <c r="G3314" s="1" t="s">
        <v>940</v>
      </c>
      <c r="H3314" s="3">
        <v>46108</v>
      </c>
      <c r="I3314" s="1" t="s">
        <v>933</v>
      </c>
      <c r="J3314" s="1" t="s">
        <v>951</v>
      </c>
      <c r="K3314" s="1" t="s">
        <v>640</v>
      </c>
      <c r="L3314" s="1" t="s">
        <v>4749</v>
      </c>
      <c r="M3314" s="3">
        <v>46087</v>
      </c>
      <c r="N3314" s="1" t="s">
        <v>57</v>
      </c>
      <c r="O3314" s="1" t="s">
        <v>936</v>
      </c>
      <c r="P3314" s="1">
        <v>1</v>
      </c>
    </row>
    <row r="3315" spans="1:16" x14ac:dyDescent="0.25">
      <c r="A3315" s="3">
        <v>46084</v>
      </c>
      <c r="B3315" s="1">
        <v>531</v>
      </c>
      <c r="C3315" s="5">
        <v>320</v>
      </c>
      <c r="D3315" s="1" t="s">
        <v>1953</v>
      </c>
      <c r="E3315" s="1" t="s">
        <v>3326</v>
      </c>
      <c r="F3315" s="1" t="s">
        <v>669</v>
      </c>
      <c r="G3315" s="1" t="s">
        <v>940</v>
      </c>
      <c r="H3315" s="3">
        <v>46108</v>
      </c>
      <c r="I3315" s="1" t="s">
        <v>933</v>
      </c>
      <c r="J3315" s="1" t="s">
        <v>66</v>
      </c>
      <c r="K3315" s="1" t="s">
        <v>340</v>
      </c>
      <c r="L3315" s="1" t="s">
        <v>4750</v>
      </c>
      <c r="M3315" s="3">
        <v>46087</v>
      </c>
      <c r="N3315" s="1" t="s">
        <v>57</v>
      </c>
      <c r="O3315" s="1" t="s">
        <v>936</v>
      </c>
      <c r="P3315" s="1">
        <v>1</v>
      </c>
    </row>
    <row r="3316" spans="1:16" x14ac:dyDescent="0.25">
      <c r="A3316" s="3">
        <v>46084</v>
      </c>
      <c r="B3316" s="1">
        <v>531</v>
      </c>
      <c r="C3316" s="5">
        <v>320</v>
      </c>
      <c r="D3316" s="1" t="s">
        <v>1953</v>
      </c>
      <c r="E3316" s="1" t="s">
        <v>3326</v>
      </c>
      <c r="F3316" s="1" t="s">
        <v>784</v>
      </c>
      <c r="G3316" s="1" t="s">
        <v>940</v>
      </c>
      <c r="H3316" s="3">
        <v>46108</v>
      </c>
      <c r="I3316" s="1" t="s">
        <v>933</v>
      </c>
      <c r="J3316" s="1" t="s">
        <v>66</v>
      </c>
      <c r="K3316" s="1" t="s">
        <v>340</v>
      </c>
      <c r="L3316" s="1" t="s">
        <v>4751</v>
      </c>
      <c r="M3316" s="3">
        <v>46087</v>
      </c>
      <c r="N3316" s="1" t="s">
        <v>57</v>
      </c>
      <c r="O3316" s="1" t="s">
        <v>936</v>
      </c>
      <c r="P3316" s="1">
        <v>1</v>
      </c>
    </row>
    <row r="3317" spans="1:16" x14ac:dyDescent="0.25">
      <c r="A3317" s="3">
        <v>46084</v>
      </c>
      <c r="B3317" s="1">
        <v>531</v>
      </c>
      <c r="C3317" s="5">
        <v>300</v>
      </c>
      <c r="D3317" s="1" t="s">
        <v>1953</v>
      </c>
      <c r="E3317" s="1" t="s">
        <v>3326</v>
      </c>
      <c r="F3317" s="1" t="s">
        <v>66</v>
      </c>
      <c r="G3317" s="1" t="s">
        <v>940</v>
      </c>
      <c r="H3317" s="3">
        <v>46108</v>
      </c>
      <c r="I3317" s="1" t="s">
        <v>933</v>
      </c>
      <c r="J3317" s="1" t="s">
        <v>66</v>
      </c>
      <c r="K3317" s="1" t="s">
        <v>340</v>
      </c>
      <c r="L3317" s="1" t="s">
        <v>4752</v>
      </c>
      <c r="M3317" s="3">
        <v>46087</v>
      </c>
      <c r="N3317" s="1" t="s">
        <v>57</v>
      </c>
      <c r="O3317" s="1" t="s">
        <v>936</v>
      </c>
      <c r="P3317" s="1">
        <v>1</v>
      </c>
    </row>
    <row r="3318" spans="1:16" x14ac:dyDescent="0.25">
      <c r="A3318" s="3">
        <v>46084</v>
      </c>
      <c r="B3318" s="1">
        <v>531</v>
      </c>
      <c r="C3318" s="5">
        <v>720</v>
      </c>
      <c r="D3318" s="1" t="s">
        <v>1953</v>
      </c>
      <c r="E3318" s="1" t="s">
        <v>3326</v>
      </c>
      <c r="F3318" s="1" t="s">
        <v>4678</v>
      </c>
      <c r="G3318" s="1" t="s">
        <v>940</v>
      </c>
      <c r="H3318" s="3">
        <v>46108</v>
      </c>
      <c r="I3318" s="1" t="s">
        <v>933</v>
      </c>
      <c r="J3318" s="1" t="s">
        <v>937</v>
      </c>
      <c r="K3318" s="1" t="s">
        <v>340</v>
      </c>
      <c r="L3318" s="1" t="s">
        <v>4753</v>
      </c>
      <c r="M3318" s="3">
        <v>46087</v>
      </c>
      <c r="N3318" s="1" t="s">
        <v>57</v>
      </c>
      <c r="O3318" s="1" t="s">
        <v>936</v>
      </c>
      <c r="P3318" s="1">
        <v>1</v>
      </c>
    </row>
    <row r="3319" spans="1:16" x14ac:dyDescent="0.25">
      <c r="A3319" s="3">
        <v>46084</v>
      </c>
      <c r="B3319" s="1">
        <v>531</v>
      </c>
      <c r="C3319" s="5">
        <v>30</v>
      </c>
      <c r="D3319" s="1" t="s">
        <v>1953</v>
      </c>
      <c r="E3319" s="1" t="s">
        <v>3326</v>
      </c>
      <c r="F3319" s="1" t="s">
        <v>66</v>
      </c>
      <c r="G3319" s="1" t="s">
        <v>940</v>
      </c>
      <c r="H3319" s="3">
        <v>46108</v>
      </c>
      <c r="I3319" s="1" t="s">
        <v>933</v>
      </c>
      <c r="J3319" s="1" t="s">
        <v>66</v>
      </c>
      <c r="K3319" s="1" t="s">
        <v>340</v>
      </c>
      <c r="L3319" s="1" t="s">
        <v>4754</v>
      </c>
      <c r="M3319" s="3">
        <v>46087</v>
      </c>
      <c r="N3319" s="1" t="s">
        <v>57</v>
      </c>
      <c r="O3319" s="1" t="s">
        <v>936</v>
      </c>
      <c r="P3319" s="1">
        <v>1</v>
      </c>
    </row>
    <row r="3320" spans="1:16" x14ac:dyDescent="0.25">
      <c r="A3320" s="3">
        <v>46084</v>
      </c>
      <c r="B3320" s="1">
        <v>531</v>
      </c>
      <c r="C3320" s="5">
        <v>380</v>
      </c>
      <c r="D3320" s="1" t="s">
        <v>1953</v>
      </c>
      <c r="E3320" s="1" t="s">
        <v>3326</v>
      </c>
      <c r="F3320" s="1" t="s">
        <v>245</v>
      </c>
      <c r="G3320" s="1" t="s">
        <v>940</v>
      </c>
      <c r="H3320" s="3">
        <v>46108</v>
      </c>
      <c r="I3320" s="1" t="s">
        <v>933</v>
      </c>
      <c r="J3320" s="1" t="s">
        <v>66</v>
      </c>
      <c r="K3320" s="1" t="s">
        <v>308</v>
      </c>
      <c r="L3320" s="1" t="s">
        <v>4755</v>
      </c>
      <c r="M3320" s="3">
        <v>46087</v>
      </c>
      <c r="N3320" s="1" t="s">
        <v>57</v>
      </c>
      <c r="O3320" s="1" t="s">
        <v>936</v>
      </c>
      <c r="P3320" s="1">
        <v>1</v>
      </c>
    </row>
    <row r="3321" spans="1:16" x14ac:dyDescent="0.25">
      <c r="A3321" s="3">
        <v>46084</v>
      </c>
      <c r="B3321" s="1">
        <v>531</v>
      </c>
      <c r="C3321" s="5">
        <v>180</v>
      </c>
      <c r="D3321" s="1" t="s">
        <v>1953</v>
      </c>
      <c r="E3321" s="1" t="s">
        <v>3326</v>
      </c>
      <c r="F3321" s="1" t="s">
        <v>723</v>
      </c>
      <c r="G3321" s="1" t="s">
        <v>940</v>
      </c>
      <c r="H3321" s="3">
        <v>46108</v>
      </c>
      <c r="I3321" s="1" t="s">
        <v>933</v>
      </c>
      <c r="J3321" s="1" t="s">
        <v>66</v>
      </c>
      <c r="K3321" s="1" t="s">
        <v>340</v>
      </c>
      <c r="L3321" s="1" t="s">
        <v>4757</v>
      </c>
      <c r="M3321" s="3">
        <v>46087</v>
      </c>
      <c r="N3321" s="1" t="s">
        <v>57</v>
      </c>
      <c r="O3321" s="1" t="s">
        <v>936</v>
      </c>
      <c r="P3321" s="1">
        <v>1</v>
      </c>
    </row>
    <row r="3322" spans="1:16" x14ac:dyDescent="0.25">
      <c r="A3322" s="3">
        <v>46084</v>
      </c>
      <c r="B3322" s="1">
        <v>531</v>
      </c>
      <c r="C3322" s="5">
        <v>330</v>
      </c>
      <c r="D3322" s="1" t="s">
        <v>1953</v>
      </c>
      <c r="E3322" s="1" t="s">
        <v>3326</v>
      </c>
      <c r="F3322" s="1" t="s">
        <v>4758</v>
      </c>
      <c r="G3322" s="1" t="s">
        <v>940</v>
      </c>
      <c r="H3322" s="3">
        <v>46108</v>
      </c>
      <c r="I3322" s="1" t="s">
        <v>933</v>
      </c>
      <c r="J3322" s="1" t="s">
        <v>937</v>
      </c>
      <c r="K3322" s="1" t="s">
        <v>308</v>
      </c>
      <c r="L3322" s="1" t="s">
        <v>4759</v>
      </c>
      <c r="M3322" s="3">
        <v>46087</v>
      </c>
      <c r="N3322" s="1" t="s">
        <v>57</v>
      </c>
      <c r="O3322" s="1" t="s">
        <v>936</v>
      </c>
      <c r="P3322" s="1">
        <v>1</v>
      </c>
    </row>
    <row r="3323" spans="1:16" x14ac:dyDescent="0.25">
      <c r="A3323" s="3">
        <v>46084</v>
      </c>
      <c r="B3323" s="1">
        <v>531</v>
      </c>
      <c r="C3323" s="5">
        <v>200</v>
      </c>
      <c r="D3323" s="1" t="s">
        <v>1953</v>
      </c>
      <c r="E3323" s="1" t="s">
        <v>3326</v>
      </c>
      <c r="F3323" s="1" t="s">
        <v>66</v>
      </c>
      <c r="G3323" s="1" t="s">
        <v>940</v>
      </c>
      <c r="H3323" s="3">
        <v>46108</v>
      </c>
      <c r="I3323" s="1" t="s">
        <v>933</v>
      </c>
      <c r="J3323" s="1" t="s">
        <v>66</v>
      </c>
      <c r="K3323" s="1" t="s">
        <v>640</v>
      </c>
      <c r="L3323" s="1" t="s">
        <v>4760</v>
      </c>
      <c r="M3323" s="3">
        <v>46087</v>
      </c>
      <c r="N3323" s="1" t="s">
        <v>57</v>
      </c>
      <c r="O3323" s="1" t="s">
        <v>936</v>
      </c>
      <c r="P3323" s="1">
        <v>1</v>
      </c>
    </row>
    <row r="3324" spans="1:16" x14ac:dyDescent="0.25">
      <c r="A3324" s="3">
        <v>46084</v>
      </c>
      <c r="B3324" s="1">
        <v>531</v>
      </c>
      <c r="C3324" s="5">
        <v>180</v>
      </c>
      <c r="D3324" s="1" t="s">
        <v>1953</v>
      </c>
      <c r="E3324" s="1" t="s">
        <v>3326</v>
      </c>
      <c r="F3324" s="1" t="s">
        <v>759</v>
      </c>
      <c r="G3324" s="1" t="s">
        <v>940</v>
      </c>
      <c r="H3324" s="3">
        <v>46108</v>
      </c>
      <c r="I3324" s="1" t="s">
        <v>933</v>
      </c>
      <c r="J3324" s="1" t="s">
        <v>66</v>
      </c>
      <c r="K3324" s="1" t="s">
        <v>340</v>
      </c>
      <c r="L3324" s="1" t="s">
        <v>4761</v>
      </c>
      <c r="M3324" s="3">
        <v>46087</v>
      </c>
      <c r="N3324" s="1" t="s">
        <v>57</v>
      </c>
      <c r="O3324" s="1" t="s">
        <v>936</v>
      </c>
      <c r="P3324" s="1">
        <v>1</v>
      </c>
    </row>
    <row r="3325" spans="1:16" x14ac:dyDescent="0.25">
      <c r="A3325" s="3">
        <v>46084</v>
      </c>
      <c r="B3325" s="1">
        <v>531</v>
      </c>
      <c r="C3325" s="5">
        <v>670</v>
      </c>
      <c r="D3325" s="1" t="s">
        <v>1953</v>
      </c>
      <c r="E3325" s="1" t="s">
        <v>3326</v>
      </c>
      <c r="F3325" s="1" t="s">
        <v>578</v>
      </c>
      <c r="G3325" s="1" t="s">
        <v>940</v>
      </c>
      <c r="H3325" s="3">
        <v>46108</v>
      </c>
      <c r="I3325" s="1" t="s">
        <v>933</v>
      </c>
      <c r="J3325" s="1" t="s">
        <v>66</v>
      </c>
      <c r="K3325" s="1" t="s">
        <v>308</v>
      </c>
      <c r="L3325" s="1" t="s">
        <v>4762</v>
      </c>
      <c r="M3325" s="3">
        <v>46087</v>
      </c>
      <c r="N3325" s="1" t="s">
        <v>57</v>
      </c>
      <c r="O3325" s="1" t="s">
        <v>936</v>
      </c>
      <c r="P3325" s="1">
        <v>1</v>
      </c>
    </row>
    <row r="3326" spans="1:16" x14ac:dyDescent="0.25">
      <c r="A3326" s="3">
        <v>46084</v>
      </c>
      <c r="B3326" s="1">
        <v>531</v>
      </c>
      <c r="C3326" s="5">
        <v>450</v>
      </c>
      <c r="D3326" s="1" t="s">
        <v>1953</v>
      </c>
      <c r="E3326" s="1" t="s">
        <v>3326</v>
      </c>
      <c r="F3326" s="1" t="s">
        <v>66</v>
      </c>
      <c r="G3326" s="1" t="s">
        <v>940</v>
      </c>
      <c r="H3326" s="3">
        <v>46108</v>
      </c>
      <c r="I3326" s="1" t="s">
        <v>933</v>
      </c>
      <c r="J3326" s="1" t="s">
        <v>66</v>
      </c>
      <c r="K3326" s="1" t="s">
        <v>817</v>
      </c>
      <c r="L3326" s="1" t="s">
        <v>4763</v>
      </c>
      <c r="M3326" s="3">
        <v>46087</v>
      </c>
      <c r="N3326" s="1" t="s">
        <v>57</v>
      </c>
      <c r="O3326" s="1" t="s">
        <v>936</v>
      </c>
      <c r="P3326" s="1">
        <v>1</v>
      </c>
    </row>
    <row r="3327" spans="1:16" x14ac:dyDescent="0.25">
      <c r="A3327" s="3">
        <v>46084</v>
      </c>
      <c r="B3327" s="1">
        <v>531</v>
      </c>
      <c r="C3327" s="5">
        <v>360</v>
      </c>
      <c r="D3327" s="1" t="s">
        <v>1953</v>
      </c>
      <c r="E3327" s="1" t="s">
        <v>3326</v>
      </c>
      <c r="F3327" s="1" t="s">
        <v>430</v>
      </c>
      <c r="G3327" s="1" t="s">
        <v>940</v>
      </c>
      <c r="H3327" s="3">
        <v>46108</v>
      </c>
      <c r="I3327" s="1" t="s">
        <v>933</v>
      </c>
      <c r="J3327" s="1" t="s">
        <v>66</v>
      </c>
      <c r="K3327" s="1" t="s">
        <v>340</v>
      </c>
      <c r="L3327" s="1" t="s">
        <v>4764</v>
      </c>
      <c r="M3327" s="3">
        <v>46087</v>
      </c>
      <c r="N3327" s="1" t="s">
        <v>57</v>
      </c>
      <c r="O3327" s="1" t="s">
        <v>936</v>
      </c>
      <c r="P3327" s="1">
        <v>1</v>
      </c>
    </row>
    <row r="3328" spans="1:16" x14ac:dyDescent="0.25">
      <c r="A3328" s="3">
        <v>46084</v>
      </c>
      <c r="B3328" s="1">
        <v>531</v>
      </c>
      <c r="C3328" s="5">
        <v>180</v>
      </c>
      <c r="D3328" s="1" t="s">
        <v>1953</v>
      </c>
      <c r="E3328" s="1" t="s">
        <v>3326</v>
      </c>
      <c r="F3328" s="1" t="s">
        <v>283</v>
      </c>
      <c r="G3328" s="1" t="s">
        <v>940</v>
      </c>
      <c r="H3328" s="3">
        <v>46108</v>
      </c>
      <c r="I3328" s="1" t="s">
        <v>933</v>
      </c>
      <c r="J3328" s="1" t="s">
        <v>66</v>
      </c>
      <c r="K3328" s="1" t="s">
        <v>340</v>
      </c>
      <c r="L3328" s="1" t="s">
        <v>4765</v>
      </c>
      <c r="M3328" s="3">
        <v>46087</v>
      </c>
      <c r="N3328" s="1" t="s">
        <v>57</v>
      </c>
      <c r="O3328" s="1" t="s">
        <v>936</v>
      </c>
      <c r="P3328" s="1">
        <v>1</v>
      </c>
    </row>
    <row r="3329" spans="1:16" x14ac:dyDescent="0.25">
      <c r="A3329" s="3">
        <v>46084</v>
      </c>
      <c r="B3329" s="1">
        <v>531</v>
      </c>
      <c r="C3329" s="5">
        <v>490</v>
      </c>
      <c r="D3329" s="1" t="s">
        <v>1953</v>
      </c>
      <c r="E3329" s="1" t="s">
        <v>3326</v>
      </c>
      <c r="F3329" s="1" t="s">
        <v>66</v>
      </c>
      <c r="G3329" s="1" t="s">
        <v>940</v>
      </c>
      <c r="H3329" s="3">
        <v>46108</v>
      </c>
      <c r="I3329" s="1" t="s">
        <v>933</v>
      </c>
      <c r="J3329" s="1" t="s">
        <v>66</v>
      </c>
      <c r="K3329" s="1" t="s">
        <v>2085</v>
      </c>
      <c r="L3329" s="1" t="s">
        <v>4766</v>
      </c>
      <c r="M3329" s="3">
        <v>46087</v>
      </c>
      <c r="N3329" s="1" t="s">
        <v>57</v>
      </c>
      <c r="O3329" s="1" t="s">
        <v>936</v>
      </c>
      <c r="P3329" s="1">
        <v>1</v>
      </c>
    </row>
    <row r="3330" spans="1:16" x14ac:dyDescent="0.25">
      <c r="A3330" s="3">
        <v>46084</v>
      </c>
      <c r="B3330" s="1">
        <v>531</v>
      </c>
      <c r="C3330" s="5">
        <v>730</v>
      </c>
      <c r="D3330" s="1" t="s">
        <v>1953</v>
      </c>
      <c r="E3330" s="1" t="s">
        <v>3326</v>
      </c>
      <c r="F3330" s="1" t="s">
        <v>66</v>
      </c>
      <c r="G3330" s="1" t="s">
        <v>940</v>
      </c>
      <c r="H3330" s="3">
        <v>46108</v>
      </c>
      <c r="I3330" s="1" t="s">
        <v>933</v>
      </c>
      <c r="J3330" s="1" t="s">
        <v>66</v>
      </c>
      <c r="K3330" s="1" t="s">
        <v>340</v>
      </c>
      <c r="L3330" s="1" t="s">
        <v>4767</v>
      </c>
      <c r="M3330" s="3">
        <v>46087</v>
      </c>
      <c r="N3330" s="1" t="s">
        <v>57</v>
      </c>
      <c r="O3330" s="1" t="s">
        <v>936</v>
      </c>
      <c r="P3330" s="1">
        <v>1</v>
      </c>
    </row>
    <row r="3331" spans="1:16" x14ac:dyDescent="0.25">
      <c r="A3331" s="3">
        <v>46084</v>
      </c>
      <c r="B3331" s="1">
        <v>531</v>
      </c>
      <c r="C3331" s="5">
        <v>200</v>
      </c>
      <c r="D3331" s="1" t="s">
        <v>1953</v>
      </c>
      <c r="E3331" s="1" t="s">
        <v>3326</v>
      </c>
      <c r="F3331" s="1" t="s">
        <v>66</v>
      </c>
      <c r="G3331" s="1" t="s">
        <v>940</v>
      </c>
      <c r="H3331" s="3">
        <v>46108</v>
      </c>
      <c r="I3331" s="1" t="s">
        <v>933</v>
      </c>
      <c r="J3331" s="1" t="s">
        <v>66</v>
      </c>
      <c r="K3331" s="1" t="s">
        <v>340</v>
      </c>
      <c r="L3331" s="1" t="s">
        <v>4768</v>
      </c>
      <c r="M3331" s="3">
        <v>46087</v>
      </c>
      <c r="N3331" s="1" t="s">
        <v>57</v>
      </c>
      <c r="O3331" s="1" t="s">
        <v>936</v>
      </c>
      <c r="P3331" s="1">
        <v>1</v>
      </c>
    </row>
    <row r="3332" spans="1:16" x14ac:dyDescent="0.25">
      <c r="A3332" s="3">
        <v>46084</v>
      </c>
      <c r="B3332" s="1">
        <v>531</v>
      </c>
      <c r="C3332" s="5">
        <v>480</v>
      </c>
      <c r="D3332" s="1" t="s">
        <v>1953</v>
      </c>
      <c r="E3332" s="1" t="s">
        <v>3326</v>
      </c>
      <c r="F3332" s="1" t="s">
        <v>66</v>
      </c>
      <c r="G3332" s="1" t="s">
        <v>940</v>
      </c>
      <c r="H3332" s="3">
        <v>46108</v>
      </c>
      <c r="I3332" s="1" t="s">
        <v>933</v>
      </c>
      <c r="J3332" s="1" t="s">
        <v>66</v>
      </c>
      <c r="K3332" s="1" t="s">
        <v>2085</v>
      </c>
      <c r="L3332" s="1" t="s">
        <v>4769</v>
      </c>
      <c r="M3332" s="3">
        <v>46087</v>
      </c>
      <c r="N3332" s="1" t="s">
        <v>57</v>
      </c>
      <c r="O3332" s="1" t="s">
        <v>936</v>
      </c>
      <c r="P3332" s="1">
        <v>1</v>
      </c>
    </row>
    <row r="3333" spans="1:16" x14ac:dyDescent="0.25">
      <c r="A3333" s="3">
        <v>46084</v>
      </c>
      <c r="B3333" s="1">
        <v>531</v>
      </c>
      <c r="C3333" s="5">
        <v>160</v>
      </c>
      <c r="D3333" s="1" t="s">
        <v>1953</v>
      </c>
      <c r="E3333" s="1" t="s">
        <v>3326</v>
      </c>
      <c r="F3333" s="1" t="s">
        <v>201</v>
      </c>
      <c r="G3333" s="1" t="s">
        <v>940</v>
      </c>
      <c r="H3333" s="3">
        <v>46108</v>
      </c>
      <c r="I3333" s="1" t="s">
        <v>933</v>
      </c>
      <c r="J3333" s="1" t="s">
        <v>66</v>
      </c>
      <c r="K3333" s="1" t="s">
        <v>636</v>
      </c>
      <c r="L3333" s="1" t="s">
        <v>4770</v>
      </c>
      <c r="M3333" s="3">
        <v>46087</v>
      </c>
      <c r="N3333" s="1" t="s">
        <v>57</v>
      </c>
      <c r="O3333" s="1" t="s">
        <v>936</v>
      </c>
      <c r="P3333" s="1">
        <v>1</v>
      </c>
    </row>
    <row r="3334" spans="1:16" x14ac:dyDescent="0.25">
      <c r="A3334" s="3">
        <v>46084</v>
      </c>
      <c r="B3334" s="1">
        <v>531</v>
      </c>
      <c r="C3334" s="5">
        <v>40</v>
      </c>
      <c r="D3334" s="1" t="s">
        <v>1953</v>
      </c>
      <c r="E3334" s="1" t="s">
        <v>3326</v>
      </c>
      <c r="F3334" s="1" t="s">
        <v>66</v>
      </c>
      <c r="G3334" s="1" t="s">
        <v>940</v>
      </c>
      <c r="H3334" s="3">
        <v>46108</v>
      </c>
      <c r="I3334" s="1" t="s">
        <v>933</v>
      </c>
      <c r="J3334" s="1" t="s">
        <v>66</v>
      </c>
      <c r="K3334" s="1" t="s">
        <v>817</v>
      </c>
      <c r="L3334" s="1" t="s">
        <v>4771</v>
      </c>
      <c r="M3334" s="3">
        <v>46087</v>
      </c>
      <c r="N3334" s="1" t="s">
        <v>57</v>
      </c>
      <c r="O3334" s="1" t="s">
        <v>936</v>
      </c>
      <c r="P3334" s="1">
        <v>1</v>
      </c>
    </row>
    <row r="3335" spans="1:16" x14ac:dyDescent="0.25">
      <c r="A3335" s="3">
        <v>46084</v>
      </c>
      <c r="B3335" s="1">
        <v>530</v>
      </c>
      <c r="C3335" s="5">
        <v>130</v>
      </c>
      <c r="D3335" s="1" t="s">
        <v>1953</v>
      </c>
      <c r="E3335" s="1" t="s">
        <v>3326</v>
      </c>
      <c r="F3335" s="1" t="s">
        <v>286</v>
      </c>
      <c r="G3335" s="1" t="s">
        <v>940</v>
      </c>
      <c r="H3335" s="3">
        <v>46104</v>
      </c>
      <c r="I3335" s="1" t="s">
        <v>933</v>
      </c>
      <c r="J3335" s="1" t="s">
        <v>66</v>
      </c>
      <c r="K3335" s="1" t="s">
        <v>340</v>
      </c>
      <c r="L3335" s="1" t="s">
        <v>5004</v>
      </c>
      <c r="M3335" s="3">
        <v>46087</v>
      </c>
      <c r="N3335" s="1" t="s">
        <v>57</v>
      </c>
      <c r="O3335" s="1" t="s">
        <v>936</v>
      </c>
      <c r="P3335" s="1">
        <v>1</v>
      </c>
    </row>
    <row r="3336" spans="1:16" x14ac:dyDescent="0.25">
      <c r="A3336" s="3">
        <v>46084</v>
      </c>
      <c r="B3336" s="1" t="s">
        <v>5275</v>
      </c>
      <c r="C3336" s="5">
        <v>1200</v>
      </c>
      <c r="D3336" s="1" t="s">
        <v>1179</v>
      </c>
      <c r="E3336" s="1" t="s">
        <v>1180</v>
      </c>
      <c r="F3336" s="1" t="s">
        <v>289</v>
      </c>
      <c r="G3336" s="1" t="s">
        <v>940</v>
      </c>
      <c r="H3336" s="3">
        <v>46104</v>
      </c>
      <c r="I3336" s="1" t="s">
        <v>933</v>
      </c>
      <c r="J3336" s="1" t="s">
        <v>66</v>
      </c>
      <c r="K3336" s="1" t="s">
        <v>340</v>
      </c>
      <c r="L3336" s="1" t="s">
        <v>5276</v>
      </c>
      <c r="M3336" s="3">
        <v>46084</v>
      </c>
      <c r="N3336" s="1" t="s">
        <v>264</v>
      </c>
      <c r="O3336" s="1" t="s">
        <v>936</v>
      </c>
      <c r="P3336" s="1">
        <v>1</v>
      </c>
    </row>
    <row r="3337" spans="1:16" x14ac:dyDescent="0.25">
      <c r="A3337" s="3">
        <v>46085</v>
      </c>
      <c r="B3337" s="4">
        <v>3001</v>
      </c>
      <c r="C3337" s="5">
        <v>3700</v>
      </c>
      <c r="D3337" s="1" t="s">
        <v>1368</v>
      </c>
      <c r="E3337" s="1" t="s">
        <v>4772</v>
      </c>
      <c r="F3337" s="1" t="s">
        <v>949</v>
      </c>
      <c r="G3337" s="1" t="s">
        <v>932</v>
      </c>
      <c r="H3337" s="3">
        <v>46096</v>
      </c>
      <c r="I3337" s="1" t="s">
        <v>933</v>
      </c>
      <c r="J3337" s="1" t="s">
        <v>951</v>
      </c>
      <c r="K3337" s="1" t="s">
        <v>340</v>
      </c>
      <c r="L3337" s="1" t="s">
        <v>4773</v>
      </c>
      <c r="M3337" s="3">
        <v>46084</v>
      </c>
      <c r="N3337" s="1" t="s">
        <v>4774</v>
      </c>
      <c r="O3337" s="1" t="s">
        <v>936</v>
      </c>
      <c r="P3337" s="1">
        <v>1</v>
      </c>
    </row>
    <row r="3338" spans="1:16" x14ac:dyDescent="0.25">
      <c r="A3338" s="3">
        <v>46085</v>
      </c>
      <c r="B3338" s="4">
        <v>10476</v>
      </c>
      <c r="C3338" s="5">
        <v>11580</v>
      </c>
      <c r="D3338" s="1" t="s">
        <v>973</v>
      </c>
      <c r="E3338" s="1" t="s">
        <v>1068</v>
      </c>
      <c r="F3338" s="1" t="s">
        <v>66</v>
      </c>
      <c r="G3338" s="1" t="s">
        <v>998</v>
      </c>
      <c r="H3338" s="3">
        <v>46100</v>
      </c>
      <c r="I3338" s="1" t="s">
        <v>933</v>
      </c>
      <c r="J3338" s="1" t="s">
        <v>66</v>
      </c>
      <c r="K3338" s="1" t="s">
        <v>340</v>
      </c>
      <c r="L3338" s="1" t="s">
        <v>4775</v>
      </c>
      <c r="M3338" s="1" t="s">
        <v>4776</v>
      </c>
      <c r="N3338" s="1" t="s">
        <v>57</v>
      </c>
      <c r="O3338" s="1" t="s">
        <v>998</v>
      </c>
      <c r="P3338" s="1">
        <v>1</v>
      </c>
    </row>
    <row r="3339" spans="1:16" x14ac:dyDescent="0.25">
      <c r="A3339" s="3">
        <v>46085</v>
      </c>
      <c r="B3339" s="4">
        <v>10475</v>
      </c>
      <c r="C3339" s="5">
        <v>31845</v>
      </c>
      <c r="D3339" s="1" t="s">
        <v>973</v>
      </c>
      <c r="E3339" s="1" t="s">
        <v>1068</v>
      </c>
      <c r="F3339" s="1" t="s">
        <v>66</v>
      </c>
      <c r="G3339" s="1" t="s">
        <v>998</v>
      </c>
      <c r="H3339" s="3">
        <v>46100</v>
      </c>
      <c r="I3339" s="1" t="s">
        <v>933</v>
      </c>
      <c r="J3339" s="1" t="s">
        <v>66</v>
      </c>
      <c r="K3339" s="1" t="s">
        <v>340</v>
      </c>
      <c r="L3339" s="1" t="s">
        <v>4777</v>
      </c>
      <c r="M3339" s="1" t="s">
        <v>4776</v>
      </c>
      <c r="N3339" s="1" t="s">
        <v>57</v>
      </c>
      <c r="O3339" s="1" t="s">
        <v>998</v>
      </c>
      <c r="P3339" s="1">
        <v>1</v>
      </c>
    </row>
    <row r="3340" spans="1:16" x14ac:dyDescent="0.25">
      <c r="A3340" s="3">
        <v>46085</v>
      </c>
      <c r="B3340" s="4">
        <v>10474</v>
      </c>
      <c r="C3340" s="5">
        <v>11380</v>
      </c>
      <c r="D3340" s="1" t="s">
        <v>973</v>
      </c>
      <c r="E3340" s="1" t="s">
        <v>1068</v>
      </c>
      <c r="F3340" s="1" t="s">
        <v>66</v>
      </c>
      <c r="G3340" s="1" t="s">
        <v>998</v>
      </c>
      <c r="H3340" s="3">
        <v>46099</v>
      </c>
      <c r="I3340" s="1" t="s">
        <v>933</v>
      </c>
      <c r="J3340" s="1" t="s">
        <v>66</v>
      </c>
      <c r="K3340" s="1" t="s">
        <v>340</v>
      </c>
      <c r="L3340" s="1" t="s">
        <v>4778</v>
      </c>
      <c r="M3340" s="1" t="s">
        <v>4776</v>
      </c>
      <c r="N3340" s="1" t="s">
        <v>57</v>
      </c>
      <c r="O3340" s="1" t="s">
        <v>998</v>
      </c>
      <c r="P3340" s="1">
        <v>1</v>
      </c>
    </row>
    <row r="3341" spans="1:16" x14ac:dyDescent="0.25">
      <c r="A3341" s="3">
        <v>46085</v>
      </c>
      <c r="B3341" s="4">
        <v>10473</v>
      </c>
      <c r="C3341" s="5">
        <v>28450</v>
      </c>
      <c r="D3341" s="1" t="s">
        <v>973</v>
      </c>
      <c r="E3341" s="1" t="s">
        <v>1068</v>
      </c>
      <c r="F3341" s="1" t="s">
        <v>66</v>
      </c>
      <c r="G3341" s="1" t="s">
        <v>998</v>
      </c>
      <c r="H3341" s="3">
        <v>46099</v>
      </c>
      <c r="I3341" s="1" t="s">
        <v>933</v>
      </c>
      <c r="J3341" s="1" t="s">
        <v>66</v>
      </c>
      <c r="K3341" s="1" t="s">
        <v>340</v>
      </c>
      <c r="L3341" s="1" t="s">
        <v>4777</v>
      </c>
      <c r="M3341" s="1" t="s">
        <v>4776</v>
      </c>
      <c r="N3341" s="1" t="s">
        <v>57</v>
      </c>
      <c r="O3341" s="1" t="s">
        <v>998</v>
      </c>
      <c r="P3341" s="1">
        <v>1</v>
      </c>
    </row>
    <row r="3342" spans="1:16" x14ac:dyDescent="0.25">
      <c r="A3342" s="3">
        <v>46085</v>
      </c>
      <c r="B3342" s="1">
        <v>37</v>
      </c>
      <c r="C3342" s="5">
        <v>4100</v>
      </c>
      <c r="D3342" s="1" t="s">
        <v>1730</v>
      </c>
      <c r="E3342" s="1" t="s">
        <v>4779</v>
      </c>
      <c r="F3342" s="1" t="s">
        <v>949</v>
      </c>
      <c r="G3342" s="1" t="s">
        <v>20</v>
      </c>
      <c r="H3342" s="3">
        <v>46096</v>
      </c>
      <c r="I3342" s="1" t="s">
        <v>933</v>
      </c>
      <c r="J3342" s="1" t="s">
        <v>951</v>
      </c>
      <c r="K3342" s="1" t="s">
        <v>934</v>
      </c>
      <c r="L3342" s="1" t="s">
        <v>4780</v>
      </c>
      <c r="M3342" s="3">
        <v>46084</v>
      </c>
      <c r="N3342" s="1" t="s">
        <v>57</v>
      </c>
      <c r="O3342" s="1" t="s">
        <v>936</v>
      </c>
      <c r="P3342" s="1" t="s">
        <v>937</v>
      </c>
    </row>
    <row r="3343" spans="1:16" x14ac:dyDescent="0.25">
      <c r="A3343" s="3">
        <v>46085</v>
      </c>
      <c r="B3343" s="1">
        <v>3</v>
      </c>
      <c r="C3343" s="5">
        <v>3500</v>
      </c>
      <c r="D3343" s="1" t="s">
        <v>2252</v>
      </c>
      <c r="E3343" s="1" t="s">
        <v>2253</v>
      </c>
      <c r="F3343" s="1" t="s">
        <v>566</v>
      </c>
      <c r="G3343" s="1" t="s">
        <v>932</v>
      </c>
      <c r="H3343" s="3">
        <v>46109</v>
      </c>
      <c r="I3343" s="1" t="s">
        <v>933</v>
      </c>
      <c r="J3343" s="1" t="s">
        <v>66</v>
      </c>
      <c r="K3343" s="1" t="s">
        <v>308</v>
      </c>
      <c r="L3343" s="1" t="s">
        <v>4781</v>
      </c>
      <c r="M3343" s="3">
        <v>46084</v>
      </c>
      <c r="N3343" s="1" t="s">
        <v>440</v>
      </c>
      <c r="O3343" s="1" t="s">
        <v>1031</v>
      </c>
      <c r="P3343" s="1">
        <v>1</v>
      </c>
    </row>
    <row r="3344" spans="1:16" x14ac:dyDescent="0.25">
      <c r="A3344" s="3">
        <v>46085</v>
      </c>
      <c r="B3344" s="1">
        <v>240</v>
      </c>
      <c r="C3344" s="5">
        <v>8500</v>
      </c>
      <c r="D3344" s="1" t="s">
        <v>3097</v>
      </c>
      <c r="E3344" s="1" t="s">
        <v>3098</v>
      </c>
      <c r="F3344" s="1" t="s">
        <v>723</v>
      </c>
      <c r="G3344" s="1" t="s">
        <v>932</v>
      </c>
      <c r="H3344" s="3">
        <v>46102</v>
      </c>
      <c r="I3344" s="1" t="s">
        <v>933</v>
      </c>
      <c r="J3344" s="1" t="s">
        <v>66</v>
      </c>
      <c r="K3344" s="1" t="s">
        <v>1654</v>
      </c>
      <c r="L3344" s="1" t="s">
        <v>4782</v>
      </c>
      <c r="M3344" s="3">
        <v>46084</v>
      </c>
      <c r="N3344" s="1" t="s">
        <v>726</v>
      </c>
      <c r="O3344" s="1" t="s">
        <v>932</v>
      </c>
      <c r="P3344" s="1">
        <v>1</v>
      </c>
    </row>
    <row r="3345" spans="1:16" x14ac:dyDescent="0.25">
      <c r="A3345" s="3">
        <v>46085</v>
      </c>
      <c r="B3345" s="1">
        <v>13</v>
      </c>
      <c r="C3345" s="5">
        <v>3000</v>
      </c>
      <c r="D3345" s="1" t="s">
        <v>4783</v>
      </c>
      <c r="E3345" s="1" t="s">
        <v>4784</v>
      </c>
      <c r="F3345" s="1" t="s">
        <v>66</v>
      </c>
      <c r="G3345" s="1" t="s">
        <v>932</v>
      </c>
      <c r="H3345" s="3">
        <v>46099</v>
      </c>
      <c r="I3345" s="1" t="s">
        <v>933</v>
      </c>
      <c r="J3345" s="1" t="s">
        <v>66</v>
      </c>
      <c r="K3345" s="1" t="s">
        <v>934</v>
      </c>
      <c r="L3345" s="1" t="s">
        <v>4785</v>
      </c>
      <c r="M3345" s="3">
        <v>46084</v>
      </c>
      <c r="N3345" s="1" t="s">
        <v>57</v>
      </c>
      <c r="O3345" s="1" t="s">
        <v>936</v>
      </c>
      <c r="P3345" s="1">
        <v>1</v>
      </c>
    </row>
    <row r="3346" spans="1:16" x14ac:dyDescent="0.25">
      <c r="A3346" s="3">
        <v>46085</v>
      </c>
      <c r="B3346" s="4">
        <v>10477</v>
      </c>
      <c r="C3346" s="5">
        <v>11580</v>
      </c>
      <c r="D3346" s="1" t="s">
        <v>973</v>
      </c>
      <c r="E3346" s="1" t="s">
        <v>1068</v>
      </c>
      <c r="F3346" s="1" t="s">
        <v>66</v>
      </c>
      <c r="G3346" s="1" t="s">
        <v>998</v>
      </c>
      <c r="H3346" s="3">
        <v>46100</v>
      </c>
      <c r="I3346" s="1" t="s">
        <v>933</v>
      </c>
      <c r="J3346" s="1" t="s">
        <v>66</v>
      </c>
      <c r="K3346" s="1" t="s">
        <v>340</v>
      </c>
      <c r="L3346" s="1" t="s">
        <v>4786</v>
      </c>
      <c r="M3346" s="1" t="s">
        <v>4776</v>
      </c>
      <c r="N3346" s="1" t="s">
        <v>57</v>
      </c>
      <c r="O3346" s="1" t="s">
        <v>998</v>
      </c>
      <c r="P3346" s="1">
        <v>1</v>
      </c>
    </row>
    <row r="3347" spans="1:16" x14ac:dyDescent="0.25">
      <c r="A3347" s="3">
        <v>46085</v>
      </c>
      <c r="B3347" s="4">
        <v>10478</v>
      </c>
      <c r="C3347" s="5">
        <v>11580</v>
      </c>
      <c r="D3347" s="1" t="s">
        <v>973</v>
      </c>
      <c r="E3347" s="1" t="s">
        <v>1068</v>
      </c>
      <c r="F3347" s="1" t="s">
        <v>66</v>
      </c>
      <c r="G3347" s="1" t="s">
        <v>998</v>
      </c>
      <c r="H3347" s="3">
        <v>46100</v>
      </c>
      <c r="I3347" s="1" t="s">
        <v>933</v>
      </c>
      <c r="J3347" s="1" t="s">
        <v>66</v>
      </c>
      <c r="K3347" s="1" t="s">
        <v>340</v>
      </c>
      <c r="L3347" s="1" t="s">
        <v>4786</v>
      </c>
      <c r="M3347" s="1" t="s">
        <v>4776</v>
      </c>
      <c r="N3347" s="1" t="s">
        <v>57</v>
      </c>
      <c r="O3347" s="1" t="s">
        <v>998</v>
      </c>
      <c r="P3347" s="1">
        <v>1</v>
      </c>
    </row>
    <row r="3348" spans="1:16" x14ac:dyDescent="0.25">
      <c r="A3348" s="3">
        <v>46085</v>
      </c>
      <c r="B3348" s="4">
        <v>10479</v>
      </c>
      <c r="C3348" s="5">
        <v>2019.83</v>
      </c>
      <c r="D3348" s="1" t="s">
        <v>973</v>
      </c>
      <c r="E3348" s="1" t="s">
        <v>1068</v>
      </c>
      <c r="F3348" s="1" t="s">
        <v>66</v>
      </c>
      <c r="G3348" s="1" t="s">
        <v>998</v>
      </c>
      <c r="H3348" s="3">
        <v>46100</v>
      </c>
      <c r="I3348" s="1" t="s">
        <v>933</v>
      </c>
      <c r="J3348" s="1" t="s">
        <v>66</v>
      </c>
      <c r="K3348" s="1" t="s">
        <v>340</v>
      </c>
      <c r="L3348" s="1" t="s">
        <v>4786</v>
      </c>
      <c r="M3348" s="1" t="s">
        <v>4776</v>
      </c>
      <c r="N3348" s="1" t="s">
        <v>57</v>
      </c>
      <c r="O3348" s="1" t="s">
        <v>998</v>
      </c>
      <c r="P3348" s="1">
        <v>1</v>
      </c>
    </row>
    <row r="3349" spans="1:16" x14ac:dyDescent="0.25">
      <c r="A3349" s="3">
        <v>46085</v>
      </c>
      <c r="B3349" s="4">
        <v>10481</v>
      </c>
      <c r="C3349" s="5">
        <v>31953.5</v>
      </c>
      <c r="D3349" s="1" t="s">
        <v>973</v>
      </c>
      <c r="E3349" s="1" t="s">
        <v>1068</v>
      </c>
      <c r="F3349" s="1" t="s">
        <v>66</v>
      </c>
      <c r="G3349" s="1" t="s">
        <v>998</v>
      </c>
      <c r="H3349" s="3">
        <v>46101</v>
      </c>
      <c r="I3349" s="1" t="s">
        <v>933</v>
      </c>
      <c r="J3349" s="1" t="s">
        <v>66</v>
      </c>
      <c r="K3349" s="1" t="s">
        <v>340</v>
      </c>
      <c r="L3349" s="1" t="s">
        <v>4787</v>
      </c>
      <c r="M3349" s="1" t="s">
        <v>4776</v>
      </c>
      <c r="N3349" s="1" t="s">
        <v>57</v>
      </c>
      <c r="O3349" s="1" t="s">
        <v>998</v>
      </c>
      <c r="P3349" s="1">
        <v>1</v>
      </c>
    </row>
    <row r="3350" spans="1:16" x14ac:dyDescent="0.25">
      <c r="A3350" s="3">
        <v>46085</v>
      </c>
      <c r="B3350" s="1">
        <v>2</v>
      </c>
      <c r="C3350" s="5">
        <v>9500</v>
      </c>
      <c r="D3350" s="1" t="s">
        <v>2237</v>
      </c>
      <c r="E3350" s="1" t="s">
        <v>2238</v>
      </c>
      <c r="F3350" s="1" t="s">
        <v>757</v>
      </c>
      <c r="G3350" s="1" t="s">
        <v>932</v>
      </c>
      <c r="H3350" s="3">
        <v>46101</v>
      </c>
      <c r="I3350" s="1" t="s">
        <v>933</v>
      </c>
      <c r="J3350" s="1" t="s">
        <v>66</v>
      </c>
      <c r="K3350" s="1" t="s">
        <v>659</v>
      </c>
      <c r="L3350" s="1" t="s">
        <v>4788</v>
      </c>
      <c r="M3350" s="3">
        <v>46084</v>
      </c>
      <c r="N3350" s="1" t="s">
        <v>57</v>
      </c>
      <c r="O3350" s="1" t="s">
        <v>932</v>
      </c>
      <c r="P3350" s="1">
        <v>1</v>
      </c>
    </row>
    <row r="3351" spans="1:16" x14ac:dyDescent="0.25">
      <c r="A3351" s="3">
        <v>46085</v>
      </c>
      <c r="B3351" s="1">
        <v>576</v>
      </c>
      <c r="C3351" s="5">
        <v>11250</v>
      </c>
      <c r="D3351" s="1" t="s">
        <v>4789</v>
      </c>
      <c r="E3351" s="1" t="s">
        <v>4790</v>
      </c>
      <c r="F3351" s="1" t="s">
        <v>607</v>
      </c>
      <c r="G3351" s="1" t="s">
        <v>932</v>
      </c>
      <c r="H3351" s="3">
        <v>46112</v>
      </c>
      <c r="I3351" s="1" t="s">
        <v>933</v>
      </c>
      <c r="J3351" s="1" t="s">
        <v>66</v>
      </c>
      <c r="K3351" s="1" t="s">
        <v>340</v>
      </c>
      <c r="L3351" s="1" t="s">
        <v>4791</v>
      </c>
      <c r="M3351" s="3">
        <v>46084</v>
      </c>
      <c r="N3351" s="1" t="s">
        <v>57</v>
      </c>
      <c r="O3351" s="1" t="s">
        <v>932</v>
      </c>
      <c r="P3351" s="1">
        <v>1</v>
      </c>
    </row>
    <row r="3352" spans="1:16" x14ac:dyDescent="0.25">
      <c r="A3352" s="3">
        <v>46085</v>
      </c>
      <c r="B3352" s="4">
        <v>73115</v>
      </c>
      <c r="C3352" s="5">
        <v>1399.24</v>
      </c>
      <c r="D3352" s="1" t="s">
        <v>1253</v>
      </c>
      <c r="E3352" s="1" t="s">
        <v>1487</v>
      </c>
      <c r="F3352" s="1" t="s">
        <v>66</v>
      </c>
      <c r="G3352" s="1" t="s">
        <v>940</v>
      </c>
      <c r="H3352" s="3">
        <v>46115</v>
      </c>
      <c r="I3352" s="1" t="s">
        <v>933</v>
      </c>
      <c r="J3352" s="1" t="s">
        <v>66</v>
      </c>
      <c r="K3352" s="1" t="s">
        <v>340</v>
      </c>
      <c r="L3352" s="1" t="s">
        <v>4792</v>
      </c>
      <c r="M3352" s="3">
        <v>46087</v>
      </c>
      <c r="N3352" s="1" t="s">
        <v>57</v>
      </c>
      <c r="O3352" s="1" t="s">
        <v>936</v>
      </c>
      <c r="P3352" s="1">
        <v>1</v>
      </c>
    </row>
    <row r="3353" spans="1:16" x14ac:dyDescent="0.25">
      <c r="A3353" s="3">
        <v>46085</v>
      </c>
      <c r="B3353" s="1">
        <v>32</v>
      </c>
      <c r="C3353" s="5">
        <v>52407.55</v>
      </c>
      <c r="D3353" s="1" t="s">
        <v>1583</v>
      </c>
      <c r="E3353" s="1" t="s">
        <v>1584</v>
      </c>
      <c r="F3353" s="1" t="s">
        <v>1567</v>
      </c>
      <c r="G3353" s="1" t="s">
        <v>20</v>
      </c>
      <c r="H3353" s="3">
        <v>46101</v>
      </c>
      <c r="I3353" s="1" t="s">
        <v>933</v>
      </c>
      <c r="J3353" s="1" t="s">
        <v>951</v>
      </c>
      <c r="K3353" s="1" t="s">
        <v>934</v>
      </c>
      <c r="L3353" s="1" t="s">
        <v>4793</v>
      </c>
      <c r="M3353" s="3">
        <v>46087</v>
      </c>
      <c r="N3353" s="1" t="s">
        <v>57</v>
      </c>
      <c r="O3353" s="1" t="s">
        <v>990</v>
      </c>
      <c r="P3353" s="1">
        <v>1</v>
      </c>
    </row>
    <row r="3354" spans="1:16" x14ac:dyDescent="0.25">
      <c r="A3354" s="3">
        <v>46085</v>
      </c>
      <c r="B3354" s="1">
        <v>179</v>
      </c>
      <c r="C3354" s="5">
        <v>8200</v>
      </c>
      <c r="D3354" s="1" t="s">
        <v>1773</v>
      </c>
      <c r="E3354" s="1" t="s">
        <v>1774</v>
      </c>
      <c r="F3354" s="1" t="s">
        <v>1778</v>
      </c>
      <c r="G3354" s="1" t="s">
        <v>932</v>
      </c>
      <c r="H3354" s="3">
        <v>46113</v>
      </c>
      <c r="I3354" s="1" t="s">
        <v>933</v>
      </c>
      <c r="J3354" s="1" t="s">
        <v>951</v>
      </c>
      <c r="K3354" s="1" t="s">
        <v>1654</v>
      </c>
      <c r="L3354" s="1" t="s">
        <v>4794</v>
      </c>
      <c r="M3354" s="3">
        <v>46087</v>
      </c>
      <c r="N3354" s="1" t="s">
        <v>57</v>
      </c>
      <c r="O3354" s="1" t="s">
        <v>990</v>
      </c>
      <c r="P3354" s="1">
        <v>1</v>
      </c>
    </row>
    <row r="3355" spans="1:16" x14ac:dyDescent="0.25">
      <c r="A3355" s="3">
        <v>46085</v>
      </c>
      <c r="B3355" s="4">
        <v>4717</v>
      </c>
      <c r="C3355" s="5">
        <v>189.23</v>
      </c>
      <c r="D3355" s="1" t="s">
        <v>3130</v>
      </c>
      <c r="E3355" s="1" t="s">
        <v>3131</v>
      </c>
      <c r="F3355" s="1" t="s">
        <v>66</v>
      </c>
      <c r="G3355" s="1" t="s">
        <v>940</v>
      </c>
      <c r="H3355" s="3">
        <v>46100</v>
      </c>
      <c r="I3355" s="1" t="s">
        <v>933</v>
      </c>
      <c r="J3355" s="1" t="s">
        <v>66</v>
      </c>
      <c r="K3355" s="1" t="s">
        <v>340</v>
      </c>
      <c r="L3355" s="1" t="s">
        <v>4795</v>
      </c>
      <c r="M3355" s="3">
        <v>46087</v>
      </c>
      <c r="N3355" s="1" t="s">
        <v>57</v>
      </c>
      <c r="O3355" s="1" t="s">
        <v>936</v>
      </c>
      <c r="P3355" s="1" t="s">
        <v>937</v>
      </c>
    </row>
    <row r="3356" spans="1:16" x14ac:dyDescent="0.25">
      <c r="A3356" s="3">
        <v>46085</v>
      </c>
      <c r="B3356" s="1">
        <v>36</v>
      </c>
      <c r="C3356" s="5">
        <v>85</v>
      </c>
      <c r="D3356" s="1" t="s">
        <v>5139</v>
      </c>
      <c r="E3356" s="1" t="s">
        <v>5140</v>
      </c>
      <c r="F3356" s="1" t="s">
        <v>533</v>
      </c>
      <c r="G3356" s="1" t="s">
        <v>940</v>
      </c>
      <c r="H3356" s="1" t="s">
        <v>4055</v>
      </c>
      <c r="I3356" s="1" t="s">
        <v>933</v>
      </c>
      <c r="J3356" s="1" t="s">
        <v>66</v>
      </c>
      <c r="K3356" s="1" t="s">
        <v>636</v>
      </c>
      <c r="L3356" s="1" t="s">
        <v>5141</v>
      </c>
      <c r="M3356" s="1" t="s">
        <v>4055</v>
      </c>
      <c r="N3356" s="1" t="s">
        <v>57</v>
      </c>
      <c r="O3356" s="1" t="s">
        <v>936</v>
      </c>
      <c r="P3356" s="1">
        <v>1</v>
      </c>
    </row>
    <row r="3357" spans="1:16" x14ac:dyDescent="0.25">
      <c r="A3357" s="3">
        <v>46085</v>
      </c>
      <c r="B3357" s="4">
        <v>5203</v>
      </c>
      <c r="C3357" s="5">
        <v>230</v>
      </c>
      <c r="D3357" s="1" t="s">
        <v>938</v>
      </c>
      <c r="E3357" s="1" t="s">
        <v>939</v>
      </c>
      <c r="F3357" s="1" t="s">
        <v>66</v>
      </c>
      <c r="G3357" s="1" t="s">
        <v>950</v>
      </c>
      <c r="H3357" s="1" t="s">
        <v>4055</v>
      </c>
      <c r="I3357" s="1" t="s">
        <v>933</v>
      </c>
      <c r="J3357" s="1" t="s">
        <v>66</v>
      </c>
      <c r="K3357" s="1" t="s">
        <v>66</v>
      </c>
      <c r="L3357" s="1" t="s">
        <v>5157</v>
      </c>
      <c r="M3357" s="1" t="s">
        <v>4055</v>
      </c>
      <c r="N3357" s="1" t="s">
        <v>57</v>
      </c>
      <c r="O3357" s="1" t="s">
        <v>936</v>
      </c>
      <c r="P3357" s="1">
        <v>1</v>
      </c>
    </row>
    <row r="3358" spans="1:16" x14ac:dyDescent="0.25">
      <c r="A3358" s="3">
        <v>46086</v>
      </c>
      <c r="B3358" s="4">
        <v>73123</v>
      </c>
      <c r="C3358" s="5">
        <v>1224.78</v>
      </c>
      <c r="D3358" s="1" t="s">
        <v>1253</v>
      </c>
      <c r="E3358" s="1" t="s">
        <v>1487</v>
      </c>
      <c r="F3358" s="1" t="s">
        <v>483</v>
      </c>
      <c r="G3358" s="1" t="s">
        <v>940</v>
      </c>
      <c r="H3358" s="3">
        <v>46118</v>
      </c>
      <c r="I3358" s="1" t="s">
        <v>933</v>
      </c>
      <c r="J3358" s="1" t="s">
        <v>66</v>
      </c>
      <c r="K3358" s="1" t="s">
        <v>340</v>
      </c>
      <c r="L3358" s="1" t="s">
        <v>4796</v>
      </c>
      <c r="M3358" s="3">
        <v>46087</v>
      </c>
      <c r="N3358" s="1" t="s">
        <v>383</v>
      </c>
      <c r="O3358" s="1" t="s">
        <v>936</v>
      </c>
      <c r="P3358" s="1">
        <v>1</v>
      </c>
    </row>
    <row r="3359" spans="1:16" x14ac:dyDescent="0.25">
      <c r="A3359" s="3">
        <v>46086</v>
      </c>
      <c r="B3359" s="4">
        <v>1167</v>
      </c>
      <c r="C3359" s="5">
        <v>21884</v>
      </c>
      <c r="D3359" s="1" t="s">
        <v>1294</v>
      </c>
      <c r="E3359" s="1" t="s">
        <v>1295</v>
      </c>
      <c r="F3359" s="1" t="s">
        <v>66</v>
      </c>
      <c r="G3359" s="1" t="s">
        <v>940</v>
      </c>
      <c r="H3359" s="3">
        <v>46116</v>
      </c>
      <c r="I3359" s="1" t="s">
        <v>933</v>
      </c>
      <c r="J3359" s="1" t="s">
        <v>66</v>
      </c>
      <c r="K3359" s="1" t="s">
        <v>308</v>
      </c>
      <c r="L3359" s="1" t="s">
        <v>4797</v>
      </c>
      <c r="M3359" s="3">
        <v>46087</v>
      </c>
      <c r="N3359" s="1" t="s">
        <v>57</v>
      </c>
      <c r="O3359" s="1" t="s">
        <v>936</v>
      </c>
      <c r="P3359" s="1">
        <v>1</v>
      </c>
    </row>
    <row r="3360" spans="1:16" x14ac:dyDescent="0.25">
      <c r="A3360" s="3">
        <v>46086</v>
      </c>
      <c r="B3360" s="1">
        <v>300</v>
      </c>
      <c r="C3360" s="5">
        <v>3000</v>
      </c>
      <c r="D3360" s="1" t="s">
        <v>2232</v>
      </c>
      <c r="E3360" s="1" t="s">
        <v>2233</v>
      </c>
      <c r="F3360" s="1" t="s">
        <v>66</v>
      </c>
      <c r="G3360" s="1" t="s">
        <v>932</v>
      </c>
      <c r="H3360" s="3">
        <v>46111</v>
      </c>
      <c r="I3360" s="1" t="s">
        <v>933</v>
      </c>
      <c r="J3360" s="1" t="s">
        <v>66</v>
      </c>
      <c r="K3360" s="1" t="s">
        <v>308</v>
      </c>
      <c r="L3360" s="1" t="s">
        <v>4798</v>
      </c>
      <c r="M3360" s="3">
        <v>46087</v>
      </c>
      <c r="N3360" s="1" t="s">
        <v>57</v>
      </c>
      <c r="O3360" s="1" t="s">
        <v>936</v>
      </c>
      <c r="P3360" s="1">
        <v>1</v>
      </c>
    </row>
    <row r="3361" spans="1:16" x14ac:dyDescent="0.25">
      <c r="A3361" s="3">
        <v>46086</v>
      </c>
      <c r="B3361" s="4">
        <v>3242</v>
      </c>
      <c r="C3361" s="5">
        <v>300</v>
      </c>
      <c r="D3361" s="1" t="s">
        <v>3717</v>
      </c>
      <c r="E3361" s="1" t="s">
        <v>4799</v>
      </c>
      <c r="F3361" s="1" t="s">
        <v>201</v>
      </c>
      <c r="G3361" s="1" t="s">
        <v>940</v>
      </c>
      <c r="H3361" s="3">
        <v>46101</v>
      </c>
      <c r="I3361" s="1" t="s">
        <v>933</v>
      </c>
      <c r="J3361" s="1" t="s">
        <v>66</v>
      </c>
      <c r="K3361" s="1" t="s">
        <v>340</v>
      </c>
      <c r="L3361" s="1" t="s">
        <v>4800</v>
      </c>
      <c r="M3361" s="3">
        <v>46087</v>
      </c>
      <c r="N3361" s="1" t="s">
        <v>57</v>
      </c>
      <c r="O3361" s="1" t="s">
        <v>936</v>
      </c>
      <c r="P3361" s="1" t="s">
        <v>937</v>
      </c>
    </row>
    <row r="3362" spans="1:16" x14ac:dyDescent="0.25">
      <c r="A3362" s="3">
        <v>46086</v>
      </c>
      <c r="B3362" s="1">
        <v>6</v>
      </c>
      <c r="C3362" s="5">
        <v>14000</v>
      </c>
      <c r="D3362" s="1" t="s">
        <v>4801</v>
      </c>
      <c r="E3362" s="1" t="s">
        <v>4802</v>
      </c>
      <c r="F3362" s="1" t="s">
        <v>66</v>
      </c>
      <c r="G3362" s="1" t="s">
        <v>932</v>
      </c>
      <c r="H3362" s="3">
        <v>46101</v>
      </c>
      <c r="I3362" s="1" t="s">
        <v>933</v>
      </c>
      <c r="J3362" s="1" t="s">
        <v>66</v>
      </c>
      <c r="K3362" s="1" t="s">
        <v>340</v>
      </c>
      <c r="L3362" s="1" t="s">
        <v>4803</v>
      </c>
      <c r="M3362" s="3">
        <v>46087</v>
      </c>
      <c r="N3362" s="1" t="s">
        <v>57</v>
      </c>
      <c r="O3362" s="1" t="s">
        <v>936</v>
      </c>
      <c r="P3362" s="1" t="s">
        <v>937</v>
      </c>
    </row>
    <row r="3363" spans="1:16" x14ac:dyDescent="0.25">
      <c r="A3363" s="3">
        <v>46086</v>
      </c>
      <c r="B3363" s="1">
        <v>140</v>
      </c>
      <c r="C3363" s="5">
        <v>1795</v>
      </c>
      <c r="D3363" s="1" t="s">
        <v>3887</v>
      </c>
      <c r="E3363" s="1" t="s">
        <v>3888</v>
      </c>
      <c r="F3363" s="1" t="s">
        <v>66</v>
      </c>
      <c r="G3363" s="1" t="s">
        <v>1029</v>
      </c>
      <c r="H3363" s="3">
        <v>46101</v>
      </c>
      <c r="I3363" s="1" t="s">
        <v>933</v>
      </c>
      <c r="J3363" s="1" t="s">
        <v>66</v>
      </c>
      <c r="K3363" s="1" t="s">
        <v>308</v>
      </c>
      <c r="L3363" s="1" t="s">
        <v>4804</v>
      </c>
      <c r="M3363" s="3">
        <v>46087</v>
      </c>
      <c r="N3363" s="1" t="s">
        <v>57</v>
      </c>
      <c r="O3363" s="1" t="s">
        <v>936</v>
      </c>
      <c r="P3363" s="1">
        <v>1</v>
      </c>
    </row>
    <row r="3364" spans="1:16" x14ac:dyDescent="0.25">
      <c r="A3364" s="3">
        <v>46086</v>
      </c>
      <c r="B3364" s="1">
        <v>84</v>
      </c>
      <c r="C3364" s="5">
        <v>795</v>
      </c>
      <c r="D3364" s="1" t="s">
        <v>2158</v>
      </c>
      <c r="E3364" s="1" t="s">
        <v>2159</v>
      </c>
      <c r="F3364" s="1" t="s">
        <v>283</v>
      </c>
      <c r="G3364" s="1" t="s">
        <v>940</v>
      </c>
      <c r="H3364" s="3">
        <v>46104</v>
      </c>
      <c r="I3364" s="1" t="s">
        <v>933</v>
      </c>
      <c r="J3364" s="1" t="s">
        <v>66</v>
      </c>
      <c r="K3364" s="1" t="s">
        <v>340</v>
      </c>
      <c r="L3364" s="1" t="s">
        <v>4586</v>
      </c>
      <c r="M3364" s="3">
        <v>46087</v>
      </c>
      <c r="N3364" s="1" t="s">
        <v>264</v>
      </c>
      <c r="O3364" s="1" t="s">
        <v>936</v>
      </c>
      <c r="P3364" s="1" t="s">
        <v>937</v>
      </c>
    </row>
    <row r="3365" spans="1:16" x14ac:dyDescent="0.25">
      <c r="A3365" s="3">
        <v>46086</v>
      </c>
      <c r="B3365" s="1">
        <v>58</v>
      </c>
      <c r="C3365" s="5">
        <v>10864.29</v>
      </c>
      <c r="D3365" s="1" t="s">
        <v>4805</v>
      </c>
      <c r="E3365" s="1" t="s">
        <v>4806</v>
      </c>
      <c r="F3365" s="1" t="s">
        <v>66</v>
      </c>
      <c r="G3365" s="1" t="s">
        <v>932</v>
      </c>
      <c r="H3365" s="3">
        <v>46104</v>
      </c>
      <c r="I3365" s="1" t="s">
        <v>933</v>
      </c>
      <c r="J3365" s="1" t="s">
        <v>66</v>
      </c>
      <c r="K3365" s="1" t="s">
        <v>340</v>
      </c>
      <c r="L3365" s="1" t="s">
        <v>4807</v>
      </c>
      <c r="M3365" s="3">
        <v>46088</v>
      </c>
      <c r="N3365" s="1" t="s">
        <v>57</v>
      </c>
      <c r="O3365" s="1" t="s">
        <v>936</v>
      </c>
      <c r="P3365" s="1">
        <v>1</v>
      </c>
    </row>
    <row r="3366" spans="1:16" x14ac:dyDescent="0.25">
      <c r="A3366" s="3">
        <v>46086</v>
      </c>
      <c r="B3366" s="4">
        <v>1061889</v>
      </c>
      <c r="C3366" s="5">
        <v>2250</v>
      </c>
      <c r="D3366" s="1" t="s">
        <v>2670</v>
      </c>
      <c r="E3366" s="1" t="s">
        <v>2873</v>
      </c>
      <c r="F3366" s="1" t="s">
        <v>400</v>
      </c>
      <c r="G3366" s="1" t="s">
        <v>1667</v>
      </c>
      <c r="H3366" s="3">
        <v>46115</v>
      </c>
      <c r="I3366" s="1" t="s">
        <v>1100</v>
      </c>
      <c r="J3366" s="1" t="s">
        <v>66</v>
      </c>
      <c r="K3366" s="1" t="s">
        <v>340</v>
      </c>
      <c r="L3366" s="1" t="s">
        <v>4808</v>
      </c>
      <c r="M3366" s="3">
        <v>46091</v>
      </c>
      <c r="N3366" s="1" t="s">
        <v>57</v>
      </c>
      <c r="O3366" s="1" t="s">
        <v>936</v>
      </c>
      <c r="P3366" s="1">
        <v>1</v>
      </c>
    </row>
    <row r="3367" spans="1:16" x14ac:dyDescent="0.25">
      <c r="A3367" s="3">
        <v>46086</v>
      </c>
      <c r="B3367" s="4">
        <v>4504</v>
      </c>
      <c r="C3367" s="5">
        <v>133</v>
      </c>
      <c r="D3367" s="1" t="s">
        <v>1152</v>
      </c>
      <c r="E3367" s="1" t="s">
        <v>5147</v>
      </c>
      <c r="F3367" s="1" t="s">
        <v>674</v>
      </c>
      <c r="G3367" s="1" t="s">
        <v>950</v>
      </c>
      <c r="H3367" s="1" t="s">
        <v>4055</v>
      </c>
      <c r="I3367" s="1" t="s">
        <v>933</v>
      </c>
      <c r="J3367" s="1" t="s">
        <v>66</v>
      </c>
      <c r="K3367" s="1" t="s">
        <v>148</v>
      </c>
      <c r="L3367" s="1" t="s">
        <v>5148</v>
      </c>
      <c r="M3367" s="1" t="s">
        <v>4055</v>
      </c>
      <c r="N3367" s="1" t="s">
        <v>57</v>
      </c>
      <c r="O3367" s="1" t="s">
        <v>936</v>
      </c>
      <c r="P3367" s="1">
        <v>1</v>
      </c>
    </row>
    <row r="3368" spans="1:16" x14ac:dyDescent="0.25">
      <c r="A3368" s="3">
        <v>46086</v>
      </c>
      <c r="B3368" s="4">
        <v>12423</v>
      </c>
      <c r="C3368" s="5">
        <v>28.73</v>
      </c>
      <c r="D3368" s="1" t="s">
        <v>3995</v>
      </c>
      <c r="E3368" s="1" t="s">
        <v>3996</v>
      </c>
      <c r="F3368" s="1" t="s">
        <v>66</v>
      </c>
      <c r="G3368" s="1" t="s">
        <v>940</v>
      </c>
      <c r="H3368" s="1" t="s">
        <v>4055</v>
      </c>
      <c r="I3368" s="1" t="s">
        <v>933</v>
      </c>
      <c r="J3368" s="1" t="s">
        <v>66</v>
      </c>
      <c r="K3368" s="1" t="s">
        <v>308</v>
      </c>
      <c r="L3368" s="1" t="s">
        <v>5158</v>
      </c>
      <c r="M3368" s="1" t="s">
        <v>4055</v>
      </c>
      <c r="N3368" s="1" t="s">
        <v>57</v>
      </c>
      <c r="O3368" s="1" t="s">
        <v>936</v>
      </c>
      <c r="P3368" s="1">
        <v>1</v>
      </c>
    </row>
    <row r="3369" spans="1:16" x14ac:dyDescent="0.25">
      <c r="A3369" s="3">
        <v>46087</v>
      </c>
      <c r="B3369" s="1">
        <v>539</v>
      </c>
      <c r="C3369" s="5">
        <v>100</v>
      </c>
      <c r="D3369" s="1" t="s">
        <v>3998</v>
      </c>
      <c r="E3369" s="1" t="s">
        <v>3999</v>
      </c>
      <c r="F3369" s="1" t="s">
        <v>268</v>
      </c>
      <c r="G3369" s="1" t="s">
        <v>940</v>
      </c>
      <c r="H3369" s="1" t="s">
        <v>4055</v>
      </c>
      <c r="I3369" s="1" t="s">
        <v>933</v>
      </c>
      <c r="J3369" s="1" t="s">
        <v>66</v>
      </c>
      <c r="K3369" s="1" t="s">
        <v>340</v>
      </c>
      <c r="L3369" s="1" t="s">
        <v>4056</v>
      </c>
      <c r="M3369" s="1" t="s">
        <v>4055</v>
      </c>
      <c r="N3369" s="1" t="s">
        <v>264</v>
      </c>
      <c r="O3369" s="1" t="s">
        <v>936</v>
      </c>
      <c r="P3369" s="1">
        <v>1</v>
      </c>
    </row>
    <row r="3370" spans="1:16" x14ac:dyDescent="0.25">
      <c r="A3370" s="3">
        <v>46087</v>
      </c>
      <c r="B3370" s="1">
        <v>89</v>
      </c>
      <c r="C3370" s="5">
        <v>185</v>
      </c>
      <c r="D3370" s="1" t="s">
        <v>3998</v>
      </c>
      <c r="E3370" s="1" t="s">
        <v>3999</v>
      </c>
      <c r="F3370" s="1" t="s">
        <v>268</v>
      </c>
      <c r="G3370" s="1" t="s">
        <v>940</v>
      </c>
      <c r="H3370" s="1" t="s">
        <v>4055</v>
      </c>
      <c r="I3370" s="1" t="s">
        <v>933</v>
      </c>
      <c r="J3370" s="1" t="s">
        <v>66</v>
      </c>
      <c r="K3370" s="1" t="s">
        <v>340</v>
      </c>
      <c r="L3370" s="1" t="s">
        <v>4057</v>
      </c>
      <c r="M3370" s="1" t="s">
        <v>4055</v>
      </c>
      <c r="N3370" s="1" t="s">
        <v>264</v>
      </c>
      <c r="O3370" s="1" t="s">
        <v>936</v>
      </c>
      <c r="P3370" s="1">
        <v>2</v>
      </c>
    </row>
    <row r="3371" spans="1:16" x14ac:dyDescent="0.25">
      <c r="A3371" s="3">
        <v>46087</v>
      </c>
      <c r="B3371" s="4">
        <v>10517</v>
      </c>
      <c r="C3371" s="5">
        <v>22762.12</v>
      </c>
      <c r="D3371" s="1" t="s">
        <v>973</v>
      </c>
      <c r="E3371" s="1" t="s">
        <v>1068</v>
      </c>
      <c r="F3371" s="1" t="s">
        <v>66</v>
      </c>
      <c r="G3371" s="1" t="s">
        <v>998</v>
      </c>
      <c r="H3371" s="3">
        <v>46093</v>
      </c>
      <c r="I3371" s="1" t="s">
        <v>933</v>
      </c>
      <c r="J3371" s="1" t="s">
        <v>66</v>
      </c>
      <c r="K3371" s="1" t="s">
        <v>66</v>
      </c>
      <c r="L3371" s="1" t="s">
        <v>4809</v>
      </c>
      <c r="M3371" s="3">
        <v>46087</v>
      </c>
      <c r="N3371" s="1" t="s">
        <v>57</v>
      </c>
      <c r="O3371" s="1" t="s">
        <v>998</v>
      </c>
      <c r="P3371" s="1">
        <v>1</v>
      </c>
    </row>
    <row r="3372" spans="1:16" x14ac:dyDescent="0.25">
      <c r="A3372" s="3">
        <v>46087</v>
      </c>
      <c r="B3372" s="4">
        <v>1056</v>
      </c>
      <c r="C3372" s="5">
        <v>21590</v>
      </c>
      <c r="D3372" s="1" t="s">
        <v>1080</v>
      </c>
      <c r="E3372" s="1" t="s">
        <v>3046</v>
      </c>
      <c r="F3372" s="1" t="s">
        <v>66</v>
      </c>
      <c r="G3372" s="1" t="s">
        <v>20</v>
      </c>
      <c r="H3372" s="3">
        <v>46108</v>
      </c>
      <c r="I3372" s="1" t="s">
        <v>933</v>
      </c>
      <c r="J3372" s="1" t="s">
        <v>66</v>
      </c>
      <c r="K3372" s="1" t="s">
        <v>934</v>
      </c>
      <c r="L3372" s="1" t="s">
        <v>4810</v>
      </c>
      <c r="M3372" s="3">
        <v>46087</v>
      </c>
      <c r="N3372" s="1" t="s">
        <v>57</v>
      </c>
      <c r="O3372" s="1" t="s">
        <v>936</v>
      </c>
      <c r="P3372" s="1">
        <v>1</v>
      </c>
    </row>
    <row r="3373" spans="1:16" x14ac:dyDescent="0.25">
      <c r="A3373" s="3">
        <v>46087</v>
      </c>
      <c r="B3373" s="4">
        <v>1679</v>
      </c>
      <c r="C3373" s="5">
        <v>6842.02</v>
      </c>
      <c r="D3373" s="1" t="s">
        <v>1901</v>
      </c>
      <c r="E3373" s="1" t="s">
        <v>1902</v>
      </c>
      <c r="F3373" s="1" t="s">
        <v>659</v>
      </c>
      <c r="G3373" s="1" t="s">
        <v>20</v>
      </c>
      <c r="H3373" s="3">
        <v>46115</v>
      </c>
      <c r="I3373" s="1" t="s">
        <v>933</v>
      </c>
      <c r="J3373" s="1" t="s">
        <v>951</v>
      </c>
      <c r="K3373" s="1" t="s">
        <v>934</v>
      </c>
      <c r="L3373" s="1" t="s">
        <v>4811</v>
      </c>
      <c r="M3373" s="3">
        <v>46087</v>
      </c>
      <c r="N3373" s="1" t="s">
        <v>57</v>
      </c>
      <c r="O3373" s="1" t="s">
        <v>936</v>
      </c>
      <c r="P3373" s="1">
        <v>1</v>
      </c>
    </row>
    <row r="3374" spans="1:16" x14ac:dyDescent="0.25">
      <c r="A3374" s="3">
        <v>46087</v>
      </c>
      <c r="B3374" s="4">
        <v>10518</v>
      </c>
      <c r="C3374" s="5">
        <v>9496.73</v>
      </c>
      <c r="D3374" s="1" t="s">
        <v>973</v>
      </c>
      <c r="E3374" s="1" t="s">
        <v>1068</v>
      </c>
      <c r="F3374" s="1" t="s">
        <v>66</v>
      </c>
      <c r="G3374" s="1" t="s">
        <v>998</v>
      </c>
      <c r="H3374" s="3">
        <v>46102</v>
      </c>
      <c r="I3374" s="1" t="s">
        <v>933</v>
      </c>
      <c r="J3374" s="1" t="s">
        <v>66</v>
      </c>
      <c r="K3374" s="1" t="s">
        <v>66</v>
      </c>
      <c r="L3374" s="1" t="s">
        <v>4812</v>
      </c>
      <c r="M3374" s="3">
        <v>46088</v>
      </c>
      <c r="N3374" s="1" t="s">
        <v>57</v>
      </c>
      <c r="O3374" s="1" t="s">
        <v>998</v>
      </c>
      <c r="P3374" s="1">
        <v>1</v>
      </c>
    </row>
    <row r="3375" spans="1:16" x14ac:dyDescent="0.25">
      <c r="A3375" s="3">
        <v>46087</v>
      </c>
      <c r="B3375" s="4">
        <v>52290</v>
      </c>
      <c r="C3375" s="5">
        <v>9950</v>
      </c>
      <c r="D3375" s="1" t="s">
        <v>1489</v>
      </c>
      <c r="E3375" s="1" t="s">
        <v>1490</v>
      </c>
      <c r="F3375" s="1" t="s">
        <v>66</v>
      </c>
      <c r="G3375" s="1" t="s">
        <v>940</v>
      </c>
      <c r="H3375" s="3">
        <v>46117</v>
      </c>
      <c r="I3375" s="1" t="s">
        <v>933</v>
      </c>
      <c r="J3375" s="1" t="s">
        <v>66</v>
      </c>
      <c r="K3375" s="1" t="s">
        <v>308</v>
      </c>
      <c r="L3375" s="1" t="s">
        <v>4813</v>
      </c>
      <c r="M3375" s="3">
        <v>46088</v>
      </c>
      <c r="N3375" s="1" t="s">
        <v>57</v>
      </c>
      <c r="O3375" s="1" t="s">
        <v>936</v>
      </c>
      <c r="P3375" s="1">
        <v>1</v>
      </c>
    </row>
    <row r="3376" spans="1:16" x14ac:dyDescent="0.25">
      <c r="A3376" s="3">
        <v>46087</v>
      </c>
      <c r="B3376" s="4">
        <v>73142</v>
      </c>
      <c r="C3376" s="5">
        <v>1552.29</v>
      </c>
      <c r="D3376" s="1" t="s">
        <v>1253</v>
      </c>
      <c r="E3376" s="1" t="s">
        <v>1487</v>
      </c>
      <c r="F3376" s="1" t="s">
        <v>619</v>
      </c>
      <c r="G3376" s="1" t="s">
        <v>1667</v>
      </c>
      <c r="H3376" s="3">
        <v>46118</v>
      </c>
      <c r="I3376" s="1" t="s">
        <v>933</v>
      </c>
      <c r="J3376" s="1" t="s">
        <v>66</v>
      </c>
      <c r="K3376" s="1" t="s">
        <v>340</v>
      </c>
      <c r="L3376" s="1" t="s">
        <v>4814</v>
      </c>
      <c r="M3376" s="3">
        <v>46088</v>
      </c>
      <c r="N3376" s="1" t="s">
        <v>383</v>
      </c>
      <c r="O3376" s="1" t="s">
        <v>936</v>
      </c>
      <c r="P3376" s="1">
        <v>1</v>
      </c>
    </row>
    <row r="3377" spans="1:16" x14ac:dyDescent="0.25">
      <c r="A3377" s="3">
        <v>46087</v>
      </c>
      <c r="B3377" s="4">
        <v>15869</v>
      </c>
      <c r="C3377" s="5">
        <v>12000</v>
      </c>
      <c r="D3377" s="1" t="s">
        <v>1144</v>
      </c>
      <c r="E3377" s="1" t="s">
        <v>1145</v>
      </c>
      <c r="F3377" s="1" t="s">
        <v>66</v>
      </c>
      <c r="G3377" s="1" t="s">
        <v>932</v>
      </c>
      <c r="H3377" s="3">
        <v>46118</v>
      </c>
      <c r="I3377" s="1" t="s">
        <v>933</v>
      </c>
      <c r="J3377" s="1" t="s">
        <v>66</v>
      </c>
      <c r="K3377" s="1" t="s">
        <v>308</v>
      </c>
      <c r="L3377" s="1" t="s">
        <v>4815</v>
      </c>
      <c r="M3377" s="3">
        <v>46088</v>
      </c>
      <c r="N3377" s="1" t="s">
        <v>4816</v>
      </c>
      <c r="O3377" s="1" t="s">
        <v>936</v>
      </c>
      <c r="P3377" s="1">
        <v>1</v>
      </c>
    </row>
    <row r="3378" spans="1:16" x14ac:dyDescent="0.25">
      <c r="A3378" s="3">
        <v>46087</v>
      </c>
      <c r="B3378" s="4">
        <v>5217</v>
      </c>
      <c r="C3378" s="5">
        <v>589.12</v>
      </c>
      <c r="D3378" s="1" t="s">
        <v>938</v>
      </c>
      <c r="E3378" s="1" t="s">
        <v>939</v>
      </c>
      <c r="F3378" s="1" t="s">
        <v>66</v>
      </c>
      <c r="G3378" s="1" t="s">
        <v>20</v>
      </c>
      <c r="H3378" s="3">
        <v>46118</v>
      </c>
      <c r="I3378" s="1" t="s">
        <v>933</v>
      </c>
      <c r="J3378" s="1" t="s">
        <v>66</v>
      </c>
      <c r="K3378" s="1" t="s">
        <v>659</v>
      </c>
      <c r="L3378" s="1" t="s">
        <v>4817</v>
      </c>
      <c r="M3378" s="3">
        <v>46088</v>
      </c>
      <c r="N3378" s="1" t="s">
        <v>57</v>
      </c>
      <c r="O3378" s="1" t="s">
        <v>936</v>
      </c>
      <c r="P3378" s="1">
        <v>1</v>
      </c>
    </row>
    <row r="3379" spans="1:16" x14ac:dyDescent="0.25">
      <c r="A3379" s="3">
        <v>46087</v>
      </c>
      <c r="B3379" s="1">
        <v>3</v>
      </c>
      <c r="C3379" s="5">
        <v>10000</v>
      </c>
      <c r="D3379" s="1" t="s">
        <v>4217</v>
      </c>
      <c r="E3379" s="1" t="s">
        <v>4218</v>
      </c>
      <c r="F3379" s="1" t="s">
        <v>966</v>
      </c>
      <c r="G3379" s="1" t="s">
        <v>20</v>
      </c>
      <c r="H3379" s="3">
        <v>46102</v>
      </c>
      <c r="I3379" s="1" t="s">
        <v>933</v>
      </c>
      <c r="J3379" s="1" t="s">
        <v>951</v>
      </c>
      <c r="K3379" s="1" t="s">
        <v>934</v>
      </c>
      <c r="L3379" s="1" t="s">
        <v>4451</v>
      </c>
      <c r="M3379" s="3">
        <v>46088</v>
      </c>
      <c r="N3379" s="1" t="s">
        <v>57</v>
      </c>
      <c r="O3379" s="1" t="s">
        <v>936</v>
      </c>
      <c r="P3379" s="1" t="s">
        <v>937</v>
      </c>
    </row>
    <row r="3380" spans="1:16" x14ac:dyDescent="0.25">
      <c r="A3380" s="3">
        <v>46087</v>
      </c>
      <c r="B3380" s="4">
        <v>3921</v>
      </c>
      <c r="C3380" s="5">
        <v>5300</v>
      </c>
      <c r="D3380" s="1" t="s">
        <v>1596</v>
      </c>
      <c r="E3380" s="1" t="s">
        <v>1597</v>
      </c>
      <c r="F3380" s="1" t="s">
        <v>66</v>
      </c>
      <c r="G3380" s="1" t="s">
        <v>1029</v>
      </c>
      <c r="H3380" s="3">
        <v>46107</v>
      </c>
      <c r="I3380" s="1" t="s">
        <v>933</v>
      </c>
      <c r="J3380" s="1" t="s">
        <v>66</v>
      </c>
      <c r="K3380" s="1" t="s">
        <v>659</v>
      </c>
      <c r="L3380" s="1" t="s">
        <v>4818</v>
      </c>
      <c r="M3380" s="3">
        <v>46091</v>
      </c>
      <c r="N3380" s="1" t="s">
        <v>57</v>
      </c>
      <c r="O3380" s="1" t="s">
        <v>936</v>
      </c>
      <c r="P3380" s="1">
        <v>1</v>
      </c>
    </row>
    <row r="3381" spans="1:16" x14ac:dyDescent="0.25">
      <c r="A3381" s="3">
        <v>46087</v>
      </c>
      <c r="B3381" s="4">
        <v>3920</v>
      </c>
      <c r="C3381" s="5">
        <v>12000</v>
      </c>
      <c r="D3381" s="1" t="s">
        <v>1596</v>
      </c>
      <c r="E3381" s="1" t="s">
        <v>1597</v>
      </c>
      <c r="F3381" s="1" t="s">
        <v>66</v>
      </c>
      <c r="G3381" s="1" t="s">
        <v>1029</v>
      </c>
      <c r="H3381" s="3">
        <v>46107</v>
      </c>
      <c r="I3381" s="1" t="s">
        <v>933</v>
      </c>
      <c r="J3381" s="1" t="s">
        <v>66</v>
      </c>
      <c r="K3381" s="1" t="s">
        <v>52</v>
      </c>
      <c r="L3381" s="1" t="s">
        <v>4819</v>
      </c>
      <c r="M3381" s="3">
        <v>46091</v>
      </c>
      <c r="N3381" s="1" t="s">
        <v>57</v>
      </c>
      <c r="O3381" s="1" t="s">
        <v>936</v>
      </c>
      <c r="P3381" s="1">
        <v>1</v>
      </c>
    </row>
    <row r="3382" spans="1:16" x14ac:dyDescent="0.25">
      <c r="A3382" s="3">
        <v>46087</v>
      </c>
      <c r="B3382" s="4">
        <v>2074</v>
      </c>
      <c r="C3382" s="5">
        <v>7500</v>
      </c>
      <c r="D3382" s="1" t="s">
        <v>1596</v>
      </c>
      <c r="E3382" s="1" t="s">
        <v>1597</v>
      </c>
      <c r="F3382" s="1" t="s">
        <v>66</v>
      </c>
      <c r="G3382" s="1" t="s">
        <v>932</v>
      </c>
      <c r="H3382" s="3">
        <v>46112</v>
      </c>
      <c r="I3382" s="1" t="s">
        <v>933</v>
      </c>
      <c r="J3382" s="1" t="s">
        <v>66</v>
      </c>
      <c r="K3382" s="1" t="s">
        <v>340</v>
      </c>
      <c r="L3382" s="1" t="s">
        <v>4820</v>
      </c>
      <c r="M3382" s="3">
        <v>46093</v>
      </c>
      <c r="N3382" s="1" t="s">
        <v>57</v>
      </c>
      <c r="O3382" s="1" t="s">
        <v>1031</v>
      </c>
      <c r="P3382" s="1">
        <v>1</v>
      </c>
    </row>
    <row r="3383" spans="1:16" x14ac:dyDescent="0.25">
      <c r="A3383" s="3">
        <v>46087</v>
      </c>
      <c r="B3383" s="1">
        <v>540</v>
      </c>
      <c r="C3383" s="5">
        <v>300</v>
      </c>
      <c r="D3383" s="1" t="s">
        <v>3998</v>
      </c>
      <c r="E3383" s="1" t="s">
        <v>3999</v>
      </c>
      <c r="F3383" s="1" t="s">
        <v>66</v>
      </c>
      <c r="G3383" s="1" t="s">
        <v>940</v>
      </c>
      <c r="H3383" s="1" t="s">
        <v>4055</v>
      </c>
      <c r="I3383" s="1" t="s">
        <v>933</v>
      </c>
      <c r="J3383" s="1" t="s">
        <v>66</v>
      </c>
      <c r="K3383" s="1" t="s">
        <v>340</v>
      </c>
      <c r="L3383" s="1" t="s">
        <v>5138</v>
      </c>
      <c r="M3383" s="1" t="s">
        <v>4055</v>
      </c>
      <c r="N3383" s="1" t="s">
        <v>57</v>
      </c>
      <c r="O3383" s="1" t="s">
        <v>936</v>
      </c>
      <c r="P3383" s="1">
        <v>1</v>
      </c>
    </row>
    <row r="3384" spans="1:16" x14ac:dyDescent="0.25">
      <c r="A3384" s="3">
        <v>46087</v>
      </c>
      <c r="B3384" s="1">
        <v>48</v>
      </c>
      <c r="C3384" s="5">
        <v>390</v>
      </c>
      <c r="D3384" s="1" t="s">
        <v>5143</v>
      </c>
      <c r="E3384" s="1" t="s">
        <v>5144</v>
      </c>
      <c r="F3384" s="1" t="s">
        <v>66</v>
      </c>
      <c r="G3384" s="1" t="s">
        <v>940</v>
      </c>
      <c r="H3384" s="1" t="s">
        <v>4055</v>
      </c>
      <c r="I3384" s="1" t="s">
        <v>933</v>
      </c>
      <c r="J3384" s="1" t="s">
        <v>66</v>
      </c>
      <c r="K3384" s="1" t="s">
        <v>817</v>
      </c>
      <c r="L3384" s="1" t="s">
        <v>5145</v>
      </c>
      <c r="M3384" s="1" t="s">
        <v>4055</v>
      </c>
      <c r="N3384" s="1" t="s">
        <v>57</v>
      </c>
      <c r="O3384" s="1" t="s">
        <v>936</v>
      </c>
      <c r="P3384" s="1" t="s">
        <v>937</v>
      </c>
    </row>
    <row r="3385" spans="1:16" x14ac:dyDescent="0.25">
      <c r="A3385" s="3">
        <v>46087</v>
      </c>
      <c r="B3385" s="4">
        <v>2509</v>
      </c>
      <c r="C3385" s="5">
        <v>200</v>
      </c>
      <c r="D3385" s="1" t="s">
        <v>1182</v>
      </c>
      <c r="E3385" s="1" t="s">
        <v>1183</v>
      </c>
      <c r="F3385" s="1" t="s">
        <v>66</v>
      </c>
      <c r="G3385" s="1" t="s">
        <v>940</v>
      </c>
      <c r="H3385" s="1" t="s">
        <v>4055</v>
      </c>
      <c r="I3385" s="1" t="s">
        <v>933</v>
      </c>
      <c r="J3385" s="1" t="s">
        <v>66</v>
      </c>
      <c r="K3385" s="1" t="s">
        <v>817</v>
      </c>
      <c r="L3385" s="1" t="s">
        <v>5146</v>
      </c>
      <c r="M3385" s="1" t="s">
        <v>4055</v>
      </c>
      <c r="N3385" s="1" t="s">
        <v>57</v>
      </c>
      <c r="O3385" s="1" t="s">
        <v>936</v>
      </c>
      <c r="P3385" s="1">
        <v>1</v>
      </c>
    </row>
    <row r="3386" spans="1:16" x14ac:dyDescent="0.25">
      <c r="A3386" s="3">
        <v>46088</v>
      </c>
      <c r="B3386" s="4">
        <v>10521</v>
      </c>
      <c r="C3386" s="5">
        <v>4364.16</v>
      </c>
      <c r="D3386" s="1" t="s">
        <v>973</v>
      </c>
      <c r="E3386" s="1" t="s">
        <v>1068</v>
      </c>
      <c r="F3386" s="1" t="s">
        <v>66</v>
      </c>
      <c r="G3386" s="1" t="s">
        <v>998</v>
      </c>
      <c r="H3386" s="3">
        <v>46103</v>
      </c>
      <c r="I3386" s="1" t="s">
        <v>933</v>
      </c>
      <c r="J3386" s="1" t="s">
        <v>66</v>
      </c>
      <c r="K3386" s="1" t="s">
        <v>308</v>
      </c>
      <c r="L3386" s="1" t="s">
        <v>4821</v>
      </c>
      <c r="M3386" s="3">
        <v>46088</v>
      </c>
      <c r="N3386" s="1" t="s">
        <v>57</v>
      </c>
      <c r="O3386" s="1" t="s">
        <v>998</v>
      </c>
      <c r="P3386" s="1">
        <v>1</v>
      </c>
    </row>
    <row r="3387" spans="1:16" x14ac:dyDescent="0.25">
      <c r="A3387" s="3">
        <v>46089</v>
      </c>
      <c r="B3387" s="4">
        <v>30313</v>
      </c>
      <c r="C3387" s="5">
        <v>161</v>
      </c>
      <c r="D3387" s="1" t="s">
        <v>992</v>
      </c>
      <c r="E3387" s="1" t="s">
        <v>1243</v>
      </c>
      <c r="F3387" s="1" t="s">
        <v>66</v>
      </c>
      <c r="G3387" s="1" t="s">
        <v>940</v>
      </c>
      <c r="H3387" s="1" t="s">
        <v>4055</v>
      </c>
      <c r="I3387" s="1" t="s">
        <v>933</v>
      </c>
      <c r="J3387" s="1" t="s">
        <v>66</v>
      </c>
      <c r="K3387" s="1" t="s">
        <v>817</v>
      </c>
      <c r="L3387" s="1" t="s">
        <v>5142</v>
      </c>
      <c r="M3387" s="1" t="s">
        <v>4055</v>
      </c>
      <c r="N3387" s="1" t="s">
        <v>57</v>
      </c>
      <c r="O3387" s="1" t="s">
        <v>998</v>
      </c>
      <c r="P3387" s="1">
        <v>1</v>
      </c>
    </row>
    <row r="3388" spans="1:16" x14ac:dyDescent="0.25">
      <c r="A3388" s="3">
        <v>46090</v>
      </c>
      <c r="B3388" s="4">
        <v>1217</v>
      </c>
      <c r="C3388" s="5">
        <v>350</v>
      </c>
      <c r="D3388" s="1" t="s">
        <v>1074</v>
      </c>
      <c r="E3388" s="1" t="s">
        <v>1075</v>
      </c>
      <c r="F3388" s="1" t="s">
        <v>259</v>
      </c>
      <c r="G3388" s="1" t="s">
        <v>1058</v>
      </c>
      <c r="H3388" s="3">
        <v>46113</v>
      </c>
      <c r="I3388" s="1" t="s">
        <v>933</v>
      </c>
      <c r="J3388" s="1" t="s">
        <v>66</v>
      </c>
      <c r="K3388" s="1" t="s">
        <v>340</v>
      </c>
      <c r="L3388" s="1" t="s">
        <v>3368</v>
      </c>
      <c r="M3388" s="3">
        <v>46091</v>
      </c>
      <c r="N3388" s="1" t="s">
        <v>57</v>
      </c>
      <c r="O3388" s="1" t="s">
        <v>936</v>
      </c>
      <c r="P3388" s="1">
        <v>1</v>
      </c>
    </row>
    <row r="3389" spans="1:16" x14ac:dyDescent="0.25">
      <c r="A3389" s="3">
        <v>46090</v>
      </c>
      <c r="B3389" s="4">
        <v>1442</v>
      </c>
      <c r="C3389" s="5">
        <v>550</v>
      </c>
      <c r="D3389" s="1" t="s">
        <v>3954</v>
      </c>
      <c r="E3389" s="1" t="s">
        <v>3955</v>
      </c>
      <c r="F3389" s="1" t="s">
        <v>271</v>
      </c>
      <c r="G3389" s="1" t="s">
        <v>940</v>
      </c>
      <c r="H3389" s="3">
        <v>46121</v>
      </c>
      <c r="I3389" s="1" t="s">
        <v>933</v>
      </c>
      <c r="J3389" s="1" t="s">
        <v>66</v>
      </c>
      <c r="K3389" s="1" t="s">
        <v>308</v>
      </c>
      <c r="L3389" s="1" t="s">
        <v>4214</v>
      </c>
      <c r="M3389" s="3">
        <v>46092</v>
      </c>
      <c r="N3389" s="1" t="s">
        <v>57</v>
      </c>
      <c r="O3389" s="1" t="s">
        <v>936</v>
      </c>
      <c r="P3389" s="1"/>
    </row>
    <row r="3390" spans="1:16" x14ac:dyDescent="0.25">
      <c r="A3390" s="3">
        <v>46090</v>
      </c>
      <c r="B3390" s="1">
        <v>14</v>
      </c>
      <c r="C3390" s="5">
        <v>3000</v>
      </c>
      <c r="D3390" s="1" t="s">
        <v>4106</v>
      </c>
      <c r="E3390" s="1" t="s">
        <v>4107</v>
      </c>
      <c r="F3390" s="1" t="s">
        <v>659</v>
      </c>
      <c r="G3390" s="1" t="s">
        <v>932</v>
      </c>
      <c r="H3390" s="3">
        <v>46098</v>
      </c>
      <c r="I3390" s="1" t="s">
        <v>933</v>
      </c>
      <c r="J3390" s="1" t="s">
        <v>951</v>
      </c>
      <c r="K3390" s="1" t="s">
        <v>659</v>
      </c>
      <c r="L3390" s="1" t="s">
        <v>4822</v>
      </c>
      <c r="M3390" s="3">
        <v>46091</v>
      </c>
      <c r="N3390" s="1" t="s">
        <v>57</v>
      </c>
      <c r="O3390" s="1" t="s">
        <v>936</v>
      </c>
      <c r="P3390" s="1" t="s">
        <v>937</v>
      </c>
    </row>
    <row r="3391" spans="1:16" x14ac:dyDescent="0.25">
      <c r="A3391" s="3">
        <v>46090</v>
      </c>
      <c r="B3391" s="4">
        <v>1217</v>
      </c>
      <c r="C3391" s="5">
        <v>500</v>
      </c>
      <c r="D3391" s="1" t="s">
        <v>1074</v>
      </c>
      <c r="E3391" s="1" t="s">
        <v>1075</v>
      </c>
      <c r="F3391" s="1" t="s">
        <v>650</v>
      </c>
      <c r="G3391" s="1" t="s">
        <v>1058</v>
      </c>
      <c r="H3391" s="3">
        <v>46113</v>
      </c>
      <c r="I3391" s="1" t="s">
        <v>933</v>
      </c>
      <c r="J3391" s="1" t="s">
        <v>66</v>
      </c>
      <c r="K3391" s="1" t="s">
        <v>340</v>
      </c>
      <c r="L3391" s="1" t="s">
        <v>3368</v>
      </c>
      <c r="M3391" s="3">
        <v>46091</v>
      </c>
      <c r="N3391" s="1" t="s">
        <v>57</v>
      </c>
      <c r="O3391" s="1" t="s">
        <v>936</v>
      </c>
      <c r="P3391" s="1">
        <v>1</v>
      </c>
    </row>
    <row r="3392" spans="1:16" x14ac:dyDescent="0.25">
      <c r="A3392" s="3">
        <v>46090</v>
      </c>
      <c r="B3392" s="4">
        <v>1217</v>
      </c>
      <c r="C3392" s="5">
        <v>300</v>
      </c>
      <c r="D3392" s="1" t="s">
        <v>1074</v>
      </c>
      <c r="E3392" s="1" t="s">
        <v>1075</v>
      </c>
      <c r="F3392" s="1" t="s">
        <v>66</v>
      </c>
      <c r="G3392" s="1" t="s">
        <v>1058</v>
      </c>
      <c r="H3392" s="3">
        <v>46113</v>
      </c>
      <c r="I3392" s="1" t="s">
        <v>933</v>
      </c>
      <c r="J3392" s="1" t="s">
        <v>66</v>
      </c>
      <c r="K3392" s="1" t="s">
        <v>308</v>
      </c>
      <c r="L3392" s="1" t="s">
        <v>4823</v>
      </c>
      <c r="M3392" s="3">
        <v>46091</v>
      </c>
      <c r="N3392" s="1" t="s">
        <v>57</v>
      </c>
      <c r="O3392" s="1" t="s">
        <v>936</v>
      </c>
      <c r="P3392" s="1">
        <v>1</v>
      </c>
    </row>
    <row r="3393" spans="1:16" x14ac:dyDescent="0.25">
      <c r="A3393" s="3">
        <v>46090</v>
      </c>
      <c r="B3393" s="4">
        <v>1217</v>
      </c>
      <c r="C3393" s="5">
        <v>600</v>
      </c>
      <c r="D3393" s="1" t="s">
        <v>1074</v>
      </c>
      <c r="E3393" s="1" t="s">
        <v>1075</v>
      </c>
      <c r="F3393" s="1" t="s">
        <v>658</v>
      </c>
      <c r="G3393" s="1" t="s">
        <v>1058</v>
      </c>
      <c r="H3393" s="3">
        <v>46113</v>
      </c>
      <c r="I3393" s="1" t="s">
        <v>933</v>
      </c>
      <c r="J3393" s="1" t="s">
        <v>66</v>
      </c>
      <c r="K3393" s="1" t="s">
        <v>340</v>
      </c>
      <c r="L3393" s="1" t="s">
        <v>3368</v>
      </c>
      <c r="M3393" s="3">
        <v>46091</v>
      </c>
      <c r="N3393" s="1" t="s">
        <v>57</v>
      </c>
      <c r="O3393" s="1" t="s">
        <v>936</v>
      </c>
      <c r="P3393" s="1">
        <v>1</v>
      </c>
    </row>
    <row r="3394" spans="1:16" x14ac:dyDescent="0.25">
      <c r="A3394" s="3">
        <v>46090</v>
      </c>
      <c r="B3394" s="4">
        <v>1217</v>
      </c>
      <c r="C3394" s="5">
        <v>80</v>
      </c>
      <c r="D3394" s="1" t="s">
        <v>1074</v>
      </c>
      <c r="E3394" s="1" t="s">
        <v>1075</v>
      </c>
      <c r="F3394" s="1" t="s">
        <v>66</v>
      </c>
      <c r="G3394" s="1" t="s">
        <v>1058</v>
      </c>
      <c r="H3394" s="3">
        <v>46113</v>
      </c>
      <c r="I3394" s="1" t="s">
        <v>933</v>
      </c>
      <c r="J3394" s="1" t="s">
        <v>66</v>
      </c>
      <c r="K3394" s="1" t="s">
        <v>340</v>
      </c>
      <c r="L3394" s="1" t="s">
        <v>4824</v>
      </c>
      <c r="M3394" s="3">
        <v>46091</v>
      </c>
      <c r="N3394" s="1" t="s">
        <v>57</v>
      </c>
      <c r="O3394" s="1" t="s">
        <v>936</v>
      </c>
      <c r="P3394" s="1">
        <v>1</v>
      </c>
    </row>
    <row r="3395" spans="1:16" x14ac:dyDescent="0.25">
      <c r="A3395" s="3">
        <v>46090</v>
      </c>
      <c r="B3395" s="4">
        <v>1217</v>
      </c>
      <c r="C3395" s="5">
        <v>280</v>
      </c>
      <c r="D3395" s="1" t="s">
        <v>1074</v>
      </c>
      <c r="E3395" s="1" t="s">
        <v>1075</v>
      </c>
      <c r="F3395" s="1" t="s">
        <v>596</v>
      </c>
      <c r="G3395" s="1" t="s">
        <v>1058</v>
      </c>
      <c r="H3395" s="3">
        <v>46113</v>
      </c>
      <c r="I3395" s="1" t="s">
        <v>933</v>
      </c>
      <c r="J3395" s="1" t="s">
        <v>66</v>
      </c>
      <c r="K3395" s="1" t="s">
        <v>340</v>
      </c>
      <c r="L3395" s="1" t="s">
        <v>3368</v>
      </c>
      <c r="M3395" s="3">
        <v>46091</v>
      </c>
      <c r="N3395" s="1" t="s">
        <v>57</v>
      </c>
      <c r="O3395" s="1" t="s">
        <v>936</v>
      </c>
      <c r="P3395" s="1">
        <v>1</v>
      </c>
    </row>
    <row r="3396" spans="1:16" x14ac:dyDescent="0.25">
      <c r="A3396" s="3">
        <v>46090</v>
      </c>
      <c r="B3396" s="4">
        <v>1217</v>
      </c>
      <c r="C3396" s="5">
        <v>350</v>
      </c>
      <c r="D3396" s="1" t="s">
        <v>1074</v>
      </c>
      <c r="E3396" s="1" t="s">
        <v>1075</v>
      </c>
      <c r="F3396" s="1" t="s">
        <v>66</v>
      </c>
      <c r="G3396" s="1" t="s">
        <v>1058</v>
      </c>
      <c r="H3396" s="3">
        <v>46113</v>
      </c>
      <c r="I3396" s="1" t="s">
        <v>933</v>
      </c>
      <c r="J3396" s="1" t="s">
        <v>66</v>
      </c>
      <c r="K3396" s="1" t="s">
        <v>340</v>
      </c>
      <c r="L3396" s="1" t="s">
        <v>4825</v>
      </c>
      <c r="M3396" s="3">
        <v>46091</v>
      </c>
      <c r="N3396" s="1" t="s">
        <v>57</v>
      </c>
      <c r="O3396" s="1" t="s">
        <v>936</v>
      </c>
      <c r="P3396" s="1">
        <v>1</v>
      </c>
    </row>
    <row r="3397" spans="1:16" x14ac:dyDescent="0.25">
      <c r="A3397" s="3">
        <v>46090</v>
      </c>
      <c r="B3397" s="4">
        <v>1217</v>
      </c>
      <c r="C3397" s="5">
        <v>250</v>
      </c>
      <c r="D3397" s="1" t="s">
        <v>1074</v>
      </c>
      <c r="E3397" s="1" t="s">
        <v>1075</v>
      </c>
      <c r="F3397" s="1" t="s">
        <v>578</v>
      </c>
      <c r="G3397" s="1" t="s">
        <v>1058</v>
      </c>
      <c r="H3397" s="3">
        <v>46113</v>
      </c>
      <c r="I3397" s="1" t="s">
        <v>933</v>
      </c>
      <c r="J3397" s="1" t="s">
        <v>66</v>
      </c>
      <c r="K3397" s="1" t="s">
        <v>340</v>
      </c>
      <c r="L3397" s="1" t="s">
        <v>3368</v>
      </c>
      <c r="M3397" s="3">
        <v>46091</v>
      </c>
      <c r="N3397" s="1" t="s">
        <v>57</v>
      </c>
      <c r="O3397" s="1" t="s">
        <v>936</v>
      </c>
      <c r="P3397" s="1">
        <v>1</v>
      </c>
    </row>
    <row r="3398" spans="1:16" x14ac:dyDescent="0.25">
      <c r="A3398" s="3">
        <v>46090</v>
      </c>
      <c r="B3398" s="4">
        <v>1217</v>
      </c>
      <c r="C3398" s="5">
        <v>700</v>
      </c>
      <c r="D3398" s="1" t="s">
        <v>1074</v>
      </c>
      <c r="E3398" s="1" t="s">
        <v>1075</v>
      </c>
      <c r="F3398" s="1" t="s">
        <v>71</v>
      </c>
      <c r="G3398" s="1" t="s">
        <v>1058</v>
      </c>
      <c r="H3398" s="3">
        <v>46113</v>
      </c>
      <c r="I3398" s="1" t="s">
        <v>933</v>
      </c>
      <c r="J3398" s="1" t="s">
        <v>66</v>
      </c>
      <c r="K3398" s="1" t="s">
        <v>340</v>
      </c>
      <c r="L3398" s="1" t="s">
        <v>3368</v>
      </c>
      <c r="M3398" s="3">
        <v>46091</v>
      </c>
      <c r="N3398" s="1" t="s">
        <v>57</v>
      </c>
      <c r="O3398" s="1" t="s">
        <v>936</v>
      </c>
      <c r="P3398" s="1">
        <v>1</v>
      </c>
    </row>
    <row r="3399" spans="1:16" x14ac:dyDescent="0.25">
      <c r="A3399" s="3">
        <v>46090</v>
      </c>
      <c r="B3399" s="4">
        <v>1217</v>
      </c>
      <c r="C3399" s="5">
        <v>280</v>
      </c>
      <c r="D3399" s="1" t="s">
        <v>1074</v>
      </c>
      <c r="E3399" s="1" t="s">
        <v>1075</v>
      </c>
      <c r="F3399" s="1" t="s">
        <v>426</v>
      </c>
      <c r="G3399" s="1" t="s">
        <v>1058</v>
      </c>
      <c r="H3399" s="3">
        <v>46113</v>
      </c>
      <c r="I3399" s="1" t="s">
        <v>933</v>
      </c>
      <c r="J3399" s="1" t="s">
        <v>66</v>
      </c>
      <c r="K3399" s="1" t="s">
        <v>340</v>
      </c>
      <c r="L3399" s="1" t="s">
        <v>3368</v>
      </c>
      <c r="M3399" s="3">
        <v>46091</v>
      </c>
      <c r="N3399" s="1" t="s">
        <v>57</v>
      </c>
      <c r="O3399" s="1" t="s">
        <v>936</v>
      </c>
      <c r="P3399" s="1">
        <v>1</v>
      </c>
    </row>
    <row r="3400" spans="1:16" x14ac:dyDescent="0.25">
      <c r="A3400" s="3">
        <v>46090</v>
      </c>
      <c r="B3400" s="4">
        <v>1217</v>
      </c>
      <c r="C3400" s="5">
        <v>280</v>
      </c>
      <c r="D3400" s="1" t="s">
        <v>1074</v>
      </c>
      <c r="E3400" s="1" t="s">
        <v>1075</v>
      </c>
      <c r="F3400" s="1" t="s">
        <v>255</v>
      </c>
      <c r="G3400" s="1" t="s">
        <v>1058</v>
      </c>
      <c r="H3400" s="3">
        <v>46113</v>
      </c>
      <c r="I3400" s="1" t="s">
        <v>933</v>
      </c>
      <c r="J3400" s="1" t="s">
        <v>66</v>
      </c>
      <c r="K3400" s="1" t="s">
        <v>308</v>
      </c>
      <c r="L3400" s="1" t="s">
        <v>3368</v>
      </c>
      <c r="M3400" s="3">
        <v>46091</v>
      </c>
      <c r="N3400" s="1" t="s">
        <v>57</v>
      </c>
      <c r="O3400" s="1" t="s">
        <v>936</v>
      </c>
      <c r="P3400" s="1">
        <v>1</v>
      </c>
    </row>
    <row r="3401" spans="1:16" x14ac:dyDescent="0.25">
      <c r="A3401" s="3">
        <v>46090</v>
      </c>
      <c r="B3401" s="4">
        <v>1217</v>
      </c>
      <c r="C3401" s="5">
        <v>80</v>
      </c>
      <c r="D3401" s="1" t="s">
        <v>1074</v>
      </c>
      <c r="E3401" s="1" t="s">
        <v>1075</v>
      </c>
      <c r="F3401" s="1" t="s">
        <v>66</v>
      </c>
      <c r="G3401" s="1" t="s">
        <v>1058</v>
      </c>
      <c r="H3401" s="3">
        <v>46113</v>
      </c>
      <c r="I3401" s="1" t="s">
        <v>933</v>
      </c>
      <c r="J3401" s="1" t="s">
        <v>66</v>
      </c>
      <c r="K3401" s="1" t="s">
        <v>340</v>
      </c>
      <c r="L3401" s="1" t="s">
        <v>4827</v>
      </c>
      <c r="M3401" s="3">
        <v>46091</v>
      </c>
      <c r="N3401" s="1" t="s">
        <v>57</v>
      </c>
      <c r="O3401" s="1" t="s">
        <v>936</v>
      </c>
      <c r="P3401" s="1">
        <v>1</v>
      </c>
    </row>
    <row r="3402" spans="1:16" x14ac:dyDescent="0.25">
      <c r="A3402" s="3">
        <v>46090</v>
      </c>
      <c r="B3402" s="4">
        <v>1217</v>
      </c>
      <c r="C3402" s="5">
        <v>280</v>
      </c>
      <c r="D3402" s="1" t="s">
        <v>1074</v>
      </c>
      <c r="E3402" s="1" t="s">
        <v>1075</v>
      </c>
      <c r="F3402" s="1" t="s">
        <v>245</v>
      </c>
      <c r="G3402" s="1" t="s">
        <v>1058</v>
      </c>
      <c r="H3402" s="3">
        <v>46113</v>
      </c>
      <c r="I3402" s="1" t="s">
        <v>933</v>
      </c>
      <c r="J3402" s="1" t="s">
        <v>66</v>
      </c>
      <c r="K3402" s="1" t="s">
        <v>308</v>
      </c>
      <c r="L3402" s="1" t="s">
        <v>3368</v>
      </c>
      <c r="M3402" s="3">
        <v>46091</v>
      </c>
      <c r="N3402" s="1" t="s">
        <v>57</v>
      </c>
      <c r="O3402" s="1" t="s">
        <v>936</v>
      </c>
      <c r="P3402" s="1">
        <v>1</v>
      </c>
    </row>
    <row r="3403" spans="1:16" x14ac:dyDescent="0.25">
      <c r="A3403" s="3">
        <v>46090</v>
      </c>
      <c r="B3403" s="4">
        <v>1217</v>
      </c>
      <c r="C3403" s="5">
        <v>80</v>
      </c>
      <c r="D3403" s="1" t="s">
        <v>1074</v>
      </c>
      <c r="E3403" s="1" t="s">
        <v>1075</v>
      </c>
      <c r="F3403" s="1" t="s">
        <v>66</v>
      </c>
      <c r="G3403" s="1" t="s">
        <v>1058</v>
      </c>
      <c r="H3403" s="3">
        <v>46113</v>
      </c>
      <c r="I3403" s="1" t="s">
        <v>933</v>
      </c>
      <c r="J3403" s="1" t="s">
        <v>66</v>
      </c>
      <c r="K3403" s="1" t="s">
        <v>340</v>
      </c>
      <c r="L3403" s="1" t="s">
        <v>4828</v>
      </c>
      <c r="M3403" s="3">
        <v>46091</v>
      </c>
      <c r="N3403" s="1" t="s">
        <v>57</v>
      </c>
      <c r="O3403" s="1" t="s">
        <v>936</v>
      </c>
      <c r="P3403" s="1">
        <v>1</v>
      </c>
    </row>
    <row r="3404" spans="1:16" x14ac:dyDescent="0.25">
      <c r="A3404" s="3">
        <v>46090</v>
      </c>
      <c r="B3404" s="4">
        <v>1217</v>
      </c>
      <c r="C3404" s="5">
        <v>350</v>
      </c>
      <c r="D3404" s="1" t="s">
        <v>1074</v>
      </c>
      <c r="E3404" s="1" t="s">
        <v>1075</v>
      </c>
      <c r="F3404" s="1" t="s">
        <v>229</v>
      </c>
      <c r="G3404" s="1" t="s">
        <v>1058</v>
      </c>
      <c r="H3404" s="3">
        <v>46113</v>
      </c>
      <c r="I3404" s="1" t="s">
        <v>933</v>
      </c>
      <c r="J3404" s="1" t="s">
        <v>66</v>
      </c>
      <c r="K3404" s="1" t="s">
        <v>340</v>
      </c>
      <c r="L3404" s="1" t="s">
        <v>4829</v>
      </c>
      <c r="M3404" s="3">
        <v>46091</v>
      </c>
      <c r="N3404" s="1" t="s">
        <v>57</v>
      </c>
      <c r="O3404" s="1" t="s">
        <v>936</v>
      </c>
      <c r="P3404" s="1">
        <v>1</v>
      </c>
    </row>
    <row r="3405" spans="1:16" x14ac:dyDescent="0.25">
      <c r="A3405" s="3">
        <v>46090</v>
      </c>
      <c r="B3405" s="4">
        <v>1217</v>
      </c>
      <c r="C3405" s="5">
        <v>80</v>
      </c>
      <c r="D3405" s="1" t="s">
        <v>1074</v>
      </c>
      <c r="E3405" s="1" t="s">
        <v>1075</v>
      </c>
      <c r="F3405" s="1" t="s">
        <v>66</v>
      </c>
      <c r="G3405" s="1" t="s">
        <v>1058</v>
      </c>
      <c r="H3405" s="3">
        <v>46113</v>
      </c>
      <c r="I3405" s="1" t="s">
        <v>933</v>
      </c>
      <c r="J3405" s="1" t="s">
        <v>66</v>
      </c>
      <c r="K3405" s="1" t="s">
        <v>340</v>
      </c>
      <c r="L3405" s="1" t="s">
        <v>3368</v>
      </c>
      <c r="M3405" s="3">
        <v>46091</v>
      </c>
      <c r="N3405" s="1" t="s">
        <v>57</v>
      </c>
      <c r="O3405" s="1" t="s">
        <v>936</v>
      </c>
      <c r="P3405" s="1">
        <v>1</v>
      </c>
    </row>
    <row r="3406" spans="1:16" x14ac:dyDescent="0.25">
      <c r="A3406" s="3">
        <v>46090</v>
      </c>
      <c r="B3406" s="4">
        <v>1217</v>
      </c>
      <c r="C3406" s="5">
        <v>80</v>
      </c>
      <c r="D3406" s="1" t="s">
        <v>1074</v>
      </c>
      <c r="E3406" s="1" t="s">
        <v>1075</v>
      </c>
      <c r="F3406" s="1" t="s">
        <v>66</v>
      </c>
      <c r="G3406" s="1" t="s">
        <v>1058</v>
      </c>
      <c r="H3406" s="3">
        <v>46113</v>
      </c>
      <c r="I3406" s="1" t="s">
        <v>933</v>
      </c>
      <c r="J3406" s="1" t="s">
        <v>66</v>
      </c>
      <c r="K3406" s="1" t="s">
        <v>340</v>
      </c>
      <c r="L3406" s="1" t="s">
        <v>4830</v>
      </c>
      <c r="M3406" s="3">
        <v>46091</v>
      </c>
      <c r="N3406" s="1" t="s">
        <v>57</v>
      </c>
      <c r="O3406" s="1" t="s">
        <v>936</v>
      </c>
      <c r="P3406" s="1">
        <v>1</v>
      </c>
    </row>
    <row r="3407" spans="1:16" x14ac:dyDescent="0.25">
      <c r="A3407" s="3">
        <v>46090</v>
      </c>
      <c r="B3407" s="4">
        <v>1217</v>
      </c>
      <c r="C3407" s="5">
        <v>280</v>
      </c>
      <c r="D3407" s="1" t="s">
        <v>1074</v>
      </c>
      <c r="E3407" s="1" t="s">
        <v>1075</v>
      </c>
      <c r="F3407" s="1" t="s">
        <v>66</v>
      </c>
      <c r="G3407" s="1" t="s">
        <v>1058</v>
      </c>
      <c r="H3407" s="3">
        <v>46113</v>
      </c>
      <c r="I3407" s="1" t="s">
        <v>933</v>
      </c>
      <c r="J3407" s="1" t="s">
        <v>66</v>
      </c>
      <c r="K3407" s="1" t="s">
        <v>340</v>
      </c>
      <c r="L3407" s="1" t="s">
        <v>4831</v>
      </c>
      <c r="M3407" s="3">
        <v>46091</v>
      </c>
      <c r="N3407" s="1" t="s">
        <v>57</v>
      </c>
      <c r="O3407" s="1" t="s">
        <v>936</v>
      </c>
      <c r="P3407" s="1">
        <v>1</v>
      </c>
    </row>
    <row r="3408" spans="1:16" x14ac:dyDescent="0.25">
      <c r="A3408" s="3">
        <v>46090</v>
      </c>
      <c r="B3408" s="4">
        <v>1217</v>
      </c>
      <c r="C3408" s="5">
        <v>80</v>
      </c>
      <c r="D3408" s="1" t="s">
        <v>1074</v>
      </c>
      <c r="E3408" s="1" t="s">
        <v>1075</v>
      </c>
      <c r="F3408" s="1" t="s">
        <v>66</v>
      </c>
      <c r="G3408" s="1" t="s">
        <v>1058</v>
      </c>
      <c r="H3408" s="3">
        <v>46113</v>
      </c>
      <c r="I3408" s="1" t="s">
        <v>933</v>
      </c>
      <c r="J3408" s="1" t="s">
        <v>66</v>
      </c>
      <c r="K3408" s="1" t="s">
        <v>340</v>
      </c>
      <c r="L3408" s="1" t="s">
        <v>4832</v>
      </c>
      <c r="M3408" s="3">
        <v>46091</v>
      </c>
      <c r="N3408" s="1" t="s">
        <v>57</v>
      </c>
      <c r="O3408" s="1" t="s">
        <v>936</v>
      </c>
      <c r="P3408" s="1">
        <v>1</v>
      </c>
    </row>
    <row r="3409" spans="1:16" x14ac:dyDescent="0.25">
      <c r="A3409" s="3">
        <v>46090</v>
      </c>
      <c r="B3409" s="4">
        <v>1217</v>
      </c>
      <c r="C3409" s="5">
        <v>80</v>
      </c>
      <c r="D3409" s="1" t="s">
        <v>1074</v>
      </c>
      <c r="E3409" s="1" t="s">
        <v>1075</v>
      </c>
      <c r="F3409" s="1" t="s">
        <v>66</v>
      </c>
      <c r="G3409" s="1" t="s">
        <v>1058</v>
      </c>
      <c r="H3409" s="3">
        <v>46113</v>
      </c>
      <c r="I3409" s="1" t="s">
        <v>933</v>
      </c>
      <c r="J3409" s="1" t="s">
        <v>66</v>
      </c>
      <c r="K3409" s="1" t="s">
        <v>340</v>
      </c>
      <c r="L3409" s="1" t="s">
        <v>4833</v>
      </c>
      <c r="M3409" s="3">
        <v>46091</v>
      </c>
      <c r="N3409" s="1" t="s">
        <v>57</v>
      </c>
      <c r="O3409" s="1" t="s">
        <v>936</v>
      </c>
      <c r="P3409" s="1">
        <v>1</v>
      </c>
    </row>
    <row r="3410" spans="1:16" x14ac:dyDescent="0.25">
      <c r="A3410" s="3">
        <v>46090</v>
      </c>
      <c r="B3410" s="4">
        <v>1217</v>
      </c>
      <c r="C3410" s="5">
        <v>500</v>
      </c>
      <c r="D3410" s="1" t="s">
        <v>1074</v>
      </c>
      <c r="E3410" s="1" t="s">
        <v>1075</v>
      </c>
      <c r="F3410" s="1" t="s">
        <v>667</v>
      </c>
      <c r="G3410" s="1" t="s">
        <v>1058</v>
      </c>
      <c r="H3410" s="3">
        <v>46113</v>
      </c>
      <c r="I3410" s="1" t="s">
        <v>933</v>
      </c>
      <c r="J3410" s="1" t="s">
        <v>66</v>
      </c>
      <c r="K3410" s="1" t="s">
        <v>340</v>
      </c>
      <c r="L3410" s="1" t="s">
        <v>3368</v>
      </c>
      <c r="M3410" s="3">
        <v>46091</v>
      </c>
      <c r="N3410" s="1" t="s">
        <v>57</v>
      </c>
      <c r="O3410" s="1" t="s">
        <v>936</v>
      </c>
      <c r="P3410" s="1">
        <v>1</v>
      </c>
    </row>
    <row r="3411" spans="1:16" x14ac:dyDescent="0.25">
      <c r="A3411" s="3">
        <v>46090</v>
      </c>
      <c r="B3411" s="4">
        <v>1217</v>
      </c>
      <c r="C3411" s="5">
        <v>500</v>
      </c>
      <c r="D3411" s="1" t="s">
        <v>1074</v>
      </c>
      <c r="E3411" s="1" t="s">
        <v>1075</v>
      </c>
      <c r="F3411" s="1" t="s">
        <v>229</v>
      </c>
      <c r="G3411" s="1" t="s">
        <v>1058</v>
      </c>
      <c r="H3411" s="3">
        <v>46113</v>
      </c>
      <c r="I3411" s="1" t="s">
        <v>933</v>
      </c>
      <c r="J3411" s="1" t="s">
        <v>66</v>
      </c>
      <c r="K3411" s="1" t="s">
        <v>340</v>
      </c>
      <c r="L3411" s="1" t="s">
        <v>3368</v>
      </c>
      <c r="M3411" s="3">
        <v>46091</v>
      </c>
      <c r="N3411" s="1" t="s">
        <v>57</v>
      </c>
      <c r="O3411" s="1" t="s">
        <v>936</v>
      </c>
      <c r="P3411" s="1">
        <v>1</v>
      </c>
    </row>
    <row r="3412" spans="1:16" x14ac:dyDescent="0.25">
      <c r="A3412" s="3">
        <v>46090</v>
      </c>
      <c r="B3412" s="4">
        <v>1217</v>
      </c>
      <c r="C3412" s="5">
        <v>80</v>
      </c>
      <c r="D3412" s="1" t="s">
        <v>1074</v>
      </c>
      <c r="E3412" s="1" t="s">
        <v>1075</v>
      </c>
      <c r="F3412" s="1" t="s">
        <v>66</v>
      </c>
      <c r="G3412" s="1" t="s">
        <v>1058</v>
      </c>
      <c r="H3412" s="3">
        <v>46113</v>
      </c>
      <c r="I3412" s="1" t="s">
        <v>933</v>
      </c>
      <c r="J3412" s="1" t="s">
        <v>66</v>
      </c>
      <c r="K3412" s="1" t="s">
        <v>340</v>
      </c>
      <c r="L3412" s="1" t="s">
        <v>4834</v>
      </c>
      <c r="M3412" s="3">
        <v>46091</v>
      </c>
      <c r="N3412" s="1" t="s">
        <v>57</v>
      </c>
      <c r="O3412" s="1" t="s">
        <v>936</v>
      </c>
      <c r="P3412" s="1">
        <v>1</v>
      </c>
    </row>
    <row r="3413" spans="1:16" x14ac:dyDescent="0.25">
      <c r="A3413" s="3">
        <v>46090</v>
      </c>
      <c r="B3413" s="4">
        <v>1217</v>
      </c>
      <c r="C3413" s="5">
        <v>80</v>
      </c>
      <c r="D3413" s="1" t="s">
        <v>1074</v>
      </c>
      <c r="E3413" s="1" t="s">
        <v>1075</v>
      </c>
      <c r="F3413" s="1" t="s">
        <v>437</v>
      </c>
      <c r="G3413" s="1" t="s">
        <v>1058</v>
      </c>
      <c r="H3413" s="3">
        <v>46113</v>
      </c>
      <c r="I3413" s="1" t="s">
        <v>933</v>
      </c>
      <c r="J3413" s="1" t="s">
        <v>66</v>
      </c>
      <c r="K3413" s="1" t="s">
        <v>340</v>
      </c>
      <c r="L3413" s="1" t="s">
        <v>3368</v>
      </c>
      <c r="M3413" s="3">
        <v>46091</v>
      </c>
      <c r="N3413" s="1" t="s">
        <v>57</v>
      </c>
      <c r="O3413" s="1" t="s">
        <v>936</v>
      </c>
      <c r="P3413" s="1">
        <v>1</v>
      </c>
    </row>
    <row r="3414" spans="1:16" x14ac:dyDescent="0.25">
      <c r="A3414" s="3">
        <v>46090</v>
      </c>
      <c r="B3414" s="4">
        <v>1217</v>
      </c>
      <c r="C3414" s="5">
        <v>500</v>
      </c>
      <c r="D3414" s="1" t="s">
        <v>1074</v>
      </c>
      <c r="E3414" s="1" t="s">
        <v>1075</v>
      </c>
      <c r="F3414" s="1" t="s">
        <v>623</v>
      </c>
      <c r="G3414" s="1" t="s">
        <v>1058</v>
      </c>
      <c r="H3414" s="3">
        <v>46113</v>
      </c>
      <c r="I3414" s="1" t="s">
        <v>933</v>
      </c>
      <c r="J3414" s="1" t="s">
        <v>66</v>
      </c>
      <c r="K3414" s="1" t="s">
        <v>340</v>
      </c>
      <c r="L3414" s="1" t="s">
        <v>3368</v>
      </c>
      <c r="M3414" s="3">
        <v>46091</v>
      </c>
      <c r="N3414" s="1" t="s">
        <v>57</v>
      </c>
      <c r="O3414" s="1" t="s">
        <v>936</v>
      </c>
      <c r="P3414" s="1">
        <v>1</v>
      </c>
    </row>
    <row r="3415" spans="1:16" x14ac:dyDescent="0.25">
      <c r="A3415" s="3">
        <v>46090</v>
      </c>
      <c r="B3415" s="4">
        <v>1217</v>
      </c>
      <c r="C3415" s="5">
        <v>500</v>
      </c>
      <c r="D3415" s="1" t="s">
        <v>1074</v>
      </c>
      <c r="E3415" s="1" t="s">
        <v>1075</v>
      </c>
      <c r="F3415" s="1" t="s">
        <v>619</v>
      </c>
      <c r="G3415" s="1" t="s">
        <v>1058</v>
      </c>
      <c r="H3415" s="3">
        <v>46113</v>
      </c>
      <c r="I3415" s="1" t="s">
        <v>933</v>
      </c>
      <c r="J3415" s="1" t="s">
        <v>66</v>
      </c>
      <c r="K3415" s="1" t="s">
        <v>340</v>
      </c>
      <c r="L3415" s="1" t="s">
        <v>3368</v>
      </c>
      <c r="M3415" s="3">
        <v>46091</v>
      </c>
      <c r="N3415" s="1" t="s">
        <v>57</v>
      </c>
      <c r="O3415" s="1" t="s">
        <v>936</v>
      </c>
      <c r="P3415" s="1">
        <v>1</v>
      </c>
    </row>
    <row r="3416" spans="1:16" x14ac:dyDescent="0.25">
      <c r="A3416" s="3">
        <v>46090</v>
      </c>
      <c r="B3416" s="4">
        <v>1218</v>
      </c>
      <c r="C3416" s="5">
        <v>240</v>
      </c>
      <c r="D3416" s="1" t="s">
        <v>1074</v>
      </c>
      <c r="E3416" s="1" t="s">
        <v>1075</v>
      </c>
      <c r="F3416" s="1" t="s">
        <v>419</v>
      </c>
      <c r="G3416" s="1" t="s">
        <v>981</v>
      </c>
      <c r="H3416" s="3">
        <v>46113</v>
      </c>
      <c r="I3416" s="1" t="s">
        <v>933</v>
      </c>
      <c r="J3416" s="1" t="s">
        <v>66</v>
      </c>
      <c r="K3416" s="1" t="s">
        <v>640</v>
      </c>
      <c r="L3416" s="1" t="s">
        <v>4835</v>
      </c>
      <c r="M3416" s="3">
        <v>46091</v>
      </c>
      <c r="N3416" s="1" t="s">
        <v>57</v>
      </c>
      <c r="O3416" s="1" t="s">
        <v>936</v>
      </c>
      <c r="P3416" s="1">
        <v>1</v>
      </c>
    </row>
    <row r="3417" spans="1:16" x14ac:dyDescent="0.25">
      <c r="A3417" s="3">
        <v>46090</v>
      </c>
      <c r="B3417" s="4">
        <v>1218</v>
      </c>
      <c r="C3417" s="5">
        <v>180</v>
      </c>
      <c r="D3417" s="1" t="s">
        <v>1074</v>
      </c>
      <c r="E3417" s="1" t="s">
        <v>1075</v>
      </c>
      <c r="F3417" s="1" t="s">
        <v>809</v>
      </c>
      <c r="G3417" s="1" t="s">
        <v>981</v>
      </c>
      <c r="H3417" s="3">
        <v>46113</v>
      </c>
      <c r="I3417" s="1" t="s">
        <v>933</v>
      </c>
      <c r="J3417" s="1" t="s">
        <v>66</v>
      </c>
      <c r="K3417" s="1" t="s">
        <v>340</v>
      </c>
      <c r="L3417" s="1" t="s">
        <v>4836</v>
      </c>
      <c r="M3417" s="3">
        <v>46091</v>
      </c>
      <c r="N3417" s="1" t="s">
        <v>57</v>
      </c>
      <c r="O3417" s="1" t="s">
        <v>936</v>
      </c>
      <c r="P3417" s="1">
        <v>1</v>
      </c>
    </row>
    <row r="3418" spans="1:16" x14ac:dyDescent="0.25">
      <c r="A3418" s="3">
        <v>46090</v>
      </c>
      <c r="B3418" s="4">
        <v>1218</v>
      </c>
      <c r="C3418" s="5">
        <v>1300</v>
      </c>
      <c r="D3418" s="1" t="s">
        <v>1074</v>
      </c>
      <c r="E3418" s="1" t="s">
        <v>1075</v>
      </c>
      <c r="F3418" s="1" t="s">
        <v>759</v>
      </c>
      <c r="G3418" s="1" t="s">
        <v>981</v>
      </c>
      <c r="H3418" s="3">
        <v>46113</v>
      </c>
      <c r="I3418" s="1" t="s">
        <v>933</v>
      </c>
      <c r="J3418" s="1" t="s">
        <v>66</v>
      </c>
      <c r="K3418" s="1" t="s">
        <v>340</v>
      </c>
      <c r="L3418" s="1" t="s">
        <v>4837</v>
      </c>
      <c r="M3418" s="3">
        <v>46091</v>
      </c>
      <c r="N3418" s="1" t="s">
        <v>57</v>
      </c>
      <c r="O3418" s="1" t="s">
        <v>936</v>
      </c>
      <c r="P3418" s="1">
        <v>1</v>
      </c>
    </row>
    <row r="3419" spans="1:16" x14ac:dyDescent="0.25">
      <c r="A3419" s="3">
        <v>46090</v>
      </c>
      <c r="B3419" s="4">
        <v>1218</v>
      </c>
      <c r="C3419" s="5">
        <v>200</v>
      </c>
      <c r="D3419" s="1" t="s">
        <v>1074</v>
      </c>
      <c r="E3419" s="1" t="s">
        <v>1075</v>
      </c>
      <c r="F3419" s="1" t="s">
        <v>521</v>
      </c>
      <c r="G3419" s="1" t="s">
        <v>981</v>
      </c>
      <c r="H3419" s="3">
        <v>46113</v>
      </c>
      <c r="I3419" s="1" t="s">
        <v>933</v>
      </c>
      <c r="J3419" s="1" t="s">
        <v>66</v>
      </c>
      <c r="K3419" s="1" t="s">
        <v>308</v>
      </c>
      <c r="L3419" s="1" t="s">
        <v>4838</v>
      </c>
      <c r="M3419" s="3">
        <v>46091</v>
      </c>
      <c r="N3419" s="1" t="s">
        <v>57</v>
      </c>
      <c r="O3419" s="1" t="s">
        <v>936</v>
      </c>
      <c r="P3419" s="1">
        <v>1</v>
      </c>
    </row>
    <row r="3420" spans="1:16" x14ac:dyDescent="0.25">
      <c r="A3420" s="3">
        <v>46090</v>
      </c>
      <c r="B3420" s="4">
        <v>1218</v>
      </c>
      <c r="C3420" s="5">
        <v>40</v>
      </c>
      <c r="D3420" s="1" t="s">
        <v>1074</v>
      </c>
      <c r="E3420" s="1" t="s">
        <v>1075</v>
      </c>
      <c r="F3420" s="1" t="s">
        <v>430</v>
      </c>
      <c r="G3420" s="1" t="s">
        <v>981</v>
      </c>
      <c r="H3420" s="3">
        <v>46113</v>
      </c>
      <c r="I3420" s="1" t="s">
        <v>933</v>
      </c>
      <c r="J3420" s="1" t="s">
        <v>66</v>
      </c>
      <c r="K3420" s="1" t="s">
        <v>308</v>
      </c>
      <c r="L3420" s="1" t="s">
        <v>4839</v>
      </c>
      <c r="M3420" s="3">
        <v>46091</v>
      </c>
      <c r="N3420" s="1" t="s">
        <v>57</v>
      </c>
      <c r="O3420" s="1" t="s">
        <v>936</v>
      </c>
      <c r="P3420" s="1">
        <v>1</v>
      </c>
    </row>
    <row r="3421" spans="1:16" x14ac:dyDescent="0.25">
      <c r="A3421" s="3">
        <v>46090</v>
      </c>
      <c r="B3421" s="4">
        <v>1218</v>
      </c>
      <c r="C3421" s="5">
        <v>4180</v>
      </c>
      <c r="D3421" s="1" t="s">
        <v>1074</v>
      </c>
      <c r="E3421" s="1" t="s">
        <v>1075</v>
      </c>
      <c r="F3421" s="1" t="s">
        <v>521</v>
      </c>
      <c r="G3421" s="1" t="s">
        <v>981</v>
      </c>
      <c r="H3421" s="3">
        <v>46113</v>
      </c>
      <c r="I3421" s="1" t="s">
        <v>933</v>
      </c>
      <c r="J3421" s="1" t="s">
        <v>66</v>
      </c>
      <c r="K3421" s="1" t="s">
        <v>340</v>
      </c>
      <c r="L3421" s="1" t="s">
        <v>4840</v>
      </c>
      <c r="M3421" s="3">
        <v>46091</v>
      </c>
      <c r="N3421" s="1" t="s">
        <v>57</v>
      </c>
      <c r="O3421" s="1" t="s">
        <v>936</v>
      </c>
      <c r="P3421" s="1">
        <v>1</v>
      </c>
    </row>
    <row r="3422" spans="1:16" x14ac:dyDescent="0.25">
      <c r="A3422" s="3">
        <v>46090</v>
      </c>
      <c r="B3422" s="4">
        <v>1218</v>
      </c>
      <c r="C3422" s="5">
        <v>350</v>
      </c>
      <c r="D3422" s="1" t="s">
        <v>1074</v>
      </c>
      <c r="E3422" s="1" t="s">
        <v>1075</v>
      </c>
      <c r="F3422" s="1" t="s">
        <v>66</v>
      </c>
      <c r="G3422" s="1" t="s">
        <v>981</v>
      </c>
      <c r="H3422" s="3">
        <v>46113</v>
      </c>
      <c r="I3422" s="1" t="s">
        <v>933</v>
      </c>
      <c r="J3422" s="1" t="s">
        <v>66</v>
      </c>
      <c r="K3422" s="1" t="s">
        <v>636</v>
      </c>
      <c r="L3422" s="1" t="s">
        <v>4841</v>
      </c>
      <c r="M3422" s="3">
        <v>46091</v>
      </c>
      <c r="N3422" s="1" t="s">
        <v>57</v>
      </c>
      <c r="O3422" s="1" t="s">
        <v>936</v>
      </c>
      <c r="P3422" s="1">
        <v>1</v>
      </c>
    </row>
    <row r="3423" spans="1:16" x14ac:dyDescent="0.25">
      <c r="A3423" s="3">
        <v>46090</v>
      </c>
      <c r="B3423" s="4">
        <v>1218</v>
      </c>
      <c r="C3423" s="5">
        <v>80</v>
      </c>
      <c r="D3423" s="1" t="s">
        <v>1074</v>
      </c>
      <c r="E3423" s="1" t="s">
        <v>1075</v>
      </c>
      <c r="F3423" s="1" t="s">
        <v>66</v>
      </c>
      <c r="G3423" s="1" t="s">
        <v>981</v>
      </c>
      <c r="H3423" s="3">
        <v>46113</v>
      </c>
      <c r="I3423" s="1" t="s">
        <v>933</v>
      </c>
      <c r="J3423" s="1" t="s">
        <v>66</v>
      </c>
      <c r="K3423" s="1" t="s">
        <v>340</v>
      </c>
      <c r="L3423" s="1" t="s">
        <v>4842</v>
      </c>
      <c r="M3423" s="3">
        <v>46091</v>
      </c>
      <c r="N3423" s="1" t="s">
        <v>57</v>
      </c>
      <c r="O3423" s="1" t="s">
        <v>936</v>
      </c>
      <c r="P3423" s="1">
        <v>1</v>
      </c>
    </row>
    <row r="3424" spans="1:16" x14ac:dyDescent="0.25">
      <c r="A3424" s="3">
        <v>46090</v>
      </c>
      <c r="B3424" s="4">
        <v>1058</v>
      </c>
      <c r="C3424" s="5">
        <v>45700</v>
      </c>
      <c r="D3424" s="1" t="s">
        <v>1080</v>
      </c>
      <c r="E3424" s="1" t="s">
        <v>3046</v>
      </c>
      <c r="F3424" s="1" t="s">
        <v>66</v>
      </c>
      <c r="G3424" s="1" t="s">
        <v>1082</v>
      </c>
      <c r="H3424" s="3">
        <v>46113</v>
      </c>
      <c r="I3424" s="1" t="s">
        <v>933</v>
      </c>
      <c r="J3424" s="1" t="s">
        <v>66</v>
      </c>
      <c r="K3424" s="1" t="s">
        <v>66</v>
      </c>
      <c r="L3424" s="1" t="s">
        <v>4843</v>
      </c>
      <c r="M3424" s="3">
        <v>46091</v>
      </c>
      <c r="N3424" s="1" t="s">
        <v>57</v>
      </c>
      <c r="O3424" s="1" t="s">
        <v>936</v>
      </c>
      <c r="P3424" s="1">
        <v>1</v>
      </c>
    </row>
    <row r="3425" spans="1:16" x14ac:dyDescent="0.25">
      <c r="A3425" s="3">
        <v>46090</v>
      </c>
      <c r="B3425" s="4">
        <v>10527</v>
      </c>
      <c r="C3425" s="5">
        <v>15725</v>
      </c>
      <c r="D3425" s="1" t="s">
        <v>973</v>
      </c>
      <c r="E3425" s="1" t="s">
        <v>1068</v>
      </c>
      <c r="F3425" s="1" t="s">
        <v>66</v>
      </c>
      <c r="G3425" s="1" t="s">
        <v>998</v>
      </c>
      <c r="H3425" s="3">
        <v>46097</v>
      </c>
      <c r="I3425" s="1" t="s">
        <v>933</v>
      </c>
      <c r="J3425" s="1" t="s">
        <v>66</v>
      </c>
      <c r="K3425" s="1" t="s">
        <v>66</v>
      </c>
      <c r="L3425" s="1" t="s">
        <v>4787</v>
      </c>
      <c r="M3425" s="3">
        <v>46091</v>
      </c>
      <c r="N3425" s="1" t="s">
        <v>57</v>
      </c>
      <c r="O3425" s="1" t="s">
        <v>936</v>
      </c>
      <c r="P3425" s="1">
        <v>1</v>
      </c>
    </row>
    <row r="3426" spans="1:16" x14ac:dyDescent="0.25">
      <c r="A3426" s="3">
        <v>46090</v>
      </c>
      <c r="B3426" s="4">
        <v>10546</v>
      </c>
      <c r="C3426" s="5">
        <v>31092.99</v>
      </c>
      <c r="D3426" s="1" t="s">
        <v>973</v>
      </c>
      <c r="E3426" s="1" t="s">
        <v>1068</v>
      </c>
      <c r="F3426" s="1" t="s">
        <v>66</v>
      </c>
      <c r="G3426" s="1" t="s">
        <v>998</v>
      </c>
      <c r="H3426" s="3">
        <v>46105</v>
      </c>
      <c r="I3426" s="1" t="s">
        <v>933</v>
      </c>
      <c r="J3426" s="1" t="s">
        <v>66</v>
      </c>
      <c r="K3426" s="1" t="s">
        <v>66</v>
      </c>
      <c r="L3426" s="1" t="s">
        <v>4844</v>
      </c>
      <c r="M3426" s="3">
        <v>46091</v>
      </c>
      <c r="N3426" s="1" t="s">
        <v>57</v>
      </c>
      <c r="O3426" s="1" t="s">
        <v>936</v>
      </c>
      <c r="P3426" s="1">
        <v>1</v>
      </c>
    </row>
    <row r="3427" spans="1:16" x14ac:dyDescent="0.25">
      <c r="A3427" s="3">
        <v>46090</v>
      </c>
      <c r="B3427" s="4">
        <v>73176</v>
      </c>
      <c r="C3427" s="5">
        <v>251.7</v>
      </c>
      <c r="D3427" s="1" t="s">
        <v>1253</v>
      </c>
      <c r="E3427" s="1" t="s">
        <v>1487</v>
      </c>
      <c r="F3427" s="1" t="s">
        <v>745</v>
      </c>
      <c r="G3427" s="1" t="s">
        <v>940</v>
      </c>
      <c r="H3427" s="3">
        <v>46120</v>
      </c>
      <c r="I3427" s="1" t="s">
        <v>933</v>
      </c>
      <c r="J3427" s="1" t="s">
        <v>66</v>
      </c>
      <c r="K3427" s="1" t="s">
        <v>340</v>
      </c>
      <c r="L3427" s="1" t="s">
        <v>4845</v>
      </c>
      <c r="M3427" s="3">
        <v>46092</v>
      </c>
      <c r="N3427" s="1" t="s">
        <v>57</v>
      </c>
      <c r="O3427" s="1" t="s">
        <v>936</v>
      </c>
      <c r="P3427" s="1">
        <v>1</v>
      </c>
    </row>
    <row r="3428" spans="1:16" x14ac:dyDescent="0.25">
      <c r="A3428" s="3">
        <v>46090</v>
      </c>
      <c r="B3428" s="4">
        <v>73175</v>
      </c>
      <c r="C3428" s="5">
        <v>4346.5600000000004</v>
      </c>
      <c r="D3428" s="1" t="s">
        <v>1253</v>
      </c>
      <c r="E3428" s="1" t="s">
        <v>1487</v>
      </c>
      <c r="F3428" s="1" t="s">
        <v>171</v>
      </c>
      <c r="G3428" s="1" t="s">
        <v>1254</v>
      </c>
      <c r="H3428" s="3">
        <v>46120</v>
      </c>
      <c r="I3428" s="1" t="s">
        <v>933</v>
      </c>
      <c r="J3428" s="1" t="s">
        <v>66</v>
      </c>
      <c r="K3428" s="1" t="s">
        <v>340</v>
      </c>
      <c r="L3428" s="1" t="s">
        <v>4846</v>
      </c>
      <c r="M3428" s="3">
        <v>46092</v>
      </c>
      <c r="N3428" s="1" t="s">
        <v>57</v>
      </c>
      <c r="O3428" s="1" t="s">
        <v>936</v>
      </c>
      <c r="P3428" s="1">
        <v>1</v>
      </c>
    </row>
    <row r="3429" spans="1:16" x14ac:dyDescent="0.25">
      <c r="A3429" s="3">
        <v>46090</v>
      </c>
      <c r="B3429" s="4">
        <v>2512</v>
      </c>
      <c r="C3429" s="5">
        <v>870</v>
      </c>
      <c r="D3429" s="1" t="s">
        <v>1182</v>
      </c>
      <c r="E3429" s="1" t="s">
        <v>1183</v>
      </c>
      <c r="F3429" s="1" t="s">
        <v>578</v>
      </c>
      <c r="G3429" s="1" t="s">
        <v>940</v>
      </c>
      <c r="H3429" s="3">
        <v>46121</v>
      </c>
      <c r="I3429" s="1" t="s">
        <v>933</v>
      </c>
      <c r="J3429" s="1" t="s">
        <v>66</v>
      </c>
      <c r="K3429" s="1" t="s">
        <v>308</v>
      </c>
      <c r="L3429" s="1" t="s">
        <v>4849</v>
      </c>
      <c r="M3429" s="3">
        <v>46093</v>
      </c>
      <c r="N3429" s="1" t="s">
        <v>580</v>
      </c>
      <c r="O3429" s="1" t="s">
        <v>936</v>
      </c>
      <c r="P3429" s="1">
        <v>1</v>
      </c>
    </row>
    <row r="3430" spans="1:16" x14ac:dyDescent="0.25">
      <c r="A3430" s="3">
        <v>46090</v>
      </c>
      <c r="B3430" s="4">
        <v>2513</v>
      </c>
      <c r="C3430" s="5">
        <v>3700</v>
      </c>
      <c r="D3430" s="1" t="s">
        <v>1182</v>
      </c>
      <c r="E3430" s="1" t="s">
        <v>1183</v>
      </c>
      <c r="F3430" s="1" t="s">
        <v>66</v>
      </c>
      <c r="G3430" s="1" t="s">
        <v>940</v>
      </c>
      <c r="H3430" s="3">
        <v>46121</v>
      </c>
      <c r="I3430" s="1" t="s">
        <v>933</v>
      </c>
      <c r="J3430" s="1" t="s">
        <v>66</v>
      </c>
      <c r="K3430" s="1" t="s">
        <v>1654</v>
      </c>
      <c r="L3430" s="1" t="s">
        <v>4850</v>
      </c>
      <c r="M3430" s="3">
        <v>46093</v>
      </c>
      <c r="N3430" s="1" t="s">
        <v>57</v>
      </c>
      <c r="O3430" s="1" t="s">
        <v>936</v>
      </c>
      <c r="P3430" s="1">
        <v>1</v>
      </c>
    </row>
    <row r="3431" spans="1:16" x14ac:dyDescent="0.25">
      <c r="A3431" s="3">
        <v>46090</v>
      </c>
      <c r="B3431" s="4">
        <v>73875</v>
      </c>
      <c r="C3431" s="5">
        <v>4085</v>
      </c>
      <c r="D3431" s="1" t="s">
        <v>1994</v>
      </c>
      <c r="E3431" s="1" t="s">
        <v>1995</v>
      </c>
      <c r="F3431" s="1" t="s">
        <v>787</v>
      </c>
      <c r="G3431" s="1" t="s">
        <v>1667</v>
      </c>
      <c r="H3431" s="3">
        <v>46118</v>
      </c>
      <c r="I3431" s="1" t="s">
        <v>1100</v>
      </c>
      <c r="J3431" s="1" t="s">
        <v>66</v>
      </c>
      <c r="K3431" s="1" t="s">
        <v>308</v>
      </c>
      <c r="L3431" s="1" t="s">
        <v>4851</v>
      </c>
      <c r="M3431" s="3">
        <v>46093</v>
      </c>
      <c r="N3431" s="1" t="s">
        <v>57</v>
      </c>
      <c r="O3431" s="1" t="s">
        <v>936</v>
      </c>
      <c r="P3431" s="1">
        <v>2</v>
      </c>
    </row>
    <row r="3432" spans="1:16" x14ac:dyDescent="0.25">
      <c r="A3432" s="3">
        <v>46090</v>
      </c>
      <c r="B3432" s="4">
        <v>5222</v>
      </c>
      <c r="C3432" s="5">
        <v>160</v>
      </c>
      <c r="D3432" s="1" t="s">
        <v>938</v>
      </c>
      <c r="E3432" s="1" t="s">
        <v>939</v>
      </c>
      <c r="F3432" s="1" t="s">
        <v>201</v>
      </c>
      <c r="G3432" s="1" t="s">
        <v>950</v>
      </c>
      <c r="H3432" s="1"/>
      <c r="I3432" s="1" t="s">
        <v>933</v>
      </c>
      <c r="J3432" s="1" t="s">
        <v>66</v>
      </c>
      <c r="K3432" s="1" t="s">
        <v>636</v>
      </c>
      <c r="L3432" s="1" t="s">
        <v>4852</v>
      </c>
      <c r="M3432" s="1" t="s">
        <v>4853</v>
      </c>
      <c r="N3432" s="1" t="s">
        <v>57</v>
      </c>
      <c r="O3432" s="1" t="s">
        <v>936</v>
      </c>
      <c r="P3432" s="1">
        <v>1</v>
      </c>
    </row>
    <row r="3433" spans="1:16" x14ac:dyDescent="0.25">
      <c r="A3433" s="3">
        <v>46090</v>
      </c>
      <c r="B3433" s="1">
        <v>143</v>
      </c>
      <c r="C3433" s="5">
        <v>160</v>
      </c>
      <c r="D3433" s="1" t="s">
        <v>4854</v>
      </c>
      <c r="E3433" s="1" t="s">
        <v>4855</v>
      </c>
      <c r="F3433" s="1" t="s">
        <v>66</v>
      </c>
      <c r="G3433" s="1" t="s">
        <v>1058</v>
      </c>
      <c r="H3433" s="1"/>
      <c r="I3433" s="1" t="s">
        <v>933</v>
      </c>
      <c r="J3433" s="1" t="s">
        <v>66</v>
      </c>
      <c r="K3433" s="1" t="s">
        <v>308</v>
      </c>
      <c r="L3433" s="1" t="s">
        <v>4856</v>
      </c>
      <c r="M3433" s="1" t="s">
        <v>4853</v>
      </c>
      <c r="N3433" s="1" t="s">
        <v>57</v>
      </c>
      <c r="O3433" s="1" t="s">
        <v>936</v>
      </c>
      <c r="P3433" s="1">
        <v>1</v>
      </c>
    </row>
    <row r="3434" spans="1:16" x14ac:dyDescent="0.25">
      <c r="A3434" s="3">
        <v>46090</v>
      </c>
      <c r="B3434" s="1">
        <v>89</v>
      </c>
      <c r="C3434" s="5">
        <v>185</v>
      </c>
      <c r="D3434" s="1" t="s">
        <v>3998</v>
      </c>
      <c r="E3434" s="1" t="s">
        <v>3999</v>
      </c>
      <c r="F3434" s="1" t="s">
        <v>949</v>
      </c>
      <c r="G3434" s="1" t="s">
        <v>1254</v>
      </c>
      <c r="H3434" s="1"/>
      <c r="I3434" s="1" t="s">
        <v>933</v>
      </c>
      <c r="J3434" s="1" t="s">
        <v>951</v>
      </c>
      <c r="K3434" s="1" t="s">
        <v>308</v>
      </c>
      <c r="L3434" s="1" t="s">
        <v>4857</v>
      </c>
      <c r="M3434" s="1" t="s">
        <v>4853</v>
      </c>
      <c r="N3434" s="1" t="s">
        <v>57</v>
      </c>
      <c r="O3434" s="1" t="s">
        <v>936</v>
      </c>
      <c r="P3434" s="1">
        <v>2</v>
      </c>
    </row>
    <row r="3435" spans="1:16" x14ac:dyDescent="0.25">
      <c r="A3435" s="3">
        <v>46090</v>
      </c>
      <c r="B3435" s="4">
        <v>3485</v>
      </c>
      <c r="C3435" s="5">
        <v>2181</v>
      </c>
      <c r="D3435" s="1" t="s">
        <v>1134</v>
      </c>
      <c r="E3435" s="1" t="s">
        <v>1282</v>
      </c>
      <c r="F3435" s="1" t="s">
        <v>949</v>
      </c>
      <c r="G3435" s="1" t="s">
        <v>20</v>
      </c>
      <c r="H3435" s="3">
        <v>46120</v>
      </c>
      <c r="I3435" s="1" t="s">
        <v>933</v>
      </c>
      <c r="J3435" s="1" t="s">
        <v>951</v>
      </c>
      <c r="K3435" s="1" t="s">
        <v>20</v>
      </c>
      <c r="L3435" s="1" t="s">
        <v>4858</v>
      </c>
      <c r="M3435" s="3">
        <v>46095</v>
      </c>
      <c r="N3435" s="1" t="s">
        <v>57</v>
      </c>
      <c r="O3435" s="1" t="s">
        <v>936</v>
      </c>
      <c r="P3435" s="1">
        <v>1</v>
      </c>
    </row>
    <row r="3436" spans="1:16" x14ac:dyDescent="0.25">
      <c r="A3436" s="3">
        <v>46090</v>
      </c>
      <c r="B3436" s="4">
        <v>2002</v>
      </c>
      <c r="C3436" s="5">
        <v>250</v>
      </c>
      <c r="D3436" s="1" t="s">
        <v>953</v>
      </c>
      <c r="E3436" s="1" t="s">
        <v>3535</v>
      </c>
      <c r="F3436" s="1" t="s">
        <v>949</v>
      </c>
      <c r="G3436" s="1" t="s">
        <v>940</v>
      </c>
      <c r="H3436" s="3">
        <v>46121</v>
      </c>
      <c r="I3436" s="1" t="s">
        <v>933</v>
      </c>
      <c r="J3436" s="1" t="s">
        <v>951</v>
      </c>
      <c r="K3436" s="1" t="s">
        <v>934</v>
      </c>
      <c r="L3436" s="1" t="s">
        <v>4859</v>
      </c>
      <c r="M3436" s="3">
        <v>46097</v>
      </c>
      <c r="N3436" s="1" t="s">
        <v>57</v>
      </c>
      <c r="O3436" s="1" t="s">
        <v>936</v>
      </c>
      <c r="P3436" s="1">
        <v>1</v>
      </c>
    </row>
    <row r="3437" spans="1:16" x14ac:dyDescent="0.25">
      <c r="A3437" s="3">
        <v>46090</v>
      </c>
      <c r="B3437" s="4">
        <v>73875</v>
      </c>
      <c r="C3437" s="5">
        <v>4085</v>
      </c>
      <c r="D3437" s="1" t="s">
        <v>1994</v>
      </c>
      <c r="E3437" s="1" t="s">
        <v>1995</v>
      </c>
      <c r="F3437" s="1" t="s">
        <v>787</v>
      </c>
      <c r="G3437" s="1" t="s">
        <v>1667</v>
      </c>
      <c r="H3437" s="3">
        <v>46118</v>
      </c>
      <c r="I3437" s="1" t="s">
        <v>1100</v>
      </c>
      <c r="J3437" s="1" t="s">
        <v>66</v>
      </c>
      <c r="K3437" s="1" t="s">
        <v>308</v>
      </c>
      <c r="L3437" s="1" t="s">
        <v>4851</v>
      </c>
      <c r="M3437" s="3">
        <v>46099</v>
      </c>
      <c r="N3437" s="1" t="s">
        <v>57</v>
      </c>
      <c r="O3437" s="1" t="s">
        <v>936</v>
      </c>
      <c r="P3437" s="1">
        <v>2</v>
      </c>
    </row>
    <row r="3438" spans="1:16" x14ac:dyDescent="0.25">
      <c r="A3438" s="3">
        <v>46091</v>
      </c>
      <c r="B3438" s="4">
        <v>10576</v>
      </c>
      <c r="C3438" s="5">
        <v>32450</v>
      </c>
      <c r="D3438" s="1" t="s">
        <v>973</v>
      </c>
      <c r="E3438" s="1" t="s">
        <v>1068</v>
      </c>
      <c r="F3438" s="1" t="s">
        <v>66</v>
      </c>
      <c r="G3438" s="1" t="s">
        <v>998</v>
      </c>
      <c r="H3438" s="3">
        <v>46098</v>
      </c>
      <c r="I3438" s="1" t="s">
        <v>933</v>
      </c>
      <c r="J3438" s="1" t="s">
        <v>66</v>
      </c>
      <c r="K3438" s="1" t="s">
        <v>66</v>
      </c>
      <c r="L3438" s="1" t="s">
        <v>4860</v>
      </c>
      <c r="M3438" s="3">
        <v>46091</v>
      </c>
      <c r="N3438" s="1" t="s">
        <v>57</v>
      </c>
      <c r="O3438" s="1" t="s">
        <v>936</v>
      </c>
      <c r="P3438" s="1">
        <v>1</v>
      </c>
    </row>
    <row r="3439" spans="1:16" x14ac:dyDescent="0.25">
      <c r="A3439" s="3">
        <v>46091</v>
      </c>
      <c r="B3439" s="4">
        <v>10577</v>
      </c>
      <c r="C3439" s="5">
        <v>16061.28</v>
      </c>
      <c r="D3439" s="1" t="s">
        <v>973</v>
      </c>
      <c r="E3439" s="1" t="s">
        <v>1068</v>
      </c>
      <c r="F3439" s="1" t="s">
        <v>66</v>
      </c>
      <c r="G3439" s="1" t="s">
        <v>998</v>
      </c>
      <c r="H3439" s="3">
        <v>46106</v>
      </c>
      <c r="I3439" s="1" t="s">
        <v>933</v>
      </c>
      <c r="J3439" s="1" t="s">
        <v>66</v>
      </c>
      <c r="K3439" s="1" t="s">
        <v>308</v>
      </c>
      <c r="L3439" s="1" t="s">
        <v>4861</v>
      </c>
      <c r="M3439" s="3">
        <v>46091</v>
      </c>
      <c r="N3439" s="1" t="s">
        <v>57</v>
      </c>
      <c r="O3439" s="1" t="s">
        <v>936</v>
      </c>
      <c r="P3439" s="1">
        <v>1</v>
      </c>
    </row>
    <row r="3440" spans="1:16" x14ac:dyDescent="0.25">
      <c r="A3440" s="3">
        <v>46091</v>
      </c>
      <c r="B3440" s="4">
        <v>6843</v>
      </c>
      <c r="C3440" s="5">
        <v>622</v>
      </c>
      <c r="D3440" s="1" t="s">
        <v>2001</v>
      </c>
      <c r="E3440" s="1" t="s">
        <v>2002</v>
      </c>
      <c r="F3440" s="1" t="s">
        <v>674</v>
      </c>
      <c r="G3440" s="1" t="s">
        <v>940</v>
      </c>
      <c r="H3440" s="3">
        <v>46120</v>
      </c>
      <c r="I3440" s="1" t="s">
        <v>933</v>
      </c>
      <c r="J3440" s="1" t="s">
        <v>66</v>
      </c>
      <c r="K3440" s="1" t="s">
        <v>308</v>
      </c>
      <c r="L3440" s="1" t="s">
        <v>4862</v>
      </c>
      <c r="M3440" s="3">
        <v>46092</v>
      </c>
      <c r="N3440" s="1" t="s">
        <v>57</v>
      </c>
      <c r="O3440" s="1" t="s">
        <v>936</v>
      </c>
      <c r="P3440" s="1">
        <v>1</v>
      </c>
    </row>
    <row r="3441" spans="1:16" x14ac:dyDescent="0.25">
      <c r="A3441" s="3">
        <v>46091</v>
      </c>
      <c r="B3441" s="4">
        <v>5225</v>
      </c>
      <c r="C3441" s="5">
        <v>360.06</v>
      </c>
      <c r="D3441" s="1" t="s">
        <v>938</v>
      </c>
      <c r="E3441" s="1" t="s">
        <v>939</v>
      </c>
      <c r="F3441" s="1" t="s">
        <v>250</v>
      </c>
      <c r="G3441" s="1" t="s">
        <v>940</v>
      </c>
      <c r="H3441" s="3">
        <v>46122</v>
      </c>
      <c r="I3441" s="1" t="s">
        <v>933</v>
      </c>
      <c r="J3441" s="1" t="s">
        <v>66</v>
      </c>
      <c r="K3441" s="1" t="s">
        <v>340</v>
      </c>
      <c r="L3441" s="1" t="s">
        <v>4863</v>
      </c>
      <c r="M3441" s="3">
        <v>46092</v>
      </c>
      <c r="N3441" s="1" t="s">
        <v>57</v>
      </c>
      <c r="O3441" s="1" t="s">
        <v>936</v>
      </c>
      <c r="P3441" s="1"/>
    </row>
    <row r="3442" spans="1:16" x14ac:dyDescent="0.25">
      <c r="A3442" s="3">
        <v>46091</v>
      </c>
      <c r="B3442" s="4">
        <v>10576</v>
      </c>
      <c r="C3442" s="5">
        <v>32450</v>
      </c>
      <c r="D3442" s="1" t="s">
        <v>973</v>
      </c>
      <c r="E3442" s="1" t="s">
        <v>1068</v>
      </c>
      <c r="F3442" s="1" t="s">
        <v>66</v>
      </c>
      <c r="G3442" s="1" t="s">
        <v>998</v>
      </c>
      <c r="H3442" s="3">
        <v>46098</v>
      </c>
      <c r="I3442" s="1" t="s">
        <v>933</v>
      </c>
      <c r="J3442" s="1" t="s">
        <v>66</v>
      </c>
      <c r="K3442" s="1" t="s">
        <v>340</v>
      </c>
      <c r="L3442" s="1" t="s">
        <v>4860</v>
      </c>
      <c r="M3442" s="3">
        <v>46092</v>
      </c>
      <c r="N3442" s="1" t="s">
        <v>57</v>
      </c>
      <c r="O3442" s="1" t="s">
        <v>998</v>
      </c>
      <c r="P3442" s="1">
        <v>2</v>
      </c>
    </row>
    <row r="3443" spans="1:16" x14ac:dyDescent="0.25">
      <c r="A3443" s="3">
        <v>46091</v>
      </c>
      <c r="B3443" s="4">
        <v>10577</v>
      </c>
      <c r="C3443" s="5">
        <v>16061.28</v>
      </c>
      <c r="D3443" s="1" t="s">
        <v>973</v>
      </c>
      <c r="E3443" s="1" t="s">
        <v>1068</v>
      </c>
      <c r="F3443" s="1" t="s">
        <v>66</v>
      </c>
      <c r="G3443" s="1" t="s">
        <v>998</v>
      </c>
      <c r="H3443" s="3">
        <v>46106</v>
      </c>
      <c r="I3443" s="1" t="s">
        <v>933</v>
      </c>
      <c r="J3443" s="1" t="s">
        <v>66</v>
      </c>
      <c r="K3443" s="1" t="s">
        <v>340</v>
      </c>
      <c r="L3443" s="1" t="s">
        <v>4864</v>
      </c>
      <c r="M3443" s="3">
        <v>46092</v>
      </c>
      <c r="N3443" s="1" t="s">
        <v>57</v>
      </c>
      <c r="O3443" s="1" t="s">
        <v>998</v>
      </c>
      <c r="P3443" s="1">
        <v>2</v>
      </c>
    </row>
    <row r="3444" spans="1:16" x14ac:dyDescent="0.25">
      <c r="A3444" s="3">
        <v>46091</v>
      </c>
      <c r="B3444" s="1">
        <v>22</v>
      </c>
      <c r="C3444" s="5">
        <v>3000</v>
      </c>
      <c r="D3444" s="1" t="s">
        <v>1596</v>
      </c>
      <c r="E3444" s="1" t="s">
        <v>1597</v>
      </c>
      <c r="F3444" s="1" t="s">
        <v>66</v>
      </c>
      <c r="G3444" s="1" t="s">
        <v>1029</v>
      </c>
      <c r="H3444" s="3">
        <v>46111</v>
      </c>
      <c r="I3444" s="1" t="s">
        <v>933</v>
      </c>
      <c r="J3444" s="1" t="s">
        <v>66</v>
      </c>
      <c r="K3444" s="1" t="s">
        <v>340</v>
      </c>
      <c r="L3444" s="1" t="s">
        <v>4865</v>
      </c>
      <c r="M3444" s="3">
        <v>46093</v>
      </c>
      <c r="N3444" s="1" t="s">
        <v>57</v>
      </c>
      <c r="O3444" s="1" t="s">
        <v>1031</v>
      </c>
      <c r="P3444" s="1">
        <v>1</v>
      </c>
    </row>
    <row r="3445" spans="1:16" x14ac:dyDescent="0.25">
      <c r="A3445" s="3">
        <v>46091</v>
      </c>
      <c r="B3445" s="4">
        <v>2516</v>
      </c>
      <c r="C3445" s="5">
        <v>990</v>
      </c>
      <c r="D3445" s="1" t="s">
        <v>1182</v>
      </c>
      <c r="E3445" s="1" t="s">
        <v>1183</v>
      </c>
      <c r="F3445" s="1" t="s">
        <v>451</v>
      </c>
      <c r="G3445" s="1" t="s">
        <v>940</v>
      </c>
      <c r="H3445" s="3">
        <v>46122</v>
      </c>
      <c r="I3445" s="1" t="s">
        <v>933</v>
      </c>
      <c r="J3445" s="1" t="s">
        <v>66</v>
      </c>
      <c r="K3445" s="1" t="s">
        <v>308</v>
      </c>
      <c r="L3445" s="1" t="s">
        <v>4866</v>
      </c>
      <c r="M3445" s="3">
        <v>46093</v>
      </c>
      <c r="N3445" s="1" t="s">
        <v>212</v>
      </c>
      <c r="O3445" s="1" t="s">
        <v>936</v>
      </c>
      <c r="P3445" s="1">
        <v>1</v>
      </c>
    </row>
    <row r="3446" spans="1:16" x14ac:dyDescent="0.25">
      <c r="A3446" s="3">
        <v>46091</v>
      </c>
      <c r="B3446" s="1">
        <v>89</v>
      </c>
      <c r="C3446" s="5">
        <v>380</v>
      </c>
      <c r="D3446" s="1" t="s">
        <v>2158</v>
      </c>
      <c r="E3446" s="1" t="s">
        <v>2159</v>
      </c>
      <c r="F3446" s="1" t="s">
        <v>787</v>
      </c>
      <c r="G3446" s="1" t="s">
        <v>940</v>
      </c>
      <c r="H3446" s="3">
        <v>46106</v>
      </c>
      <c r="I3446" s="1" t="s">
        <v>933</v>
      </c>
      <c r="J3446" s="1" t="s">
        <v>66</v>
      </c>
      <c r="K3446" s="1" t="s">
        <v>308</v>
      </c>
      <c r="L3446" s="1" t="s">
        <v>4586</v>
      </c>
      <c r="M3446" s="3">
        <v>46093</v>
      </c>
      <c r="N3446" s="1" t="s">
        <v>57</v>
      </c>
      <c r="O3446" s="1" t="s">
        <v>936</v>
      </c>
      <c r="P3446" s="1" t="s">
        <v>937</v>
      </c>
    </row>
    <row r="3447" spans="1:16" x14ac:dyDescent="0.25">
      <c r="A3447" s="3">
        <v>46091</v>
      </c>
      <c r="B3447" s="1">
        <v>145</v>
      </c>
      <c r="C3447" s="5">
        <v>4725</v>
      </c>
      <c r="D3447" s="1" t="s">
        <v>3887</v>
      </c>
      <c r="E3447" s="1" t="s">
        <v>3888</v>
      </c>
      <c r="F3447" s="1" t="s">
        <v>1778</v>
      </c>
      <c r="G3447" s="1" t="s">
        <v>1029</v>
      </c>
      <c r="H3447" s="3">
        <v>46108</v>
      </c>
      <c r="I3447" s="1" t="s">
        <v>933</v>
      </c>
      <c r="J3447" s="1" t="s">
        <v>951</v>
      </c>
      <c r="K3447" s="1" t="s">
        <v>858</v>
      </c>
      <c r="L3447" s="1" t="s">
        <v>4867</v>
      </c>
      <c r="M3447" s="3">
        <v>46093</v>
      </c>
      <c r="N3447" s="1" t="s">
        <v>57</v>
      </c>
      <c r="O3447" s="1" t="s">
        <v>936</v>
      </c>
      <c r="P3447" s="1">
        <v>1</v>
      </c>
    </row>
    <row r="3448" spans="1:16" x14ac:dyDescent="0.25">
      <c r="A3448" s="3">
        <v>46091</v>
      </c>
      <c r="B3448" s="4">
        <v>5227</v>
      </c>
      <c r="C3448" s="5">
        <v>259</v>
      </c>
      <c r="D3448" s="1" t="s">
        <v>938</v>
      </c>
      <c r="E3448" s="1" t="s">
        <v>939</v>
      </c>
      <c r="F3448" s="1" t="s">
        <v>453</v>
      </c>
      <c r="G3448" s="1" t="s">
        <v>950</v>
      </c>
      <c r="H3448" s="1"/>
      <c r="I3448" s="1" t="s">
        <v>933</v>
      </c>
      <c r="J3448" s="1" t="s">
        <v>66</v>
      </c>
      <c r="K3448" s="1" t="s">
        <v>308</v>
      </c>
      <c r="L3448" s="1" t="s">
        <v>4868</v>
      </c>
      <c r="M3448" s="1" t="s">
        <v>4853</v>
      </c>
      <c r="N3448" s="1" t="s">
        <v>57</v>
      </c>
      <c r="O3448" s="1" t="s">
        <v>936</v>
      </c>
      <c r="P3448" s="1">
        <v>1</v>
      </c>
    </row>
    <row r="3449" spans="1:16" x14ac:dyDescent="0.25">
      <c r="A3449" s="3">
        <v>46091</v>
      </c>
      <c r="B3449" s="1">
        <v>84</v>
      </c>
      <c r="C3449" s="5">
        <v>1800</v>
      </c>
      <c r="D3449" s="1" t="s">
        <v>1607</v>
      </c>
      <c r="E3449" s="1" t="s">
        <v>1608</v>
      </c>
      <c r="F3449" s="1" t="s">
        <v>949</v>
      </c>
      <c r="G3449" s="1" t="s">
        <v>932</v>
      </c>
      <c r="H3449" s="3">
        <v>46105</v>
      </c>
      <c r="I3449" s="1" t="s">
        <v>933</v>
      </c>
      <c r="J3449" s="1" t="s">
        <v>951</v>
      </c>
      <c r="K3449" s="1" t="s">
        <v>934</v>
      </c>
      <c r="L3449" s="1" t="s">
        <v>4869</v>
      </c>
      <c r="M3449" s="3">
        <v>46095</v>
      </c>
      <c r="N3449" s="1" t="s">
        <v>57</v>
      </c>
      <c r="O3449" s="1" t="s">
        <v>1497</v>
      </c>
      <c r="P3449" s="1" t="s">
        <v>937</v>
      </c>
    </row>
    <row r="3450" spans="1:16" x14ac:dyDescent="0.25">
      <c r="A3450" s="3">
        <v>46091</v>
      </c>
      <c r="B3450" s="4">
        <v>341352</v>
      </c>
      <c r="C3450" s="5">
        <v>3400</v>
      </c>
      <c r="D3450" s="1" t="s">
        <v>3274</v>
      </c>
      <c r="E3450" s="1" t="s">
        <v>3275</v>
      </c>
      <c r="F3450" s="1" t="s">
        <v>185</v>
      </c>
      <c r="G3450" s="1" t="s">
        <v>940</v>
      </c>
      <c r="H3450" s="3">
        <v>46119</v>
      </c>
      <c r="I3450" s="1" t="s">
        <v>933</v>
      </c>
      <c r="J3450" s="1" t="s">
        <v>66</v>
      </c>
      <c r="K3450" s="1" t="s">
        <v>308</v>
      </c>
      <c r="L3450" s="1" t="s">
        <v>4870</v>
      </c>
      <c r="M3450" s="3">
        <v>46095</v>
      </c>
      <c r="N3450" s="1" t="s">
        <v>190</v>
      </c>
      <c r="O3450" s="1" t="s">
        <v>936</v>
      </c>
      <c r="P3450" s="1">
        <v>1</v>
      </c>
    </row>
    <row r="3451" spans="1:16" x14ac:dyDescent="0.25">
      <c r="A3451" s="3">
        <v>46091</v>
      </c>
      <c r="B3451" s="4">
        <v>3927</v>
      </c>
      <c r="C3451" s="5">
        <v>9400</v>
      </c>
      <c r="D3451" s="1" t="s">
        <v>1596</v>
      </c>
      <c r="E3451" s="1" t="s">
        <v>1597</v>
      </c>
      <c r="F3451" s="1" t="s">
        <v>659</v>
      </c>
      <c r="G3451" s="1" t="s">
        <v>1029</v>
      </c>
      <c r="H3451" s="3">
        <v>46111</v>
      </c>
      <c r="I3451" s="1" t="s">
        <v>933</v>
      </c>
      <c r="J3451" s="1" t="s">
        <v>951</v>
      </c>
      <c r="K3451" s="1" t="s">
        <v>671</v>
      </c>
      <c r="L3451" s="1" t="s">
        <v>4871</v>
      </c>
      <c r="M3451" s="3">
        <v>46095</v>
      </c>
      <c r="N3451" s="1" t="s">
        <v>57</v>
      </c>
      <c r="O3451" s="1" t="s">
        <v>1031</v>
      </c>
      <c r="P3451" s="1">
        <v>1</v>
      </c>
    </row>
    <row r="3452" spans="1:16" x14ac:dyDescent="0.25">
      <c r="A3452" s="3">
        <v>46091</v>
      </c>
      <c r="B3452" s="1">
        <v>21</v>
      </c>
      <c r="C3452" s="5">
        <v>4370</v>
      </c>
      <c r="D3452" s="1" t="s">
        <v>2073</v>
      </c>
      <c r="E3452" s="1" t="s">
        <v>2074</v>
      </c>
      <c r="F3452" s="1" t="s">
        <v>949</v>
      </c>
      <c r="G3452" s="1" t="s">
        <v>20</v>
      </c>
      <c r="H3452" s="3">
        <v>46106</v>
      </c>
      <c r="I3452" s="1" t="s">
        <v>933</v>
      </c>
      <c r="J3452" s="1" t="s">
        <v>951</v>
      </c>
      <c r="K3452" s="1" t="s">
        <v>20</v>
      </c>
      <c r="L3452" s="1" t="s">
        <v>4872</v>
      </c>
      <c r="M3452" s="3">
        <v>46095</v>
      </c>
      <c r="N3452" s="1" t="s">
        <v>57</v>
      </c>
      <c r="O3452" s="1" t="s">
        <v>936</v>
      </c>
      <c r="P3452" s="1" t="s">
        <v>937</v>
      </c>
    </row>
    <row r="3453" spans="1:16" x14ac:dyDescent="0.25">
      <c r="A3453" s="3">
        <v>46091</v>
      </c>
      <c r="B3453" s="1">
        <v>163</v>
      </c>
      <c r="C3453" s="5">
        <v>2000</v>
      </c>
      <c r="D3453" s="1" t="s">
        <v>1867</v>
      </c>
      <c r="E3453" s="1" t="s">
        <v>1971</v>
      </c>
      <c r="F3453" s="1" t="s">
        <v>955</v>
      </c>
      <c r="G3453" s="1" t="s">
        <v>932</v>
      </c>
      <c r="H3453" s="3">
        <v>46105</v>
      </c>
      <c r="I3453" s="1" t="s">
        <v>933</v>
      </c>
      <c r="J3453" s="1" t="s">
        <v>951</v>
      </c>
      <c r="K3453" s="1" t="s">
        <v>659</v>
      </c>
      <c r="L3453" s="1" t="s">
        <v>4873</v>
      </c>
      <c r="M3453" s="3">
        <v>46095</v>
      </c>
      <c r="N3453" s="1" t="s">
        <v>57</v>
      </c>
      <c r="O3453" s="1" t="s">
        <v>936</v>
      </c>
      <c r="P3453" s="1">
        <v>1</v>
      </c>
    </row>
    <row r="3454" spans="1:16" x14ac:dyDescent="0.25">
      <c r="A3454" s="3">
        <v>46091</v>
      </c>
      <c r="B3454" s="4">
        <v>6843</v>
      </c>
      <c r="C3454" s="5">
        <v>622</v>
      </c>
      <c r="D3454" s="1" t="s">
        <v>2001</v>
      </c>
      <c r="E3454" s="1" t="s">
        <v>2002</v>
      </c>
      <c r="F3454" s="1" t="s">
        <v>66</v>
      </c>
      <c r="G3454" s="1" t="s">
        <v>940</v>
      </c>
      <c r="H3454" s="3">
        <v>46120</v>
      </c>
      <c r="I3454" s="1" t="s">
        <v>933</v>
      </c>
      <c r="J3454" s="1" t="s">
        <v>66</v>
      </c>
      <c r="K3454" s="1" t="s">
        <v>308</v>
      </c>
      <c r="L3454" s="1" t="s">
        <v>4874</v>
      </c>
      <c r="M3454" s="3">
        <v>46099</v>
      </c>
      <c r="N3454" s="1" t="s">
        <v>57</v>
      </c>
      <c r="O3454" s="1" t="s">
        <v>936</v>
      </c>
      <c r="P3454" s="1">
        <v>2</v>
      </c>
    </row>
    <row r="3455" spans="1:16" x14ac:dyDescent="0.25">
      <c r="A3455" s="3">
        <v>46091</v>
      </c>
      <c r="B3455" s="4">
        <v>22060</v>
      </c>
      <c r="C3455" s="5">
        <v>13800</v>
      </c>
      <c r="D3455" s="1" t="s">
        <v>2345</v>
      </c>
      <c r="E3455" s="1" t="s">
        <v>2346</v>
      </c>
      <c r="F3455" s="1" t="s">
        <v>871</v>
      </c>
      <c r="G3455" s="1" t="s">
        <v>932</v>
      </c>
      <c r="H3455" s="3">
        <v>46121</v>
      </c>
      <c r="I3455" s="1" t="s">
        <v>933</v>
      </c>
      <c r="J3455" s="1" t="s">
        <v>66</v>
      </c>
      <c r="K3455" s="1" t="s">
        <v>659</v>
      </c>
      <c r="L3455" s="1" t="s">
        <v>4875</v>
      </c>
      <c r="M3455" s="3">
        <v>46102</v>
      </c>
      <c r="N3455" s="1" t="s">
        <v>767</v>
      </c>
      <c r="O3455" s="1" t="s">
        <v>936</v>
      </c>
      <c r="P3455" s="1" t="s">
        <v>937</v>
      </c>
    </row>
    <row r="3456" spans="1:16" x14ac:dyDescent="0.25">
      <c r="A3456" s="3">
        <v>46091</v>
      </c>
      <c r="B3456" s="4">
        <v>22070</v>
      </c>
      <c r="C3456" s="5">
        <v>13700</v>
      </c>
      <c r="D3456" s="1" t="s">
        <v>2345</v>
      </c>
      <c r="E3456" s="1" t="s">
        <v>2346</v>
      </c>
      <c r="F3456" s="1" t="s">
        <v>875</v>
      </c>
      <c r="G3456" s="1" t="s">
        <v>932</v>
      </c>
      <c r="H3456" s="3">
        <v>46122</v>
      </c>
      <c r="I3456" s="1" t="s">
        <v>933</v>
      </c>
      <c r="J3456" s="1" t="s">
        <v>66</v>
      </c>
      <c r="K3456" s="1" t="s">
        <v>659</v>
      </c>
      <c r="L3456" s="1" t="s">
        <v>4875</v>
      </c>
      <c r="M3456" s="3">
        <v>46102</v>
      </c>
      <c r="N3456" s="1" t="s">
        <v>879</v>
      </c>
      <c r="O3456" s="1" t="s">
        <v>936</v>
      </c>
      <c r="P3456" s="1" t="s">
        <v>937</v>
      </c>
    </row>
    <row r="3457" spans="1:16" x14ac:dyDescent="0.25">
      <c r="A3457" s="3">
        <v>46092</v>
      </c>
      <c r="B3457" s="4">
        <v>2091</v>
      </c>
      <c r="C3457" s="5">
        <v>700</v>
      </c>
      <c r="D3457" s="1" t="s">
        <v>4045</v>
      </c>
      <c r="E3457" s="1" t="s">
        <v>4046</v>
      </c>
      <c r="F3457" s="1" t="s">
        <v>268</v>
      </c>
      <c r="G3457" s="1" t="s">
        <v>940</v>
      </c>
      <c r="H3457" s="3">
        <v>46107</v>
      </c>
      <c r="I3457" s="1" t="s">
        <v>933</v>
      </c>
      <c r="J3457" s="1" t="s">
        <v>66</v>
      </c>
      <c r="K3457" s="1" t="s">
        <v>308</v>
      </c>
      <c r="L3457" s="1" t="s">
        <v>4047</v>
      </c>
      <c r="M3457" s="3">
        <v>46092</v>
      </c>
      <c r="N3457" s="1" t="s">
        <v>264</v>
      </c>
      <c r="O3457" s="1" t="s">
        <v>936</v>
      </c>
      <c r="P3457" s="1">
        <v>1</v>
      </c>
    </row>
    <row r="3458" spans="1:16" x14ac:dyDescent="0.25">
      <c r="A3458" s="3">
        <v>46092</v>
      </c>
      <c r="B3458" s="4">
        <v>17105</v>
      </c>
      <c r="C3458" s="5">
        <v>559.89</v>
      </c>
      <c r="D3458" s="1" t="s">
        <v>3933</v>
      </c>
      <c r="E3458" s="1" t="s">
        <v>3934</v>
      </c>
      <c r="F3458" s="1" t="s">
        <v>274</v>
      </c>
      <c r="G3458" s="1" t="s">
        <v>940</v>
      </c>
      <c r="H3458" s="3">
        <v>46107</v>
      </c>
      <c r="I3458" s="1" t="s">
        <v>933</v>
      </c>
      <c r="J3458" s="1" t="s">
        <v>66</v>
      </c>
      <c r="K3458" s="1" t="s">
        <v>308</v>
      </c>
      <c r="L3458" s="1" t="s">
        <v>4271</v>
      </c>
      <c r="M3458" s="3">
        <v>46093</v>
      </c>
      <c r="N3458" s="1" t="s">
        <v>264</v>
      </c>
      <c r="O3458" s="1" t="s">
        <v>936</v>
      </c>
      <c r="P3458" s="1">
        <v>1</v>
      </c>
    </row>
    <row r="3459" spans="1:16" x14ac:dyDescent="0.25">
      <c r="A3459" s="3">
        <v>46092</v>
      </c>
      <c r="B3459" s="4">
        <v>10580</v>
      </c>
      <c r="C3459" s="5">
        <v>2806.68</v>
      </c>
      <c r="D3459" s="1" t="s">
        <v>973</v>
      </c>
      <c r="E3459" s="1" t="s">
        <v>1068</v>
      </c>
      <c r="F3459" s="1" t="s">
        <v>66</v>
      </c>
      <c r="G3459" s="1" t="s">
        <v>998</v>
      </c>
      <c r="H3459" s="3">
        <v>46107</v>
      </c>
      <c r="I3459" s="1" t="s">
        <v>933</v>
      </c>
      <c r="J3459" s="1" t="s">
        <v>66</v>
      </c>
      <c r="K3459" s="1" t="s">
        <v>308</v>
      </c>
      <c r="L3459" s="1" t="s">
        <v>4879</v>
      </c>
      <c r="M3459" s="3">
        <v>46093</v>
      </c>
      <c r="N3459" s="1" t="s">
        <v>57</v>
      </c>
      <c r="O3459" s="1" t="s">
        <v>998</v>
      </c>
      <c r="P3459" s="1">
        <v>1</v>
      </c>
    </row>
    <row r="3460" spans="1:16" x14ac:dyDescent="0.25">
      <c r="A3460" s="3">
        <v>46092</v>
      </c>
      <c r="B3460" s="4">
        <v>111047</v>
      </c>
      <c r="C3460" s="5">
        <v>7124.31</v>
      </c>
      <c r="D3460" s="1" t="s">
        <v>4880</v>
      </c>
      <c r="E3460" s="1" t="s">
        <v>4881</v>
      </c>
      <c r="F3460" s="1" t="s">
        <v>66</v>
      </c>
      <c r="G3460" s="1" t="s">
        <v>932</v>
      </c>
      <c r="H3460" s="3">
        <v>46099</v>
      </c>
      <c r="I3460" s="1" t="s">
        <v>933</v>
      </c>
      <c r="J3460" s="1" t="s">
        <v>66</v>
      </c>
      <c r="K3460" s="1" t="s">
        <v>659</v>
      </c>
      <c r="L3460" s="1" t="s">
        <v>4882</v>
      </c>
      <c r="M3460" s="3">
        <v>46093</v>
      </c>
      <c r="N3460" s="1" t="s">
        <v>57</v>
      </c>
      <c r="O3460" s="1" t="s">
        <v>936</v>
      </c>
      <c r="P3460" s="1">
        <v>1</v>
      </c>
    </row>
    <row r="3461" spans="1:16" x14ac:dyDescent="0.25">
      <c r="A3461" s="3">
        <v>46092</v>
      </c>
      <c r="B3461" s="1">
        <v>90</v>
      </c>
      <c r="C3461" s="5">
        <v>380</v>
      </c>
      <c r="D3461" s="1" t="s">
        <v>2158</v>
      </c>
      <c r="E3461" s="1" t="s">
        <v>2159</v>
      </c>
      <c r="F3461" s="1" t="s">
        <v>171</v>
      </c>
      <c r="G3461" s="1" t="s">
        <v>940</v>
      </c>
      <c r="H3461" s="3">
        <v>46106</v>
      </c>
      <c r="I3461" s="1" t="s">
        <v>933</v>
      </c>
      <c r="J3461" s="1" t="e">
        <v>#REF!</v>
      </c>
      <c r="K3461" s="1" t="s">
        <v>308</v>
      </c>
      <c r="L3461" s="1" t="s">
        <v>4586</v>
      </c>
      <c r="M3461" s="3">
        <v>46093</v>
      </c>
      <c r="N3461" s="1" t="e">
        <v>#REF!</v>
      </c>
      <c r="O3461" s="1" t="s">
        <v>936</v>
      </c>
      <c r="P3461" s="1" t="s">
        <v>937</v>
      </c>
    </row>
    <row r="3462" spans="1:16" x14ac:dyDescent="0.25">
      <c r="A3462" s="3">
        <v>46092</v>
      </c>
      <c r="B3462" s="1">
        <v>146</v>
      </c>
      <c r="C3462" s="5">
        <v>5009</v>
      </c>
      <c r="D3462" s="1" t="s">
        <v>3887</v>
      </c>
      <c r="E3462" s="1" t="s">
        <v>3888</v>
      </c>
      <c r="F3462" s="1" t="s">
        <v>1778</v>
      </c>
      <c r="G3462" s="1" t="s">
        <v>1029</v>
      </c>
      <c r="H3462" s="3">
        <v>46113</v>
      </c>
      <c r="I3462" s="1" t="s">
        <v>933</v>
      </c>
      <c r="J3462" s="1" t="s">
        <v>951</v>
      </c>
      <c r="K3462" s="1" t="s">
        <v>52</v>
      </c>
      <c r="L3462" s="1" t="s">
        <v>4883</v>
      </c>
      <c r="M3462" s="3">
        <v>46093</v>
      </c>
      <c r="N3462" s="1" t="s">
        <v>57</v>
      </c>
      <c r="O3462" s="1" t="s">
        <v>936</v>
      </c>
      <c r="P3462" s="1">
        <v>1</v>
      </c>
    </row>
    <row r="3463" spans="1:16" x14ac:dyDescent="0.25">
      <c r="A3463" s="3">
        <v>46092</v>
      </c>
      <c r="B3463" s="1">
        <v>180</v>
      </c>
      <c r="C3463" s="5">
        <v>160</v>
      </c>
      <c r="D3463" s="1" t="s">
        <v>1229</v>
      </c>
      <c r="E3463" s="1" t="s">
        <v>1230</v>
      </c>
      <c r="F3463" s="1" t="s">
        <v>66</v>
      </c>
      <c r="G3463" s="1" t="s">
        <v>940</v>
      </c>
      <c r="H3463" s="3">
        <v>46105</v>
      </c>
      <c r="I3463" s="1" t="s">
        <v>933</v>
      </c>
      <c r="J3463" s="1" t="s">
        <v>66</v>
      </c>
      <c r="K3463" s="1" t="s">
        <v>934</v>
      </c>
      <c r="L3463" s="1" t="s">
        <v>4884</v>
      </c>
      <c r="M3463" s="3">
        <v>46095</v>
      </c>
      <c r="N3463" s="1" t="s">
        <v>57</v>
      </c>
      <c r="O3463" s="1" t="s">
        <v>990</v>
      </c>
      <c r="P3463" s="1">
        <v>1</v>
      </c>
    </row>
    <row r="3464" spans="1:16" x14ac:dyDescent="0.25">
      <c r="A3464" s="3">
        <v>46092</v>
      </c>
      <c r="B3464" s="1">
        <v>179</v>
      </c>
      <c r="C3464" s="5">
        <v>320</v>
      </c>
      <c r="D3464" s="1" t="s">
        <v>1229</v>
      </c>
      <c r="E3464" s="1" t="s">
        <v>1230</v>
      </c>
      <c r="F3464" s="1" t="s">
        <v>392</v>
      </c>
      <c r="G3464" s="1" t="s">
        <v>940</v>
      </c>
      <c r="H3464" s="3">
        <v>46105</v>
      </c>
      <c r="I3464" s="1" t="s">
        <v>933</v>
      </c>
      <c r="J3464" s="1" t="s">
        <v>66</v>
      </c>
      <c r="K3464" s="1" t="s">
        <v>308</v>
      </c>
      <c r="L3464" s="1" t="s">
        <v>4885</v>
      </c>
      <c r="M3464" s="3">
        <v>46095</v>
      </c>
      <c r="N3464" s="1" t="s">
        <v>57</v>
      </c>
      <c r="O3464" s="1" t="s">
        <v>990</v>
      </c>
      <c r="P3464" s="1">
        <v>1</v>
      </c>
    </row>
    <row r="3465" spans="1:16" x14ac:dyDescent="0.25">
      <c r="A3465" s="3">
        <v>46092</v>
      </c>
      <c r="B3465" s="1">
        <v>178</v>
      </c>
      <c r="C3465" s="5">
        <v>480</v>
      </c>
      <c r="D3465" s="1" t="s">
        <v>1229</v>
      </c>
      <c r="E3465" s="1" t="s">
        <v>1230</v>
      </c>
      <c r="F3465" s="1" t="s">
        <v>566</v>
      </c>
      <c r="G3465" s="1" t="s">
        <v>940</v>
      </c>
      <c r="H3465" s="3">
        <v>46105</v>
      </c>
      <c r="I3465" s="1" t="s">
        <v>933</v>
      </c>
      <c r="J3465" s="1" t="s">
        <v>66</v>
      </c>
      <c r="K3465" s="1" t="s">
        <v>308</v>
      </c>
      <c r="L3465" s="1" t="s">
        <v>4886</v>
      </c>
      <c r="M3465" s="3">
        <v>46095</v>
      </c>
      <c r="N3465" s="1" t="s">
        <v>57</v>
      </c>
      <c r="O3465" s="1" t="s">
        <v>990</v>
      </c>
      <c r="P3465" s="1">
        <v>1</v>
      </c>
    </row>
    <row r="3466" spans="1:16" x14ac:dyDescent="0.25">
      <c r="A3466" s="3">
        <v>46092</v>
      </c>
      <c r="B3466" s="1">
        <v>177</v>
      </c>
      <c r="C3466" s="5">
        <v>250</v>
      </c>
      <c r="D3466" s="1" t="s">
        <v>1229</v>
      </c>
      <c r="E3466" s="1" t="s">
        <v>1230</v>
      </c>
      <c r="F3466" s="1" t="s">
        <v>66</v>
      </c>
      <c r="G3466" s="1" t="s">
        <v>940</v>
      </c>
      <c r="H3466" s="3">
        <v>46105</v>
      </c>
      <c r="I3466" s="1" t="s">
        <v>933</v>
      </c>
      <c r="J3466" s="1" t="s">
        <v>66</v>
      </c>
      <c r="K3466" s="1" t="s">
        <v>934</v>
      </c>
      <c r="L3466" s="1" t="s">
        <v>4887</v>
      </c>
      <c r="M3466" s="3">
        <v>46095</v>
      </c>
      <c r="N3466" s="1" t="s">
        <v>57</v>
      </c>
      <c r="O3466" s="1" t="s">
        <v>990</v>
      </c>
      <c r="P3466" s="1">
        <v>1</v>
      </c>
    </row>
    <row r="3467" spans="1:16" x14ac:dyDescent="0.25">
      <c r="A3467" s="3">
        <v>46092</v>
      </c>
      <c r="B3467" s="1">
        <v>176</v>
      </c>
      <c r="C3467" s="5">
        <v>200</v>
      </c>
      <c r="D3467" s="1" t="s">
        <v>1229</v>
      </c>
      <c r="E3467" s="1" t="s">
        <v>1230</v>
      </c>
      <c r="F3467" s="1" t="s">
        <v>66</v>
      </c>
      <c r="G3467" s="1" t="s">
        <v>940</v>
      </c>
      <c r="H3467" s="3">
        <v>46105</v>
      </c>
      <c r="I3467" s="1" t="s">
        <v>933</v>
      </c>
      <c r="J3467" s="1" t="s">
        <v>66</v>
      </c>
      <c r="K3467" s="1" t="s">
        <v>934</v>
      </c>
      <c r="L3467" s="1" t="s">
        <v>4888</v>
      </c>
      <c r="M3467" s="3">
        <v>46095</v>
      </c>
      <c r="N3467" s="1" t="s">
        <v>57</v>
      </c>
      <c r="O3467" s="1" t="s">
        <v>990</v>
      </c>
      <c r="P3467" s="1">
        <v>1</v>
      </c>
    </row>
    <row r="3468" spans="1:16" x14ac:dyDescent="0.25">
      <c r="A3468" s="3">
        <v>46092</v>
      </c>
      <c r="B3468" s="1">
        <v>175</v>
      </c>
      <c r="C3468" s="5">
        <v>200</v>
      </c>
      <c r="D3468" s="1" t="s">
        <v>1229</v>
      </c>
      <c r="E3468" s="1" t="s">
        <v>1230</v>
      </c>
      <c r="F3468" s="1" t="s">
        <v>66</v>
      </c>
      <c r="G3468" s="1" t="s">
        <v>940</v>
      </c>
      <c r="H3468" s="3">
        <v>46105</v>
      </c>
      <c r="I3468" s="1" t="s">
        <v>933</v>
      </c>
      <c r="J3468" s="1" t="s">
        <v>66</v>
      </c>
      <c r="K3468" s="1" t="s">
        <v>934</v>
      </c>
      <c r="L3468" s="1" t="s">
        <v>4889</v>
      </c>
      <c r="M3468" s="3">
        <v>46095</v>
      </c>
      <c r="N3468" s="1" t="s">
        <v>57</v>
      </c>
      <c r="O3468" s="1" t="s">
        <v>990</v>
      </c>
      <c r="P3468" s="1">
        <v>1</v>
      </c>
    </row>
    <row r="3469" spans="1:16" x14ac:dyDescent="0.25">
      <c r="A3469" s="3">
        <v>46092</v>
      </c>
      <c r="B3469" s="4">
        <v>1773</v>
      </c>
      <c r="C3469" s="5">
        <v>40308.550000000003</v>
      </c>
      <c r="D3469" s="1" t="s">
        <v>4025</v>
      </c>
      <c r="E3469" s="1" t="s">
        <v>4026</v>
      </c>
      <c r="F3469" s="1" t="s">
        <v>599</v>
      </c>
      <c r="G3469" s="1" t="s">
        <v>940</v>
      </c>
      <c r="H3469" s="3">
        <v>46119</v>
      </c>
      <c r="I3469" s="1" t="s">
        <v>1100</v>
      </c>
      <c r="J3469" s="1" t="s">
        <v>66</v>
      </c>
      <c r="K3469" s="1" t="s">
        <v>308</v>
      </c>
      <c r="L3469" s="1" t="s">
        <v>4890</v>
      </c>
      <c r="M3469" s="3">
        <v>46099</v>
      </c>
      <c r="N3469" s="1" t="s">
        <v>57</v>
      </c>
      <c r="O3469" s="1" t="s">
        <v>932</v>
      </c>
      <c r="P3469" s="1">
        <v>1</v>
      </c>
    </row>
    <row r="3470" spans="1:16" x14ac:dyDescent="0.25">
      <c r="A3470" s="3">
        <v>46092</v>
      </c>
      <c r="B3470" s="4">
        <v>5232</v>
      </c>
      <c r="C3470" s="5">
        <v>630</v>
      </c>
      <c r="D3470" s="1" t="s">
        <v>938</v>
      </c>
      <c r="E3470" s="1" t="s">
        <v>939</v>
      </c>
      <c r="F3470" s="1" t="s">
        <v>66</v>
      </c>
      <c r="G3470" s="1" t="s">
        <v>940</v>
      </c>
      <c r="H3470" s="1" t="s">
        <v>4055</v>
      </c>
      <c r="I3470" s="1" t="s">
        <v>933</v>
      </c>
      <c r="J3470" s="1" t="s">
        <v>66</v>
      </c>
      <c r="K3470" s="1" t="s">
        <v>66</v>
      </c>
      <c r="L3470" s="1" t="s">
        <v>5154</v>
      </c>
      <c r="M3470" s="1" t="s">
        <v>4055</v>
      </c>
      <c r="N3470" s="1" t="s">
        <v>57</v>
      </c>
      <c r="O3470" s="1" t="s">
        <v>936</v>
      </c>
      <c r="P3470" s="1">
        <v>1</v>
      </c>
    </row>
    <row r="3471" spans="1:16" x14ac:dyDescent="0.25">
      <c r="A3471" s="3">
        <v>46092</v>
      </c>
      <c r="B3471" s="4">
        <v>14743</v>
      </c>
      <c r="C3471" s="5">
        <v>92.4</v>
      </c>
      <c r="D3471" s="1" t="s">
        <v>1064</v>
      </c>
      <c r="E3471" s="1" t="s">
        <v>1042</v>
      </c>
      <c r="F3471" s="1" t="s">
        <v>66</v>
      </c>
      <c r="G3471" s="1" t="s">
        <v>940</v>
      </c>
      <c r="H3471" s="1" t="s">
        <v>4055</v>
      </c>
      <c r="I3471" s="1" t="s">
        <v>933</v>
      </c>
      <c r="J3471" s="1" t="s">
        <v>66</v>
      </c>
      <c r="K3471" s="1" t="s">
        <v>66</v>
      </c>
      <c r="L3471" s="1" t="s">
        <v>5155</v>
      </c>
      <c r="M3471" s="1" t="s">
        <v>4055</v>
      </c>
      <c r="N3471" s="1" t="s">
        <v>57</v>
      </c>
      <c r="O3471" s="1" t="s">
        <v>936</v>
      </c>
      <c r="P3471" s="1">
        <v>1</v>
      </c>
    </row>
    <row r="3472" spans="1:16" x14ac:dyDescent="0.25">
      <c r="A3472" s="3">
        <v>46092</v>
      </c>
      <c r="B3472" s="1">
        <v>184</v>
      </c>
      <c r="C3472" s="5">
        <v>245</v>
      </c>
      <c r="D3472" s="1" t="s">
        <v>1370</v>
      </c>
      <c r="E3472" s="1" t="s">
        <v>1371</v>
      </c>
      <c r="F3472" s="1" t="s">
        <v>516</v>
      </c>
      <c r="G3472" s="1" t="s">
        <v>940</v>
      </c>
      <c r="H3472" s="1" t="s">
        <v>4055</v>
      </c>
      <c r="I3472" s="1" t="s">
        <v>933</v>
      </c>
      <c r="J3472" s="1" t="s">
        <v>66</v>
      </c>
      <c r="K3472" s="1" t="s">
        <v>66</v>
      </c>
      <c r="L3472" s="1" t="s">
        <v>5156</v>
      </c>
      <c r="M3472" s="1" t="s">
        <v>4055</v>
      </c>
      <c r="N3472" s="1" t="s">
        <v>520</v>
      </c>
      <c r="O3472" s="1" t="s">
        <v>936</v>
      </c>
      <c r="P3472" s="1" t="s">
        <v>937</v>
      </c>
    </row>
    <row r="3473" spans="1:16" x14ac:dyDescent="0.25">
      <c r="A3473" s="3">
        <v>46093</v>
      </c>
      <c r="B3473" s="1">
        <v>1</v>
      </c>
      <c r="C3473" s="5">
        <v>12500</v>
      </c>
      <c r="D3473" s="1" t="s">
        <v>4891</v>
      </c>
      <c r="E3473" s="1" t="s">
        <v>4892</v>
      </c>
      <c r="F3473" s="1" t="s">
        <v>852</v>
      </c>
      <c r="G3473" s="1" t="s">
        <v>932</v>
      </c>
      <c r="H3473" s="3">
        <v>46124</v>
      </c>
      <c r="I3473" s="1" t="s">
        <v>933</v>
      </c>
      <c r="J3473" s="1" t="s">
        <v>66</v>
      </c>
      <c r="K3473" s="1" t="s">
        <v>308</v>
      </c>
      <c r="L3473" s="1" t="s">
        <v>4893</v>
      </c>
      <c r="M3473" s="3">
        <v>46094</v>
      </c>
      <c r="N3473" s="1" t="s">
        <v>666</v>
      </c>
      <c r="O3473" s="1" t="s">
        <v>936</v>
      </c>
      <c r="P3473" s="1">
        <v>1</v>
      </c>
    </row>
    <row r="3474" spans="1:16" x14ac:dyDescent="0.25">
      <c r="A3474" s="3">
        <v>46093</v>
      </c>
      <c r="B3474" s="4">
        <v>96906</v>
      </c>
      <c r="C3474" s="5">
        <v>78900</v>
      </c>
      <c r="D3474" s="1" t="s">
        <v>1094</v>
      </c>
      <c r="E3474" s="1" t="s">
        <v>1095</v>
      </c>
      <c r="F3474" s="1" t="s">
        <v>66</v>
      </c>
      <c r="G3474" s="1" t="s">
        <v>998</v>
      </c>
      <c r="H3474" s="3">
        <v>46114</v>
      </c>
      <c r="I3474" s="1" t="s">
        <v>933</v>
      </c>
      <c r="J3474" s="1" t="s">
        <v>66</v>
      </c>
      <c r="K3474" s="1" t="s">
        <v>340</v>
      </c>
      <c r="L3474" s="1" t="s">
        <v>4894</v>
      </c>
      <c r="M3474" s="3">
        <v>46094</v>
      </c>
      <c r="N3474" s="1" t="s">
        <v>4895</v>
      </c>
      <c r="O3474" s="1" t="s">
        <v>998</v>
      </c>
      <c r="P3474" s="1">
        <v>1</v>
      </c>
    </row>
    <row r="3475" spans="1:16" x14ac:dyDescent="0.25">
      <c r="A3475" s="3">
        <v>46093</v>
      </c>
      <c r="B3475" s="4">
        <v>96905</v>
      </c>
      <c r="C3475" s="5">
        <v>39450</v>
      </c>
      <c r="D3475" s="1" t="s">
        <v>1094</v>
      </c>
      <c r="E3475" s="1" t="s">
        <v>1095</v>
      </c>
      <c r="F3475" s="1" t="s">
        <v>66</v>
      </c>
      <c r="G3475" s="1" t="s">
        <v>998</v>
      </c>
      <c r="H3475" s="3">
        <v>46114</v>
      </c>
      <c r="I3475" s="1" t="s">
        <v>933</v>
      </c>
      <c r="J3475" s="1" t="s">
        <v>66</v>
      </c>
      <c r="K3475" s="1" t="s">
        <v>340</v>
      </c>
      <c r="L3475" s="1" t="s">
        <v>4894</v>
      </c>
      <c r="M3475" s="3">
        <v>46094</v>
      </c>
      <c r="N3475" s="1" t="s">
        <v>4895</v>
      </c>
      <c r="O3475" s="1" t="s">
        <v>998</v>
      </c>
      <c r="P3475" s="1">
        <v>1</v>
      </c>
    </row>
    <row r="3476" spans="1:16" x14ac:dyDescent="0.25">
      <c r="A3476" s="3">
        <v>46093</v>
      </c>
      <c r="B3476" s="4">
        <v>10601</v>
      </c>
      <c r="C3476" s="5">
        <v>6663.24</v>
      </c>
      <c r="D3476" s="1" t="s">
        <v>973</v>
      </c>
      <c r="E3476" s="1" t="s">
        <v>1068</v>
      </c>
      <c r="F3476" s="1" t="s">
        <v>66</v>
      </c>
      <c r="G3476" s="1" t="s">
        <v>998</v>
      </c>
      <c r="H3476" s="3">
        <v>46100</v>
      </c>
      <c r="I3476" s="1" t="s">
        <v>933</v>
      </c>
      <c r="J3476" s="1" t="s">
        <v>66</v>
      </c>
      <c r="K3476" s="1" t="s">
        <v>308</v>
      </c>
      <c r="L3476" s="1" t="s">
        <v>4896</v>
      </c>
      <c r="M3476" s="3">
        <v>46094</v>
      </c>
      <c r="N3476" s="1" t="s">
        <v>57</v>
      </c>
      <c r="O3476" s="1" t="s">
        <v>936</v>
      </c>
      <c r="P3476" s="1">
        <v>1</v>
      </c>
    </row>
    <row r="3477" spans="1:16" x14ac:dyDescent="0.25">
      <c r="A3477" s="3">
        <v>46093</v>
      </c>
      <c r="B3477" s="4">
        <v>10599</v>
      </c>
      <c r="C3477" s="5">
        <v>2965.5</v>
      </c>
      <c r="D3477" s="1" t="s">
        <v>973</v>
      </c>
      <c r="E3477" s="1" t="s">
        <v>1068</v>
      </c>
      <c r="F3477" s="1" t="s">
        <v>66</v>
      </c>
      <c r="G3477" s="1" t="s">
        <v>998</v>
      </c>
      <c r="H3477" s="3">
        <v>46108</v>
      </c>
      <c r="I3477" s="1" t="s">
        <v>933</v>
      </c>
      <c r="J3477" s="1" t="s">
        <v>66</v>
      </c>
      <c r="K3477" s="1" t="s">
        <v>308</v>
      </c>
      <c r="L3477" s="1" t="s">
        <v>4897</v>
      </c>
      <c r="M3477" s="3">
        <v>46094</v>
      </c>
      <c r="N3477" s="1" t="s">
        <v>57</v>
      </c>
      <c r="O3477" s="1" t="s">
        <v>936</v>
      </c>
      <c r="P3477" s="1">
        <v>1</v>
      </c>
    </row>
    <row r="3478" spans="1:16" x14ac:dyDescent="0.25">
      <c r="A3478" s="3">
        <v>46093</v>
      </c>
      <c r="B3478" s="4">
        <v>81266</v>
      </c>
      <c r="C3478" s="5">
        <v>9700</v>
      </c>
      <c r="D3478" s="1" t="s">
        <v>2530</v>
      </c>
      <c r="E3478" s="1" t="s">
        <v>772</v>
      </c>
      <c r="F3478" s="1" t="s">
        <v>827</v>
      </c>
      <c r="G3478" s="1" t="s">
        <v>1260</v>
      </c>
      <c r="H3478" s="3">
        <v>46125</v>
      </c>
      <c r="I3478" s="1" t="s">
        <v>933</v>
      </c>
      <c r="J3478" s="1" t="s">
        <v>66</v>
      </c>
      <c r="K3478" s="1" t="s">
        <v>340</v>
      </c>
      <c r="L3478" s="1" t="s">
        <v>4898</v>
      </c>
      <c r="M3478" s="3">
        <v>46095</v>
      </c>
      <c r="N3478" s="1" t="s">
        <v>772</v>
      </c>
      <c r="O3478" s="1" t="s">
        <v>936</v>
      </c>
      <c r="P3478" s="1" t="s">
        <v>937</v>
      </c>
    </row>
    <row r="3479" spans="1:16" x14ac:dyDescent="0.25">
      <c r="A3479" s="3">
        <v>46093</v>
      </c>
      <c r="B3479" s="4">
        <v>5607</v>
      </c>
      <c r="C3479" s="5">
        <v>3394.64</v>
      </c>
      <c r="D3479" s="1" t="s">
        <v>4899</v>
      </c>
      <c r="E3479" s="1" t="s">
        <v>4900</v>
      </c>
      <c r="F3479" s="1" t="s">
        <v>658</v>
      </c>
      <c r="G3479" s="1" t="s">
        <v>940</v>
      </c>
      <c r="H3479" s="3">
        <v>46123</v>
      </c>
      <c r="I3479" s="1" t="s">
        <v>1100</v>
      </c>
      <c r="J3479" s="1" t="s">
        <v>66</v>
      </c>
      <c r="K3479" s="1" t="s">
        <v>659</v>
      </c>
      <c r="L3479" s="1" t="s">
        <v>4901</v>
      </c>
      <c r="M3479" s="3">
        <v>46095</v>
      </c>
      <c r="N3479" s="1" t="s">
        <v>57</v>
      </c>
      <c r="O3479" s="1" t="s">
        <v>936</v>
      </c>
      <c r="P3479" s="1" t="s">
        <v>937</v>
      </c>
    </row>
    <row r="3480" spans="1:16" x14ac:dyDescent="0.25">
      <c r="A3480" s="3">
        <v>46093</v>
      </c>
      <c r="B3480" s="4">
        <v>52549</v>
      </c>
      <c r="C3480" s="5">
        <v>825</v>
      </c>
      <c r="D3480" s="1" t="s">
        <v>1489</v>
      </c>
      <c r="E3480" s="1" t="s">
        <v>1490</v>
      </c>
      <c r="F3480" s="1" t="s">
        <v>66</v>
      </c>
      <c r="G3480" s="1" t="s">
        <v>950</v>
      </c>
      <c r="H3480" s="3">
        <v>46123</v>
      </c>
      <c r="I3480" s="1" t="s">
        <v>933</v>
      </c>
      <c r="J3480" s="1" t="s">
        <v>66</v>
      </c>
      <c r="K3480" s="1" t="s">
        <v>66</v>
      </c>
      <c r="L3480" s="1" t="s">
        <v>4902</v>
      </c>
      <c r="M3480" s="3">
        <v>46095</v>
      </c>
      <c r="N3480" s="1" t="s">
        <v>57</v>
      </c>
      <c r="O3480" s="1" t="s">
        <v>936</v>
      </c>
      <c r="P3480" s="1">
        <v>1</v>
      </c>
    </row>
    <row r="3481" spans="1:16" x14ac:dyDescent="0.25">
      <c r="A3481" s="3">
        <v>46093</v>
      </c>
      <c r="B3481" s="4">
        <v>96928</v>
      </c>
      <c r="C3481" s="5">
        <v>2720</v>
      </c>
      <c r="D3481" s="1" t="s">
        <v>1094</v>
      </c>
      <c r="E3481" s="1" t="s">
        <v>1095</v>
      </c>
      <c r="F3481" s="1" t="s">
        <v>66</v>
      </c>
      <c r="G3481" s="1" t="s">
        <v>1010</v>
      </c>
      <c r="H3481" s="3">
        <v>46114</v>
      </c>
      <c r="I3481" s="1" t="s">
        <v>933</v>
      </c>
      <c r="J3481" s="1" t="s">
        <v>66</v>
      </c>
      <c r="K3481" s="1" t="s">
        <v>66</v>
      </c>
      <c r="L3481" s="1" t="s">
        <v>1069</v>
      </c>
      <c r="M3481" s="3">
        <v>46095</v>
      </c>
      <c r="N3481" s="1" t="s">
        <v>57</v>
      </c>
      <c r="O3481" s="1" t="s">
        <v>998</v>
      </c>
      <c r="P3481" s="1">
        <v>1</v>
      </c>
    </row>
    <row r="3482" spans="1:16" x14ac:dyDescent="0.25">
      <c r="A3482" s="3">
        <v>46093</v>
      </c>
      <c r="B3482" s="4">
        <v>73241</v>
      </c>
      <c r="C3482" s="5">
        <v>542.4</v>
      </c>
      <c r="D3482" s="1" t="s">
        <v>1253</v>
      </c>
      <c r="E3482" s="1" t="s">
        <v>1487</v>
      </c>
      <c r="F3482" s="1" t="s">
        <v>95</v>
      </c>
      <c r="G3482" s="1" t="s">
        <v>1254</v>
      </c>
      <c r="H3482" s="3">
        <v>46125</v>
      </c>
      <c r="I3482" s="1" t="s">
        <v>933</v>
      </c>
      <c r="J3482" s="1" t="s">
        <v>66</v>
      </c>
      <c r="K3482" s="1" t="s">
        <v>340</v>
      </c>
      <c r="L3482" s="1" t="s">
        <v>4903</v>
      </c>
      <c r="M3482" s="3">
        <v>46095</v>
      </c>
      <c r="N3482" s="1" t="s">
        <v>98</v>
      </c>
      <c r="O3482" s="1" t="s">
        <v>936</v>
      </c>
      <c r="P3482" s="1">
        <v>1</v>
      </c>
    </row>
    <row r="3483" spans="1:16" x14ac:dyDescent="0.25">
      <c r="A3483" s="3">
        <v>46093</v>
      </c>
      <c r="B3483" s="4">
        <v>5240</v>
      </c>
      <c r="C3483" s="5">
        <v>2078.4499999999998</v>
      </c>
      <c r="D3483" s="1" t="s">
        <v>938</v>
      </c>
      <c r="E3483" s="1" t="s">
        <v>939</v>
      </c>
      <c r="F3483" s="1" t="s">
        <v>66</v>
      </c>
      <c r="G3483" s="1" t="s">
        <v>940</v>
      </c>
      <c r="H3483" s="3">
        <v>46124</v>
      </c>
      <c r="I3483" s="1" t="s">
        <v>933</v>
      </c>
      <c r="J3483" s="1" t="s">
        <v>66</v>
      </c>
      <c r="K3483" s="1" t="s">
        <v>52</v>
      </c>
      <c r="L3483" s="1" t="s">
        <v>4904</v>
      </c>
      <c r="M3483" s="3">
        <v>46095</v>
      </c>
      <c r="N3483" s="1" t="s">
        <v>57</v>
      </c>
      <c r="O3483" s="1" t="s">
        <v>936</v>
      </c>
      <c r="P3483" s="1">
        <v>1</v>
      </c>
    </row>
    <row r="3484" spans="1:16" x14ac:dyDescent="0.25">
      <c r="A3484" s="3">
        <v>46093</v>
      </c>
      <c r="B3484" s="1">
        <v>23</v>
      </c>
      <c r="C3484" s="5">
        <v>1500</v>
      </c>
      <c r="D3484" s="1" t="s">
        <v>3557</v>
      </c>
      <c r="E3484" s="1" t="s">
        <v>3558</v>
      </c>
      <c r="F3484" s="1" t="s">
        <v>255</v>
      </c>
      <c r="G3484" s="1" t="s">
        <v>940</v>
      </c>
      <c r="H3484" s="3">
        <v>46118</v>
      </c>
      <c r="I3484" s="1" t="s">
        <v>1100</v>
      </c>
      <c r="J3484" s="1" t="s">
        <v>66</v>
      </c>
      <c r="K3484" s="1" t="s">
        <v>340</v>
      </c>
      <c r="L3484" s="1" t="s">
        <v>4905</v>
      </c>
      <c r="M3484" s="3">
        <v>46095</v>
      </c>
      <c r="N3484" s="1" t="s">
        <v>57</v>
      </c>
      <c r="O3484" s="1" t="s">
        <v>936</v>
      </c>
      <c r="P3484" s="1" t="s">
        <v>937</v>
      </c>
    </row>
    <row r="3485" spans="1:16" x14ac:dyDescent="0.25">
      <c r="A3485" s="3">
        <v>46093</v>
      </c>
      <c r="B3485" s="4">
        <v>5239</v>
      </c>
      <c r="C3485" s="5">
        <v>595.79999999999995</v>
      </c>
      <c r="D3485" s="1" t="s">
        <v>938</v>
      </c>
      <c r="E3485" s="1" t="s">
        <v>939</v>
      </c>
      <c r="F3485" s="1" t="s">
        <v>949</v>
      </c>
      <c r="G3485" s="1" t="s">
        <v>950</v>
      </c>
      <c r="H3485" s="3">
        <v>46124</v>
      </c>
      <c r="I3485" s="1" t="s">
        <v>933</v>
      </c>
      <c r="J3485" s="1" t="s">
        <v>951</v>
      </c>
      <c r="K3485" s="1" t="s">
        <v>340</v>
      </c>
      <c r="L3485" s="1" t="s">
        <v>4906</v>
      </c>
      <c r="M3485" s="3">
        <v>46095</v>
      </c>
      <c r="N3485" s="1" t="s">
        <v>57</v>
      </c>
      <c r="O3485" s="1" t="s">
        <v>936</v>
      </c>
      <c r="P3485" s="1">
        <v>1</v>
      </c>
    </row>
    <row r="3486" spans="1:16" x14ac:dyDescent="0.25">
      <c r="A3486" s="3">
        <v>46093</v>
      </c>
      <c r="B3486" s="1">
        <v>14</v>
      </c>
      <c r="C3486" s="5">
        <v>7000</v>
      </c>
      <c r="D3486" s="1" t="s">
        <v>4324</v>
      </c>
      <c r="E3486" s="1" t="s">
        <v>4325</v>
      </c>
      <c r="F3486" s="1" t="s">
        <v>493</v>
      </c>
      <c r="G3486" s="1" t="s">
        <v>932</v>
      </c>
      <c r="H3486" s="3">
        <v>45027</v>
      </c>
      <c r="I3486" s="1" t="s">
        <v>933</v>
      </c>
      <c r="J3486" s="1" t="s">
        <v>66</v>
      </c>
      <c r="K3486" s="1" t="s">
        <v>308</v>
      </c>
      <c r="L3486" s="1" t="s">
        <v>4907</v>
      </c>
      <c r="M3486" s="3">
        <v>46099</v>
      </c>
      <c r="N3486" s="1" t="s">
        <v>497</v>
      </c>
      <c r="O3486" s="1" t="s">
        <v>936</v>
      </c>
      <c r="P3486" s="1">
        <v>1</v>
      </c>
    </row>
    <row r="3487" spans="1:16" x14ac:dyDescent="0.25">
      <c r="A3487" s="3">
        <v>46093</v>
      </c>
      <c r="B3487" s="4">
        <v>73918</v>
      </c>
      <c r="C3487" s="5">
        <v>2993</v>
      </c>
      <c r="D3487" s="1" t="s">
        <v>1994</v>
      </c>
      <c r="E3487" s="1" t="s">
        <v>1995</v>
      </c>
      <c r="F3487" s="1" t="s">
        <v>787</v>
      </c>
      <c r="G3487" s="1" t="s">
        <v>940</v>
      </c>
      <c r="H3487" s="3">
        <v>46121</v>
      </c>
      <c r="I3487" s="1" t="s">
        <v>933</v>
      </c>
      <c r="J3487" s="1" t="s">
        <v>66</v>
      </c>
      <c r="K3487" s="1" t="s">
        <v>308</v>
      </c>
      <c r="L3487" s="1" t="s">
        <v>4908</v>
      </c>
      <c r="M3487" s="3">
        <v>46099</v>
      </c>
      <c r="N3487" s="1" t="s">
        <v>57</v>
      </c>
      <c r="O3487" s="1" t="s">
        <v>936</v>
      </c>
      <c r="P3487" s="1">
        <v>1</v>
      </c>
    </row>
    <row r="3488" spans="1:16" x14ac:dyDescent="0.25">
      <c r="A3488" s="3">
        <v>46093</v>
      </c>
      <c r="B3488" s="4">
        <v>5236</v>
      </c>
      <c r="C3488" s="5">
        <v>54</v>
      </c>
      <c r="D3488" s="1" t="s">
        <v>938</v>
      </c>
      <c r="E3488" s="1" t="s">
        <v>939</v>
      </c>
      <c r="F3488" s="1" t="s">
        <v>121</v>
      </c>
      <c r="G3488" s="1" t="s">
        <v>940</v>
      </c>
      <c r="H3488" s="1" t="s">
        <v>4055</v>
      </c>
      <c r="I3488" s="1" t="s">
        <v>933</v>
      </c>
      <c r="J3488" s="1" t="s">
        <v>66</v>
      </c>
      <c r="K3488" s="1" t="s">
        <v>66</v>
      </c>
      <c r="L3488" s="1" t="s">
        <v>5152</v>
      </c>
      <c r="M3488" s="1" t="s">
        <v>4055</v>
      </c>
      <c r="N3488" s="1" t="s">
        <v>50</v>
      </c>
      <c r="O3488" s="1" t="s">
        <v>936</v>
      </c>
      <c r="P3488" s="1">
        <v>1</v>
      </c>
    </row>
    <row r="3489" spans="1:16" x14ac:dyDescent="0.25">
      <c r="A3489" s="3">
        <v>46093</v>
      </c>
      <c r="B3489" s="4">
        <v>4510</v>
      </c>
      <c r="C3489" s="5">
        <v>87</v>
      </c>
      <c r="D3489" s="1" t="s">
        <v>1152</v>
      </c>
      <c r="E3489" s="1" t="s">
        <v>5147</v>
      </c>
      <c r="F3489" s="1" t="s">
        <v>121</v>
      </c>
      <c r="G3489" s="1" t="s">
        <v>940</v>
      </c>
      <c r="H3489" s="1" t="s">
        <v>4055</v>
      </c>
      <c r="I3489" s="1" t="s">
        <v>933</v>
      </c>
      <c r="J3489" s="1" t="s">
        <v>66</v>
      </c>
      <c r="K3489" s="1" t="s">
        <v>66</v>
      </c>
      <c r="L3489" s="1" t="s">
        <v>5153</v>
      </c>
      <c r="M3489" s="1" t="s">
        <v>4055</v>
      </c>
      <c r="N3489" s="1" t="s">
        <v>50</v>
      </c>
      <c r="O3489" s="1" t="s">
        <v>936</v>
      </c>
      <c r="P3489" s="1">
        <v>1</v>
      </c>
    </row>
    <row r="3490" spans="1:16" x14ac:dyDescent="0.25">
      <c r="A3490" s="3">
        <v>46094</v>
      </c>
      <c r="B3490" s="4">
        <v>5700</v>
      </c>
      <c r="C3490" s="5">
        <v>4800</v>
      </c>
      <c r="D3490" s="1" t="s">
        <v>1027</v>
      </c>
      <c r="E3490" s="1" t="s">
        <v>1028</v>
      </c>
      <c r="F3490" s="1" t="s">
        <v>617</v>
      </c>
      <c r="G3490" s="1" t="s">
        <v>1029</v>
      </c>
      <c r="H3490" s="3">
        <v>46109</v>
      </c>
      <c r="I3490" s="1" t="s">
        <v>933</v>
      </c>
      <c r="J3490" s="1" t="s">
        <v>937</v>
      </c>
      <c r="K3490" s="1" t="s">
        <v>340</v>
      </c>
      <c r="L3490" s="1" t="s">
        <v>4909</v>
      </c>
      <c r="M3490" s="3">
        <v>46095</v>
      </c>
      <c r="N3490" s="1" t="s">
        <v>937</v>
      </c>
      <c r="O3490" s="1" t="s">
        <v>1031</v>
      </c>
      <c r="P3490" s="1">
        <v>1</v>
      </c>
    </row>
    <row r="3491" spans="1:16" x14ac:dyDescent="0.25">
      <c r="A3491" s="3">
        <v>46094</v>
      </c>
      <c r="B3491" s="4">
        <v>52584</v>
      </c>
      <c r="C3491" s="5">
        <v>810</v>
      </c>
      <c r="D3491" s="1" t="s">
        <v>1489</v>
      </c>
      <c r="E3491" s="1" t="s">
        <v>1490</v>
      </c>
      <c r="F3491" s="1" t="s">
        <v>66</v>
      </c>
      <c r="G3491" s="1" t="s">
        <v>950</v>
      </c>
      <c r="H3491" s="3">
        <v>46124</v>
      </c>
      <c r="I3491" s="1" t="s">
        <v>933</v>
      </c>
      <c r="J3491" s="1" t="s">
        <v>66</v>
      </c>
      <c r="K3491" s="1" t="s">
        <v>66</v>
      </c>
      <c r="L3491" s="1" t="s">
        <v>4912</v>
      </c>
      <c r="M3491" s="3">
        <v>46095</v>
      </c>
      <c r="N3491" s="1" t="s">
        <v>57</v>
      </c>
      <c r="O3491" s="1" t="s">
        <v>936</v>
      </c>
      <c r="P3491" s="1">
        <v>1</v>
      </c>
    </row>
    <row r="3492" spans="1:16" x14ac:dyDescent="0.25">
      <c r="A3492" s="3">
        <v>46094</v>
      </c>
      <c r="B3492" s="4">
        <v>1688</v>
      </c>
      <c r="C3492" s="5">
        <v>3685.52</v>
      </c>
      <c r="D3492" s="1" t="s">
        <v>1901</v>
      </c>
      <c r="E3492" s="1" t="s">
        <v>1902</v>
      </c>
      <c r="F3492" s="1" t="s">
        <v>659</v>
      </c>
      <c r="G3492" s="1" t="s">
        <v>20</v>
      </c>
      <c r="H3492" s="3">
        <v>46122</v>
      </c>
      <c r="I3492" s="1" t="s">
        <v>933</v>
      </c>
      <c r="J3492" s="1" t="s">
        <v>951</v>
      </c>
      <c r="K3492" s="1" t="s">
        <v>659</v>
      </c>
      <c r="L3492" s="1" t="s">
        <v>4913</v>
      </c>
      <c r="M3492" s="3">
        <v>46095</v>
      </c>
      <c r="N3492" s="1" t="s">
        <v>57</v>
      </c>
      <c r="O3492" s="1" t="s">
        <v>936</v>
      </c>
      <c r="P3492" s="1">
        <v>1</v>
      </c>
    </row>
    <row r="3493" spans="1:16" x14ac:dyDescent="0.25">
      <c r="A3493" s="3">
        <v>46094</v>
      </c>
      <c r="B3493" s="4">
        <v>3035</v>
      </c>
      <c r="C3493" s="5">
        <v>863.42</v>
      </c>
      <c r="D3493" s="1" t="s">
        <v>3698</v>
      </c>
      <c r="E3493" s="1" t="s">
        <v>4914</v>
      </c>
      <c r="F3493" s="1" t="s">
        <v>255</v>
      </c>
      <c r="G3493" s="1" t="s">
        <v>940</v>
      </c>
      <c r="H3493" s="3">
        <v>46104</v>
      </c>
      <c r="I3493" s="1" t="s">
        <v>1100</v>
      </c>
      <c r="J3493" s="1" t="s">
        <v>66</v>
      </c>
      <c r="K3493" s="1" t="s">
        <v>340</v>
      </c>
      <c r="L3493" s="1" t="s">
        <v>4915</v>
      </c>
      <c r="M3493" s="3">
        <v>46097</v>
      </c>
      <c r="N3493" s="1" t="s">
        <v>57</v>
      </c>
      <c r="O3493" s="1" t="s">
        <v>936</v>
      </c>
      <c r="P3493" s="1">
        <v>1</v>
      </c>
    </row>
    <row r="3494" spans="1:16" x14ac:dyDescent="0.25">
      <c r="A3494" s="3">
        <v>46094</v>
      </c>
      <c r="B3494" s="1">
        <v>33</v>
      </c>
      <c r="C3494" s="5">
        <v>8750</v>
      </c>
      <c r="D3494" s="1" t="s">
        <v>1583</v>
      </c>
      <c r="E3494" s="1" t="s">
        <v>1584</v>
      </c>
      <c r="F3494" s="1" t="s">
        <v>949</v>
      </c>
      <c r="G3494" s="1" t="s">
        <v>20</v>
      </c>
      <c r="H3494" s="3">
        <v>46113</v>
      </c>
      <c r="I3494" s="1" t="s">
        <v>933</v>
      </c>
      <c r="J3494" s="1" t="s">
        <v>951</v>
      </c>
      <c r="K3494" s="1" t="s">
        <v>934</v>
      </c>
      <c r="L3494" s="1" t="s">
        <v>4916</v>
      </c>
      <c r="M3494" s="3">
        <v>46099</v>
      </c>
      <c r="N3494" s="1" t="s">
        <v>57</v>
      </c>
      <c r="O3494" s="1" t="s">
        <v>990</v>
      </c>
      <c r="P3494" s="1">
        <v>1</v>
      </c>
    </row>
    <row r="3495" spans="1:16" x14ac:dyDescent="0.25">
      <c r="A3495" s="3">
        <v>46094</v>
      </c>
      <c r="B3495" s="4">
        <v>5250</v>
      </c>
      <c r="C3495" s="5">
        <v>101</v>
      </c>
      <c r="D3495" s="1" t="s">
        <v>938</v>
      </c>
      <c r="E3495" s="1" t="s">
        <v>939</v>
      </c>
      <c r="F3495" s="1" t="s">
        <v>949</v>
      </c>
      <c r="G3495" s="1" t="s">
        <v>950</v>
      </c>
      <c r="H3495" s="1" t="s">
        <v>4055</v>
      </c>
      <c r="I3495" s="1" t="s">
        <v>933</v>
      </c>
      <c r="J3495" s="1" t="s">
        <v>951</v>
      </c>
      <c r="K3495" s="1" t="s">
        <v>66</v>
      </c>
      <c r="L3495" s="1" t="s">
        <v>5160</v>
      </c>
      <c r="M3495" s="1" t="s">
        <v>4055</v>
      </c>
      <c r="N3495" s="1" t="s">
        <v>57</v>
      </c>
      <c r="O3495" s="1" t="s">
        <v>936</v>
      </c>
      <c r="P3495" s="1">
        <v>1</v>
      </c>
    </row>
    <row r="3496" spans="1:16" x14ac:dyDescent="0.25">
      <c r="A3496" s="3">
        <v>46095</v>
      </c>
      <c r="B3496" s="4">
        <v>10623</v>
      </c>
      <c r="C3496" s="5">
        <v>20440.96</v>
      </c>
      <c r="D3496" s="1" t="s">
        <v>973</v>
      </c>
      <c r="E3496" s="1" t="s">
        <v>1068</v>
      </c>
      <c r="F3496" s="1" t="s">
        <v>66</v>
      </c>
      <c r="G3496" s="1" t="s">
        <v>998</v>
      </c>
      <c r="H3496" s="3">
        <v>46101</v>
      </c>
      <c r="I3496" s="1" t="s">
        <v>933</v>
      </c>
      <c r="J3496" s="1" t="s">
        <v>66</v>
      </c>
      <c r="K3496" s="1" t="s">
        <v>66</v>
      </c>
      <c r="L3496" s="1" t="s">
        <v>4787</v>
      </c>
      <c r="M3496" s="3">
        <v>46095</v>
      </c>
      <c r="N3496" s="1" t="s">
        <v>57</v>
      </c>
      <c r="O3496" s="1" t="s">
        <v>998</v>
      </c>
      <c r="P3496" s="1">
        <v>1</v>
      </c>
    </row>
    <row r="3497" spans="1:16" x14ac:dyDescent="0.25">
      <c r="A3497" s="3">
        <v>46095</v>
      </c>
      <c r="B3497" s="4">
        <v>10623</v>
      </c>
      <c r="C3497" s="5">
        <v>27168.53</v>
      </c>
      <c r="D3497" s="1" t="s">
        <v>973</v>
      </c>
      <c r="E3497" s="1" t="s">
        <v>1068</v>
      </c>
      <c r="F3497" s="1" t="s">
        <v>66</v>
      </c>
      <c r="G3497" s="1" t="s">
        <v>998</v>
      </c>
      <c r="H3497" s="3">
        <v>46102</v>
      </c>
      <c r="I3497" s="1" t="s">
        <v>933</v>
      </c>
      <c r="J3497" s="1" t="s">
        <v>66</v>
      </c>
      <c r="K3497" s="1" t="s">
        <v>66</v>
      </c>
      <c r="L3497" s="1" t="s">
        <v>4787</v>
      </c>
      <c r="M3497" s="3">
        <v>46095</v>
      </c>
      <c r="N3497" s="1" t="s">
        <v>57</v>
      </c>
      <c r="O3497" s="1" t="s">
        <v>998</v>
      </c>
      <c r="P3497" s="1">
        <v>1</v>
      </c>
    </row>
    <row r="3498" spans="1:16" x14ac:dyDescent="0.25">
      <c r="A3498" s="3">
        <v>46095</v>
      </c>
      <c r="B3498" s="4">
        <v>10623</v>
      </c>
      <c r="C3498" s="5">
        <v>10490.6</v>
      </c>
      <c r="D3498" s="1" t="s">
        <v>973</v>
      </c>
      <c r="E3498" s="1" t="s">
        <v>1068</v>
      </c>
      <c r="F3498" s="1" t="s">
        <v>66</v>
      </c>
      <c r="G3498" s="1" t="s">
        <v>998</v>
      </c>
      <c r="H3498" s="3">
        <v>46110</v>
      </c>
      <c r="I3498" s="1" t="s">
        <v>933</v>
      </c>
      <c r="J3498" s="1" t="s">
        <v>66</v>
      </c>
      <c r="K3498" s="1" t="s">
        <v>66</v>
      </c>
      <c r="L3498" s="1" t="s">
        <v>4917</v>
      </c>
      <c r="M3498" s="3">
        <v>46095</v>
      </c>
      <c r="N3498" s="1" t="s">
        <v>57</v>
      </c>
      <c r="O3498" s="1" t="s">
        <v>998</v>
      </c>
      <c r="P3498" s="1">
        <v>1</v>
      </c>
    </row>
    <row r="3499" spans="1:16" x14ac:dyDescent="0.25">
      <c r="A3499" s="3">
        <v>46095</v>
      </c>
      <c r="B3499" s="4">
        <v>96945</v>
      </c>
      <c r="C3499" s="5">
        <v>39450</v>
      </c>
      <c r="D3499" s="1" t="s">
        <v>1094</v>
      </c>
      <c r="E3499" s="1" t="s">
        <v>1095</v>
      </c>
      <c r="F3499" s="1" t="s">
        <v>66</v>
      </c>
      <c r="G3499" s="1" t="s">
        <v>998</v>
      </c>
      <c r="H3499" s="3">
        <v>46118</v>
      </c>
      <c r="I3499" s="1" t="s">
        <v>933</v>
      </c>
      <c r="J3499" s="1" t="s">
        <v>66</v>
      </c>
      <c r="K3499" s="1" t="s">
        <v>340</v>
      </c>
      <c r="L3499" s="1" t="s">
        <v>4918</v>
      </c>
      <c r="M3499" s="3">
        <v>46097</v>
      </c>
      <c r="N3499" s="1" t="s">
        <v>57</v>
      </c>
      <c r="O3499" s="1" t="s">
        <v>998</v>
      </c>
      <c r="P3499" s="1">
        <v>1</v>
      </c>
    </row>
    <row r="3500" spans="1:16" x14ac:dyDescent="0.25">
      <c r="A3500" s="3">
        <v>46095</v>
      </c>
      <c r="B3500" s="4">
        <v>96946</v>
      </c>
      <c r="C3500" s="5">
        <v>78000</v>
      </c>
      <c r="D3500" s="1" t="s">
        <v>1094</v>
      </c>
      <c r="E3500" s="1" t="s">
        <v>1095</v>
      </c>
      <c r="F3500" s="1" t="s">
        <v>66</v>
      </c>
      <c r="G3500" s="1" t="s">
        <v>998</v>
      </c>
      <c r="H3500" s="3">
        <v>46118</v>
      </c>
      <c r="I3500" s="1" t="s">
        <v>933</v>
      </c>
      <c r="J3500" s="1" t="s">
        <v>66</v>
      </c>
      <c r="K3500" s="1" t="s">
        <v>340</v>
      </c>
      <c r="L3500" s="1" t="s">
        <v>4918</v>
      </c>
      <c r="M3500" s="3">
        <v>46097</v>
      </c>
      <c r="N3500" s="1" t="s">
        <v>57</v>
      </c>
      <c r="O3500" s="1" t="s">
        <v>998</v>
      </c>
      <c r="P3500" s="1">
        <v>1</v>
      </c>
    </row>
    <row r="3501" spans="1:16" x14ac:dyDescent="0.25">
      <c r="A3501" s="3">
        <v>46095</v>
      </c>
      <c r="B3501" s="4">
        <v>5254</v>
      </c>
      <c r="C3501" s="5">
        <v>511.59</v>
      </c>
      <c r="D3501" s="1" t="s">
        <v>938</v>
      </c>
      <c r="E3501" s="1" t="s">
        <v>939</v>
      </c>
      <c r="F3501" s="1">
        <v>100041</v>
      </c>
      <c r="G3501" s="1" t="s">
        <v>940</v>
      </c>
      <c r="H3501" s="3">
        <v>46126</v>
      </c>
      <c r="I3501" s="1" t="s">
        <v>933</v>
      </c>
      <c r="J3501" s="1" t="s">
        <v>66</v>
      </c>
      <c r="K3501" s="1" t="s">
        <v>340</v>
      </c>
      <c r="L3501" s="1" t="s">
        <v>4919</v>
      </c>
      <c r="M3501" s="3">
        <v>46097</v>
      </c>
      <c r="N3501" s="1" t="s">
        <v>57</v>
      </c>
      <c r="O3501" s="1" t="s">
        <v>936</v>
      </c>
      <c r="P3501" s="1">
        <v>1</v>
      </c>
    </row>
    <row r="3502" spans="1:16" x14ac:dyDescent="0.25">
      <c r="A3502" s="3">
        <v>46095</v>
      </c>
      <c r="B3502" s="4">
        <v>14772</v>
      </c>
      <c r="C3502" s="5">
        <v>274</v>
      </c>
      <c r="D3502" s="1" t="s">
        <v>1064</v>
      </c>
      <c r="E3502" s="1" t="s">
        <v>1042</v>
      </c>
      <c r="F3502" s="1" t="s">
        <v>286</v>
      </c>
      <c r="G3502" s="1" t="s">
        <v>940</v>
      </c>
      <c r="H3502" s="1" t="s">
        <v>4055</v>
      </c>
      <c r="I3502" s="1" t="s">
        <v>933</v>
      </c>
      <c r="J3502" s="1" t="s">
        <v>66</v>
      </c>
      <c r="K3502" s="1" t="s">
        <v>340</v>
      </c>
      <c r="L3502" s="1" t="s">
        <v>5026</v>
      </c>
      <c r="M3502" s="1" t="s">
        <v>4055</v>
      </c>
      <c r="N3502" s="1" t="s">
        <v>264</v>
      </c>
      <c r="O3502" s="1" t="s">
        <v>936</v>
      </c>
      <c r="P3502" s="1">
        <v>1</v>
      </c>
    </row>
    <row r="3503" spans="1:16" x14ac:dyDescent="0.25">
      <c r="A3503" s="3">
        <v>46095</v>
      </c>
      <c r="B3503" s="4">
        <v>5253</v>
      </c>
      <c r="C3503" s="5">
        <v>100</v>
      </c>
      <c r="D3503" s="1" t="s">
        <v>938</v>
      </c>
      <c r="E3503" s="1" t="s">
        <v>939</v>
      </c>
      <c r="F3503" s="1" t="s">
        <v>533</v>
      </c>
      <c r="G3503" s="1" t="s">
        <v>940</v>
      </c>
      <c r="H3503" s="1" t="s">
        <v>4055</v>
      </c>
      <c r="I3503" s="1" t="s">
        <v>933</v>
      </c>
      <c r="J3503" s="1" t="s">
        <v>66</v>
      </c>
      <c r="K3503" s="1" t="s">
        <v>340</v>
      </c>
      <c r="L3503" s="1" t="s">
        <v>5150</v>
      </c>
      <c r="M3503" s="1" t="s">
        <v>4055</v>
      </c>
      <c r="N3503" s="1" t="s">
        <v>57</v>
      </c>
      <c r="O3503" s="1" t="s">
        <v>936</v>
      </c>
      <c r="P3503" s="1">
        <v>1</v>
      </c>
    </row>
    <row r="3504" spans="1:16" x14ac:dyDescent="0.25">
      <c r="A3504" s="3">
        <v>46097</v>
      </c>
      <c r="B3504" s="1">
        <v>97</v>
      </c>
      <c r="C3504" s="5">
        <v>1485</v>
      </c>
      <c r="D3504" s="1" t="s">
        <v>2158</v>
      </c>
      <c r="E3504" s="1" t="s">
        <v>2159</v>
      </c>
      <c r="F3504" s="1" t="s">
        <v>277</v>
      </c>
      <c r="G3504" s="1" t="s">
        <v>940</v>
      </c>
      <c r="H3504" s="3">
        <v>46118</v>
      </c>
      <c r="I3504" s="1" t="s">
        <v>933</v>
      </c>
      <c r="J3504" s="1" t="s">
        <v>66</v>
      </c>
      <c r="K3504" s="1" t="s">
        <v>340</v>
      </c>
      <c r="L3504" s="1" t="s">
        <v>4586</v>
      </c>
      <c r="M3504" s="3">
        <v>46099</v>
      </c>
      <c r="N3504" s="1" t="s">
        <v>264</v>
      </c>
      <c r="O3504" s="1" t="s">
        <v>936</v>
      </c>
      <c r="P3504" s="1" t="s">
        <v>937</v>
      </c>
    </row>
    <row r="3505" spans="1:16" x14ac:dyDescent="0.25">
      <c r="A3505" s="3">
        <v>46097</v>
      </c>
      <c r="B3505" s="4">
        <v>52311760</v>
      </c>
      <c r="C3505" s="5">
        <v>38672.94</v>
      </c>
      <c r="D3505" s="1" t="s">
        <v>1604</v>
      </c>
      <c r="E3505" s="1" t="s">
        <v>1605</v>
      </c>
      <c r="F3505" s="1" t="s">
        <v>66</v>
      </c>
      <c r="G3505" s="1" t="s">
        <v>472</v>
      </c>
      <c r="H3505" s="3">
        <v>46111</v>
      </c>
      <c r="I3505" s="1" t="s">
        <v>933</v>
      </c>
      <c r="J3505" s="1" t="s">
        <v>66</v>
      </c>
      <c r="K3505" s="1" t="s">
        <v>934</v>
      </c>
      <c r="L3505" s="1" t="s">
        <v>4920</v>
      </c>
      <c r="M3505" s="3">
        <v>46097</v>
      </c>
      <c r="N3505" s="1" t="s">
        <v>57</v>
      </c>
      <c r="O3505" s="1" t="s">
        <v>932</v>
      </c>
      <c r="P3505" s="1">
        <v>1</v>
      </c>
    </row>
    <row r="3506" spans="1:16" x14ac:dyDescent="0.25">
      <c r="A3506" s="3">
        <v>46097</v>
      </c>
      <c r="B3506" s="1">
        <v>190</v>
      </c>
      <c r="C3506" s="5">
        <v>529.20000000000005</v>
      </c>
      <c r="D3506" s="1" t="s">
        <v>1370</v>
      </c>
      <c r="E3506" s="1" t="s">
        <v>1371</v>
      </c>
      <c r="F3506" s="1" t="s">
        <v>110</v>
      </c>
      <c r="G3506" s="1" t="s">
        <v>940</v>
      </c>
      <c r="H3506" s="3">
        <v>46121</v>
      </c>
      <c r="I3506" s="1" t="s">
        <v>933</v>
      </c>
      <c r="J3506" s="1" t="s">
        <v>66</v>
      </c>
      <c r="K3506" s="1" t="s">
        <v>52</v>
      </c>
      <c r="L3506" s="1" t="s">
        <v>4921</v>
      </c>
      <c r="M3506" s="3">
        <v>46097</v>
      </c>
      <c r="N3506" s="1" t="s">
        <v>115</v>
      </c>
      <c r="O3506" s="1" t="s">
        <v>936</v>
      </c>
      <c r="P3506" s="1" t="s">
        <v>937</v>
      </c>
    </row>
    <row r="3507" spans="1:16" x14ac:dyDescent="0.25">
      <c r="A3507" s="3">
        <v>46097</v>
      </c>
      <c r="B3507" s="4">
        <v>5265</v>
      </c>
      <c r="C3507" s="5">
        <v>5607.76</v>
      </c>
      <c r="D3507" s="1" t="s">
        <v>938</v>
      </c>
      <c r="E3507" s="1" t="s">
        <v>939</v>
      </c>
      <c r="F3507" s="1" t="s">
        <v>250</v>
      </c>
      <c r="G3507" s="1" t="s">
        <v>950</v>
      </c>
      <c r="H3507" s="3">
        <v>46128</v>
      </c>
      <c r="I3507" s="1" t="s">
        <v>933</v>
      </c>
      <c r="J3507" s="1" t="s">
        <v>66</v>
      </c>
      <c r="K3507" s="1" t="s">
        <v>934</v>
      </c>
      <c r="L3507" s="1" t="s">
        <v>4922</v>
      </c>
      <c r="M3507" s="3">
        <v>46097</v>
      </c>
      <c r="N3507" s="1" t="s">
        <v>254</v>
      </c>
      <c r="O3507" s="1" t="s">
        <v>936</v>
      </c>
      <c r="P3507" s="1">
        <v>1</v>
      </c>
    </row>
    <row r="3508" spans="1:16" x14ac:dyDescent="0.25">
      <c r="A3508" s="3">
        <v>46097</v>
      </c>
      <c r="B3508" s="4">
        <v>1691</v>
      </c>
      <c r="C3508" s="5">
        <v>13794</v>
      </c>
      <c r="D3508" s="1" t="s">
        <v>1901</v>
      </c>
      <c r="E3508" s="1" t="s">
        <v>1902</v>
      </c>
      <c r="F3508" s="1" t="s">
        <v>66</v>
      </c>
      <c r="G3508" s="1" t="s">
        <v>20</v>
      </c>
      <c r="H3508" s="3">
        <v>46125</v>
      </c>
      <c r="I3508" s="1" t="s">
        <v>933</v>
      </c>
      <c r="J3508" s="1" t="s">
        <v>66</v>
      </c>
      <c r="K3508" s="1" t="s">
        <v>934</v>
      </c>
      <c r="L3508" s="1" t="s">
        <v>4923</v>
      </c>
      <c r="M3508" s="3">
        <v>46097</v>
      </c>
      <c r="N3508" s="1" t="s">
        <v>57</v>
      </c>
      <c r="O3508" s="1" t="s">
        <v>936</v>
      </c>
      <c r="P3508" s="1">
        <v>1</v>
      </c>
    </row>
    <row r="3509" spans="1:16" x14ac:dyDescent="0.25">
      <c r="A3509" s="3">
        <v>46097</v>
      </c>
      <c r="B3509" s="4">
        <v>10641</v>
      </c>
      <c r="C3509" s="5">
        <v>25089.119999999999</v>
      </c>
      <c r="D3509" s="1" t="s">
        <v>973</v>
      </c>
      <c r="E3509" s="1" t="s">
        <v>1068</v>
      </c>
      <c r="F3509" s="1" t="s">
        <v>66</v>
      </c>
      <c r="G3509" s="1" t="s">
        <v>998</v>
      </c>
      <c r="H3509" s="3">
        <v>46112</v>
      </c>
      <c r="I3509" s="1" t="s">
        <v>933</v>
      </c>
      <c r="J3509" s="1" t="s">
        <v>66</v>
      </c>
      <c r="K3509" s="1" t="s">
        <v>340</v>
      </c>
      <c r="L3509" s="1" t="s">
        <v>4924</v>
      </c>
      <c r="M3509" s="3">
        <v>46098</v>
      </c>
      <c r="N3509" s="1" t="s">
        <v>57</v>
      </c>
      <c r="O3509" s="1" t="s">
        <v>998</v>
      </c>
      <c r="P3509" s="1">
        <v>1</v>
      </c>
    </row>
    <row r="3510" spans="1:16" x14ac:dyDescent="0.25">
      <c r="A3510" s="3">
        <v>46097</v>
      </c>
      <c r="B3510" s="1" t="s">
        <v>4925</v>
      </c>
      <c r="C3510" s="5">
        <v>223.35</v>
      </c>
      <c r="D3510" s="1" t="s">
        <v>1855</v>
      </c>
      <c r="E3510" s="1" t="s">
        <v>2116</v>
      </c>
      <c r="F3510" s="1" t="s">
        <v>185</v>
      </c>
      <c r="G3510" s="1" t="s">
        <v>940</v>
      </c>
      <c r="H3510" s="3">
        <v>46106</v>
      </c>
      <c r="I3510" s="1" t="s">
        <v>933</v>
      </c>
      <c r="J3510" s="1" t="s">
        <v>66</v>
      </c>
      <c r="K3510" s="1" t="s">
        <v>308</v>
      </c>
      <c r="L3510" s="1" t="s">
        <v>4926</v>
      </c>
      <c r="M3510" s="3">
        <v>46098</v>
      </c>
      <c r="N3510" s="1" t="s">
        <v>190</v>
      </c>
      <c r="O3510" s="1" t="s">
        <v>1031</v>
      </c>
      <c r="P3510" s="1">
        <v>1</v>
      </c>
    </row>
    <row r="3511" spans="1:16" x14ac:dyDescent="0.25">
      <c r="A3511" s="3">
        <v>46097</v>
      </c>
      <c r="B3511" s="1">
        <v>187</v>
      </c>
      <c r="C3511" s="5">
        <v>8600</v>
      </c>
      <c r="D3511" s="1" t="s">
        <v>1773</v>
      </c>
      <c r="E3511" s="1" t="s">
        <v>1774</v>
      </c>
      <c r="F3511" s="1" t="s">
        <v>66</v>
      </c>
      <c r="G3511" s="1" t="s">
        <v>1029</v>
      </c>
      <c r="H3511" s="3">
        <v>46125</v>
      </c>
      <c r="I3511" s="1" t="s">
        <v>933</v>
      </c>
      <c r="J3511" s="1" t="s">
        <v>66</v>
      </c>
      <c r="K3511" s="1" t="s">
        <v>308</v>
      </c>
      <c r="L3511" s="1" t="s">
        <v>4927</v>
      </c>
      <c r="M3511" s="3">
        <v>46098</v>
      </c>
      <c r="N3511" s="1" t="s">
        <v>57</v>
      </c>
      <c r="O3511" s="1" t="s">
        <v>990</v>
      </c>
      <c r="P3511" s="1">
        <v>1</v>
      </c>
    </row>
    <row r="3512" spans="1:16" x14ac:dyDescent="0.25">
      <c r="A3512" s="3">
        <v>46097</v>
      </c>
      <c r="B3512" s="4">
        <v>52675</v>
      </c>
      <c r="C3512" s="5">
        <v>810</v>
      </c>
      <c r="D3512" s="1" t="s">
        <v>1489</v>
      </c>
      <c r="E3512" s="1" t="s">
        <v>1490</v>
      </c>
      <c r="F3512" s="1" t="s">
        <v>949</v>
      </c>
      <c r="G3512" s="1" t="s">
        <v>2508</v>
      </c>
      <c r="H3512" s="3">
        <v>46127</v>
      </c>
      <c r="I3512" s="1" t="s">
        <v>933</v>
      </c>
      <c r="J3512" s="1" t="s">
        <v>951</v>
      </c>
      <c r="K3512" s="1" t="s">
        <v>934</v>
      </c>
      <c r="L3512" s="1" t="s">
        <v>4928</v>
      </c>
      <c r="M3512" s="3">
        <v>46098</v>
      </c>
      <c r="N3512" s="1" t="s">
        <v>57</v>
      </c>
      <c r="O3512" s="1" t="s">
        <v>936</v>
      </c>
      <c r="P3512" s="1">
        <v>1</v>
      </c>
    </row>
    <row r="3513" spans="1:16" x14ac:dyDescent="0.25">
      <c r="A3513" s="3">
        <v>46097</v>
      </c>
      <c r="B3513" s="1">
        <v>12</v>
      </c>
      <c r="C3513" s="5">
        <v>11895</v>
      </c>
      <c r="D3513" s="1" t="s">
        <v>1262</v>
      </c>
      <c r="E3513" s="1" t="s">
        <v>1507</v>
      </c>
      <c r="F3513" s="1" t="s">
        <v>949</v>
      </c>
      <c r="G3513" s="1" t="s">
        <v>20</v>
      </c>
      <c r="H3513" s="3">
        <v>46112</v>
      </c>
      <c r="I3513" s="1" t="s">
        <v>933</v>
      </c>
      <c r="J3513" s="1" t="s">
        <v>951</v>
      </c>
      <c r="K3513" s="1" t="s">
        <v>934</v>
      </c>
      <c r="L3513" s="1" t="s">
        <v>4929</v>
      </c>
      <c r="M3513" s="3">
        <v>46098</v>
      </c>
      <c r="N3513" s="1" t="s">
        <v>57</v>
      </c>
      <c r="O3513" s="1" t="s">
        <v>936</v>
      </c>
      <c r="P3513" s="1" t="s">
        <v>937</v>
      </c>
    </row>
    <row r="3514" spans="1:16" x14ac:dyDescent="0.25">
      <c r="A3514" s="3">
        <v>46097</v>
      </c>
      <c r="B3514" s="1">
        <v>13</v>
      </c>
      <c r="C3514" s="5">
        <v>7475</v>
      </c>
      <c r="D3514" s="1" t="s">
        <v>1262</v>
      </c>
      <c r="E3514" s="1" t="s">
        <v>1507</v>
      </c>
      <c r="F3514" s="1" t="s">
        <v>949</v>
      </c>
      <c r="G3514" s="1" t="s">
        <v>20</v>
      </c>
      <c r="H3514" s="3">
        <v>46112</v>
      </c>
      <c r="I3514" s="1" t="s">
        <v>933</v>
      </c>
      <c r="J3514" s="1" t="s">
        <v>951</v>
      </c>
      <c r="K3514" s="1" t="s">
        <v>934</v>
      </c>
      <c r="L3514" s="1" t="s">
        <v>4929</v>
      </c>
      <c r="M3514" s="3">
        <v>46098</v>
      </c>
      <c r="N3514" s="1" t="s">
        <v>57</v>
      </c>
      <c r="O3514" s="1" t="s">
        <v>936</v>
      </c>
      <c r="P3514" s="1" t="s">
        <v>937</v>
      </c>
    </row>
    <row r="3515" spans="1:16" x14ac:dyDescent="0.25">
      <c r="A3515" s="3">
        <v>46097</v>
      </c>
      <c r="B3515" s="1">
        <v>14</v>
      </c>
      <c r="C3515" s="5">
        <v>1550</v>
      </c>
      <c r="D3515" s="1" t="s">
        <v>1262</v>
      </c>
      <c r="E3515" s="1" t="s">
        <v>1507</v>
      </c>
      <c r="F3515" s="1" t="s">
        <v>949</v>
      </c>
      <c r="G3515" s="1" t="s">
        <v>20</v>
      </c>
      <c r="H3515" s="3">
        <v>46112</v>
      </c>
      <c r="I3515" s="1" t="s">
        <v>933</v>
      </c>
      <c r="J3515" s="1" t="s">
        <v>951</v>
      </c>
      <c r="K3515" s="1" t="s">
        <v>659</v>
      </c>
      <c r="L3515" s="1" t="s">
        <v>4929</v>
      </c>
      <c r="M3515" s="3">
        <v>46098</v>
      </c>
      <c r="N3515" s="1" t="s">
        <v>57</v>
      </c>
      <c r="O3515" s="1" t="s">
        <v>936</v>
      </c>
      <c r="P3515" s="1" t="s">
        <v>937</v>
      </c>
    </row>
    <row r="3516" spans="1:16" x14ac:dyDescent="0.25">
      <c r="A3516" s="3">
        <v>46097</v>
      </c>
      <c r="B3516" s="1">
        <v>15</v>
      </c>
      <c r="C3516" s="5">
        <v>2400</v>
      </c>
      <c r="D3516" s="1" t="s">
        <v>1262</v>
      </c>
      <c r="E3516" s="1" t="s">
        <v>1507</v>
      </c>
      <c r="F3516" s="1" t="s">
        <v>949</v>
      </c>
      <c r="G3516" s="1" t="s">
        <v>20</v>
      </c>
      <c r="H3516" s="3">
        <v>46112</v>
      </c>
      <c r="I3516" s="1" t="s">
        <v>933</v>
      </c>
      <c r="J3516" s="1" t="s">
        <v>951</v>
      </c>
      <c r="K3516" s="1" t="s">
        <v>934</v>
      </c>
      <c r="L3516" s="1" t="s">
        <v>4929</v>
      </c>
      <c r="M3516" s="3">
        <v>46098</v>
      </c>
      <c r="N3516" s="1" t="s">
        <v>57</v>
      </c>
      <c r="O3516" s="1" t="s">
        <v>936</v>
      </c>
      <c r="P3516" s="1" t="s">
        <v>937</v>
      </c>
    </row>
    <row r="3517" spans="1:16" x14ac:dyDescent="0.25">
      <c r="A3517" s="3">
        <v>46097</v>
      </c>
      <c r="B3517" s="4">
        <v>404539</v>
      </c>
      <c r="C3517" s="5">
        <v>13317.62</v>
      </c>
      <c r="D3517" s="1" t="s">
        <v>4328</v>
      </c>
      <c r="E3517" s="1" t="s">
        <v>4329</v>
      </c>
      <c r="F3517" s="1" t="s">
        <v>66</v>
      </c>
      <c r="G3517" s="1" t="s">
        <v>998</v>
      </c>
      <c r="H3517" s="3">
        <v>46104</v>
      </c>
      <c r="I3517" s="1" t="s">
        <v>933</v>
      </c>
      <c r="J3517" s="1" t="s">
        <v>66</v>
      </c>
      <c r="K3517" s="1" t="s">
        <v>671</v>
      </c>
      <c r="L3517" s="1" t="s">
        <v>4930</v>
      </c>
      <c r="M3517" s="3">
        <v>46099</v>
      </c>
      <c r="N3517" s="1" t="s">
        <v>57</v>
      </c>
      <c r="O3517" s="1" t="s">
        <v>936</v>
      </c>
      <c r="P3517" s="1">
        <v>1</v>
      </c>
    </row>
    <row r="3518" spans="1:16" x14ac:dyDescent="0.25">
      <c r="A3518" s="3">
        <v>46097</v>
      </c>
      <c r="B3518" s="4">
        <v>73279</v>
      </c>
      <c r="C3518" s="5">
        <v>2305.88</v>
      </c>
      <c r="D3518" s="1" t="s">
        <v>1253</v>
      </c>
      <c r="E3518" s="1" t="s">
        <v>1487</v>
      </c>
      <c r="F3518" s="1" t="s">
        <v>222</v>
      </c>
      <c r="G3518" s="1" t="s">
        <v>940</v>
      </c>
      <c r="H3518" s="3">
        <v>46127</v>
      </c>
      <c r="I3518" s="1" t="s">
        <v>933</v>
      </c>
      <c r="J3518" s="1" t="s">
        <v>66</v>
      </c>
      <c r="K3518" s="1" t="s">
        <v>340</v>
      </c>
      <c r="L3518" s="1" t="s">
        <v>4903</v>
      </c>
      <c r="M3518" s="3">
        <v>46099</v>
      </c>
      <c r="N3518" s="1" t="s">
        <v>93</v>
      </c>
      <c r="O3518" s="1" t="s">
        <v>936</v>
      </c>
      <c r="P3518" s="1">
        <v>1</v>
      </c>
    </row>
    <row r="3519" spans="1:16" x14ac:dyDescent="0.25">
      <c r="A3519" s="3">
        <v>46097</v>
      </c>
      <c r="B3519" s="4">
        <v>1154</v>
      </c>
      <c r="C3519" s="5">
        <v>23175</v>
      </c>
      <c r="D3519" s="1" t="s">
        <v>1126</v>
      </c>
      <c r="E3519" s="1" t="s">
        <v>1620</v>
      </c>
      <c r="F3519" s="1" t="s">
        <v>66</v>
      </c>
      <c r="G3519" s="1" t="s">
        <v>940</v>
      </c>
      <c r="H3519" s="3">
        <v>46112</v>
      </c>
      <c r="I3519" s="1" t="s">
        <v>933</v>
      </c>
      <c r="J3519" s="1" t="s">
        <v>66</v>
      </c>
      <c r="K3519" s="1" t="s">
        <v>340</v>
      </c>
      <c r="L3519" s="1" t="s">
        <v>4931</v>
      </c>
      <c r="M3519" s="3">
        <v>46099</v>
      </c>
      <c r="N3519" s="1" t="s">
        <v>57</v>
      </c>
      <c r="O3519" s="1" t="s">
        <v>936</v>
      </c>
      <c r="P3519" s="1">
        <v>1</v>
      </c>
    </row>
    <row r="3520" spans="1:16" x14ac:dyDescent="0.25">
      <c r="A3520" s="3">
        <v>46097</v>
      </c>
      <c r="B3520" s="1">
        <v>134</v>
      </c>
      <c r="C3520" s="5">
        <v>1480</v>
      </c>
      <c r="D3520" s="1" t="s">
        <v>1579</v>
      </c>
      <c r="E3520" s="1" t="s">
        <v>1580</v>
      </c>
      <c r="F3520" s="1" t="s">
        <v>185</v>
      </c>
      <c r="G3520" s="1" t="s">
        <v>1260</v>
      </c>
      <c r="H3520" s="3">
        <v>46112</v>
      </c>
      <c r="I3520" s="1" t="s">
        <v>933</v>
      </c>
      <c r="J3520" s="1" t="s">
        <v>66</v>
      </c>
      <c r="K3520" s="1" t="s">
        <v>308</v>
      </c>
      <c r="L3520" s="1" t="s">
        <v>4932</v>
      </c>
      <c r="M3520" s="3">
        <v>46099</v>
      </c>
      <c r="N3520" s="1" t="s">
        <v>190</v>
      </c>
      <c r="O3520" s="1" t="s">
        <v>936</v>
      </c>
      <c r="P3520" s="1">
        <v>1</v>
      </c>
    </row>
    <row r="3521" spans="1:16" x14ac:dyDescent="0.25">
      <c r="A3521" s="3">
        <v>46097</v>
      </c>
      <c r="B3521" s="1">
        <v>175</v>
      </c>
      <c r="C3521" s="5">
        <v>6000</v>
      </c>
      <c r="D3521" s="1" t="s">
        <v>1197</v>
      </c>
      <c r="E3521" s="1" t="s">
        <v>1198</v>
      </c>
      <c r="F3521" s="1" t="s">
        <v>949</v>
      </c>
      <c r="G3521" s="1" t="s">
        <v>1500</v>
      </c>
      <c r="H3521" s="3">
        <v>46118</v>
      </c>
      <c r="I3521" s="1" t="s">
        <v>933</v>
      </c>
      <c r="J3521" s="1" t="s">
        <v>951</v>
      </c>
      <c r="K3521" s="1" t="s">
        <v>934</v>
      </c>
      <c r="L3521" s="1" t="s">
        <v>4934</v>
      </c>
      <c r="M3521" s="3">
        <v>46099</v>
      </c>
      <c r="N3521" s="1" t="s">
        <v>57</v>
      </c>
      <c r="O3521" s="1" t="s">
        <v>936</v>
      </c>
      <c r="P3521" s="1">
        <v>1</v>
      </c>
    </row>
    <row r="3522" spans="1:16" x14ac:dyDescent="0.25">
      <c r="A3522" s="3">
        <v>46097</v>
      </c>
      <c r="B3522" s="1">
        <v>39</v>
      </c>
      <c r="C3522" s="5">
        <v>1500</v>
      </c>
      <c r="D3522" s="1" t="s">
        <v>1730</v>
      </c>
      <c r="E3522" s="1" t="s">
        <v>4779</v>
      </c>
      <c r="F3522" s="1" t="s">
        <v>949</v>
      </c>
      <c r="G3522" s="1" t="s">
        <v>20</v>
      </c>
      <c r="H3522" s="3">
        <v>46111</v>
      </c>
      <c r="I3522" s="1" t="s">
        <v>933</v>
      </c>
      <c r="J3522" s="1" t="s">
        <v>951</v>
      </c>
      <c r="K3522" s="1" t="s">
        <v>934</v>
      </c>
      <c r="L3522" s="1" t="s">
        <v>4935</v>
      </c>
      <c r="M3522" s="3">
        <v>46099</v>
      </c>
      <c r="N3522" s="1" t="s">
        <v>57</v>
      </c>
      <c r="O3522" s="1" t="s">
        <v>936</v>
      </c>
      <c r="P3522" s="1" t="s">
        <v>937</v>
      </c>
    </row>
    <row r="3523" spans="1:16" x14ac:dyDescent="0.25">
      <c r="A3523" s="3">
        <v>46097</v>
      </c>
      <c r="B3523" s="4">
        <v>1225</v>
      </c>
      <c r="C3523" s="5">
        <v>180</v>
      </c>
      <c r="D3523" s="1" t="s">
        <v>1074</v>
      </c>
      <c r="E3523" s="1" t="s">
        <v>1075</v>
      </c>
      <c r="F3523" s="1" t="s">
        <v>66</v>
      </c>
      <c r="G3523" s="1" t="s">
        <v>981</v>
      </c>
      <c r="H3523" s="3">
        <v>46118</v>
      </c>
      <c r="I3523" s="1" t="s">
        <v>933</v>
      </c>
      <c r="J3523" s="1" t="s">
        <v>66</v>
      </c>
      <c r="K3523" s="1" t="s">
        <v>340</v>
      </c>
      <c r="L3523" s="1" t="s">
        <v>4936</v>
      </c>
      <c r="M3523" s="3">
        <v>46099</v>
      </c>
      <c r="N3523" s="1" t="s">
        <v>57</v>
      </c>
      <c r="O3523" s="1" t="s">
        <v>936</v>
      </c>
      <c r="P3523" s="1">
        <v>1</v>
      </c>
    </row>
    <row r="3524" spans="1:16" x14ac:dyDescent="0.25">
      <c r="A3524" s="3">
        <v>46097</v>
      </c>
      <c r="B3524" s="4">
        <v>1225</v>
      </c>
      <c r="C3524" s="5">
        <v>220</v>
      </c>
      <c r="D3524" s="1" t="s">
        <v>1074</v>
      </c>
      <c r="E3524" s="1" t="s">
        <v>1075</v>
      </c>
      <c r="F3524" s="1" t="s">
        <v>199</v>
      </c>
      <c r="G3524" s="1" t="s">
        <v>981</v>
      </c>
      <c r="H3524" s="3">
        <v>46118</v>
      </c>
      <c r="I3524" s="1" t="s">
        <v>933</v>
      </c>
      <c r="J3524" s="1" t="s">
        <v>66</v>
      </c>
      <c r="K3524" s="1" t="s">
        <v>52</v>
      </c>
      <c r="L3524" s="1" t="s">
        <v>4936</v>
      </c>
      <c r="M3524" s="3">
        <v>46099</v>
      </c>
      <c r="N3524" s="1" t="s">
        <v>57</v>
      </c>
      <c r="O3524" s="1" t="s">
        <v>936</v>
      </c>
      <c r="P3524" s="1">
        <v>1</v>
      </c>
    </row>
    <row r="3525" spans="1:16" x14ac:dyDescent="0.25">
      <c r="A3525" s="3">
        <v>46097</v>
      </c>
      <c r="B3525" s="4">
        <v>1225</v>
      </c>
      <c r="C3525" s="5">
        <v>580</v>
      </c>
      <c r="D3525" s="1" t="s">
        <v>1074</v>
      </c>
      <c r="E3525" s="1" t="s">
        <v>1075</v>
      </c>
      <c r="F3525" s="1" t="s">
        <v>650</v>
      </c>
      <c r="G3525" s="1" t="s">
        <v>981</v>
      </c>
      <c r="H3525" s="3">
        <v>46118</v>
      </c>
      <c r="I3525" s="1" t="s">
        <v>933</v>
      </c>
      <c r="J3525" s="1" t="s">
        <v>66</v>
      </c>
      <c r="K3525" s="1" t="s">
        <v>340</v>
      </c>
      <c r="L3525" s="1" t="s">
        <v>4937</v>
      </c>
      <c r="M3525" s="3">
        <v>46099</v>
      </c>
      <c r="N3525" s="1" t="s">
        <v>57</v>
      </c>
      <c r="O3525" s="1" t="s">
        <v>936</v>
      </c>
      <c r="P3525" s="1">
        <v>1</v>
      </c>
    </row>
    <row r="3526" spans="1:16" x14ac:dyDescent="0.25">
      <c r="A3526" s="3">
        <v>46097</v>
      </c>
      <c r="B3526" s="4">
        <v>1225</v>
      </c>
      <c r="C3526" s="5">
        <v>550</v>
      </c>
      <c r="D3526" s="1" t="s">
        <v>1074</v>
      </c>
      <c r="E3526" s="1" t="s">
        <v>1075</v>
      </c>
      <c r="F3526" s="1" t="s">
        <v>185</v>
      </c>
      <c r="G3526" s="1" t="s">
        <v>981</v>
      </c>
      <c r="H3526" s="3">
        <v>46118</v>
      </c>
      <c r="I3526" s="1" t="s">
        <v>933</v>
      </c>
      <c r="J3526" s="1" t="s">
        <v>66</v>
      </c>
      <c r="K3526" s="1" t="s">
        <v>52</v>
      </c>
      <c r="L3526" s="1" t="s">
        <v>4938</v>
      </c>
      <c r="M3526" s="3">
        <v>46099</v>
      </c>
      <c r="N3526" s="1" t="s">
        <v>57</v>
      </c>
      <c r="O3526" s="1" t="s">
        <v>936</v>
      </c>
      <c r="P3526" s="1">
        <v>1</v>
      </c>
    </row>
    <row r="3527" spans="1:16" x14ac:dyDescent="0.25">
      <c r="A3527" s="3">
        <v>46097</v>
      </c>
      <c r="B3527" s="4">
        <v>1225</v>
      </c>
      <c r="C3527" s="5">
        <v>80</v>
      </c>
      <c r="D3527" s="1" t="s">
        <v>1074</v>
      </c>
      <c r="E3527" s="1" t="s">
        <v>1075</v>
      </c>
      <c r="F3527" s="1" t="s">
        <v>453</v>
      </c>
      <c r="G3527" s="1" t="s">
        <v>981</v>
      </c>
      <c r="H3527" s="3">
        <v>46118</v>
      </c>
      <c r="I3527" s="1" t="s">
        <v>933</v>
      </c>
      <c r="J3527" s="1" t="s">
        <v>66</v>
      </c>
      <c r="K3527" s="1" t="s">
        <v>308</v>
      </c>
      <c r="L3527" s="1" t="s">
        <v>4936</v>
      </c>
      <c r="M3527" s="3">
        <v>46099</v>
      </c>
      <c r="N3527" s="1" t="s">
        <v>57</v>
      </c>
      <c r="O3527" s="1" t="s">
        <v>936</v>
      </c>
      <c r="P3527" s="1">
        <v>1</v>
      </c>
    </row>
    <row r="3528" spans="1:16" x14ac:dyDescent="0.25">
      <c r="A3528" s="3">
        <v>46097</v>
      </c>
      <c r="B3528" s="4">
        <v>1225</v>
      </c>
      <c r="C3528" s="5">
        <v>440</v>
      </c>
      <c r="D3528" s="1" t="s">
        <v>1074</v>
      </c>
      <c r="E3528" s="1" t="s">
        <v>1075</v>
      </c>
      <c r="F3528" s="1" t="s">
        <v>457</v>
      </c>
      <c r="G3528" s="1" t="s">
        <v>981</v>
      </c>
      <c r="H3528" s="3">
        <v>46118</v>
      </c>
      <c r="I3528" s="1" t="s">
        <v>933</v>
      </c>
      <c r="J3528" s="1" t="s">
        <v>66</v>
      </c>
      <c r="K3528" s="1" t="s">
        <v>308</v>
      </c>
      <c r="L3528" s="1" t="s">
        <v>4939</v>
      </c>
      <c r="M3528" s="3">
        <v>46099</v>
      </c>
      <c r="N3528" s="1" t="s">
        <v>57</v>
      </c>
      <c r="O3528" s="1" t="s">
        <v>936</v>
      </c>
      <c r="P3528" s="1">
        <v>1</v>
      </c>
    </row>
    <row r="3529" spans="1:16" x14ac:dyDescent="0.25">
      <c r="A3529" s="3">
        <v>46097</v>
      </c>
      <c r="B3529" s="4">
        <v>1225</v>
      </c>
      <c r="C3529" s="5">
        <v>3580</v>
      </c>
      <c r="D3529" s="1" t="s">
        <v>1074</v>
      </c>
      <c r="E3529" s="1" t="s">
        <v>1075</v>
      </c>
      <c r="F3529" s="1" t="s">
        <v>66</v>
      </c>
      <c r="G3529" s="1" t="s">
        <v>981</v>
      </c>
      <c r="H3529" s="3">
        <v>46118</v>
      </c>
      <c r="I3529" s="1" t="s">
        <v>933</v>
      </c>
      <c r="J3529" s="1" t="s">
        <v>66</v>
      </c>
      <c r="K3529" s="1" t="s">
        <v>308</v>
      </c>
      <c r="L3529" s="1" t="s">
        <v>4940</v>
      </c>
      <c r="M3529" s="3">
        <v>46099</v>
      </c>
      <c r="N3529" s="1" t="s">
        <v>57</v>
      </c>
      <c r="O3529" s="1" t="s">
        <v>936</v>
      </c>
      <c r="P3529" s="1">
        <v>1</v>
      </c>
    </row>
    <row r="3530" spans="1:16" x14ac:dyDescent="0.25">
      <c r="A3530" s="3">
        <v>46097</v>
      </c>
      <c r="B3530" s="4">
        <v>1225</v>
      </c>
      <c r="C3530" s="5">
        <v>120</v>
      </c>
      <c r="D3530" s="1" t="s">
        <v>1074</v>
      </c>
      <c r="E3530" s="1" t="s">
        <v>1075</v>
      </c>
      <c r="F3530" s="1" t="s">
        <v>66</v>
      </c>
      <c r="G3530" s="1" t="s">
        <v>981</v>
      </c>
      <c r="H3530" s="3">
        <v>46118</v>
      </c>
      <c r="I3530" s="1" t="s">
        <v>933</v>
      </c>
      <c r="J3530" s="1" t="s">
        <v>66</v>
      </c>
      <c r="K3530" s="1" t="s">
        <v>340</v>
      </c>
      <c r="L3530" s="1" t="s">
        <v>4942</v>
      </c>
      <c r="M3530" s="3">
        <v>46099</v>
      </c>
      <c r="N3530" s="1" t="s">
        <v>57</v>
      </c>
      <c r="O3530" s="1" t="s">
        <v>936</v>
      </c>
      <c r="P3530" s="1">
        <v>1</v>
      </c>
    </row>
    <row r="3531" spans="1:16" x14ac:dyDescent="0.25">
      <c r="A3531" s="3">
        <v>46097</v>
      </c>
      <c r="B3531" s="4">
        <v>1225</v>
      </c>
      <c r="C3531" s="5">
        <v>140</v>
      </c>
      <c r="D3531" s="1" t="s">
        <v>1074</v>
      </c>
      <c r="E3531" s="1" t="s">
        <v>1075</v>
      </c>
      <c r="F3531" s="1" t="s">
        <v>453</v>
      </c>
      <c r="G3531" s="1" t="s">
        <v>981</v>
      </c>
      <c r="H3531" s="3">
        <v>46118</v>
      </c>
      <c r="I3531" s="1" t="s">
        <v>933</v>
      </c>
      <c r="J3531" s="1" t="s">
        <v>66</v>
      </c>
      <c r="K3531" s="1" t="s">
        <v>52</v>
      </c>
      <c r="L3531" s="1" t="s">
        <v>4943</v>
      </c>
      <c r="M3531" s="3">
        <v>46099</v>
      </c>
      <c r="N3531" s="1" t="s">
        <v>57</v>
      </c>
      <c r="O3531" s="1" t="s">
        <v>936</v>
      </c>
      <c r="P3531" s="1">
        <v>1</v>
      </c>
    </row>
    <row r="3532" spans="1:16" x14ac:dyDescent="0.25">
      <c r="A3532" s="3">
        <v>46097</v>
      </c>
      <c r="B3532" s="4">
        <v>1225</v>
      </c>
      <c r="C3532" s="5">
        <v>100</v>
      </c>
      <c r="D3532" s="1" t="s">
        <v>1074</v>
      </c>
      <c r="E3532" s="1" t="s">
        <v>1075</v>
      </c>
      <c r="F3532" s="1" t="s">
        <v>422</v>
      </c>
      <c r="G3532" s="1" t="s">
        <v>981</v>
      </c>
      <c r="H3532" s="3">
        <v>46118</v>
      </c>
      <c r="I3532" s="1" t="s">
        <v>933</v>
      </c>
      <c r="J3532" s="1" t="s">
        <v>66</v>
      </c>
      <c r="K3532" s="1" t="s">
        <v>308</v>
      </c>
      <c r="L3532" s="1" t="s">
        <v>4944</v>
      </c>
      <c r="M3532" s="3">
        <v>46099</v>
      </c>
      <c r="N3532" s="1" t="s">
        <v>57</v>
      </c>
      <c r="O3532" s="1" t="s">
        <v>936</v>
      </c>
      <c r="P3532" s="1">
        <v>1</v>
      </c>
    </row>
    <row r="3533" spans="1:16" x14ac:dyDescent="0.25">
      <c r="A3533" s="3">
        <v>46097</v>
      </c>
      <c r="B3533" s="4">
        <v>1224</v>
      </c>
      <c r="C3533" s="5">
        <v>280</v>
      </c>
      <c r="D3533" s="1" t="s">
        <v>1074</v>
      </c>
      <c r="E3533" s="1" t="s">
        <v>1075</v>
      </c>
      <c r="F3533" s="1" t="s">
        <v>255</v>
      </c>
      <c r="G3533" s="1" t="s">
        <v>1058</v>
      </c>
      <c r="H3533" s="3">
        <v>46118</v>
      </c>
      <c r="I3533" s="1" t="s">
        <v>933</v>
      </c>
      <c r="J3533" s="1" t="s">
        <v>66</v>
      </c>
      <c r="K3533" s="1" t="s">
        <v>308</v>
      </c>
      <c r="L3533" s="1" t="s">
        <v>3368</v>
      </c>
      <c r="M3533" s="3">
        <v>46099</v>
      </c>
      <c r="N3533" s="1" t="s">
        <v>57</v>
      </c>
      <c r="O3533" s="1" t="s">
        <v>936</v>
      </c>
      <c r="P3533" s="1">
        <v>1</v>
      </c>
    </row>
    <row r="3534" spans="1:16" x14ac:dyDescent="0.25">
      <c r="A3534" s="3">
        <v>46097</v>
      </c>
      <c r="B3534" s="4">
        <v>1224</v>
      </c>
      <c r="C3534" s="5">
        <v>250</v>
      </c>
      <c r="D3534" s="1" t="s">
        <v>1074</v>
      </c>
      <c r="E3534" s="1" t="s">
        <v>1075</v>
      </c>
      <c r="F3534" s="1" t="s">
        <v>775</v>
      </c>
      <c r="G3534" s="1" t="s">
        <v>1058</v>
      </c>
      <c r="H3534" s="3">
        <v>46118</v>
      </c>
      <c r="I3534" s="1" t="s">
        <v>933</v>
      </c>
      <c r="J3534" s="1" t="s">
        <v>66</v>
      </c>
      <c r="K3534" s="1" t="s">
        <v>340</v>
      </c>
      <c r="L3534" s="1" t="s">
        <v>3368</v>
      </c>
      <c r="M3534" s="3">
        <v>46099</v>
      </c>
      <c r="N3534" s="1" t="s">
        <v>57</v>
      </c>
      <c r="O3534" s="1" t="s">
        <v>936</v>
      </c>
      <c r="P3534" s="1">
        <v>1</v>
      </c>
    </row>
    <row r="3535" spans="1:16" x14ac:dyDescent="0.25">
      <c r="A3535" s="3">
        <v>46097</v>
      </c>
      <c r="B3535" s="4">
        <v>1224</v>
      </c>
      <c r="C3535" s="5">
        <v>500</v>
      </c>
      <c r="D3535" s="1" t="s">
        <v>1074</v>
      </c>
      <c r="E3535" s="1" t="s">
        <v>1075</v>
      </c>
      <c r="F3535" s="1" t="s">
        <v>669</v>
      </c>
      <c r="G3535" s="1" t="s">
        <v>1058</v>
      </c>
      <c r="H3535" s="3">
        <v>46118</v>
      </c>
      <c r="I3535" s="1" t="s">
        <v>933</v>
      </c>
      <c r="J3535" s="1" t="s">
        <v>66</v>
      </c>
      <c r="K3535" s="1" t="s">
        <v>340</v>
      </c>
      <c r="L3535" s="1" t="s">
        <v>3368</v>
      </c>
      <c r="M3535" s="3">
        <v>46099</v>
      </c>
      <c r="N3535" s="1" t="s">
        <v>57</v>
      </c>
      <c r="O3535" s="1" t="s">
        <v>936</v>
      </c>
      <c r="P3535" s="1">
        <v>1</v>
      </c>
    </row>
    <row r="3536" spans="1:16" x14ac:dyDescent="0.25">
      <c r="A3536" s="3">
        <v>46097</v>
      </c>
      <c r="B3536" s="4">
        <v>1224</v>
      </c>
      <c r="C3536" s="5">
        <v>280</v>
      </c>
      <c r="D3536" s="1" t="s">
        <v>1074</v>
      </c>
      <c r="E3536" s="1" t="s">
        <v>1075</v>
      </c>
      <c r="F3536" s="1" t="s">
        <v>426</v>
      </c>
      <c r="G3536" s="1" t="s">
        <v>1058</v>
      </c>
      <c r="H3536" s="3">
        <v>46118</v>
      </c>
      <c r="I3536" s="1" t="s">
        <v>933</v>
      </c>
      <c r="J3536" s="1" t="s">
        <v>66</v>
      </c>
      <c r="K3536" s="1" t="s">
        <v>308</v>
      </c>
      <c r="L3536" s="1" t="s">
        <v>3368</v>
      </c>
      <c r="M3536" s="3">
        <v>46099</v>
      </c>
      <c r="N3536" s="1" t="s">
        <v>57</v>
      </c>
      <c r="O3536" s="1" t="s">
        <v>936</v>
      </c>
      <c r="P3536" s="1">
        <v>1</v>
      </c>
    </row>
    <row r="3537" spans="1:16" x14ac:dyDescent="0.25">
      <c r="A3537" s="3">
        <v>46097</v>
      </c>
      <c r="B3537" s="4">
        <v>1224</v>
      </c>
      <c r="C3537" s="5">
        <v>350</v>
      </c>
      <c r="D3537" s="1" t="s">
        <v>1074</v>
      </c>
      <c r="E3537" s="1" t="s">
        <v>1075</v>
      </c>
      <c r="F3537" s="1" t="s">
        <v>222</v>
      </c>
      <c r="G3537" s="1" t="s">
        <v>1058</v>
      </c>
      <c r="H3537" s="3">
        <v>46118</v>
      </c>
      <c r="I3537" s="1" t="s">
        <v>933</v>
      </c>
      <c r="J3537" s="1" t="s">
        <v>66</v>
      </c>
      <c r="K3537" s="1" t="s">
        <v>52</v>
      </c>
      <c r="L3537" s="1" t="s">
        <v>3368</v>
      </c>
      <c r="M3537" s="3">
        <v>46099</v>
      </c>
      <c r="N3537" s="1" t="s">
        <v>57</v>
      </c>
      <c r="O3537" s="1" t="s">
        <v>936</v>
      </c>
      <c r="P3537" s="1">
        <v>1</v>
      </c>
    </row>
    <row r="3538" spans="1:16" x14ac:dyDescent="0.25">
      <c r="A3538" s="3">
        <v>46097</v>
      </c>
      <c r="B3538" s="4">
        <v>1224</v>
      </c>
      <c r="C3538" s="5">
        <v>280</v>
      </c>
      <c r="D3538" s="1" t="s">
        <v>1074</v>
      </c>
      <c r="E3538" s="1" t="s">
        <v>1075</v>
      </c>
      <c r="F3538" s="1" t="s">
        <v>759</v>
      </c>
      <c r="G3538" s="1" t="s">
        <v>1058</v>
      </c>
      <c r="H3538" s="3">
        <v>46118</v>
      </c>
      <c r="I3538" s="1" t="s">
        <v>933</v>
      </c>
      <c r="J3538" s="1" t="s">
        <v>66</v>
      </c>
      <c r="K3538" s="1" t="s">
        <v>340</v>
      </c>
      <c r="L3538" s="1" t="s">
        <v>4945</v>
      </c>
      <c r="M3538" s="3">
        <v>46099</v>
      </c>
      <c r="N3538" s="1" t="s">
        <v>57</v>
      </c>
      <c r="O3538" s="1" t="s">
        <v>936</v>
      </c>
      <c r="P3538" s="1">
        <v>1</v>
      </c>
    </row>
    <row r="3539" spans="1:16" x14ac:dyDescent="0.25">
      <c r="A3539" s="3">
        <v>46097</v>
      </c>
      <c r="B3539" s="4">
        <v>1224</v>
      </c>
      <c r="C3539" s="5">
        <v>600</v>
      </c>
      <c r="D3539" s="1" t="s">
        <v>1074</v>
      </c>
      <c r="E3539" s="1" t="s">
        <v>1075</v>
      </c>
      <c r="F3539" s="1" t="s">
        <v>483</v>
      </c>
      <c r="G3539" s="1" t="s">
        <v>1058</v>
      </c>
      <c r="H3539" s="3">
        <v>46118</v>
      </c>
      <c r="I3539" s="1" t="s">
        <v>933</v>
      </c>
      <c r="J3539" s="1" t="s">
        <v>66</v>
      </c>
      <c r="K3539" s="1" t="s">
        <v>308</v>
      </c>
      <c r="L3539" s="1" t="s">
        <v>3368</v>
      </c>
      <c r="M3539" s="3">
        <v>46099</v>
      </c>
      <c r="N3539" s="1" t="s">
        <v>57</v>
      </c>
      <c r="O3539" s="1" t="s">
        <v>936</v>
      </c>
      <c r="P3539" s="1">
        <v>1</v>
      </c>
    </row>
    <row r="3540" spans="1:16" x14ac:dyDescent="0.25">
      <c r="A3540" s="3">
        <v>46097</v>
      </c>
      <c r="B3540" s="4">
        <v>1224</v>
      </c>
      <c r="C3540" s="5">
        <v>80</v>
      </c>
      <c r="D3540" s="1" t="s">
        <v>1074</v>
      </c>
      <c r="E3540" s="1" t="s">
        <v>1075</v>
      </c>
      <c r="F3540" s="1" t="s">
        <v>66</v>
      </c>
      <c r="G3540" s="1" t="s">
        <v>1058</v>
      </c>
      <c r="H3540" s="3">
        <v>46118</v>
      </c>
      <c r="I3540" s="1" t="s">
        <v>933</v>
      </c>
      <c r="J3540" s="1" t="s">
        <v>66</v>
      </c>
      <c r="K3540" s="1" t="s">
        <v>308</v>
      </c>
      <c r="L3540" s="1" t="s">
        <v>4946</v>
      </c>
      <c r="M3540" s="3">
        <v>46099</v>
      </c>
      <c r="N3540" s="1" t="s">
        <v>57</v>
      </c>
      <c r="O3540" s="1" t="s">
        <v>936</v>
      </c>
      <c r="P3540" s="1">
        <v>1</v>
      </c>
    </row>
    <row r="3541" spans="1:16" x14ac:dyDescent="0.25">
      <c r="A3541" s="3">
        <v>46097</v>
      </c>
      <c r="B3541" s="4">
        <v>1224</v>
      </c>
      <c r="C3541" s="5">
        <v>380</v>
      </c>
      <c r="D3541" s="1" t="s">
        <v>1074</v>
      </c>
      <c r="E3541" s="1" t="s">
        <v>1075</v>
      </c>
      <c r="F3541" s="1" t="s">
        <v>222</v>
      </c>
      <c r="G3541" s="1" t="s">
        <v>1058</v>
      </c>
      <c r="H3541" s="3">
        <v>46118</v>
      </c>
      <c r="I3541" s="1" t="s">
        <v>933</v>
      </c>
      <c r="J3541" s="1" t="s">
        <v>66</v>
      </c>
      <c r="K3541" s="1" t="s">
        <v>52</v>
      </c>
      <c r="L3541" s="1" t="s">
        <v>3368</v>
      </c>
      <c r="M3541" s="3">
        <v>46099</v>
      </c>
      <c r="N3541" s="1" t="s">
        <v>57</v>
      </c>
      <c r="O3541" s="1" t="s">
        <v>936</v>
      </c>
      <c r="P3541" s="1">
        <v>1</v>
      </c>
    </row>
    <row r="3542" spans="1:16" x14ac:dyDescent="0.25">
      <c r="A3542" s="3">
        <v>46097</v>
      </c>
      <c r="B3542" s="4">
        <v>1224</v>
      </c>
      <c r="C3542" s="5">
        <v>280</v>
      </c>
      <c r="D3542" s="1" t="s">
        <v>1074</v>
      </c>
      <c r="E3542" s="1" t="s">
        <v>1075</v>
      </c>
      <c r="F3542" s="1" t="s">
        <v>516</v>
      </c>
      <c r="G3542" s="1" t="s">
        <v>1058</v>
      </c>
      <c r="H3542" s="3">
        <v>46118</v>
      </c>
      <c r="I3542" s="1" t="s">
        <v>933</v>
      </c>
      <c r="J3542" s="1" t="s">
        <v>66</v>
      </c>
      <c r="K3542" s="1" t="s">
        <v>487</v>
      </c>
      <c r="L3542" s="1" t="s">
        <v>3368</v>
      </c>
      <c r="M3542" s="3">
        <v>46099</v>
      </c>
      <c r="N3542" s="1" t="s">
        <v>57</v>
      </c>
      <c r="O3542" s="1" t="s">
        <v>936</v>
      </c>
      <c r="P3542" s="1">
        <v>1</v>
      </c>
    </row>
    <row r="3543" spans="1:16" x14ac:dyDescent="0.25">
      <c r="A3543" s="3">
        <v>46097</v>
      </c>
      <c r="B3543" s="4">
        <v>1224</v>
      </c>
      <c r="C3543" s="5">
        <v>250</v>
      </c>
      <c r="D3543" s="1" t="s">
        <v>1074</v>
      </c>
      <c r="E3543" s="1" t="s">
        <v>1075</v>
      </c>
      <c r="F3543" s="1" t="s">
        <v>451</v>
      </c>
      <c r="G3543" s="1" t="s">
        <v>1058</v>
      </c>
      <c r="H3543" s="3">
        <v>46118</v>
      </c>
      <c r="I3543" s="1" t="s">
        <v>933</v>
      </c>
      <c r="J3543" s="1" t="s">
        <v>66</v>
      </c>
      <c r="K3543" s="1" t="s">
        <v>308</v>
      </c>
      <c r="L3543" s="1" t="s">
        <v>3368</v>
      </c>
      <c r="M3543" s="3">
        <v>46099</v>
      </c>
      <c r="N3543" s="1" t="s">
        <v>57</v>
      </c>
      <c r="O3543" s="1" t="s">
        <v>936</v>
      </c>
      <c r="P3543" s="1">
        <v>1</v>
      </c>
    </row>
    <row r="3544" spans="1:16" x14ac:dyDescent="0.25">
      <c r="A3544" s="3">
        <v>46097</v>
      </c>
      <c r="B3544" s="4">
        <v>1224</v>
      </c>
      <c r="C3544" s="5">
        <v>250</v>
      </c>
      <c r="D3544" s="1" t="s">
        <v>1074</v>
      </c>
      <c r="E3544" s="1" t="s">
        <v>1075</v>
      </c>
      <c r="F3544" s="1" t="s">
        <v>683</v>
      </c>
      <c r="G3544" s="1" t="s">
        <v>1058</v>
      </c>
      <c r="H3544" s="3">
        <v>46118</v>
      </c>
      <c r="I3544" s="1" t="s">
        <v>933</v>
      </c>
      <c r="J3544" s="1" t="s">
        <v>66</v>
      </c>
      <c r="K3544" s="1" t="s">
        <v>52</v>
      </c>
      <c r="L3544" s="1" t="s">
        <v>3368</v>
      </c>
      <c r="M3544" s="3">
        <v>46099</v>
      </c>
      <c r="N3544" s="1" t="s">
        <v>57</v>
      </c>
      <c r="O3544" s="1" t="s">
        <v>936</v>
      </c>
      <c r="P3544" s="1">
        <v>1</v>
      </c>
    </row>
    <row r="3545" spans="1:16" x14ac:dyDescent="0.25">
      <c r="A3545" s="3">
        <v>46097</v>
      </c>
      <c r="B3545" s="4">
        <v>1224</v>
      </c>
      <c r="C3545" s="5">
        <v>350</v>
      </c>
      <c r="D3545" s="1" t="s">
        <v>1074</v>
      </c>
      <c r="E3545" s="1" t="s">
        <v>1075</v>
      </c>
      <c r="F3545" s="1" t="s">
        <v>199</v>
      </c>
      <c r="G3545" s="1" t="s">
        <v>1058</v>
      </c>
      <c r="H3545" s="3">
        <v>46118</v>
      </c>
      <c r="I3545" s="1" t="s">
        <v>933</v>
      </c>
      <c r="J3545" s="1" t="s">
        <v>66</v>
      </c>
      <c r="K3545" s="1" t="s">
        <v>52</v>
      </c>
      <c r="L3545" s="1" t="s">
        <v>3368</v>
      </c>
      <c r="M3545" s="3">
        <v>46099</v>
      </c>
      <c r="N3545" s="1" t="s">
        <v>57</v>
      </c>
      <c r="O3545" s="1" t="s">
        <v>936</v>
      </c>
      <c r="P3545" s="1">
        <v>1</v>
      </c>
    </row>
    <row r="3546" spans="1:16" x14ac:dyDescent="0.25">
      <c r="A3546" s="3">
        <v>46097</v>
      </c>
      <c r="B3546" s="4">
        <v>1224</v>
      </c>
      <c r="C3546" s="5">
        <v>350</v>
      </c>
      <c r="D3546" s="1" t="s">
        <v>1074</v>
      </c>
      <c r="E3546" s="1" t="s">
        <v>1075</v>
      </c>
      <c r="F3546" s="1" t="s">
        <v>182</v>
      </c>
      <c r="G3546" s="1" t="s">
        <v>1058</v>
      </c>
      <c r="H3546" s="3">
        <v>46118</v>
      </c>
      <c r="I3546" s="1" t="s">
        <v>933</v>
      </c>
      <c r="J3546" s="1" t="s">
        <v>66</v>
      </c>
      <c r="K3546" s="1" t="s">
        <v>52</v>
      </c>
      <c r="L3546" s="1" t="s">
        <v>3368</v>
      </c>
      <c r="M3546" s="3">
        <v>46099</v>
      </c>
      <c r="N3546" s="1" t="s">
        <v>57</v>
      </c>
      <c r="O3546" s="1" t="s">
        <v>936</v>
      </c>
      <c r="P3546" s="1">
        <v>1</v>
      </c>
    </row>
    <row r="3547" spans="1:16" x14ac:dyDescent="0.25">
      <c r="A3547" s="3">
        <v>46097</v>
      </c>
      <c r="B3547" s="4">
        <v>1224</v>
      </c>
      <c r="C3547" s="5">
        <v>80</v>
      </c>
      <c r="D3547" s="1" t="s">
        <v>1074</v>
      </c>
      <c r="E3547" s="1" t="s">
        <v>1075</v>
      </c>
      <c r="F3547" s="1" t="s">
        <v>66</v>
      </c>
      <c r="G3547" s="1" t="s">
        <v>1058</v>
      </c>
      <c r="H3547" s="3">
        <v>46118</v>
      </c>
      <c r="I3547" s="1" t="s">
        <v>933</v>
      </c>
      <c r="J3547" s="1" t="s">
        <v>66</v>
      </c>
      <c r="K3547" s="1" t="s">
        <v>340</v>
      </c>
      <c r="L3547" s="1" t="s">
        <v>4948</v>
      </c>
      <c r="M3547" s="3">
        <v>46099</v>
      </c>
      <c r="N3547" s="1" t="s">
        <v>57</v>
      </c>
      <c r="O3547" s="1" t="s">
        <v>936</v>
      </c>
      <c r="P3547" s="1">
        <v>1</v>
      </c>
    </row>
    <row r="3548" spans="1:16" x14ac:dyDescent="0.25">
      <c r="A3548" s="3">
        <v>46097</v>
      </c>
      <c r="B3548" s="4">
        <v>1224</v>
      </c>
      <c r="C3548" s="5">
        <v>280</v>
      </c>
      <c r="D3548" s="1" t="s">
        <v>1074</v>
      </c>
      <c r="E3548" s="1" t="s">
        <v>1075</v>
      </c>
      <c r="F3548" s="1" t="s">
        <v>304</v>
      </c>
      <c r="G3548" s="1" t="s">
        <v>1058</v>
      </c>
      <c r="H3548" s="3">
        <v>46118</v>
      </c>
      <c r="I3548" s="1" t="s">
        <v>933</v>
      </c>
      <c r="J3548" s="1" t="s">
        <v>66</v>
      </c>
      <c r="K3548" s="1" t="s">
        <v>340</v>
      </c>
      <c r="L3548" s="1" t="s">
        <v>3368</v>
      </c>
      <c r="M3548" s="3">
        <v>46099</v>
      </c>
      <c r="N3548" s="1" t="s">
        <v>57</v>
      </c>
      <c r="O3548" s="1" t="s">
        <v>936</v>
      </c>
      <c r="P3548" s="1">
        <v>1</v>
      </c>
    </row>
    <row r="3549" spans="1:16" x14ac:dyDescent="0.25">
      <c r="A3549" s="3">
        <v>46097</v>
      </c>
      <c r="B3549" s="4">
        <v>1224</v>
      </c>
      <c r="C3549" s="5">
        <v>80</v>
      </c>
      <c r="D3549" s="1" t="s">
        <v>1074</v>
      </c>
      <c r="E3549" s="1" t="s">
        <v>1075</v>
      </c>
      <c r="F3549" s="1" t="s">
        <v>66</v>
      </c>
      <c r="G3549" s="1" t="s">
        <v>1058</v>
      </c>
      <c r="H3549" s="3">
        <v>46118</v>
      </c>
      <c r="I3549" s="1" t="s">
        <v>933</v>
      </c>
      <c r="J3549" s="1" t="s">
        <v>66</v>
      </c>
      <c r="K3549" s="1" t="s">
        <v>340</v>
      </c>
      <c r="L3549" s="1" t="s">
        <v>4949</v>
      </c>
      <c r="M3549" s="3">
        <v>46099</v>
      </c>
      <c r="N3549" s="1" t="s">
        <v>57</v>
      </c>
      <c r="O3549" s="1" t="s">
        <v>936</v>
      </c>
      <c r="P3549" s="1">
        <v>1</v>
      </c>
    </row>
    <row r="3550" spans="1:16" x14ac:dyDescent="0.25">
      <c r="A3550" s="3">
        <v>46097</v>
      </c>
      <c r="B3550" s="4">
        <v>1224</v>
      </c>
      <c r="C3550" s="5">
        <v>280</v>
      </c>
      <c r="D3550" s="1" t="s">
        <v>1074</v>
      </c>
      <c r="E3550" s="1" t="s">
        <v>1075</v>
      </c>
      <c r="F3550" s="1" t="s">
        <v>201</v>
      </c>
      <c r="G3550" s="1" t="s">
        <v>1058</v>
      </c>
      <c r="H3550" s="3">
        <v>46118</v>
      </c>
      <c r="I3550" s="1" t="s">
        <v>933</v>
      </c>
      <c r="J3550" s="1" t="s">
        <v>66</v>
      </c>
      <c r="K3550" s="1" t="s">
        <v>340</v>
      </c>
      <c r="L3550" s="1" t="s">
        <v>3368</v>
      </c>
      <c r="M3550" s="3">
        <v>46099</v>
      </c>
      <c r="N3550" s="1" t="s">
        <v>57</v>
      </c>
      <c r="O3550" s="1" t="s">
        <v>936</v>
      </c>
      <c r="P3550" s="1">
        <v>1</v>
      </c>
    </row>
    <row r="3551" spans="1:16" x14ac:dyDescent="0.25">
      <c r="A3551" s="3">
        <v>46097</v>
      </c>
      <c r="B3551" s="4">
        <v>1224</v>
      </c>
      <c r="C3551" s="5">
        <v>280</v>
      </c>
      <c r="D3551" s="1" t="s">
        <v>1074</v>
      </c>
      <c r="E3551" s="1" t="s">
        <v>1075</v>
      </c>
      <c r="F3551" s="1" t="s">
        <v>392</v>
      </c>
      <c r="G3551" s="1" t="s">
        <v>1058</v>
      </c>
      <c r="H3551" s="3">
        <v>46118</v>
      </c>
      <c r="I3551" s="1" t="s">
        <v>933</v>
      </c>
      <c r="J3551" s="1" t="s">
        <v>66</v>
      </c>
      <c r="K3551" s="1" t="s">
        <v>148</v>
      </c>
      <c r="L3551" s="1" t="s">
        <v>3368</v>
      </c>
      <c r="M3551" s="3">
        <v>46099</v>
      </c>
      <c r="N3551" s="1" t="s">
        <v>57</v>
      </c>
      <c r="O3551" s="1" t="s">
        <v>936</v>
      </c>
      <c r="P3551" s="1">
        <v>1</v>
      </c>
    </row>
    <row r="3552" spans="1:16" x14ac:dyDescent="0.25">
      <c r="A3552" s="3">
        <v>46097</v>
      </c>
      <c r="B3552" s="4">
        <v>1224</v>
      </c>
      <c r="C3552" s="5">
        <v>80</v>
      </c>
      <c r="D3552" s="1" t="s">
        <v>1074</v>
      </c>
      <c r="E3552" s="1" t="s">
        <v>1075</v>
      </c>
      <c r="F3552" s="1" t="s">
        <v>66</v>
      </c>
      <c r="G3552" s="1" t="s">
        <v>1058</v>
      </c>
      <c r="H3552" s="3">
        <v>46118</v>
      </c>
      <c r="I3552" s="1" t="s">
        <v>933</v>
      </c>
      <c r="J3552" s="1" t="s">
        <v>66</v>
      </c>
      <c r="K3552" s="1" t="s">
        <v>340</v>
      </c>
      <c r="L3552" s="1" t="s">
        <v>4950</v>
      </c>
      <c r="M3552" s="3">
        <v>46099</v>
      </c>
      <c r="N3552" s="1" t="s">
        <v>57</v>
      </c>
      <c r="O3552" s="1" t="s">
        <v>936</v>
      </c>
      <c r="P3552" s="1">
        <v>1</v>
      </c>
    </row>
    <row r="3553" spans="1:16" x14ac:dyDescent="0.25">
      <c r="A3553" s="3">
        <v>46097</v>
      </c>
      <c r="B3553" s="4">
        <v>1224</v>
      </c>
      <c r="C3553" s="5">
        <v>150</v>
      </c>
      <c r="D3553" s="1" t="s">
        <v>1074</v>
      </c>
      <c r="E3553" s="1" t="s">
        <v>1075</v>
      </c>
      <c r="F3553" s="1" t="s">
        <v>422</v>
      </c>
      <c r="G3553" s="1" t="s">
        <v>1058</v>
      </c>
      <c r="H3553" s="3">
        <v>46118</v>
      </c>
      <c r="I3553" s="1" t="s">
        <v>933</v>
      </c>
      <c r="J3553" s="1" t="s">
        <v>66</v>
      </c>
      <c r="K3553" s="1" t="s">
        <v>308</v>
      </c>
      <c r="L3553" s="1" t="s">
        <v>3368</v>
      </c>
      <c r="M3553" s="3">
        <v>46099</v>
      </c>
      <c r="N3553" s="1" t="s">
        <v>57</v>
      </c>
      <c r="O3553" s="1" t="s">
        <v>936</v>
      </c>
      <c r="P3553" s="1">
        <v>1</v>
      </c>
    </row>
    <row r="3554" spans="1:16" x14ac:dyDescent="0.25">
      <c r="A3554" s="3">
        <v>46097</v>
      </c>
      <c r="B3554" s="4">
        <v>156609</v>
      </c>
      <c r="C3554" s="5">
        <v>882.96</v>
      </c>
      <c r="D3554" s="1" t="s">
        <v>1492</v>
      </c>
      <c r="E3554" s="1" t="s">
        <v>1493</v>
      </c>
      <c r="F3554" s="1" t="s">
        <v>533</v>
      </c>
      <c r="G3554" s="1" t="s">
        <v>940</v>
      </c>
      <c r="H3554" s="3">
        <v>46127</v>
      </c>
      <c r="I3554" s="1" t="s">
        <v>933</v>
      </c>
      <c r="J3554" s="1" t="s">
        <v>66</v>
      </c>
      <c r="K3554" s="1" t="s">
        <v>308</v>
      </c>
      <c r="L3554" s="1" t="s">
        <v>5120</v>
      </c>
      <c r="M3554" s="3">
        <v>46106</v>
      </c>
      <c r="N3554" s="1" t="s">
        <v>57</v>
      </c>
      <c r="O3554" s="1" t="s">
        <v>936</v>
      </c>
      <c r="P3554" s="1">
        <v>1</v>
      </c>
    </row>
    <row r="3555" spans="1:16" x14ac:dyDescent="0.25">
      <c r="A3555" s="3">
        <v>46097</v>
      </c>
      <c r="B3555" s="4">
        <v>5260</v>
      </c>
      <c r="C3555" s="5">
        <v>206</v>
      </c>
      <c r="D3555" s="1" t="s">
        <v>938</v>
      </c>
      <c r="E3555" s="1" t="s">
        <v>939</v>
      </c>
      <c r="F3555" s="1" t="s">
        <v>66</v>
      </c>
      <c r="G3555" s="1" t="s">
        <v>940</v>
      </c>
      <c r="H3555" s="1" t="s">
        <v>4055</v>
      </c>
      <c r="I3555" s="1" t="s">
        <v>933</v>
      </c>
      <c r="J3555" s="1" t="s">
        <v>66</v>
      </c>
      <c r="K3555" s="1" t="s">
        <v>308</v>
      </c>
      <c r="L3555" s="1" t="s">
        <v>5164</v>
      </c>
      <c r="M3555" s="1" t="s">
        <v>4055</v>
      </c>
      <c r="N3555" s="1" t="s">
        <v>57</v>
      </c>
      <c r="O3555" s="1" t="s">
        <v>936</v>
      </c>
      <c r="P3555" s="1">
        <v>1</v>
      </c>
    </row>
    <row r="3556" spans="1:16" x14ac:dyDescent="0.25">
      <c r="A3556" s="3">
        <v>46098</v>
      </c>
      <c r="B3556" s="4">
        <v>1060</v>
      </c>
      <c r="C3556" s="5">
        <v>24300</v>
      </c>
      <c r="D3556" s="1" t="s">
        <v>1080</v>
      </c>
      <c r="E3556" s="1" t="s">
        <v>3046</v>
      </c>
      <c r="F3556" s="1" t="s">
        <v>66</v>
      </c>
      <c r="G3556" s="1" t="s">
        <v>940</v>
      </c>
      <c r="H3556" s="3">
        <v>46117</v>
      </c>
      <c r="I3556" s="1" t="s">
        <v>933</v>
      </c>
      <c r="J3556" s="1" t="s">
        <v>66</v>
      </c>
      <c r="K3556" s="1" t="s">
        <v>934</v>
      </c>
      <c r="L3556" s="1" t="s">
        <v>4951</v>
      </c>
      <c r="M3556" s="3">
        <v>46099</v>
      </c>
      <c r="N3556" s="1" t="s">
        <v>821</v>
      </c>
      <c r="O3556" s="1" t="s">
        <v>936</v>
      </c>
      <c r="P3556" s="1">
        <v>1</v>
      </c>
    </row>
    <row r="3557" spans="1:16" x14ac:dyDescent="0.25">
      <c r="A3557" s="3">
        <v>46098</v>
      </c>
      <c r="B3557" s="1">
        <v>15</v>
      </c>
      <c r="C3557" s="5">
        <v>15000</v>
      </c>
      <c r="D3557" s="1" t="s">
        <v>4106</v>
      </c>
      <c r="E3557" s="1" t="s">
        <v>4107</v>
      </c>
      <c r="F3557" s="1" t="s">
        <v>110</v>
      </c>
      <c r="G3557" s="1" t="s">
        <v>932</v>
      </c>
      <c r="H3557" s="3">
        <v>46112</v>
      </c>
      <c r="I3557" s="1" t="s">
        <v>933</v>
      </c>
      <c r="J3557" s="1" t="s">
        <v>66</v>
      </c>
      <c r="K3557" s="1" t="s">
        <v>52</v>
      </c>
      <c r="L3557" s="1" t="s">
        <v>4952</v>
      </c>
      <c r="M3557" s="3">
        <v>46099</v>
      </c>
      <c r="N3557" s="1" t="s">
        <v>115</v>
      </c>
      <c r="O3557" s="1" t="s">
        <v>936</v>
      </c>
      <c r="P3557" s="1" t="s">
        <v>937</v>
      </c>
    </row>
    <row r="3558" spans="1:16" x14ac:dyDescent="0.25">
      <c r="A3558" s="3">
        <v>46098</v>
      </c>
      <c r="B3558" s="1">
        <v>18</v>
      </c>
      <c r="C3558" s="5">
        <v>5000</v>
      </c>
      <c r="D3558" s="1" t="s">
        <v>4106</v>
      </c>
      <c r="E3558" s="1" t="s">
        <v>4107</v>
      </c>
      <c r="F3558" s="1" t="s">
        <v>66</v>
      </c>
      <c r="G3558" s="1" t="s">
        <v>932</v>
      </c>
      <c r="H3558" s="3">
        <v>46112</v>
      </c>
      <c r="I3558" s="1" t="s">
        <v>933</v>
      </c>
      <c r="J3558" s="1" t="s">
        <v>66</v>
      </c>
      <c r="K3558" s="1" t="s">
        <v>52</v>
      </c>
      <c r="L3558" s="1" t="s">
        <v>4953</v>
      </c>
      <c r="M3558" s="3">
        <v>46099</v>
      </c>
      <c r="N3558" s="1" t="s">
        <v>57</v>
      </c>
      <c r="O3558" s="1" t="s">
        <v>936</v>
      </c>
      <c r="P3558" s="1" t="s">
        <v>937</v>
      </c>
    </row>
    <row r="3559" spans="1:16" x14ac:dyDescent="0.25">
      <c r="A3559" s="3">
        <v>46098</v>
      </c>
      <c r="B3559" s="4">
        <v>2079</v>
      </c>
      <c r="C3559" s="5">
        <v>780.93</v>
      </c>
      <c r="D3559" s="1" t="s">
        <v>1596</v>
      </c>
      <c r="E3559" s="1" t="s">
        <v>1597</v>
      </c>
      <c r="F3559" s="1" t="s">
        <v>419</v>
      </c>
      <c r="G3559" s="1" t="s">
        <v>1260</v>
      </c>
      <c r="H3559" s="3">
        <v>46115</v>
      </c>
      <c r="I3559" s="1" t="s">
        <v>933</v>
      </c>
      <c r="J3559" s="1" t="s">
        <v>66</v>
      </c>
      <c r="K3559" s="1" t="s">
        <v>308</v>
      </c>
      <c r="L3559" s="1" t="s">
        <v>4954</v>
      </c>
      <c r="M3559" s="3">
        <v>46099</v>
      </c>
      <c r="N3559" s="1" t="s">
        <v>98</v>
      </c>
      <c r="O3559" s="1" t="s">
        <v>1031</v>
      </c>
      <c r="P3559" s="1">
        <v>1</v>
      </c>
    </row>
    <row r="3560" spans="1:16" x14ac:dyDescent="0.25">
      <c r="A3560" s="3">
        <v>46098</v>
      </c>
      <c r="B3560" s="1">
        <v>56</v>
      </c>
      <c r="C3560" s="5">
        <v>80</v>
      </c>
      <c r="D3560" s="1" t="s">
        <v>1950</v>
      </c>
      <c r="E3560" s="1" t="s">
        <v>1951</v>
      </c>
      <c r="F3560" s="1" t="s">
        <v>66</v>
      </c>
      <c r="G3560" s="1" t="s">
        <v>1058</v>
      </c>
      <c r="H3560" s="3">
        <v>46111</v>
      </c>
      <c r="I3560" s="1" t="s">
        <v>933</v>
      </c>
      <c r="J3560" s="1" t="s">
        <v>66</v>
      </c>
      <c r="K3560" s="1" t="s">
        <v>66</v>
      </c>
      <c r="L3560" s="1" t="s">
        <v>4946</v>
      </c>
      <c r="M3560" s="3">
        <v>46099</v>
      </c>
      <c r="N3560" s="1" t="s">
        <v>57</v>
      </c>
      <c r="O3560" s="1" t="s">
        <v>936</v>
      </c>
      <c r="P3560" s="1" t="s">
        <v>937</v>
      </c>
    </row>
    <row r="3561" spans="1:16" x14ac:dyDescent="0.25">
      <c r="A3561" s="3">
        <v>46098</v>
      </c>
      <c r="B3561" s="1">
        <v>56</v>
      </c>
      <c r="C3561" s="5">
        <v>70</v>
      </c>
      <c r="D3561" s="1" t="s">
        <v>1950</v>
      </c>
      <c r="E3561" s="1" t="s">
        <v>1951</v>
      </c>
      <c r="F3561" s="1" t="s">
        <v>66</v>
      </c>
      <c r="G3561" s="1" t="s">
        <v>1058</v>
      </c>
      <c r="H3561" s="3">
        <v>46111</v>
      </c>
      <c r="I3561" s="1" t="s">
        <v>933</v>
      </c>
      <c r="J3561" s="1" t="s">
        <v>66</v>
      </c>
      <c r="K3561" s="1" t="s">
        <v>66</v>
      </c>
      <c r="L3561" s="1" t="s">
        <v>4955</v>
      </c>
      <c r="M3561" s="3">
        <v>46099</v>
      </c>
      <c r="N3561" s="1" t="s">
        <v>57</v>
      </c>
      <c r="O3561" s="1" t="s">
        <v>936</v>
      </c>
      <c r="P3561" s="1" t="s">
        <v>937</v>
      </c>
    </row>
    <row r="3562" spans="1:16" x14ac:dyDescent="0.25">
      <c r="A3562" s="3">
        <v>46098</v>
      </c>
      <c r="B3562" s="1">
        <v>56</v>
      </c>
      <c r="C3562" s="5">
        <v>70</v>
      </c>
      <c r="D3562" s="1" t="s">
        <v>1950</v>
      </c>
      <c r="E3562" s="1" t="s">
        <v>1951</v>
      </c>
      <c r="F3562" s="1" t="s">
        <v>66</v>
      </c>
      <c r="G3562" s="1" t="s">
        <v>1058</v>
      </c>
      <c r="H3562" s="3">
        <v>46111</v>
      </c>
      <c r="I3562" s="1" t="s">
        <v>933</v>
      </c>
      <c r="J3562" s="1" t="s">
        <v>66</v>
      </c>
      <c r="K3562" s="1" t="s">
        <v>66</v>
      </c>
      <c r="L3562" s="1" t="s">
        <v>4955</v>
      </c>
      <c r="M3562" s="3">
        <v>46099</v>
      </c>
      <c r="N3562" s="1" t="s">
        <v>57</v>
      </c>
      <c r="O3562" s="1" t="s">
        <v>936</v>
      </c>
      <c r="P3562" s="1" t="s">
        <v>937</v>
      </c>
    </row>
    <row r="3563" spans="1:16" x14ac:dyDescent="0.25">
      <c r="A3563" s="3">
        <v>46098</v>
      </c>
      <c r="B3563" s="1">
        <v>56</v>
      </c>
      <c r="C3563" s="5">
        <v>70</v>
      </c>
      <c r="D3563" s="1" t="s">
        <v>1950</v>
      </c>
      <c r="E3563" s="1" t="s">
        <v>1951</v>
      </c>
      <c r="F3563" s="1" t="s">
        <v>66</v>
      </c>
      <c r="G3563" s="1" t="s">
        <v>1058</v>
      </c>
      <c r="H3563" s="3">
        <v>46111</v>
      </c>
      <c r="I3563" s="1" t="s">
        <v>933</v>
      </c>
      <c r="J3563" s="1" t="s">
        <v>66</v>
      </c>
      <c r="K3563" s="1" t="s">
        <v>66</v>
      </c>
      <c r="L3563" s="1" t="s">
        <v>4956</v>
      </c>
      <c r="M3563" s="3">
        <v>46099</v>
      </c>
      <c r="N3563" s="1" t="s">
        <v>57</v>
      </c>
      <c r="O3563" s="1" t="s">
        <v>936</v>
      </c>
      <c r="P3563" s="1" t="s">
        <v>937</v>
      </c>
    </row>
    <row r="3564" spans="1:16" x14ac:dyDescent="0.25">
      <c r="A3564" s="3">
        <v>46098</v>
      </c>
      <c r="B3564" s="1">
        <v>56</v>
      </c>
      <c r="C3564" s="5">
        <v>70</v>
      </c>
      <c r="D3564" s="1" t="s">
        <v>1950</v>
      </c>
      <c r="E3564" s="1" t="s">
        <v>1951</v>
      </c>
      <c r="F3564" s="1" t="s">
        <v>66</v>
      </c>
      <c r="G3564" s="1" t="s">
        <v>1058</v>
      </c>
      <c r="H3564" s="3">
        <v>46111</v>
      </c>
      <c r="I3564" s="1" t="s">
        <v>933</v>
      </c>
      <c r="J3564" s="1" t="s">
        <v>66</v>
      </c>
      <c r="K3564" s="1" t="s">
        <v>66</v>
      </c>
      <c r="L3564" s="1" t="s">
        <v>4957</v>
      </c>
      <c r="M3564" s="3">
        <v>46099</v>
      </c>
      <c r="N3564" s="1" t="s">
        <v>57</v>
      </c>
      <c r="O3564" s="1" t="s">
        <v>936</v>
      </c>
      <c r="P3564" s="1" t="s">
        <v>937</v>
      </c>
    </row>
    <row r="3565" spans="1:16" x14ac:dyDescent="0.25">
      <c r="A3565" s="3">
        <v>46098</v>
      </c>
      <c r="B3565" s="1">
        <v>56</v>
      </c>
      <c r="C3565" s="5">
        <v>70</v>
      </c>
      <c r="D3565" s="1" t="s">
        <v>1950</v>
      </c>
      <c r="E3565" s="1" t="s">
        <v>1951</v>
      </c>
      <c r="F3565" s="1" t="s">
        <v>66</v>
      </c>
      <c r="G3565" s="1" t="s">
        <v>1058</v>
      </c>
      <c r="H3565" s="3">
        <v>46111</v>
      </c>
      <c r="I3565" s="1" t="s">
        <v>933</v>
      </c>
      <c r="J3565" s="1" t="s">
        <v>66</v>
      </c>
      <c r="K3565" s="1" t="s">
        <v>66</v>
      </c>
      <c r="L3565" s="1" t="s">
        <v>4958</v>
      </c>
      <c r="M3565" s="3">
        <v>46099</v>
      </c>
      <c r="N3565" s="1" t="s">
        <v>57</v>
      </c>
      <c r="O3565" s="1" t="s">
        <v>936</v>
      </c>
      <c r="P3565" s="1" t="s">
        <v>937</v>
      </c>
    </row>
    <row r="3566" spans="1:16" x14ac:dyDescent="0.25">
      <c r="A3566" s="3">
        <v>46098</v>
      </c>
      <c r="B3566" s="1">
        <v>56</v>
      </c>
      <c r="C3566" s="5">
        <v>70</v>
      </c>
      <c r="D3566" s="1" t="s">
        <v>1950</v>
      </c>
      <c r="E3566" s="1" t="s">
        <v>1951</v>
      </c>
      <c r="F3566" s="1" t="s">
        <v>66</v>
      </c>
      <c r="G3566" s="1" t="s">
        <v>1058</v>
      </c>
      <c r="H3566" s="3">
        <v>46111</v>
      </c>
      <c r="I3566" s="1" t="s">
        <v>933</v>
      </c>
      <c r="J3566" s="1" t="s">
        <v>66</v>
      </c>
      <c r="K3566" s="1" t="s">
        <v>66</v>
      </c>
      <c r="L3566" s="1" t="s">
        <v>4958</v>
      </c>
      <c r="M3566" s="3">
        <v>46099</v>
      </c>
      <c r="N3566" s="1" t="s">
        <v>57</v>
      </c>
      <c r="O3566" s="1" t="s">
        <v>936</v>
      </c>
      <c r="P3566" s="1" t="s">
        <v>937</v>
      </c>
    </row>
    <row r="3567" spans="1:16" x14ac:dyDescent="0.25">
      <c r="A3567" s="3">
        <v>46098</v>
      </c>
      <c r="B3567" s="1">
        <v>56</v>
      </c>
      <c r="C3567" s="5">
        <v>70</v>
      </c>
      <c r="D3567" s="1" t="s">
        <v>1950</v>
      </c>
      <c r="E3567" s="1" t="s">
        <v>1951</v>
      </c>
      <c r="F3567" s="1" t="s">
        <v>66</v>
      </c>
      <c r="G3567" s="1" t="s">
        <v>1058</v>
      </c>
      <c r="H3567" s="3">
        <v>46111</v>
      </c>
      <c r="I3567" s="1" t="s">
        <v>933</v>
      </c>
      <c r="J3567" s="1" t="s">
        <v>66</v>
      </c>
      <c r="K3567" s="1" t="s">
        <v>66</v>
      </c>
      <c r="L3567" s="1" t="s">
        <v>4959</v>
      </c>
      <c r="M3567" s="3">
        <v>46099</v>
      </c>
      <c r="N3567" s="1" t="s">
        <v>57</v>
      </c>
      <c r="O3567" s="1" t="s">
        <v>936</v>
      </c>
      <c r="P3567" s="1" t="s">
        <v>937</v>
      </c>
    </row>
    <row r="3568" spans="1:16" x14ac:dyDescent="0.25">
      <c r="A3568" s="3">
        <v>46098</v>
      </c>
      <c r="B3568" s="1">
        <v>56</v>
      </c>
      <c r="C3568" s="5">
        <v>80</v>
      </c>
      <c r="D3568" s="1" t="s">
        <v>1950</v>
      </c>
      <c r="E3568" s="1" t="s">
        <v>1951</v>
      </c>
      <c r="F3568" s="1" t="s">
        <v>66</v>
      </c>
      <c r="G3568" s="1" t="s">
        <v>1058</v>
      </c>
      <c r="H3568" s="3">
        <v>46111</v>
      </c>
      <c r="I3568" s="1" t="s">
        <v>933</v>
      </c>
      <c r="J3568" s="1" t="s">
        <v>66</v>
      </c>
      <c r="K3568" s="1" t="s">
        <v>66</v>
      </c>
      <c r="L3568" s="1" t="s">
        <v>4960</v>
      </c>
      <c r="M3568" s="3">
        <v>46099</v>
      </c>
      <c r="N3568" s="1" t="s">
        <v>57</v>
      </c>
      <c r="O3568" s="1" t="s">
        <v>936</v>
      </c>
      <c r="P3568" s="1" t="s">
        <v>937</v>
      </c>
    </row>
    <row r="3569" spans="1:16" x14ac:dyDescent="0.25">
      <c r="A3569" s="3">
        <v>46098</v>
      </c>
      <c r="B3569" s="1">
        <v>56</v>
      </c>
      <c r="C3569" s="5">
        <v>70</v>
      </c>
      <c r="D3569" s="1" t="s">
        <v>1950</v>
      </c>
      <c r="E3569" s="1" t="s">
        <v>1951</v>
      </c>
      <c r="F3569" s="1" t="s">
        <v>66</v>
      </c>
      <c r="G3569" s="1" t="s">
        <v>1058</v>
      </c>
      <c r="H3569" s="3">
        <v>46111</v>
      </c>
      <c r="I3569" s="1" t="s">
        <v>933</v>
      </c>
      <c r="J3569" s="1" t="s">
        <v>66</v>
      </c>
      <c r="K3569" s="1" t="s">
        <v>66</v>
      </c>
      <c r="L3569" s="1" t="s">
        <v>4961</v>
      </c>
      <c r="M3569" s="3">
        <v>46099</v>
      </c>
      <c r="N3569" s="1" t="s">
        <v>57</v>
      </c>
      <c r="O3569" s="1" t="s">
        <v>936</v>
      </c>
      <c r="P3569" s="1" t="s">
        <v>937</v>
      </c>
    </row>
    <row r="3570" spans="1:16" x14ac:dyDescent="0.25">
      <c r="A3570" s="3">
        <v>46098</v>
      </c>
      <c r="B3570" s="1">
        <v>56</v>
      </c>
      <c r="C3570" s="5">
        <v>70</v>
      </c>
      <c r="D3570" s="1" t="s">
        <v>1950</v>
      </c>
      <c r="E3570" s="1" t="s">
        <v>1951</v>
      </c>
      <c r="F3570" s="1" t="s">
        <v>66</v>
      </c>
      <c r="G3570" s="1" t="s">
        <v>1058</v>
      </c>
      <c r="H3570" s="3">
        <v>46111</v>
      </c>
      <c r="I3570" s="1" t="s">
        <v>933</v>
      </c>
      <c r="J3570" s="1" t="s">
        <v>66</v>
      </c>
      <c r="K3570" s="1" t="s">
        <v>66</v>
      </c>
      <c r="L3570" s="1" t="s">
        <v>4956</v>
      </c>
      <c r="M3570" s="3">
        <v>46099</v>
      </c>
      <c r="N3570" s="1" t="s">
        <v>57</v>
      </c>
      <c r="O3570" s="1" t="s">
        <v>936</v>
      </c>
      <c r="P3570" s="1" t="s">
        <v>937</v>
      </c>
    </row>
    <row r="3571" spans="1:16" x14ac:dyDescent="0.25">
      <c r="A3571" s="3">
        <v>46098</v>
      </c>
      <c r="B3571" s="1">
        <v>56</v>
      </c>
      <c r="C3571" s="5">
        <v>70</v>
      </c>
      <c r="D3571" s="1" t="s">
        <v>1950</v>
      </c>
      <c r="E3571" s="1" t="s">
        <v>1951</v>
      </c>
      <c r="F3571" s="1" t="s">
        <v>66</v>
      </c>
      <c r="G3571" s="1" t="s">
        <v>1058</v>
      </c>
      <c r="H3571" s="3">
        <v>46111</v>
      </c>
      <c r="I3571" s="1" t="s">
        <v>933</v>
      </c>
      <c r="J3571" s="1" t="s">
        <v>66</v>
      </c>
      <c r="K3571" s="1" t="s">
        <v>66</v>
      </c>
      <c r="L3571" s="1" t="s">
        <v>4962</v>
      </c>
      <c r="M3571" s="3">
        <v>46099</v>
      </c>
      <c r="N3571" s="1" t="s">
        <v>57</v>
      </c>
      <c r="O3571" s="1" t="s">
        <v>936</v>
      </c>
      <c r="P3571" s="1" t="s">
        <v>937</v>
      </c>
    </row>
    <row r="3572" spans="1:16" x14ac:dyDescent="0.25">
      <c r="A3572" s="3">
        <v>46098</v>
      </c>
      <c r="B3572" s="1">
        <v>56</v>
      </c>
      <c r="C3572" s="5">
        <v>70</v>
      </c>
      <c r="D3572" s="1" t="s">
        <v>1950</v>
      </c>
      <c r="E3572" s="1" t="s">
        <v>1951</v>
      </c>
      <c r="F3572" s="1" t="s">
        <v>66</v>
      </c>
      <c r="G3572" s="1" t="s">
        <v>1058</v>
      </c>
      <c r="H3572" s="3">
        <v>46111</v>
      </c>
      <c r="I3572" s="1" t="s">
        <v>933</v>
      </c>
      <c r="J3572" s="1" t="s">
        <v>66</v>
      </c>
      <c r="K3572" s="1" t="s">
        <v>66</v>
      </c>
      <c r="L3572" s="1" t="s">
        <v>4963</v>
      </c>
      <c r="M3572" s="3">
        <v>46099</v>
      </c>
      <c r="N3572" s="1" t="s">
        <v>57</v>
      </c>
      <c r="O3572" s="1" t="s">
        <v>936</v>
      </c>
      <c r="P3572" s="1" t="s">
        <v>937</v>
      </c>
    </row>
    <row r="3573" spans="1:16" x14ac:dyDescent="0.25">
      <c r="A3573" s="3">
        <v>46098</v>
      </c>
      <c r="B3573" s="1">
        <v>56</v>
      </c>
      <c r="C3573" s="5">
        <v>70</v>
      </c>
      <c r="D3573" s="1" t="s">
        <v>1950</v>
      </c>
      <c r="E3573" s="1" t="s">
        <v>1951</v>
      </c>
      <c r="F3573" s="1" t="s">
        <v>66</v>
      </c>
      <c r="G3573" s="1" t="s">
        <v>1058</v>
      </c>
      <c r="H3573" s="3">
        <v>46111</v>
      </c>
      <c r="I3573" s="1" t="s">
        <v>933</v>
      </c>
      <c r="J3573" s="1" t="s">
        <v>66</v>
      </c>
      <c r="K3573" s="1" t="s">
        <v>66</v>
      </c>
      <c r="L3573" s="1" t="s">
        <v>4961</v>
      </c>
      <c r="M3573" s="3">
        <v>46099</v>
      </c>
      <c r="N3573" s="1" t="s">
        <v>57</v>
      </c>
      <c r="O3573" s="1" t="s">
        <v>936</v>
      </c>
      <c r="P3573" s="1" t="s">
        <v>937</v>
      </c>
    </row>
    <row r="3574" spans="1:16" x14ac:dyDescent="0.25">
      <c r="A3574" s="3">
        <v>46098</v>
      </c>
      <c r="B3574" s="1">
        <v>56</v>
      </c>
      <c r="C3574" s="5">
        <v>70</v>
      </c>
      <c r="D3574" s="1" t="s">
        <v>1950</v>
      </c>
      <c r="E3574" s="1" t="s">
        <v>1951</v>
      </c>
      <c r="F3574" s="1" t="s">
        <v>66</v>
      </c>
      <c r="G3574" s="1" t="s">
        <v>1058</v>
      </c>
      <c r="H3574" s="3">
        <v>46111</v>
      </c>
      <c r="I3574" s="1" t="s">
        <v>933</v>
      </c>
      <c r="J3574" s="1" t="s">
        <v>66</v>
      </c>
      <c r="K3574" s="1" t="s">
        <v>66</v>
      </c>
      <c r="L3574" s="1" t="s">
        <v>4957</v>
      </c>
      <c r="M3574" s="3">
        <v>46099</v>
      </c>
      <c r="N3574" s="1" t="s">
        <v>57</v>
      </c>
      <c r="O3574" s="1" t="s">
        <v>936</v>
      </c>
      <c r="P3574" s="1" t="s">
        <v>937</v>
      </c>
    </row>
    <row r="3575" spans="1:16" x14ac:dyDescent="0.25">
      <c r="A3575" s="3">
        <v>46098</v>
      </c>
      <c r="B3575" s="1">
        <v>56</v>
      </c>
      <c r="C3575" s="5">
        <v>70</v>
      </c>
      <c r="D3575" s="1" t="s">
        <v>1950</v>
      </c>
      <c r="E3575" s="1" t="s">
        <v>1951</v>
      </c>
      <c r="F3575" s="1" t="s">
        <v>66</v>
      </c>
      <c r="G3575" s="1" t="s">
        <v>1058</v>
      </c>
      <c r="H3575" s="3">
        <v>46111</v>
      </c>
      <c r="I3575" s="1" t="s">
        <v>933</v>
      </c>
      <c r="J3575" s="1" t="s">
        <v>66</v>
      </c>
      <c r="K3575" s="1" t="s">
        <v>66</v>
      </c>
      <c r="L3575" s="1" t="s">
        <v>4956</v>
      </c>
      <c r="M3575" s="3">
        <v>46099</v>
      </c>
      <c r="N3575" s="1" t="s">
        <v>57</v>
      </c>
      <c r="O3575" s="1" t="s">
        <v>936</v>
      </c>
      <c r="P3575" s="1" t="s">
        <v>937</v>
      </c>
    </row>
    <row r="3576" spans="1:16" x14ac:dyDescent="0.25">
      <c r="A3576" s="3">
        <v>46098</v>
      </c>
      <c r="B3576" s="1">
        <v>56</v>
      </c>
      <c r="C3576" s="5">
        <v>70</v>
      </c>
      <c r="D3576" s="1" t="s">
        <v>1950</v>
      </c>
      <c r="E3576" s="1" t="s">
        <v>1951</v>
      </c>
      <c r="F3576" s="1" t="s">
        <v>66</v>
      </c>
      <c r="G3576" s="1" t="s">
        <v>1058</v>
      </c>
      <c r="H3576" s="3">
        <v>46111</v>
      </c>
      <c r="I3576" s="1" t="s">
        <v>933</v>
      </c>
      <c r="J3576" s="1" t="s">
        <v>66</v>
      </c>
      <c r="K3576" s="1" t="s">
        <v>66</v>
      </c>
      <c r="L3576" s="1" t="s">
        <v>4964</v>
      </c>
      <c r="M3576" s="3">
        <v>46099</v>
      </c>
      <c r="N3576" s="1" t="s">
        <v>57</v>
      </c>
      <c r="O3576" s="1" t="s">
        <v>936</v>
      </c>
      <c r="P3576" s="1" t="s">
        <v>937</v>
      </c>
    </row>
    <row r="3577" spans="1:16" x14ac:dyDescent="0.25">
      <c r="A3577" s="3">
        <v>46098</v>
      </c>
      <c r="B3577" s="1">
        <v>56</v>
      </c>
      <c r="C3577" s="5">
        <v>70</v>
      </c>
      <c r="D3577" s="1" t="s">
        <v>1950</v>
      </c>
      <c r="E3577" s="1" t="s">
        <v>1951</v>
      </c>
      <c r="F3577" s="1" t="s">
        <v>66</v>
      </c>
      <c r="G3577" s="1" t="s">
        <v>1058</v>
      </c>
      <c r="H3577" s="3">
        <v>46111</v>
      </c>
      <c r="I3577" s="1" t="s">
        <v>933</v>
      </c>
      <c r="J3577" s="1" t="s">
        <v>66</v>
      </c>
      <c r="K3577" s="1" t="s">
        <v>66</v>
      </c>
      <c r="L3577" s="1" t="s">
        <v>4963</v>
      </c>
      <c r="M3577" s="3">
        <v>46099</v>
      </c>
      <c r="N3577" s="1" t="s">
        <v>57</v>
      </c>
      <c r="O3577" s="1" t="s">
        <v>936</v>
      </c>
      <c r="P3577" s="1" t="s">
        <v>937</v>
      </c>
    </row>
    <row r="3578" spans="1:16" x14ac:dyDescent="0.25">
      <c r="A3578" s="3">
        <v>46098</v>
      </c>
      <c r="B3578" s="1">
        <v>56</v>
      </c>
      <c r="C3578" s="5">
        <v>80</v>
      </c>
      <c r="D3578" s="1" t="s">
        <v>1950</v>
      </c>
      <c r="E3578" s="1" t="s">
        <v>1951</v>
      </c>
      <c r="F3578" s="1" t="s">
        <v>66</v>
      </c>
      <c r="G3578" s="1" t="s">
        <v>1058</v>
      </c>
      <c r="H3578" s="3">
        <v>46111</v>
      </c>
      <c r="I3578" s="1" t="s">
        <v>933</v>
      </c>
      <c r="J3578" s="1" t="s">
        <v>66</v>
      </c>
      <c r="K3578" s="1" t="s">
        <v>66</v>
      </c>
      <c r="L3578" s="1" t="s">
        <v>4965</v>
      </c>
      <c r="M3578" s="3">
        <v>46099</v>
      </c>
      <c r="N3578" s="1" t="s">
        <v>57</v>
      </c>
      <c r="O3578" s="1" t="s">
        <v>936</v>
      </c>
      <c r="P3578" s="1" t="s">
        <v>937</v>
      </c>
    </row>
    <row r="3579" spans="1:16" x14ac:dyDescent="0.25">
      <c r="A3579" s="3">
        <v>46098</v>
      </c>
      <c r="B3579" s="1">
        <v>56</v>
      </c>
      <c r="C3579" s="5">
        <v>100</v>
      </c>
      <c r="D3579" s="1" t="s">
        <v>1950</v>
      </c>
      <c r="E3579" s="1" t="s">
        <v>1951</v>
      </c>
      <c r="F3579" s="1" t="s">
        <v>66</v>
      </c>
      <c r="G3579" s="1" t="s">
        <v>1058</v>
      </c>
      <c r="H3579" s="3">
        <v>46111</v>
      </c>
      <c r="I3579" s="1" t="s">
        <v>933</v>
      </c>
      <c r="J3579" s="1" t="s">
        <v>66</v>
      </c>
      <c r="K3579" s="1" t="s">
        <v>66</v>
      </c>
      <c r="L3579" s="1" t="s">
        <v>4966</v>
      </c>
      <c r="M3579" s="3">
        <v>46099</v>
      </c>
      <c r="N3579" s="1" t="s">
        <v>57</v>
      </c>
      <c r="O3579" s="1" t="s">
        <v>936</v>
      </c>
      <c r="P3579" s="1" t="s">
        <v>937</v>
      </c>
    </row>
    <row r="3580" spans="1:16" x14ac:dyDescent="0.25">
      <c r="A3580" s="3">
        <v>46098</v>
      </c>
      <c r="B3580" s="1">
        <v>56</v>
      </c>
      <c r="C3580" s="5">
        <v>80</v>
      </c>
      <c r="D3580" s="1" t="s">
        <v>1950</v>
      </c>
      <c r="E3580" s="1" t="s">
        <v>1951</v>
      </c>
      <c r="F3580" s="1" t="s">
        <v>66</v>
      </c>
      <c r="G3580" s="1" t="s">
        <v>1058</v>
      </c>
      <c r="H3580" s="3">
        <v>46111</v>
      </c>
      <c r="I3580" s="1" t="s">
        <v>933</v>
      </c>
      <c r="J3580" s="1" t="s">
        <v>66</v>
      </c>
      <c r="K3580" s="1" t="s">
        <v>66</v>
      </c>
      <c r="L3580" s="1" t="s">
        <v>4967</v>
      </c>
      <c r="M3580" s="3">
        <v>46099</v>
      </c>
      <c r="N3580" s="1" t="s">
        <v>57</v>
      </c>
      <c r="O3580" s="1" t="s">
        <v>936</v>
      </c>
      <c r="P3580" s="1" t="s">
        <v>937</v>
      </c>
    </row>
    <row r="3581" spans="1:16" x14ac:dyDescent="0.25">
      <c r="A3581" s="3">
        <v>46098</v>
      </c>
      <c r="B3581" s="1">
        <v>56</v>
      </c>
      <c r="C3581" s="5">
        <v>70</v>
      </c>
      <c r="D3581" s="1" t="s">
        <v>1950</v>
      </c>
      <c r="E3581" s="1" t="s">
        <v>1951</v>
      </c>
      <c r="F3581" s="1" t="s">
        <v>66</v>
      </c>
      <c r="G3581" s="1" t="s">
        <v>1058</v>
      </c>
      <c r="H3581" s="3">
        <v>46111</v>
      </c>
      <c r="I3581" s="1" t="s">
        <v>933</v>
      </c>
      <c r="J3581" s="1" t="s">
        <v>66</v>
      </c>
      <c r="K3581" s="1" t="s">
        <v>66</v>
      </c>
      <c r="L3581" s="1" t="s">
        <v>4968</v>
      </c>
      <c r="M3581" s="3">
        <v>46099</v>
      </c>
      <c r="N3581" s="1" t="s">
        <v>57</v>
      </c>
      <c r="O3581" s="1" t="s">
        <v>936</v>
      </c>
      <c r="P3581" s="1" t="s">
        <v>937</v>
      </c>
    </row>
    <row r="3582" spans="1:16" x14ac:dyDescent="0.25">
      <c r="A3582" s="3">
        <v>46098</v>
      </c>
      <c r="B3582" s="1">
        <v>56</v>
      </c>
      <c r="C3582" s="5">
        <v>70</v>
      </c>
      <c r="D3582" s="1" t="s">
        <v>1950</v>
      </c>
      <c r="E3582" s="1" t="s">
        <v>1951</v>
      </c>
      <c r="F3582" s="1" t="s">
        <v>66</v>
      </c>
      <c r="G3582" s="1" t="s">
        <v>1058</v>
      </c>
      <c r="H3582" s="3">
        <v>46111</v>
      </c>
      <c r="I3582" s="1" t="s">
        <v>933</v>
      </c>
      <c r="J3582" s="1" t="s">
        <v>66</v>
      </c>
      <c r="K3582" s="1" t="s">
        <v>66</v>
      </c>
      <c r="L3582" s="1" t="s">
        <v>4961</v>
      </c>
      <c r="M3582" s="3">
        <v>46099</v>
      </c>
      <c r="N3582" s="1" t="s">
        <v>57</v>
      </c>
      <c r="O3582" s="1" t="s">
        <v>936</v>
      </c>
      <c r="P3582" s="1" t="s">
        <v>937</v>
      </c>
    </row>
    <row r="3583" spans="1:16" x14ac:dyDescent="0.25">
      <c r="A3583" s="3">
        <v>46098</v>
      </c>
      <c r="B3583" s="1">
        <v>56</v>
      </c>
      <c r="C3583" s="5">
        <v>70</v>
      </c>
      <c r="D3583" s="1" t="s">
        <v>1950</v>
      </c>
      <c r="E3583" s="1" t="s">
        <v>1951</v>
      </c>
      <c r="F3583" s="1" t="s">
        <v>66</v>
      </c>
      <c r="G3583" s="1" t="s">
        <v>1058</v>
      </c>
      <c r="H3583" s="3">
        <v>46111</v>
      </c>
      <c r="I3583" s="1" t="s">
        <v>933</v>
      </c>
      <c r="J3583" s="1" t="s">
        <v>66</v>
      </c>
      <c r="K3583" s="1" t="s">
        <v>66</v>
      </c>
      <c r="L3583" s="1" t="s">
        <v>4969</v>
      </c>
      <c r="M3583" s="3">
        <v>46099</v>
      </c>
      <c r="N3583" s="1" t="s">
        <v>57</v>
      </c>
      <c r="O3583" s="1" t="s">
        <v>936</v>
      </c>
      <c r="P3583" s="1" t="s">
        <v>937</v>
      </c>
    </row>
    <row r="3584" spans="1:16" x14ac:dyDescent="0.25">
      <c r="A3584" s="3">
        <v>46098</v>
      </c>
      <c r="B3584" s="1">
        <v>56</v>
      </c>
      <c r="C3584" s="5">
        <v>70</v>
      </c>
      <c r="D3584" s="1" t="s">
        <v>1950</v>
      </c>
      <c r="E3584" s="1" t="s">
        <v>1951</v>
      </c>
      <c r="F3584" s="1" t="s">
        <v>66</v>
      </c>
      <c r="G3584" s="1" t="s">
        <v>1058</v>
      </c>
      <c r="H3584" s="3">
        <v>46111</v>
      </c>
      <c r="I3584" s="1" t="s">
        <v>933</v>
      </c>
      <c r="J3584" s="1" t="s">
        <v>66</v>
      </c>
      <c r="K3584" s="1" t="s">
        <v>66</v>
      </c>
      <c r="L3584" s="1" t="s">
        <v>4946</v>
      </c>
      <c r="M3584" s="3">
        <v>46099</v>
      </c>
      <c r="N3584" s="1" t="s">
        <v>57</v>
      </c>
      <c r="O3584" s="1" t="s">
        <v>936</v>
      </c>
      <c r="P3584" s="1" t="s">
        <v>937</v>
      </c>
    </row>
    <row r="3585" spans="1:16" x14ac:dyDescent="0.25">
      <c r="A3585" s="3">
        <v>46098</v>
      </c>
      <c r="B3585" s="1">
        <v>56</v>
      </c>
      <c r="C3585" s="5">
        <v>70</v>
      </c>
      <c r="D3585" s="1" t="s">
        <v>1950</v>
      </c>
      <c r="E3585" s="1" t="s">
        <v>1951</v>
      </c>
      <c r="F3585" s="1" t="s">
        <v>66</v>
      </c>
      <c r="G3585" s="1" t="s">
        <v>1058</v>
      </c>
      <c r="H3585" s="3">
        <v>46111</v>
      </c>
      <c r="I3585" s="1" t="s">
        <v>933</v>
      </c>
      <c r="J3585" s="1" t="s">
        <v>66</v>
      </c>
      <c r="K3585" s="1" t="s">
        <v>66</v>
      </c>
      <c r="L3585" s="1" t="s">
        <v>4958</v>
      </c>
      <c r="M3585" s="3">
        <v>46099</v>
      </c>
      <c r="N3585" s="1" t="s">
        <v>57</v>
      </c>
      <c r="O3585" s="1" t="s">
        <v>936</v>
      </c>
      <c r="P3585" s="1" t="s">
        <v>937</v>
      </c>
    </row>
    <row r="3586" spans="1:16" x14ac:dyDescent="0.25">
      <c r="A3586" s="3">
        <v>46098</v>
      </c>
      <c r="B3586" s="1">
        <v>56</v>
      </c>
      <c r="C3586" s="5">
        <v>80</v>
      </c>
      <c r="D3586" s="1" t="s">
        <v>1950</v>
      </c>
      <c r="E3586" s="1" t="s">
        <v>1951</v>
      </c>
      <c r="F3586" s="1" t="s">
        <v>66</v>
      </c>
      <c r="G3586" s="1" t="s">
        <v>1058</v>
      </c>
      <c r="H3586" s="3">
        <v>46111</v>
      </c>
      <c r="I3586" s="1" t="s">
        <v>933</v>
      </c>
      <c r="J3586" s="1" t="s">
        <v>66</v>
      </c>
      <c r="K3586" s="1" t="s">
        <v>66</v>
      </c>
      <c r="L3586" s="1" t="s">
        <v>4970</v>
      </c>
      <c r="M3586" s="3">
        <v>46099</v>
      </c>
      <c r="N3586" s="1" t="s">
        <v>57</v>
      </c>
      <c r="O3586" s="1" t="s">
        <v>936</v>
      </c>
      <c r="P3586" s="1" t="s">
        <v>937</v>
      </c>
    </row>
    <row r="3587" spans="1:16" x14ac:dyDescent="0.25">
      <c r="A3587" s="3">
        <v>46098</v>
      </c>
      <c r="B3587" s="1">
        <v>56</v>
      </c>
      <c r="C3587" s="5">
        <v>420</v>
      </c>
      <c r="D3587" s="1" t="s">
        <v>1950</v>
      </c>
      <c r="E3587" s="1" t="s">
        <v>1951</v>
      </c>
      <c r="F3587" s="1" t="s">
        <v>66</v>
      </c>
      <c r="G3587" s="1" t="s">
        <v>1058</v>
      </c>
      <c r="H3587" s="3">
        <v>46111</v>
      </c>
      <c r="I3587" s="1" t="s">
        <v>933</v>
      </c>
      <c r="J3587" s="1" t="s">
        <v>66</v>
      </c>
      <c r="K3587" s="1" t="s">
        <v>66</v>
      </c>
      <c r="L3587" s="1" t="s">
        <v>4971</v>
      </c>
      <c r="M3587" s="3">
        <v>46099</v>
      </c>
      <c r="N3587" s="1" t="s">
        <v>57</v>
      </c>
      <c r="O3587" s="1" t="s">
        <v>936</v>
      </c>
      <c r="P3587" s="1" t="s">
        <v>937</v>
      </c>
    </row>
    <row r="3588" spans="1:16" x14ac:dyDescent="0.25">
      <c r="A3588" s="3">
        <v>46098</v>
      </c>
      <c r="B3588" s="1">
        <v>56</v>
      </c>
      <c r="C3588" s="5">
        <v>80</v>
      </c>
      <c r="D3588" s="1" t="s">
        <v>1950</v>
      </c>
      <c r="E3588" s="1" t="s">
        <v>1951</v>
      </c>
      <c r="F3588" s="1" t="s">
        <v>66</v>
      </c>
      <c r="G3588" s="1" t="s">
        <v>1058</v>
      </c>
      <c r="H3588" s="3">
        <v>46111</v>
      </c>
      <c r="I3588" s="1" t="s">
        <v>933</v>
      </c>
      <c r="J3588" s="1" t="s">
        <v>66</v>
      </c>
      <c r="K3588" s="1" t="s">
        <v>66</v>
      </c>
      <c r="L3588" s="1" t="s">
        <v>4961</v>
      </c>
      <c r="M3588" s="3">
        <v>46099</v>
      </c>
      <c r="N3588" s="1" t="s">
        <v>57</v>
      </c>
      <c r="O3588" s="1" t="s">
        <v>936</v>
      </c>
      <c r="P3588" s="1" t="s">
        <v>937</v>
      </c>
    </row>
    <row r="3589" spans="1:16" x14ac:dyDescent="0.25">
      <c r="A3589" s="3">
        <v>46098</v>
      </c>
      <c r="B3589" s="4">
        <v>3948</v>
      </c>
      <c r="C3589" s="5">
        <v>6400</v>
      </c>
      <c r="D3589" s="1" t="s">
        <v>1596</v>
      </c>
      <c r="E3589" s="1" t="s">
        <v>1597</v>
      </c>
      <c r="F3589" s="1" t="s">
        <v>607</v>
      </c>
      <c r="G3589" s="1" t="s">
        <v>1029</v>
      </c>
      <c r="H3589" s="3">
        <v>46118</v>
      </c>
      <c r="I3589" s="1" t="s">
        <v>933</v>
      </c>
      <c r="J3589" s="1" t="s">
        <v>66</v>
      </c>
      <c r="K3589" s="1" t="s">
        <v>308</v>
      </c>
      <c r="L3589" s="1" t="s">
        <v>4972</v>
      </c>
      <c r="M3589" s="3">
        <v>46100</v>
      </c>
      <c r="N3589" s="1" t="s">
        <v>450</v>
      </c>
      <c r="O3589" s="1" t="s">
        <v>1031</v>
      </c>
      <c r="P3589" s="1">
        <v>1</v>
      </c>
    </row>
    <row r="3590" spans="1:16" x14ac:dyDescent="0.25">
      <c r="A3590" s="3">
        <v>46098</v>
      </c>
      <c r="B3590" s="4">
        <v>10672</v>
      </c>
      <c r="C3590" s="5">
        <v>13980</v>
      </c>
      <c r="D3590" s="1" t="s">
        <v>973</v>
      </c>
      <c r="E3590" s="1" t="s">
        <v>1068</v>
      </c>
      <c r="F3590" s="1" t="s">
        <v>66</v>
      </c>
      <c r="G3590" s="1" t="s">
        <v>998</v>
      </c>
      <c r="H3590" s="3">
        <v>46105</v>
      </c>
      <c r="I3590" s="1" t="s">
        <v>933</v>
      </c>
      <c r="J3590" s="1" t="s">
        <v>66</v>
      </c>
      <c r="K3590" s="1" t="s">
        <v>66</v>
      </c>
      <c r="L3590" s="1" t="s">
        <v>4860</v>
      </c>
      <c r="M3590" s="3">
        <v>46100</v>
      </c>
      <c r="N3590" s="1" t="s">
        <v>57</v>
      </c>
      <c r="O3590" s="1" t="s">
        <v>998</v>
      </c>
      <c r="P3590" s="1">
        <v>1</v>
      </c>
    </row>
    <row r="3591" spans="1:16" x14ac:dyDescent="0.25">
      <c r="A3591" s="3">
        <v>46098</v>
      </c>
      <c r="B3591" s="4">
        <v>5270</v>
      </c>
      <c r="C3591" s="5">
        <v>50</v>
      </c>
      <c r="D3591" s="1" t="s">
        <v>938</v>
      </c>
      <c r="E3591" s="1" t="s">
        <v>939</v>
      </c>
      <c r="F3591" s="1" t="s">
        <v>949</v>
      </c>
      <c r="G3591" s="1" t="s">
        <v>950</v>
      </c>
      <c r="H3591" s="1" t="s">
        <v>4055</v>
      </c>
      <c r="I3591" s="1" t="s">
        <v>933</v>
      </c>
      <c r="J3591" s="1" t="s">
        <v>951</v>
      </c>
      <c r="K3591" s="1" t="s">
        <v>308</v>
      </c>
      <c r="L3591" s="1" t="s">
        <v>5161</v>
      </c>
      <c r="M3591" s="1" t="s">
        <v>4055</v>
      </c>
      <c r="N3591" s="1" t="s">
        <v>57</v>
      </c>
      <c r="O3591" s="1" t="s">
        <v>936</v>
      </c>
      <c r="P3591" s="1">
        <v>1</v>
      </c>
    </row>
    <row r="3592" spans="1:16" x14ac:dyDescent="0.25">
      <c r="A3592" s="3">
        <v>46099</v>
      </c>
      <c r="B3592" s="4">
        <v>10679</v>
      </c>
      <c r="C3592" s="5">
        <v>15962</v>
      </c>
      <c r="D3592" s="1" t="s">
        <v>973</v>
      </c>
      <c r="E3592" s="1" t="s">
        <v>1068</v>
      </c>
      <c r="F3592" s="1" t="s">
        <v>66</v>
      </c>
      <c r="G3592" s="1" t="s">
        <v>998</v>
      </c>
      <c r="H3592" s="3">
        <v>46114</v>
      </c>
      <c r="I3592" s="1" t="s">
        <v>933</v>
      </c>
      <c r="J3592" s="1" t="s">
        <v>66</v>
      </c>
      <c r="K3592" s="1" t="s">
        <v>66</v>
      </c>
      <c r="L3592" s="1" t="s">
        <v>4973</v>
      </c>
      <c r="M3592" s="3">
        <v>46100</v>
      </c>
      <c r="N3592" s="1" t="s">
        <v>57</v>
      </c>
      <c r="O3592" s="1" t="s">
        <v>998</v>
      </c>
      <c r="P3592" s="1">
        <v>1</v>
      </c>
    </row>
    <row r="3593" spans="1:16" x14ac:dyDescent="0.25">
      <c r="A3593" s="3">
        <v>46099</v>
      </c>
      <c r="B3593" s="4">
        <v>10680</v>
      </c>
      <c r="C3593" s="5">
        <v>17475</v>
      </c>
      <c r="D3593" s="1" t="s">
        <v>973</v>
      </c>
      <c r="E3593" s="1" t="s">
        <v>1068</v>
      </c>
      <c r="F3593" s="1" t="s">
        <v>66</v>
      </c>
      <c r="G3593" s="1" t="s">
        <v>998</v>
      </c>
      <c r="H3593" s="3">
        <v>46106</v>
      </c>
      <c r="I3593" s="1" t="s">
        <v>933</v>
      </c>
      <c r="J3593" s="1" t="s">
        <v>66</v>
      </c>
      <c r="K3593" s="1" t="s">
        <v>66</v>
      </c>
      <c r="L3593" s="1" t="s">
        <v>4860</v>
      </c>
      <c r="M3593" s="3">
        <v>46100</v>
      </c>
      <c r="N3593" s="1" t="s">
        <v>57</v>
      </c>
      <c r="O3593" s="1" t="s">
        <v>998</v>
      </c>
      <c r="P3593" s="1">
        <v>1</v>
      </c>
    </row>
    <row r="3594" spans="1:16" x14ac:dyDescent="0.25">
      <c r="A3594" s="3">
        <v>46099</v>
      </c>
      <c r="B3594" s="1">
        <v>40</v>
      </c>
      <c r="C3594" s="5">
        <v>24010</v>
      </c>
      <c r="D3594" s="1" t="s">
        <v>2274</v>
      </c>
      <c r="E3594" s="1" t="s">
        <v>2275</v>
      </c>
      <c r="F3594" s="1" t="s">
        <v>955</v>
      </c>
      <c r="G3594" s="1" t="s">
        <v>20</v>
      </c>
      <c r="H3594" s="3">
        <v>46112</v>
      </c>
      <c r="I3594" s="1" t="s">
        <v>933</v>
      </c>
      <c r="J3594" s="1" t="s">
        <v>951</v>
      </c>
      <c r="K3594" s="1" t="s">
        <v>934</v>
      </c>
      <c r="L3594" s="1" t="s">
        <v>4974</v>
      </c>
      <c r="M3594" s="3">
        <v>46100</v>
      </c>
      <c r="N3594" s="1" t="s">
        <v>821</v>
      </c>
      <c r="O3594" s="1" t="s">
        <v>936</v>
      </c>
      <c r="P3594" s="1" t="s">
        <v>937</v>
      </c>
    </row>
    <row r="3595" spans="1:16" x14ac:dyDescent="0.25">
      <c r="A3595" s="3">
        <v>46099</v>
      </c>
      <c r="B3595" s="4">
        <v>96978</v>
      </c>
      <c r="C3595" s="5">
        <v>78900</v>
      </c>
      <c r="D3595" s="1" t="s">
        <v>1094</v>
      </c>
      <c r="E3595" s="1" t="s">
        <v>1095</v>
      </c>
      <c r="F3595" s="1" t="s">
        <v>66</v>
      </c>
      <c r="G3595" s="1" t="s">
        <v>998</v>
      </c>
      <c r="H3595" s="3">
        <v>46120</v>
      </c>
      <c r="I3595" s="1" t="s">
        <v>933</v>
      </c>
      <c r="J3595" s="1" t="s">
        <v>66</v>
      </c>
      <c r="K3595" s="1" t="s">
        <v>340</v>
      </c>
      <c r="L3595" s="1" t="s">
        <v>4975</v>
      </c>
      <c r="M3595" s="3">
        <v>46100</v>
      </c>
      <c r="N3595" s="1" t="s">
        <v>57</v>
      </c>
      <c r="O3595" s="1" t="s">
        <v>998</v>
      </c>
      <c r="P3595" s="1">
        <v>1</v>
      </c>
    </row>
    <row r="3596" spans="1:16" x14ac:dyDescent="0.25">
      <c r="A3596" s="3">
        <v>46099</v>
      </c>
      <c r="B3596" s="4">
        <v>2041</v>
      </c>
      <c r="C3596" s="5">
        <v>3141.7</v>
      </c>
      <c r="D3596" s="1" t="s">
        <v>3856</v>
      </c>
      <c r="E3596" s="1" t="s">
        <v>4976</v>
      </c>
      <c r="F3596" s="1" t="s">
        <v>66</v>
      </c>
      <c r="G3596" s="1" t="s">
        <v>940</v>
      </c>
      <c r="H3596" s="3">
        <v>46140</v>
      </c>
      <c r="I3596" s="1" t="s">
        <v>933</v>
      </c>
      <c r="J3596" s="1" t="s">
        <v>66</v>
      </c>
      <c r="K3596" s="1" t="s">
        <v>308</v>
      </c>
      <c r="L3596" s="1" t="s">
        <v>4977</v>
      </c>
      <c r="M3596" s="3">
        <v>46100</v>
      </c>
      <c r="N3596" s="1" t="s">
        <v>57</v>
      </c>
      <c r="O3596" s="1" t="s">
        <v>936</v>
      </c>
      <c r="P3596" s="1">
        <v>1</v>
      </c>
    </row>
    <row r="3597" spans="1:16" x14ac:dyDescent="0.25">
      <c r="A3597" s="3">
        <v>46099</v>
      </c>
      <c r="B3597" s="4">
        <v>5280</v>
      </c>
      <c r="C3597" s="5">
        <v>612.24</v>
      </c>
      <c r="D3597" s="1" t="s">
        <v>938</v>
      </c>
      <c r="E3597" s="1" t="s">
        <v>939</v>
      </c>
      <c r="F3597" s="1" t="s">
        <v>66</v>
      </c>
      <c r="G3597" s="1" t="s">
        <v>940</v>
      </c>
      <c r="H3597" s="3">
        <v>46130</v>
      </c>
      <c r="I3597" s="1" t="s">
        <v>933</v>
      </c>
      <c r="J3597" s="1" t="s">
        <v>66</v>
      </c>
      <c r="K3597" s="1" t="s">
        <v>934</v>
      </c>
      <c r="L3597" s="1" t="s">
        <v>4978</v>
      </c>
      <c r="M3597" s="3">
        <v>46100</v>
      </c>
      <c r="N3597" s="1" t="s">
        <v>57</v>
      </c>
      <c r="O3597" s="1" t="s">
        <v>936</v>
      </c>
      <c r="P3597" s="1">
        <v>1</v>
      </c>
    </row>
    <row r="3598" spans="1:16" x14ac:dyDescent="0.25">
      <c r="A3598" s="3">
        <v>46099</v>
      </c>
      <c r="B3598" s="4">
        <v>5628</v>
      </c>
      <c r="C3598" s="5">
        <v>7287</v>
      </c>
      <c r="D3598" s="1" t="s">
        <v>4899</v>
      </c>
      <c r="E3598" s="1" t="s">
        <v>4900</v>
      </c>
      <c r="F3598" s="1" t="s">
        <v>658</v>
      </c>
      <c r="G3598" s="1" t="s">
        <v>940</v>
      </c>
      <c r="H3598" s="3">
        <v>46129</v>
      </c>
      <c r="I3598" s="1" t="s">
        <v>1100</v>
      </c>
      <c r="J3598" s="1" t="s">
        <v>66</v>
      </c>
      <c r="K3598" s="1" t="s">
        <v>659</v>
      </c>
      <c r="L3598" s="1" t="s">
        <v>4979</v>
      </c>
      <c r="M3598" s="3">
        <v>46100</v>
      </c>
      <c r="N3598" s="1" t="s">
        <v>57</v>
      </c>
      <c r="O3598" s="1" t="s">
        <v>936</v>
      </c>
      <c r="P3598" s="1" t="s">
        <v>937</v>
      </c>
    </row>
    <row r="3599" spans="1:16" x14ac:dyDescent="0.25">
      <c r="A3599" s="3">
        <v>46099</v>
      </c>
      <c r="B3599" s="4">
        <v>19407</v>
      </c>
      <c r="C3599" s="5">
        <v>321.16000000000003</v>
      </c>
      <c r="D3599" s="1" t="s">
        <v>3950</v>
      </c>
      <c r="E3599" s="1" t="s">
        <v>3951</v>
      </c>
      <c r="F3599" s="1" t="s">
        <v>669</v>
      </c>
      <c r="G3599" s="1" t="s">
        <v>940</v>
      </c>
      <c r="H3599" s="3">
        <v>46130</v>
      </c>
      <c r="I3599" s="1" t="s">
        <v>933</v>
      </c>
      <c r="J3599" s="1" t="s">
        <v>66</v>
      </c>
      <c r="K3599" s="1" t="s">
        <v>308</v>
      </c>
      <c r="L3599" s="1" t="s">
        <v>4980</v>
      </c>
      <c r="M3599" s="3">
        <v>46100</v>
      </c>
      <c r="N3599" s="1" t="s">
        <v>237</v>
      </c>
      <c r="O3599" s="1" t="s">
        <v>936</v>
      </c>
      <c r="P3599" s="1" t="s">
        <v>937</v>
      </c>
    </row>
    <row r="3600" spans="1:16" x14ac:dyDescent="0.25">
      <c r="A3600" s="3">
        <v>46099</v>
      </c>
      <c r="B3600" s="1">
        <v>40</v>
      </c>
      <c r="C3600" s="5">
        <v>1600</v>
      </c>
      <c r="D3600" s="1" t="s">
        <v>1730</v>
      </c>
      <c r="E3600" s="1" t="s">
        <v>4981</v>
      </c>
      <c r="F3600" s="1" t="s">
        <v>949</v>
      </c>
      <c r="G3600" s="1" t="s">
        <v>20</v>
      </c>
      <c r="H3600" s="3">
        <v>46112</v>
      </c>
      <c r="I3600" s="1" t="s">
        <v>933</v>
      </c>
      <c r="J3600" s="1" t="s">
        <v>951</v>
      </c>
      <c r="K3600" s="1" t="s">
        <v>934</v>
      </c>
      <c r="L3600" s="1" t="s">
        <v>4982</v>
      </c>
      <c r="M3600" s="3">
        <v>46100</v>
      </c>
      <c r="N3600" s="1" t="s">
        <v>57</v>
      </c>
      <c r="O3600" s="1" t="s">
        <v>936</v>
      </c>
      <c r="P3600" s="1" t="s">
        <v>937</v>
      </c>
    </row>
    <row r="3601" spans="1:16" x14ac:dyDescent="0.25">
      <c r="A3601" s="3">
        <v>46099</v>
      </c>
      <c r="B3601" s="4">
        <v>2531</v>
      </c>
      <c r="C3601" s="5">
        <v>120</v>
      </c>
      <c r="D3601" s="1" t="s">
        <v>1182</v>
      </c>
      <c r="E3601" s="1" t="s">
        <v>1183</v>
      </c>
      <c r="F3601" s="1" t="s">
        <v>66</v>
      </c>
      <c r="G3601" s="1" t="s">
        <v>1260</v>
      </c>
      <c r="H3601" s="3">
        <v>46130</v>
      </c>
      <c r="I3601" s="1" t="s">
        <v>933</v>
      </c>
      <c r="J3601" s="1" t="s">
        <v>66</v>
      </c>
      <c r="K3601" s="1" t="s">
        <v>308</v>
      </c>
      <c r="L3601" s="1" t="s">
        <v>4983</v>
      </c>
      <c r="M3601" s="3">
        <v>46100</v>
      </c>
      <c r="N3601" s="1" t="s">
        <v>57</v>
      </c>
      <c r="O3601" s="1" t="s">
        <v>936</v>
      </c>
      <c r="P3601" s="1">
        <v>1</v>
      </c>
    </row>
    <row r="3602" spans="1:16" x14ac:dyDescent="0.25">
      <c r="A3602" s="3">
        <v>46099</v>
      </c>
      <c r="B3602" s="4">
        <v>2529</v>
      </c>
      <c r="C3602" s="5">
        <v>880</v>
      </c>
      <c r="D3602" s="1" t="s">
        <v>1182</v>
      </c>
      <c r="E3602" s="1" t="s">
        <v>1183</v>
      </c>
      <c r="F3602" s="1" t="s">
        <v>66</v>
      </c>
      <c r="G3602" s="1" t="s">
        <v>940</v>
      </c>
      <c r="H3602" s="3">
        <v>46130</v>
      </c>
      <c r="I3602" s="1" t="s">
        <v>933</v>
      </c>
      <c r="J3602" s="1" t="s">
        <v>66</v>
      </c>
      <c r="K3602" s="1" t="s">
        <v>934</v>
      </c>
      <c r="L3602" s="1" t="s">
        <v>4849</v>
      </c>
      <c r="M3602" s="3">
        <v>46100</v>
      </c>
      <c r="N3602" s="1" t="s">
        <v>57</v>
      </c>
      <c r="O3602" s="1" t="s">
        <v>936</v>
      </c>
      <c r="P3602" s="1">
        <v>1</v>
      </c>
    </row>
    <row r="3603" spans="1:16" x14ac:dyDescent="0.25">
      <c r="A3603" s="3">
        <v>46099</v>
      </c>
      <c r="B3603" s="1">
        <v>164</v>
      </c>
      <c r="C3603" s="5">
        <v>800</v>
      </c>
      <c r="D3603" s="1" t="s">
        <v>1867</v>
      </c>
      <c r="E3603" s="1" t="s">
        <v>1971</v>
      </c>
      <c r="F3603" s="1" t="s">
        <v>66</v>
      </c>
      <c r="G3603" s="1" t="s">
        <v>940</v>
      </c>
      <c r="H3603" s="3">
        <v>46111</v>
      </c>
      <c r="I3603" s="1" t="s">
        <v>933</v>
      </c>
      <c r="J3603" s="1" t="s">
        <v>66</v>
      </c>
      <c r="K3603" s="1" t="s">
        <v>340</v>
      </c>
      <c r="L3603" s="1" t="s">
        <v>4984</v>
      </c>
      <c r="M3603" s="3">
        <v>46103</v>
      </c>
      <c r="N3603" s="1" t="s">
        <v>57</v>
      </c>
      <c r="O3603" s="1" t="s">
        <v>936</v>
      </c>
      <c r="P3603" s="1">
        <v>1</v>
      </c>
    </row>
    <row r="3604" spans="1:16" x14ac:dyDescent="0.25">
      <c r="A3604" s="3">
        <v>46099</v>
      </c>
      <c r="B3604" s="4">
        <v>3501</v>
      </c>
      <c r="C3604" s="5">
        <v>2535.0700000000002</v>
      </c>
      <c r="D3604" s="1" t="s">
        <v>1179</v>
      </c>
      <c r="E3604" s="1" t="s">
        <v>1180</v>
      </c>
      <c r="F3604" s="1" t="s">
        <v>66</v>
      </c>
      <c r="G3604" s="1" t="s">
        <v>940</v>
      </c>
      <c r="H3604" s="3">
        <v>46120</v>
      </c>
      <c r="I3604" s="1" t="s">
        <v>933</v>
      </c>
      <c r="J3604" s="1" t="s">
        <v>66</v>
      </c>
      <c r="K3604" s="1" t="s">
        <v>308</v>
      </c>
      <c r="L3604" s="1" t="s">
        <v>5119</v>
      </c>
      <c r="M3604" s="3">
        <v>46106</v>
      </c>
      <c r="N3604" s="1" t="s">
        <v>57</v>
      </c>
      <c r="O3604" s="1" t="s">
        <v>936</v>
      </c>
      <c r="P3604" s="1">
        <v>1</v>
      </c>
    </row>
    <row r="3605" spans="1:16" x14ac:dyDescent="0.25">
      <c r="A3605" s="3">
        <v>46099</v>
      </c>
      <c r="B3605" s="4">
        <v>14814</v>
      </c>
      <c r="C3605" s="5">
        <v>60</v>
      </c>
      <c r="D3605" s="1" t="s">
        <v>1064</v>
      </c>
      <c r="E3605" s="1" t="s">
        <v>1042</v>
      </c>
      <c r="F3605" s="1" t="s">
        <v>66</v>
      </c>
      <c r="G3605" s="1" t="s">
        <v>940</v>
      </c>
      <c r="H3605" s="1" t="s">
        <v>4055</v>
      </c>
      <c r="I3605" s="1" t="s">
        <v>933</v>
      </c>
      <c r="J3605" s="1" t="s">
        <v>66</v>
      </c>
      <c r="K3605" s="1" t="s">
        <v>308</v>
      </c>
      <c r="L3605" s="1" t="s">
        <v>5162</v>
      </c>
      <c r="M3605" s="1" t="s">
        <v>4055</v>
      </c>
      <c r="N3605" s="1" t="s">
        <v>57</v>
      </c>
      <c r="O3605" s="1" t="s">
        <v>936</v>
      </c>
      <c r="P3605" s="1">
        <v>1</v>
      </c>
    </row>
    <row r="3606" spans="1:16" x14ac:dyDescent="0.25">
      <c r="A3606" s="3">
        <v>46099</v>
      </c>
      <c r="B3606" s="4">
        <v>5279</v>
      </c>
      <c r="C3606" s="5">
        <v>79</v>
      </c>
      <c r="D3606" s="1" t="s">
        <v>938</v>
      </c>
      <c r="E3606" s="1" t="s">
        <v>939</v>
      </c>
      <c r="F3606" s="1" t="s">
        <v>453</v>
      </c>
      <c r="G3606" s="1" t="s">
        <v>940</v>
      </c>
      <c r="H3606" s="1" t="s">
        <v>4055</v>
      </c>
      <c r="I3606" s="1" t="s">
        <v>933</v>
      </c>
      <c r="J3606" s="1" t="s">
        <v>66</v>
      </c>
      <c r="K3606" s="1" t="s">
        <v>308</v>
      </c>
      <c r="L3606" s="1" t="s">
        <v>5163</v>
      </c>
      <c r="M3606" s="1" t="s">
        <v>4055</v>
      </c>
      <c r="N3606" s="1" t="s">
        <v>455</v>
      </c>
      <c r="O3606" s="1" t="s">
        <v>936</v>
      </c>
      <c r="P3606" s="1">
        <v>1</v>
      </c>
    </row>
    <row r="3607" spans="1:16" x14ac:dyDescent="0.25">
      <c r="A3607" s="3">
        <v>46099</v>
      </c>
      <c r="B3607" s="4">
        <v>217269</v>
      </c>
      <c r="C3607" s="5">
        <v>3651</v>
      </c>
      <c r="D3607" s="1" t="s">
        <v>5237</v>
      </c>
      <c r="E3607" s="1" t="s">
        <v>5238</v>
      </c>
      <c r="F3607" s="1" t="s">
        <v>553</v>
      </c>
      <c r="G3607" s="1" t="s">
        <v>1667</v>
      </c>
      <c r="H3607" s="3">
        <v>46127</v>
      </c>
      <c r="I3607" s="1" t="s">
        <v>1100</v>
      </c>
      <c r="J3607" s="1" t="s">
        <v>66</v>
      </c>
      <c r="K3607" s="1" t="s">
        <v>340</v>
      </c>
      <c r="L3607" s="1" t="s">
        <v>5239</v>
      </c>
      <c r="M3607" s="3">
        <v>46109</v>
      </c>
      <c r="N3607" s="1" t="s">
        <v>57</v>
      </c>
      <c r="O3607" s="1" t="s">
        <v>936</v>
      </c>
      <c r="P3607" s="1">
        <v>1</v>
      </c>
    </row>
    <row r="3608" spans="1:16" x14ac:dyDescent="0.25">
      <c r="A3608" s="3">
        <v>46100</v>
      </c>
      <c r="B3608" s="4">
        <v>2356</v>
      </c>
      <c r="C3608" s="5">
        <v>3368</v>
      </c>
      <c r="D3608" s="1" t="s">
        <v>3372</v>
      </c>
      <c r="E3608" s="1" t="s">
        <v>3373</v>
      </c>
      <c r="F3608" s="1" t="s">
        <v>268</v>
      </c>
      <c r="G3608" s="1" t="s">
        <v>940</v>
      </c>
      <c r="H3608" s="3">
        <v>46129</v>
      </c>
      <c r="I3608" s="1" t="s">
        <v>933</v>
      </c>
      <c r="J3608" s="1" t="s">
        <v>66</v>
      </c>
      <c r="K3608" s="1" t="s">
        <v>340</v>
      </c>
      <c r="L3608" s="1" t="s">
        <v>4048</v>
      </c>
      <c r="M3608" s="3">
        <v>46103</v>
      </c>
      <c r="N3608" s="1" t="s">
        <v>264</v>
      </c>
      <c r="O3608" s="1" t="s">
        <v>936</v>
      </c>
      <c r="P3608" s="1">
        <v>1</v>
      </c>
    </row>
    <row r="3609" spans="1:16" x14ac:dyDescent="0.25">
      <c r="A3609" s="3">
        <v>46100</v>
      </c>
      <c r="B3609" s="4">
        <v>1906</v>
      </c>
      <c r="C3609" s="5">
        <v>1600</v>
      </c>
      <c r="D3609" s="1" t="s">
        <v>3372</v>
      </c>
      <c r="E3609" s="1" t="s">
        <v>3373</v>
      </c>
      <c r="F3609" s="1" t="s">
        <v>268</v>
      </c>
      <c r="G3609" s="1" t="s">
        <v>940</v>
      </c>
      <c r="H3609" s="3">
        <v>46129</v>
      </c>
      <c r="I3609" s="1" t="s">
        <v>933</v>
      </c>
      <c r="J3609" s="1" t="s">
        <v>66</v>
      </c>
      <c r="K3609" s="1" t="s">
        <v>340</v>
      </c>
      <c r="L3609" s="1" t="s">
        <v>4052</v>
      </c>
      <c r="M3609" s="3">
        <v>46103</v>
      </c>
      <c r="N3609" s="1" t="s">
        <v>264</v>
      </c>
      <c r="O3609" s="1" t="s">
        <v>936</v>
      </c>
      <c r="P3609" s="1">
        <v>1</v>
      </c>
    </row>
    <row r="3610" spans="1:16" x14ac:dyDescent="0.25">
      <c r="A3610" s="3">
        <v>46100</v>
      </c>
      <c r="B3610" s="4">
        <v>3914</v>
      </c>
      <c r="C3610" s="5">
        <v>1316</v>
      </c>
      <c r="D3610" s="1" t="s">
        <v>1179</v>
      </c>
      <c r="E3610" s="1" t="s">
        <v>1180</v>
      </c>
      <c r="F3610" s="1" t="s">
        <v>277</v>
      </c>
      <c r="G3610" s="1" t="s">
        <v>940</v>
      </c>
      <c r="H3610" s="3">
        <v>46120</v>
      </c>
      <c r="I3610" s="1" t="s">
        <v>933</v>
      </c>
      <c r="J3610" s="1" t="s">
        <v>66</v>
      </c>
      <c r="K3610" s="1" t="s">
        <v>308</v>
      </c>
      <c r="L3610" s="1" t="s">
        <v>4616</v>
      </c>
      <c r="M3610" s="3">
        <v>46103</v>
      </c>
      <c r="N3610" s="1" t="s">
        <v>57</v>
      </c>
      <c r="O3610" s="1" t="s">
        <v>936</v>
      </c>
      <c r="P3610" s="1">
        <v>1</v>
      </c>
    </row>
    <row r="3611" spans="1:16" x14ac:dyDescent="0.25">
      <c r="A3611" s="3">
        <v>46100</v>
      </c>
      <c r="B3611" s="4">
        <v>3493</v>
      </c>
      <c r="C3611" s="5">
        <v>300</v>
      </c>
      <c r="D3611" s="1" t="s">
        <v>1179</v>
      </c>
      <c r="E3611" s="1" t="s">
        <v>1180</v>
      </c>
      <c r="F3611" s="1" t="s">
        <v>277</v>
      </c>
      <c r="G3611" s="1" t="s">
        <v>940</v>
      </c>
      <c r="H3611" s="3">
        <v>46120</v>
      </c>
      <c r="I3611" s="1" t="s">
        <v>933</v>
      </c>
      <c r="J3611" s="1" t="s">
        <v>66</v>
      </c>
      <c r="K3611" s="1" t="s">
        <v>308</v>
      </c>
      <c r="L3611" s="1" t="s">
        <v>4693</v>
      </c>
      <c r="M3611" s="3">
        <v>46103</v>
      </c>
      <c r="N3611" s="1" t="s">
        <v>57</v>
      </c>
      <c r="O3611" s="1" t="s">
        <v>936</v>
      </c>
      <c r="P3611" s="1">
        <v>1</v>
      </c>
    </row>
    <row r="3612" spans="1:16" x14ac:dyDescent="0.25">
      <c r="A3612" s="3">
        <v>46100</v>
      </c>
      <c r="B3612" s="1">
        <v>27</v>
      </c>
      <c r="C3612" s="5">
        <v>600</v>
      </c>
      <c r="D3612" s="1" t="s">
        <v>4985</v>
      </c>
      <c r="E3612" s="1" t="s">
        <v>4986</v>
      </c>
      <c r="F3612" s="1" t="s">
        <v>955</v>
      </c>
      <c r="G3612" s="1" t="s">
        <v>1029</v>
      </c>
      <c r="H3612" s="3">
        <v>46108</v>
      </c>
      <c r="I3612" s="1" t="s">
        <v>933</v>
      </c>
      <c r="J3612" s="1" t="s">
        <v>951</v>
      </c>
      <c r="K3612" s="1" t="s">
        <v>105</v>
      </c>
      <c r="L3612" s="1" t="s">
        <v>4987</v>
      </c>
      <c r="M3612" s="3">
        <v>46100</v>
      </c>
      <c r="N3612" s="1" t="s">
        <v>57</v>
      </c>
      <c r="O3612" s="1" t="s">
        <v>936</v>
      </c>
      <c r="P3612" s="1">
        <v>1</v>
      </c>
    </row>
    <row r="3613" spans="1:16" x14ac:dyDescent="0.25">
      <c r="A3613" s="3">
        <v>46100</v>
      </c>
      <c r="B3613" s="4">
        <v>5283</v>
      </c>
      <c r="C3613" s="5">
        <v>642.13</v>
      </c>
      <c r="D3613" s="1" t="s">
        <v>938</v>
      </c>
      <c r="E3613" s="1" t="s">
        <v>939</v>
      </c>
      <c r="F3613" s="1" t="s">
        <v>66</v>
      </c>
      <c r="G3613" s="1" t="s">
        <v>950</v>
      </c>
      <c r="H3613" s="3">
        <v>46131</v>
      </c>
      <c r="I3613" s="1" t="s">
        <v>933</v>
      </c>
      <c r="J3613" s="1" t="s">
        <v>66</v>
      </c>
      <c r="K3613" s="1" t="s">
        <v>308</v>
      </c>
      <c r="L3613" s="1" t="s">
        <v>4988</v>
      </c>
      <c r="M3613" s="3">
        <v>46100</v>
      </c>
      <c r="N3613" s="1" t="s">
        <v>57</v>
      </c>
      <c r="O3613" s="1" t="s">
        <v>936</v>
      </c>
      <c r="P3613" s="1">
        <v>1</v>
      </c>
    </row>
    <row r="3614" spans="1:16" x14ac:dyDescent="0.25">
      <c r="A3614" s="3">
        <v>46100</v>
      </c>
      <c r="B3614" s="4">
        <v>23842</v>
      </c>
      <c r="C3614" s="5">
        <v>2433</v>
      </c>
      <c r="D3614" s="1" t="s">
        <v>1319</v>
      </c>
      <c r="E3614" s="1" t="s">
        <v>1320</v>
      </c>
      <c r="F3614" s="1" t="s">
        <v>66</v>
      </c>
      <c r="G3614" s="1" t="s">
        <v>20</v>
      </c>
      <c r="H3614" s="3">
        <v>46128</v>
      </c>
      <c r="I3614" s="1" t="s">
        <v>933</v>
      </c>
      <c r="J3614" s="1" t="s">
        <v>66</v>
      </c>
      <c r="K3614" s="1" t="s">
        <v>934</v>
      </c>
      <c r="L3614" s="1" t="s">
        <v>4989</v>
      </c>
      <c r="M3614" s="3">
        <v>46100</v>
      </c>
      <c r="N3614" s="1" t="s">
        <v>57</v>
      </c>
      <c r="O3614" s="1" t="s">
        <v>936</v>
      </c>
      <c r="P3614" s="1">
        <v>1</v>
      </c>
    </row>
    <row r="3615" spans="1:16" x14ac:dyDescent="0.25">
      <c r="A3615" s="3">
        <v>46100</v>
      </c>
      <c r="B3615" s="4">
        <v>73332</v>
      </c>
      <c r="C3615" s="5">
        <v>776.57</v>
      </c>
      <c r="D3615" s="1" t="s">
        <v>1253</v>
      </c>
      <c r="E3615" s="1" t="s">
        <v>1487</v>
      </c>
      <c r="F3615" s="1" t="s">
        <v>837</v>
      </c>
      <c r="G3615" s="1" t="s">
        <v>1667</v>
      </c>
      <c r="H3615" s="3">
        <v>46132</v>
      </c>
      <c r="I3615" s="1" t="s">
        <v>933</v>
      </c>
      <c r="J3615" s="1" t="s">
        <v>66</v>
      </c>
      <c r="K3615" s="1" t="s">
        <v>340</v>
      </c>
      <c r="L3615" s="1" t="s">
        <v>4851</v>
      </c>
      <c r="M3615" s="3">
        <v>46100</v>
      </c>
      <c r="N3615" s="1" t="s">
        <v>50</v>
      </c>
      <c r="O3615" s="1" t="s">
        <v>936</v>
      </c>
      <c r="P3615" s="1">
        <v>1</v>
      </c>
    </row>
    <row r="3616" spans="1:16" x14ac:dyDescent="0.25">
      <c r="A3616" s="3">
        <v>46100</v>
      </c>
      <c r="B3616" s="4">
        <v>73331</v>
      </c>
      <c r="C3616" s="5">
        <v>1487.34</v>
      </c>
      <c r="D3616" s="1" t="s">
        <v>1253</v>
      </c>
      <c r="E3616" s="1" t="s">
        <v>1487</v>
      </c>
      <c r="F3616" s="1" t="s">
        <v>745</v>
      </c>
      <c r="G3616" s="1" t="s">
        <v>1667</v>
      </c>
      <c r="H3616" s="3">
        <v>46132</v>
      </c>
      <c r="I3616" s="1" t="s">
        <v>933</v>
      </c>
      <c r="J3616" s="1" t="s">
        <v>66</v>
      </c>
      <c r="K3616" s="1" t="s">
        <v>340</v>
      </c>
      <c r="L3616" s="1" t="s">
        <v>4851</v>
      </c>
      <c r="M3616" s="3">
        <v>46100</v>
      </c>
      <c r="N3616" s="1" t="s">
        <v>50</v>
      </c>
      <c r="O3616" s="1" t="s">
        <v>936</v>
      </c>
      <c r="P3616" s="1">
        <v>1</v>
      </c>
    </row>
    <row r="3617" spans="1:16" x14ac:dyDescent="0.25">
      <c r="A3617" s="3">
        <v>46100</v>
      </c>
      <c r="B3617" s="4">
        <v>1061</v>
      </c>
      <c r="C3617" s="5">
        <v>1009</v>
      </c>
      <c r="D3617" s="1" t="s">
        <v>1080</v>
      </c>
      <c r="E3617" s="1" t="s">
        <v>3046</v>
      </c>
      <c r="F3617" s="1" t="s">
        <v>66</v>
      </c>
      <c r="G3617" s="1" t="s">
        <v>940</v>
      </c>
      <c r="H3617" s="3">
        <v>46116</v>
      </c>
      <c r="I3617" s="1" t="s">
        <v>933</v>
      </c>
      <c r="J3617" s="1" t="s">
        <v>66</v>
      </c>
      <c r="K3617" s="1" t="s">
        <v>308</v>
      </c>
      <c r="L3617" s="1" t="s">
        <v>4990</v>
      </c>
      <c r="M3617" s="3">
        <v>46103</v>
      </c>
      <c r="N3617" s="1" t="s">
        <v>57</v>
      </c>
      <c r="O3617" s="1" t="s">
        <v>936</v>
      </c>
      <c r="P3617" s="1">
        <v>1</v>
      </c>
    </row>
    <row r="3618" spans="1:16" x14ac:dyDescent="0.25">
      <c r="A3618" s="3">
        <v>46100</v>
      </c>
      <c r="B3618" s="4">
        <v>1062</v>
      </c>
      <c r="C3618" s="5">
        <v>1630</v>
      </c>
      <c r="D3618" s="1" t="s">
        <v>1080</v>
      </c>
      <c r="E3618" s="1" t="s">
        <v>3046</v>
      </c>
      <c r="F3618" s="1" t="s">
        <v>66</v>
      </c>
      <c r="G3618" s="1" t="s">
        <v>940</v>
      </c>
      <c r="H3618" s="3">
        <v>46116</v>
      </c>
      <c r="I3618" s="1" t="s">
        <v>933</v>
      </c>
      <c r="J3618" s="1" t="s">
        <v>66</v>
      </c>
      <c r="K3618" s="1" t="s">
        <v>308</v>
      </c>
      <c r="L3618" s="1" t="s">
        <v>4991</v>
      </c>
      <c r="M3618" s="3">
        <v>46103</v>
      </c>
      <c r="N3618" s="1" t="s">
        <v>57</v>
      </c>
      <c r="O3618" s="1" t="s">
        <v>936</v>
      </c>
      <c r="P3618" s="1">
        <v>1</v>
      </c>
    </row>
    <row r="3619" spans="1:16" x14ac:dyDescent="0.25">
      <c r="A3619" s="3">
        <v>46100</v>
      </c>
      <c r="B3619" s="1">
        <v>136</v>
      </c>
      <c r="C3619" s="5">
        <v>2126</v>
      </c>
      <c r="D3619" s="1" t="s">
        <v>1579</v>
      </c>
      <c r="E3619" s="1" t="s">
        <v>1580</v>
      </c>
      <c r="F3619" s="1" t="s">
        <v>66</v>
      </c>
      <c r="G3619" s="1" t="s">
        <v>1260</v>
      </c>
      <c r="H3619" s="3">
        <v>46117</v>
      </c>
      <c r="I3619" s="1" t="s">
        <v>933</v>
      </c>
      <c r="J3619" s="1" t="s">
        <v>66</v>
      </c>
      <c r="K3619" s="1" t="s">
        <v>934</v>
      </c>
      <c r="L3619" s="1" t="s">
        <v>4992</v>
      </c>
      <c r="M3619" s="3">
        <v>46103</v>
      </c>
      <c r="N3619" s="1" t="s">
        <v>57</v>
      </c>
      <c r="O3619" s="1" t="s">
        <v>936</v>
      </c>
      <c r="P3619" s="1">
        <v>1</v>
      </c>
    </row>
    <row r="3620" spans="1:16" x14ac:dyDescent="0.25">
      <c r="A3620" s="3">
        <v>46100</v>
      </c>
      <c r="B3620" s="4">
        <v>1062082</v>
      </c>
      <c r="C3620" s="5">
        <v>2250</v>
      </c>
      <c r="D3620" s="1" t="s">
        <v>2670</v>
      </c>
      <c r="E3620" s="1" t="s">
        <v>2873</v>
      </c>
      <c r="F3620" s="1" t="s">
        <v>304</v>
      </c>
      <c r="G3620" s="1" t="s">
        <v>1667</v>
      </c>
      <c r="H3620" s="3">
        <v>46132</v>
      </c>
      <c r="I3620" s="1" t="s">
        <v>1100</v>
      </c>
      <c r="J3620" s="1" t="s">
        <v>66</v>
      </c>
      <c r="K3620" s="1" t="s">
        <v>340</v>
      </c>
      <c r="L3620" s="1" t="s">
        <v>4993</v>
      </c>
      <c r="M3620" s="3">
        <v>46103</v>
      </c>
      <c r="N3620" s="1" t="s">
        <v>57</v>
      </c>
      <c r="O3620" s="1" t="s">
        <v>936</v>
      </c>
      <c r="P3620" s="1">
        <v>1</v>
      </c>
    </row>
    <row r="3621" spans="1:16" x14ac:dyDescent="0.25">
      <c r="A3621" s="3">
        <v>46100</v>
      </c>
      <c r="B3621" s="4">
        <v>1203</v>
      </c>
      <c r="C3621" s="5">
        <v>13809</v>
      </c>
      <c r="D3621" s="1" t="s">
        <v>1294</v>
      </c>
      <c r="E3621" s="1" t="s">
        <v>1295</v>
      </c>
      <c r="F3621" s="1" t="s">
        <v>66</v>
      </c>
      <c r="G3621" s="1" t="s">
        <v>940</v>
      </c>
      <c r="H3621" s="3">
        <v>46121</v>
      </c>
      <c r="I3621" s="1" t="s">
        <v>933</v>
      </c>
      <c r="J3621" s="1" t="s">
        <v>66</v>
      </c>
      <c r="K3621" s="1" t="s">
        <v>308</v>
      </c>
      <c r="L3621" s="1" t="s">
        <v>4998</v>
      </c>
      <c r="M3621" s="3">
        <v>46103</v>
      </c>
      <c r="N3621" s="1" t="s">
        <v>57</v>
      </c>
      <c r="O3621" s="1" t="s">
        <v>936</v>
      </c>
      <c r="P3621" s="1">
        <v>1</v>
      </c>
    </row>
    <row r="3622" spans="1:16" x14ac:dyDescent="0.25">
      <c r="A3622" s="3">
        <v>46100</v>
      </c>
      <c r="B3622" s="4">
        <v>3918</v>
      </c>
      <c r="C3622" s="5">
        <v>30</v>
      </c>
      <c r="D3622" s="1" t="s">
        <v>1179</v>
      </c>
      <c r="E3622" s="1" t="s">
        <v>1180</v>
      </c>
      <c r="F3622" s="1" t="s">
        <v>66</v>
      </c>
      <c r="G3622" s="1" t="s">
        <v>940</v>
      </c>
      <c r="H3622" s="3">
        <v>46131</v>
      </c>
      <c r="I3622" s="1" t="s">
        <v>933</v>
      </c>
      <c r="J3622" s="1" t="s">
        <v>66</v>
      </c>
      <c r="K3622" s="1" t="s">
        <v>934</v>
      </c>
      <c r="L3622" s="1" t="s">
        <v>4999</v>
      </c>
      <c r="M3622" s="3">
        <v>46103</v>
      </c>
      <c r="N3622" s="1" t="s">
        <v>57</v>
      </c>
      <c r="O3622" s="1" t="s">
        <v>936</v>
      </c>
      <c r="P3622" s="1">
        <v>1</v>
      </c>
    </row>
    <row r="3623" spans="1:16" x14ac:dyDescent="0.25">
      <c r="A3623" s="3">
        <v>46100</v>
      </c>
      <c r="B3623" s="4">
        <v>3917</v>
      </c>
      <c r="C3623" s="5">
        <v>90</v>
      </c>
      <c r="D3623" s="1" t="s">
        <v>1179</v>
      </c>
      <c r="E3623" s="1" t="s">
        <v>1180</v>
      </c>
      <c r="F3623" s="1" t="s">
        <v>66</v>
      </c>
      <c r="G3623" s="1" t="s">
        <v>940</v>
      </c>
      <c r="H3623" s="3">
        <v>46131</v>
      </c>
      <c r="I3623" s="1" t="s">
        <v>933</v>
      </c>
      <c r="J3623" s="1" t="s">
        <v>66</v>
      </c>
      <c r="K3623" s="1" t="s">
        <v>340</v>
      </c>
      <c r="L3623" s="1" t="s">
        <v>5000</v>
      </c>
      <c r="M3623" s="3">
        <v>46103</v>
      </c>
      <c r="N3623" s="1" t="s">
        <v>57</v>
      </c>
      <c r="O3623" s="1" t="s">
        <v>936</v>
      </c>
      <c r="P3623" s="1">
        <v>1</v>
      </c>
    </row>
    <row r="3624" spans="1:16" x14ac:dyDescent="0.25">
      <c r="A3624" s="3">
        <v>46100</v>
      </c>
      <c r="B3624" s="4">
        <v>3912</v>
      </c>
      <c r="C3624" s="5">
        <v>670</v>
      </c>
      <c r="D3624" s="1" t="s">
        <v>1179</v>
      </c>
      <c r="E3624" s="1" t="s">
        <v>1180</v>
      </c>
      <c r="F3624" s="1" t="s">
        <v>451</v>
      </c>
      <c r="G3624" s="1" t="s">
        <v>940</v>
      </c>
      <c r="H3624" s="3">
        <v>46131</v>
      </c>
      <c r="I3624" s="1" t="s">
        <v>1484</v>
      </c>
      <c r="J3624" s="1" t="s">
        <v>66</v>
      </c>
      <c r="K3624" s="1" t="s">
        <v>308</v>
      </c>
      <c r="L3624" s="1" t="s">
        <v>5001</v>
      </c>
      <c r="M3624" s="3">
        <v>46103</v>
      </c>
      <c r="N3624" s="1" t="s">
        <v>57</v>
      </c>
      <c r="O3624" s="1" t="s">
        <v>936</v>
      </c>
      <c r="P3624" s="1">
        <v>1</v>
      </c>
    </row>
    <row r="3625" spans="1:16" x14ac:dyDescent="0.25">
      <c r="A3625" s="3">
        <v>46100</v>
      </c>
      <c r="B3625" s="4">
        <v>3495</v>
      </c>
      <c r="C3625" s="5">
        <v>500</v>
      </c>
      <c r="D3625" s="1" t="s">
        <v>1179</v>
      </c>
      <c r="E3625" s="1" t="s">
        <v>1180</v>
      </c>
      <c r="F3625" s="1" t="s">
        <v>451</v>
      </c>
      <c r="G3625" s="1" t="s">
        <v>940</v>
      </c>
      <c r="H3625" s="3">
        <v>46120</v>
      </c>
      <c r="I3625" s="1" t="s">
        <v>1484</v>
      </c>
      <c r="J3625" s="1" t="s">
        <v>66</v>
      </c>
      <c r="K3625" s="1" t="s">
        <v>308</v>
      </c>
      <c r="L3625" s="1" t="s">
        <v>5002</v>
      </c>
      <c r="M3625" s="3">
        <v>46103</v>
      </c>
      <c r="N3625" s="1" t="s">
        <v>57</v>
      </c>
      <c r="O3625" s="1" t="s">
        <v>936</v>
      </c>
      <c r="P3625" s="1">
        <v>1</v>
      </c>
    </row>
    <row r="3626" spans="1:16" x14ac:dyDescent="0.25">
      <c r="A3626" s="3">
        <v>46100</v>
      </c>
      <c r="B3626" s="4">
        <v>3916</v>
      </c>
      <c r="C3626" s="5">
        <v>129</v>
      </c>
      <c r="D3626" s="1" t="s">
        <v>1179</v>
      </c>
      <c r="E3626" s="1" t="s">
        <v>1180</v>
      </c>
      <c r="F3626" s="1" t="s">
        <v>255</v>
      </c>
      <c r="G3626" s="1" t="s">
        <v>940</v>
      </c>
      <c r="H3626" s="3">
        <v>46120</v>
      </c>
      <c r="I3626" s="1" t="s">
        <v>933</v>
      </c>
      <c r="J3626" s="1" t="s">
        <v>66</v>
      </c>
      <c r="K3626" s="1" t="s">
        <v>308</v>
      </c>
      <c r="L3626" s="1" t="s">
        <v>5003</v>
      </c>
      <c r="M3626" s="3">
        <v>46103</v>
      </c>
      <c r="N3626" s="1" t="s">
        <v>57</v>
      </c>
      <c r="O3626" s="1" t="s">
        <v>936</v>
      </c>
      <c r="P3626" s="1">
        <v>1</v>
      </c>
    </row>
    <row r="3627" spans="1:16" x14ac:dyDescent="0.25">
      <c r="A3627" s="3">
        <v>46100</v>
      </c>
      <c r="B3627" s="4">
        <v>3915</v>
      </c>
      <c r="C3627" s="5">
        <v>5133.04</v>
      </c>
      <c r="D3627" s="1" t="s">
        <v>1179</v>
      </c>
      <c r="E3627" s="1" t="s">
        <v>1180</v>
      </c>
      <c r="F3627" s="1" t="s">
        <v>201</v>
      </c>
      <c r="G3627" s="1" t="s">
        <v>1667</v>
      </c>
      <c r="H3627" s="3">
        <v>46120</v>
      </c>
      <c r="I3627" s="1" t="s">
        <v>1100</v>
      </c>
      <c r="J3627" s="1" t="s">
        <v>66</v>
      </c>
      <c r="K3627" s="1" t="s">
        <v>308</v>
      </c>
      <c r="L3627" s="1" t="s">
        <v>4851</v>
      </c>
      <c r="M3627" s="3">
        <v>46103</v>
      </c>
      <c r="N3627" s="1" t="s">
        <v>57</v>
      </c>
      <c r="O3627" s="1" t="s">
        <v>936</v>
      </c>
      <c r="P3627" s="1">
        <v>1</v>
      </c>
    </row>
    <row r="3628" spans="1:16" x14ac:dyDescent="0.25">
      <c r="A3628" s="3">
        <v>46100</v>
      </c>
      <c r="B3628" s="4">
        <v>3492</v>
      </c>
      <c r="C3628" s="5">
        <v>550</v>
      </c>
      <c r="D3628" s="1" t="s">
        <v>1179</v>
      </c>
      <c r="E3628" s="1" t="s">
        <v>1180</v>
      </c>
      <c r="F3628" s="1" t="s">
        <v>201</v>
      </c>
      <c r="G3628" s="1" t="s">
        <v>1667</v>
      </c>
      <c r="H3628" s="3">
        <v>46120</v>
      </c>
      <c r="I3628" s="1" t="s">
        <v>1100</v>
      </c>
      <c r="J3628" s="1" t="s">
        <v>66</v>
      </c>
      <c r="K3628" s="1" t="s">
        <v>308</v>
      </c>
      <c r="L3628" s="1" t="s">
        <v>4851</v>
      </c>
      <c r="M3628" s="3">
        <v>46103</v>
      </c>
      <c r="N3628" s="1" t="s">
        <v>57</v>
      </c>
      <c r="O3628" s="1" t="s">
        <v>936</v>
      </c>
      <c r="P3628" s="1">
        <v>1</v>
      </c>
    </row>
    <row r="3629" spans="1:16" x14ac:dyDescent="0.25">
      <c r="A3629" s="3">
        <v>46100</v>
      </c>
      <c r="B3629" s="4">
        <v>3913</v>
      </c>
      <c r="C3629" s="5">
        <v>1614</v>
      </c>
      <c r="D3629" s="1" t="s">
        <v>1179</v>
      </c>
      <c r="E3629" s="1" t="s">
        <v>1180</v>
      </c>
      <c r="F3629" s="1" t="s">
        <v>521</v>
      </c>
      <c r="G3629" s="1" t="s">
        <v>940</v>
      </c>
      <c r="H3629" s="3">
        <v>46120</v>
      </c>
      <c r="I3629" s="1" t="s">
        <v>933</v>
      </c>
      <c r="J3629" s="1" t="s">
        <v>66</v>
      </c>
      <c r="K3629" s="1" t="s">
        <v>308</v>
      </c>
      <c r="L3629" s="1" t="s">
        <v>5006</v>
      </c>
      <c r="M3629" s="3">
        <v>46103</v>
      </c>
      <c r="N3629" s="1" t="s">
        <v>57</v>
      </c>
      <c r="O3629" s="1" t="s">
        <v>936</v>
      </c>
      <c r="P3629" s="1">
        <v>1</v>
      </c>
    </row>
    <row r="3630" spans="1:16" x14ac:dyDescent="0.25">
      <c r="A3630" s="3">
        <v>46100</v>
      </c>
      <c r="B3630" s="4">
        <v>3494</v>
      </c>
      <c r="C3630" s="5">
        <v>2850</v>
      </c>
      <c r="D3630" s="1" t="s">
        <v>1179</v>
      </c>
      <c r="E3630" s="1" t="s">
        <v>1180</v>
      </c>
      <c r="F3630" s="1" t="s">
        <v>521</v>
      </c>
      <c r="G3630" s="1" t="s">
        <v>940</v>
      </c>
      <c r="H3630" s="3">
        <v>46120</v>
      </c>
      <c r="I3630" s="1" t="s">
        <v>933</v>
      </c>
      <c r="J3630" s="1" t="s">
        <v>66</v>
      </c>
      <c r="K3630" s="1" t="s">
        <v>308</v>
      </c>
      <c r="L3630" s="1" t="s">
        <v>5007</v>
      </c>
      <c r="M3630" s="3">
        <v>46103</v>
      </c>
      <c r="N3630" s="1" t="s">
        <v>57</v>
      </c>
      <c r="O3630" s="1" t="s">
        <v>936</v>
      </c>
      <c r="P3630" s="1">
        <v>1</v>
      </c>
    </row>
    <row r="3631" spans="1:16" x14ac:dyDescent="0.25">
      <c r="A3631" s="3">
        <v>46100</v>
      </c>
      <c r="B3631" s="4">
        <v>3911</v>
      </c>
      <c r="C3631" s="5">
        <v>1080</v>
      </c>
      <c r="D3631" s="1" t="s">
        <v>1179</v>
      </c>
      <c r="E3631" s="1" t="s">
        <v>1180</v>
      </c>
      <c r="F3631" s="1" t="s">
        <v>422</v>
      </c>
      <c r="G3631" s="1" t="s">
        <v>940</v>
      </c>
      <c r="H3631" s="3">
        <v>46120</v>
      </c>
      <c r="I3631" s="1" t="s">
        <v>1484</v>
      </c>
      <c r="J3631" s="1" t="s">
        <v>66</v>
      </c>
      <c r="K3631" s="1" t="s">
        <v>308</v>
      </c>
      <c r="L3631" s="1" t="s">
        <v>5008</v>
      </c>
      <c r="M3631" s="3">
        <v>46103</v>
      </c>
      <c r="N3631" s="1" t="s">
        <v>57</v>
      </c>
      <c r="O3631" s="1" t="s">
        <v>936</v>
      </c>
      <c r="P3631" s="1">
        <v>1</v>
      </c>
    </row>
    <row r="3632" spans="1:16" x14ac:dyDescent="0.25">
      <c r="A3632" s="3">
        <v>46100</v>
      </c>
      <c r="B3632" s="4">
        <v>3499</v>
      </c>
      <c r="C3632" s="5">
        <v>350</v>
      </c>
      <c r="D3632" s="1" t="s">
        <v>1179</v>
      </c>
      <c r="E3632" s="1" t="s">
        <v>1180</v>
      </c>
      <c r="F3632" s="1" t="s">
        <v>422</v>
      </c>
      <c r="G3632" s="1" t="s">
        <v>940</v>
      </c>
      <c r="H3632" s="3">
        <v>46120</v>
      </c>
      <c r="I3632" s="1" t="s">
        <v>1484</v>
      </c>
      <c r="J3632" s="1" t="s">
        <v>66</v>
      </c>
      <c r="K3632" s="1" t="s">
        <v>308</v>
      </c>
      <c r="L3632" s="1" t="s">
        <v>5009</v>
      </c>
      <c r="M3632" s="3">
        <v>46103</v>
      </c>
      <c r="N3632" s="1" t="s">
        <v>57</v>
      </c>
      <c r="O3632" s="1" t="s">
        <v>936</v>
      </c>
      <c r="P3632" s="1">
        <v>1</v>
      </c>
    </row>
    <row r="3633" spans="1:16" x14ac:dyDescent="0.25">
      <c r="A3633" s="3">
        <v>46100</v>
      </c>
      <c r="B3633" s="4">
        <v>3909</v>
      </c>
      <c r="C3633" s="5">
        <v>145</v>
      </c>
      <c r="D3633" s="1" t="s">
        <v>1179</v>
      </c>
      <c r="E3633" s="1" t="s">
        <v>1180</v>
      </c>
      <c r="F3633" s="1" t="s">
        <v>66</v>
      </c>
      <c r="G3633" s="1" t="s">
        <v>940</v>
      </c>
      <c r="H3633" s="3">
        <v>46120</v>
      </c>
      <c r="I3633" s="1" t="s">
        <v>4394</v>
      </c>
      <c r="J3633" s="1" t="s">
        <v>66</v>
      </c>
      <c r="K3633" s="1" t="s">
        <v>308</v>
      </c>
      <c r="L3633" s="1" t="s">
        <v>5010</v>
      </c>
      <c r="M3633" s="3">
        <v>46103</v>
      </c>
      <c r="N3633" s="1" t="s">
        <v>57</v>
      </c>
      <c r="O3633" s="1" t="s">
        <v>936</v>
      </c>
      <c r="P3633" s="1">
        <v>1</v>
      </c>
    </row>
    <row r="3634" spans="1:16" x14ac:dyDescent="0.25">
      <c r="A3634" s="3">
        <v>46100</v>
      </c>
      <c r="B3634" s="4">
        <v>3498</v>
      </c>
      <c r="C3634" s="5">
        <v>450</v>
      </c>
      <c r="D3634" s="1" t="s">
        <v>1179</v>
      </c>
      <c r="E3634" s="1" t="s">
        <v>1180</v>
      </c>
      <c r="F3634" s="1" t="s">
        <v>66</v>
      </c>
      <c r="G3634" s="1" t="s">
        <v>940</v>
      </c>
      <c r="H3634" s="3">
        <v>46120</v>
      </c>
      <c r="I3634" s="1" t="s">
        <v>4394</v>
      </c>
      <c r="J3634" s="1" t="s">
        <v>66</v>
      </c>
      <c r="K3634" s="1" t="s">
        <v>308</v>
      </c>
      <c r="L3634" s="1" t="s">
        <v>5011</v>
      </c>
      <c r="M3634" s="3">
        <v>46103</v>
      </c>
      <c r="N3634" s="1" t="s">
        <v>57</v>
      </c>
      <c r="O3634" s="1" t="s">
        <v>936</v>
      </c>
      <c r="P3634" s="1">
        <v>1</v>
      </c>
    </row>
    <row r="3635" spans="1:16" x14ac:dyDescent="0.25">
      <c r="A3635" s="3">
        <v>46100</v>
      </c>
      <c r="B3635" s="4">
        <v>3910</v>
      </c>
      <c r="C3635" s="5">
        <v>1693</v>
      </c>
      <c r="D3635" s="1" t="s">
        <v>1179</v>
      </c>
      <c r="E3635" s="1" t="s">
        <v>1180</v>
      </c>
      <c r="F3635" s="1" t="s">
        <v>430</v>
      </c>
      <c r="G3635" s="1" t="s">
        <v>1667</v>
      </c>
      <c r="H3635" s="3">
        <v>46120</v>
      </c>
      <c r="I3635" s="1" t="s">
        <v>1100</v>
      </c>
      <c r="J3635" s="1" t="s">
        <v>66</v>
      </c>
      <c r="K3635" s="1" t="s">
        <v>105</v>
      </c>
      <c r="L3635" s="1" t="s">
        <v>4851</v>
      </c>
      <c r="M3635" s="3">
        <v>46103</v>
      </c>
      <c r="N3635" s="1" t="s">
        <v>57</v>
      </c>
      <c r="O3635" s="1" t="s">
        <v>936</v>
      </c>
      <c r="P3635" s="1">
        <v>1</v>
      </c>
    </row>
    <row r="3636" spans="1:16" x14ac:dyDescent="0.25">
      <c r="A3636" s="3">
        <v>46100</v>
      </c>
      <c r="B3636" s="4">
        <v>3496</v>
      </c>
      <c r="C3636" s="5">
        <v>450</v>
      </c>
      <c r="D3636" s="1" t="s">
        <v>1179</v>
      </c>
      <c r="E3636" s="1" t="s">
        <v>1180</v>
      </c>
      <c r="F3636" s="1" t="s">
        <v>430</v>
      </c>
      <c r="G3636" s="1" t="s">
        <v>1667</v>
      </c>
      <c r="H3636" s="3">
        <v>46120</v>
      </c>
      <c r="I3636" s="1" t="s">
        <v>1100</v>
      </c>
      <c r="J3636" s="1" t="s">
        <v>66</v>
      </c>
      <c r="K3636" s="1" t="s">
        <v>105</v>
      </c>
      <c r="L3636" s="1" t="s">
        <v>5012</v>
      </c>
      <c r="M3636" s="3">
        <v>46103</v>
      </c>
      <c r="N3636" s="1" t="s">
        <v>57</v>
      </c>
      <c r="O3636" s="1" t="s">
        <v>936</v>
      </c>
      <c r="P3636" s="1">
        <v>1</v>
      </c>
    </row>
    <row r="3637" spans="1:16" x14ac:dyDescent="0.25">
      <c r="A3637" s="3">
        <v>46100</v>
      </c>
      <c r="B3637" s="4">
        <v>3908</v>
      </c>
      <c r="C3637" s="5">
        <v>14326.93</v>
      </c>
      <c r="D3637" s="1" t="s">
        <v>1179</v>
      </c>
      <c r="E3637" s="1" t="s">
        <v>1180</v>
      </c>
      <c r="F3637" s="1" t="s">
        <v>66</v>
      </c>
      <c r="G3637" s="1" t="s">
        <v>940</v>
      </c>
      <c r="H3637" s="3">
        <v>46120</v>
      </c>
      <c r="I3637" s="1" t="s">
        <v>933</v>
      </c>
      <c r="J3637" s="1" t="s">
        <v>66</v>
      </c>
      <c r="K3637" s="1" t="s">
        <v>308</v>
      </c>
      <c r="L3637" s="1" t="s">
        <v>5118</v>
      </c>
      <c r="M3637" s="3">
        <v>46106</v>
      </c>
      <c r="N3637" s="1" t="s">
        <v>57</v>
      </c>
      <c r="O3637" s="1" t="s">
        <v>936</v>
      </c>
      <c r="P3637" s="1">
        <v>1</v>
      </c>
    </row>
    <row r="3638" spans="1:16" x14ac:dyDescent="0.25">
      <c r="A3638" s="3">
        <v>46100</v>
      </c>
      <c r="B3638" s="4">
        <v>5287</v>
      </c>
      <c r="C3638" s="5">
        <v>435</v>
      </c>
      <c r="D3638" s="1" t="s">
        <v>938</v>
      </c>
      <c r="E3638" s="1" t="s">
        <v>939</v>
      </c>
      <c r="F3638" s="1" t="s">
        <v>66</v>
      </c>
      <c r="G3638" s="1" t="s">
        <v>940</v>
      </c>
      <c r="H3638" s="1" t="s">
        <v>4055</v>
      </c>
      <c r="I3638" s="1" t="s">
        <v>933</v>
      </c>
      <c r="J3638" s="1" t="s">
        <v>66</v>
      </c>
      <c r="K3638" s="1" t="s">
        <v>817</v>
      </c>
      <c r="L3638" s="1" t="s">
        <v>5165</v>
      </c>
      <c r="M3638" s="1" t="s">
        <v>4055</v>
      </c>
      <c r="N3638" s="1" t="s">
        <v>57</v>
      </c>
      <c r="O3638" s="1" t="s">
        <v>936</v>
      </c>
      <c r="P3638" s="1">
        <v>1</v>
      </c>
    </row>
    <row r="3639" spans="1:16" x14ac:dyDescent="0.25">
      <c r="A3639" s="3">
        <v>46101</v>
      </c>
      <c r="B3639" s="1">
        <v>535</v>
      </c>
      <c r="C3639" s="5">
        <v>40</v>
      </c>
      <c r="D3639" s="1" t="s">
        <v>1953</v>
      </c>
      <c r="E3639" s="1" t="s">
        <v>3326</v>
      </c>
      <c r="F3639" s="1" t="s">
        <v>268</v>
      </c>
      <c r="G3639" s="1" t="s">
        <v>940</v>
      </c>
      <c r="H3639" s="3">
        <v>46121</v>
      </c>
      <c r="I3639" s="1" t="s">
        <v>933</v>
      </c>
      <c r="J3639" s="1" t="s">
        <v>66</v>
      </c>
      <c r="K3639" s="1" t="s">
        <v>340</v>
      </c>
      <c r="L3639" s="1" t="s">
        <v>4054</v>
      </c>
      <c r="M3639" s="3">
        <v>46105</v>
      </c>
      <c r="N3639" s="1" t="s">
        <v>57</v>
      </c>
      <c r="O3639" s="1" t="s">
        <v>936</v>
      </c>
      <c r="P3639" s="1">
        <v>1</v>
      </c>
    </row>
    <row r="3640" spans="1:16" x14ac:dyDescent="0.25">
      <c r="A3640" s="3">
        <v>46101</v>
      </c>
      <c r="B3640" s="1">
        <v>533</v>
      </c>
      <c r="C3640" s="5">
        <v>60</v>
      </c>
      <c r="D3640" s="1" t="s">
        <v>1953</v>
      </c>
      <c r="E3640" s="1" t="s">
        <v>3326</v>
      </c>
      <c r="F3640" s="1" t="s">
        <v>271</v>
      </c>
      <c r="G3640" s="1" t="s">
        <v>940</v>
      </c>
      <c r="H3640" s="3">
        <v>46121</v>
      </c>
      <c r="I3640" s="1" t="s">
        <v>933</v>
      </c>
      <c r="J3640" s="1" t="s">
        <v>66</v>
      </c>
      <c r="K3640" s="1" t="s">
        <v>340</v>
      </c>
      <c r="L3640" s="1" t="s">
        <v>4220</v>
      </c>
      <c r="M3640" s="3">
        <v>46105</v>
      </c>
      <c r="N3640" s="1" t="s">
        <v>57</v>
      </c>
      <c r="O3640" s="1" t="s">
        <v>936</v>
      </c>
      <c r="P3640" s="1">
        <v>1</v>
      </c>
    </row>
    <row r="3641" spans="1:16" x14ac:dyDescent="0.25">
      <c r="A3641" s="3">
        <v>46101</v>
      </c>
      <c r="B3641" s="1">
        <v>532</v>
      </c>
      <c r="C3641" s="5">
        <v>290</v>
      </c>
      <c r="D3641" s="1" t="s">
        <v>1953</v>
      </c>
      <c r="E3641" s="1" t="s">
        <v>3326</v>
      </c>
      <c r="F3641" s="1" t="s">
        <v>283</v>
      </c>
      <c r="G3641" s="1" t="s">
        <v>940</v>
      </c>
      <c r="H3641" s="3">
        <v>46121</v>
      </c>
      <c r="I3641" s="1" t="s">
        <v>933</v>
      </c>
      <c r="J3641" s="1" t="s">
        <v>66</v>
      </c>
      <c r="K3641" s="1" t="s">
        <v>340</v>
      </c>
      <c r="L3641" s="1" t="s">
        <v>4826</v>
      </c>
      <c r="M3641" s="3">
        <v>46105</v>
      </c>
      <c r="N3641" s="1" t="s">
        <v>57</v>
      </c>
      <c r="O3641" s="1" t="s">
        <v>936</v>
      </c>
      <c r="P3641" s="1">
        <v>1</v>
      </c>
    </row>
    <row r="3642" spans="1:16" x14ac:dyDescent="0.25">
      <c r="A3642" s="3">
        <v>46101</v>
      </c>
      <c r="B3642" s="1">
        <v>535</v>
      </c>
      <c r="C3642" s="5">
        <v>580</v>
      </c>
      <c r="D3642" s="1" t="s">
        <v>1953</v>
      </c>
      <c r="E3642" s="1" t="s">
        <v>3326</v>
      </c>
      <c r="F3642" s="1" t="s">
        <v>286</v>
      </c>
      <c r="G3642" s="1" t="s">
        <v>940</v>
      </c>
      <c r="H3642" s="3">
        <v>46121</v>
      </c>
      <c r="I3642" s="1" t="s">
        <v>933</v>
      </c>
      <c r="J3642" s="1" t="s">
        <v>66</v>
      </c>
      <c r="K3642" s="1" t="s">
        <v>340</v>
      </c>
      <c r="L3642" s="1" t="s">
        <v>5005</v>
      </c>
      <c r="M3642" s="3">
        <v>46105</v>
      </c>
      <c r="N3642" s="1" t="s">
        <v>57</v>
      </c>
      <c r="O3642" s="1" t="s">
        <v>936</v>
      </c>
      <c r="P3642" s="1">
        <v>1</v>
      </c>
    </row>
    <row r="3643" spans="1:16" x14ac:dyDescent="0.25">
      <c r="A3643" s="3">
        <v>46101</v>
      </c>
      <c r="B3643" s="4">
        <v>10713</v>
      </c>
      <c r="C3643" s="5">
        <v>18556.28</v>
      </c>
      <c r="D3643" s="1" t="s">
        <v>973</v>
      </c>
      <c r="E3643" s="1" t="s">
        <v>1068</v>
      </c>
      <c r="F3643" s="1" t="s">
        <v>1814</v>
      </c>
      <c r="G3643" s="1" t="s">
        <v>998</v>
      </c>
      <c r="H3643" s="3">
        <v>46116</v>
      </c>
      <c r="I3643" s="1" t="s">
        <v>933</v>
      </c>
      <c r="J3643" s="1" t="s">
        <v>66</v>
      </c>
      <c r="K3643" s="1" t="s">
        <v>340</v>
      </c>
      <c r="L3643" s="1" t="s">
        <v>1814</v>
      </c>
      <c r="M3643" s="3">
        <v>46102</v>
      </c>
      <c r="N3643" s="1" t="s">
        <v>1814</v>
      </c>
      <c r="O3643" s="1" t="s">
        <v>998</v>
      </c>
      <c r="P3643" s="1">
        <v>1</v>
      </c>
    </row>
    <row r="3644" spans="1:16" x14ac:dyDescent="0.25">
      <c r="A3644" s="3">
        <v>46101</v>
      </c>
      <c r="B3644" s="4">
        <v>10712</v>
      </c>
      <c r="C3644" s="5">
        <v>68670.38</v>
      </c>
      <c r="D3644" s="1" t="s">
        <v>973</v>
      </c>
      <c r="E3644" s="1" t="s">
        <v>1068</v>
      </c>
      <c r="F3644" s="1" t="s">
        <v>66</v>
      </c>
      <c r="G3644" s="1" t="s">
        <v>998</v>
      </c>
      <c r="H3644" s="3">
        <v>46107</v>
      </c>
      <c r="I3644" s="1" t="s">
        <v>933</v>
      </c>
      <c r="J3644" s="1" t="s">
        <v>66</v>
      </c>
      <c r="K3644" s="1" t="s">
        <v>340</v>
      </c>
      <c r="L3644" s="1" t="s">
        <v>5013</v>
      </c>
      <c r="M3644" s="3">
        <v>46102</v>
      </c>
      <c r="N3644" s="1" t="s">
        <v>821</v>
      </c>
      <c r="O3644" s="1" t="s">
        <v>998</v>
      </c>
      <c r="P3644" s="1">
        <v>1</v>
      </c>
    </row>
    <row r="3645" spans="1:16" x14ac:dyDescent="0.25">
      <c r="A3645" s="3">
        <v>46101</v>
      </c>
      <c r="B3645" s="4">
        <v>10714</v>
      </c>
      <c r="C3645" s="5">
        <v>21270</v>
      </c>
      <c r="D3645" s="1" t="s">
        <v>973</v>
      </c>
      <c r="E3645" s="1" t="s">
        <v>1068</v>
      </c>
      <c r="F3645" s="1" t="s">
        <v>66</v>
      </c>
      <c r="G3645" s="1" t="s">
        <v>998</v>
      </c>
      <c r="H3645" s="1" t="s">
        <v>5014</v>
      </c>
      <c r="I3645" s="1" t="s">
        <v>933</v>
      </c>
      <c r="J3645" s="1" t="s">
        <v>66</v>
      </c>
      <c r="K3645" s="1" t="s">
        <v>340</v>
      </c>
      <c r="L3645" s="4">
        <v>3000</v>
      </c>
      <c r="M3645" s="3">
        <v>46102</v>
      </c>
      <c r="N3645" s="1" t="s">
        <v>821</v>
      </c>
      <c r="O3645" s="1" t="s">
        <v>998</v>
      </c>
      <c r="P3645" s="1">
        <v>1</v>
      </c>
    </row>
    <row r="3646" spans="1:16" x14ac:dyDescent="0.25">
      <c r="A3646" s="3">
        <v>46101</v>
      </c>
      <c r="B3646" s="4">
        <v>10711</v>
      </c>
      <c r="C3646" s="5">
        <v>35450</v>
      </c>
      <c r="D3646" s="1" t="s">
        <v>973</v>
      </c>
      <c r="E3646" s="1" t="s">
        <v>1068</v>
      </c>
      <c r="F3646" s="1" t="s">
        <v>66</v>
      </c>
      <c r="G3646" s="1" t="s">
        <v>998</v>
      </c>
      <c r="H3646" s="3">
        <v>46108</v>
      </c>
      <c r="I3646" s="1" t="s">
        <v>933</v>
      </c>
      <c r="J3646" s="1" t="s">
        <v>66</v>
      </c>
      <c r="K3646" s="1" t="s">
        <v>340</v>
      </c>
      <c r="L3646" s="4">
        <v>5000</v>
      </c>
      <c r="M3646" s="3">
        <v>46102</v>
      </c>
      <c r="N3646" s="1" t="s">
        <v>821</v>
      </c>
      <c r="O3646" s="1" t="s">
        <v>998</v>
      </c>
      <c r="P3646" s="1">
        <v>1</v>
      </c>
    </row>
    <row r="3647" spans="1:16" x14ac:dyDescent="0.25">
      <c r="A3647" s="3">
        <v>46101</v>
      </c>
      <c r="B3647" s="1">
        <v>84</v>
      </c>
      <c r="C3647" s="5">
        <v>980</v>
      </c>
      <c r="D3647" s="1" t="s">
        <v>5015</v>
      </c>
      <c r="E3647" s="1" t="s">
        <v>5016</v>
      </c>
      <c r="F3647" s="1" t="s">
        <v>66</v>
      </c>
      <c r="G3647" s="1" t="s">
        <v>20</v>
      </c>
      <c r="H3647" s="3">
        <v>46111</v>
      </c>
      <c r="I3647" s="1" t="s">
        <v>933</v>
      </c>
      <c r="J3647" s="1" t="s">
        <v>66</v>
      </c>
      <c r="K3647" s="1" t="s">
        <v>934</v>
      </c>
      <c r="L3647" s="1" t="s">
        <v>5017</v>
      </c>
      <c r="M3647" s="3">
        <v>46103</v>
      </c>
      <c r="N3647" s="1" t="s">
        <v>57</v>
      </c>
      <c r="O3647" s="1" t="s">
        <v>936</v>
      </c>
      <c r="P3647" s="1">
        <v>1</v>
      </c>
    </row>
    <row r="3648" spans="1:16" x14ac:dyDescent="0.25">
      <c r="A3648" s="3">
        <v>46101</v>
      </c>
      <c r="B3648" s="4">
        <v>5288</v>
      </c>
      <c r="C3648" s="5">
        <v>301.25</v>
      </c>
      <c r="D3648" s="1" t="s">
        <v>938</v>
      </c>
      <c r="E3648" s="1" t="s">
        <v>939</v>
      </c>
      <c r="F3648" s="1" t="s">
        <v>66</v>
      </c>
      <c r="G3648" s="1" t="s">
        <v>20</v>
      </c>
      <c r="H3648" s="3">
        <v>46132</v>
      </c>
      <c r="I3648" s="1" t="s">
        <v>933</v>
      </c>
      <c r="J3648" s="1" t="s">
        <v>66</v>
      </c>
      <c r="K3648" s="1" t="s">
        <v>308</v>
      </c>
      <c r="L3648" s="1" t="s">
        <v>5018</v>
      </c>
      <c r="M3648" s="3">
        <v>46103</v>
      </c>
      <c r="N3648" s="1" t="s">
        <v>57</v>
      </c>
      <c r="O3648" s="1" t="s">
        <v>936</v>
      </c>
      <c r="P3648" s="1">
        <v>1</v>
      </c>
    </row>
    <row r="3649" spans="1:16" x14ac:dyDescent="0.25">
      <c r="A3649" s="3">
        <v>46101</v>
      </c>
      <c r="B3649" s="4">
        <v>4131</v>
      </c>
      <c r="C3649" s="5">
        <v>120</v>
      </c>
      <c r="D3649" s="1" t="s">
        <v>1864</v>
      </c>
      <c r="E3649" s="1" t="s">
        <v>4176</v>
      </c>
      <c r="F3649" s="1" t="s">
        <v>66</v>
      </c>
      <c r="G3649" s="1" t="s">
        <v>940</v>
      </c>
      <c r="H3649" s="3">
        <v>46125</v>
      </c>
      <c r="I3649" s="1" t="s">
        <v>933</v>
      </c>
      <c r="J3649" s="1" t="s">
        <v>66</v>
      </c>
      <c r="K3649" s="1" t="s">
        <v>934</v>
      </c>
      <c r="L3649" s="1" t="s">
        <v>5019</v>
      </c>
      <c r="M3649" s="3">
        <v>46103</v>
      </c>
      <c r="N3649" s="1" t="s">
        <v>57</v>
      </c>
      <c r="O3649" s="1" t="s">
        <v>936</v>
      </c>
      <c r="P3649" s="1">
        <v>1</v>
      </c>
    </row>
    <row r="3650" spans="1:16" x14ac:dyDescent="0.25">
      <c r="A3650" s="3">
        <v>46101</v>
      </c>
      <c r="B3650" s="4">
        <v>1481</v>
      </c>
      <c r="C3650" s="5">
        <v>650</v>
      </c>
      <c r="D3650" s="1" t="s">
        <v>3954</v>
      </c>
      <c r="E3650" s="1" t="s">
        <v>3955</v>
      </c>
      <c r="F3650" s="1" t="s">
        <v>784</v>
      </c>
      <c r="G3650" s="1" t="s">
        <v>940</v>
      </c>
      <c r="H3650" s="3">
        <v>46132</v>
      </c>
      <c r="I3650" s="1" t="s">
        <v>933</v>
      </c>
      <c r="J3650" s="1" t="s">
        <v>66</v>
      </c>
      <c r="K3650" s="1" t="s">
        <v>340</v>
      </c>
      <c r="L3650" s="1" t="s">
        <v>5020</v>
      </c>
      <c r="M3650" s="3">
        <v>46103</v>
      </c>
      <c r="N3650" s="1" t="s">
        <v>237</v>
      </c>
      <c r="O3650" s="1" t="s">
        <v>936</v>
      </c>
      <c r="P3650" s="1" t="s">
        <v>937</v>
      </c>
    </row>
    <row r="3651" spans="1:16" x14ac:dyDescent="0.25">
      <c r="A3651" s="3">
        <v>46101</v>
      </c>
      <c r="B3651" s="4">
        <v>19461</v>
      </c>
      <c r="C3651" s="5">
        <v>1879.72</v>
      </c>
      <c r="D3651" s="1" t="s">
        <v>3950</v>
      </c>
      <c r="E3651" s="1" t="s">
        <v>3951</v>
      </c>
      <c r="F3651" s="1" t="s">
        <v>784</v>
      </c>
      <c r="G3651" s="1" t="s">
        <v>940</v>
      </c>
      <c r="H3651" s="3">
        <v>46132</v>
      </c>
      <c r="I3651" s="1" t="s">
        <v>933</v>
      </c>
      <c r="J3651" s="1" t="s">
        <v>66</v>
      </c>
      <c r="K3651" s="1" t="s">
        <v>340</v>
      </c>
      <c r="L3651" s="1" t="s">
        <v>5020</v>
      </c>
      <c r="M3651" s="3">
        <v>46103</v>
      </c>
      <c r="N3651" s="1" t="s">
        <v>237</v>
      </c>
      <c r="O3651" s="1" t="s">
        <v>936</v>
      </c>
      <c r="P3651" s="1" t="s">
        <v>937</v>
      </c>
    </row>
    <row r="3652" spans="1:16" x14ac:dyDescent="0.25">
      <c r="A3652" s="3">
        <v>46101</v>
      </c>
      <c r="B3652" s="4">
        <v>5786</v>
      </c>
      <c r="C3652" s="5">
        <v>4200</v>
      </c>
      <c r="D3652" s="1" t="s">
        <v>2048</v>
      </c>
      <c r="E3652" s="1" t="s">
        <v>2049</v>
      </c>
      <c r="F3652" s="1" t="s">
        <v>875</v>
      </c>
      <c r="G3652" s="1" t="s">
        <v>932</v>
      </c>
      <c r="H3652" s="3">
        <v>46123</v>
      </c>
      <c r="I3652" s="1" t="s">
        <v>933</v>
      </c>
      <c r="J3652" s="1" t="s">
        <v>66</v>
      </c>
      <c r="K3652" s="1" t="s">
        <v>659</v>
      </c>
      <c r="L3652" s="1" t="s">
        <v>5021</v>
      </c>
      <c r="M3652" s="3">
        <v>46103</v>
      </c>
      <c r="N3652" s="1" t="s">
        <v>879</v>
      </c>
      <c r="O3652" s="1" t="s">
        <v>936</v>
      </c>
      <c r="P3652" s="1">
        <v>1</v>
      </c>
    </row>
    <row r="3653" spans="1:16" x14ac:dyDescent="0.25">
      <c r="A3653" s="3">
        <v>46101</v>
      </c>
      <c r="B3653" s="1">
        <v>542</v>
      </c>
      <c r="C3653" s="5">
        <v>1690</v>
      </c>
      <c r="D3653" s="1" t="s">
        <v>3981</v>
      </c>
      <c r="E3653" s="1" t="s">
        <v>3982</v>
      </c>
      <c r="F3653" s="1" t="s">
        <v>66</v>
      </c>
      <c r="G3653" s="1" t="s">
        <v>940</v>
      </c>
      <c r="H3653" s="3">
        <v>46128</v>
      </c>
      <c r="I3653" s="1" t="s">
        <v>933</v>
      </c>
      <c r="J3653" s="1" t="s">
        <v>66</v>
      </c>
      <c r="K3653" s="1" t="s">
        <v>858</v>
      </c>
      <c r="L3653" s="1" t="s">
        <v>5022</v>
      </c>
      <c r="M3653" s="3">
        <v>46103</v>
      </c>
      <c r="N3653" s="1" t="s">
        <v>57</v>
      </c>
      <c r="O3653" s="1" t="s">
        <v>936</v>
      </c>
      <c r="P3653" s="1">
        <v>1</v>
      </c>
    </row>
    <row r="3654" spans="1:16" x14ac:dyDescent="0.25">
      <c r="A3654" s="3">
        <v>46101</v>
      </c>
      <c r="B3654" s="4">
        <v>2532</v>
      </c>
      <c r="C3654" s="5">
        <v>780</v>
      </c>
      <c r="D3654" s="1" t="s">
        <v>1182</v>
      </c>
      <c r="E3654" s="1" t="s">
        <v>1183</v>
      </c>
      <c r="F3654" s="1" t="s">
        <v>147</v>
      </c>
      <c r="G3654" s="1" t="s">
        <v>940</v>
      </c>
      <c r="H3654" s="3">
        <v>46132</v>
      </c>
      <c r="I3654" s="1" t="s">
        <v>933</v>
      </c>
      <c r="J3654" s="1" t="s">
        <v>66</v>
      </c>
      <c r="K3654" s="1" t="s">
        <v>340</v>
      </c>
      <c r="L3654" s="1" t="s">
        <v>4062</v>
      </c>
      <c r="M3654" s="3">
        <v>46103</v>
      </c>
      <c r="N3654" s="1" t="s">
        <v>57</v>
      </c>
      <c r="O3654" s="1" t="s">
        <v>936</v>
      </c>
      <c r="P3654" s="1">
        <v>1</v>
      </c>
    </row>
    <row r="3655" spans="1:16" x14ac:dyDescent="0.25">
      <c r="A3655" s="3">
        <v>46101</v>
      </c>
      <c r="B3655" s="1">
        <v>196</v>
      </c>
      <c r="C3655" s="5">
        <v>870</v>
      </c>
      <c r="D3655" s="1" t="s">
        <v>1370</v>
      </c>
      <c r="E3655" s="1" t="s">
        <v>1371</v>
      </c>
      <c r="F3655" s="1" t="s">
        <v>66</v>
      </c>
      <c r="G3655" s="1" t="s">
        <v>940</v>
      </c>
      <c r="H3655" s="3">
        <v>46122</v>
      </c>
      <c r="I3655" s="1" t="s">
        <v>933</v>
      </c>
      <c r="J3655" s="1" t="s">
        <v>66</v>
      </c>
      <c r="K3655" s="1" t="s">
        <v>308</v>
      </c>
      <c r="L3655" s="1" t="s">
        <v>5023</v>
      </c>
      <c r="M3655" s="3">
        <v>46103</v>
      </c>
      <c r="N3655" s="1" t="s">
        <v>57</v>
      </c>
      <c r="O3655" s="1" t="s">
        <v>936</v>
      </c>
      <c r="P3655" s="1" t="s">
        <v>937</v>
      </c>
    </row>
    <row r="3656" spans="1:16" x14ac:dyDescent="0.25">
      <c r="A3656" s="3">
        <v>46101</v>
      </c>
      <c r="B3656" s="4">
        <v>1546</v>
      </c>
      <c r="C3656" s="5">
        <v>54929</v>
      </c>
      <c r="D3656" s="1" t="s">
        <v>1498</v>
      </c>
      <c r="E3656" s="1" t="s">
        <v>3543</v>
      </c>
      <c r="F3656" s="1" t="s">
        <v>949</v>
      </c>
      <c r="G3656" s="1" t="s">
        <v>3022</v>
      </c>
      <c r="H3656" s="3">
        <v>46116</v>
      </c>
      <c r="I3656" s="1" t="s">
        <v>933</v>
      </c>
      <c r="J3656" s="1" t="s">
        <v>951</v>
      </c>
      <c r="K3656" s="1" t="s">
        <v>340</v>
      </c>
      <c r="L3656" s="1" t="s">
        <v>5024</v>
      </c>
      <c r="M3656" s="3">
        <v>46103</v>
      </c>
      <c r="N3656" s="1" t="s">
        <v>57</v>
      </c>
      <c r="O3656" s="1" t="s">
        <v>936</v>
      </c>
      <c r="P3656" s="1">
        <v>1</v>
      </c>
    </row>
    <row r="3657" spans="1:16" x14ac:dyDescent="0.25">
      <c r="A3657" s="3">
        <v>46101</v>
      </c>
      <c r="B3657" s="4">
        <v>7000</v>
      </c>
      <c r="C3657" s="5">
        <v>1645</v>
      </c>
      <c r="D3657" s="1" t="s">
        <v>2001</v>
      </c>
      <c r="E3657" s="1" t="s">
        <v>2002</v>
      </c>
      <c r="F3657" s="1" t="s">
        <v>66</v>
      </c>
      <c r="G3657" s="1" t="s">
        <v>940</v>
      </c>
      <c r="H3657" s="3">
        <v>46132</v>
      </c>
      <c r="I3657" s="1" t="s">
        <v>933</v>
      </c>
      <c r="J3657" s="1" t="s">
        <v>66</v>
      </c>
      <c r="K3657" s="1" t="s">
        <v>148</v>
      </c>
      <c r="L3657" s="1" t="s">
        <v>5025</v>
      </c>
      <c r="M3657" s="3">
        <v>46103</v>
      </c>
      <c r="N3657" s="1" t="s">
        <v>57</v>
      </c>
      <c r="O3657" s="1" t="s">
        <v>936</v>
      </c>
      <c r="P3657" s="1">
        <v>1</v>
      </c>
    </row>
    <row r="3658" spans="1:16" x14ac:dyDescent="0.25">
      <c r="A3658" s="3">
        <v>46101</v>
      </c>
      <c r="B3658" s="1">
        <v>532</v>
      </c>
      <c r="C3658" s="5">
        <v>180</v>
      </c>
      <c r="D3658" s="1" t="s">
        <v>1953</v>
      </c>
      <c r="E3658" s="1" t="s">
        <v>3326</v>
      </c>
      <c r="F3658" s="1" t="s">
        <v>647</v>
      </c>
      <c r="G3658" s="1" t="s">
        <v>940</v>
      </c>
      <c r="H3658" s="3">
        <v>46121</v>
      </c>
      <c r="I3658" s="1" t="s">
        <v>933</v>
      </c>
      <c r="J3658" s="1" t="s">
        <v>66</v>
      </c>
      <c r="K3658" s="1" t="s">
        <v>340</v>
      </c>
      <c r="L3658" s="1" t="s">
        <v>5028</v>
      </c>
      <c r="M3658" s="3">
        <v>46105</v>
      </c>
      <c r="N3658" s="1" t="s">
        <v>57</v>
      </c>
      <c r="O3658" s="1" t="s">
        <v>936</v>
      </c>
      <c r="P3658" s="1">
        <v>1</v>
      </c>
    </row>
    <row r="3659" spans="1:16" x14ac:dyDescent="0.25">
      <c r="A3659" s="3">
        <v>46101</v>
      </c>
      <c r="B3659" s="1">
        <v>532</v>
      </c>
      <c r="C3659" s="5">
        <v>70</v>
      </c>
      <c r="D3659" s="1" t="s">
        <v>1953</v>
      </c>
      <c r="E3659" s="1" t="s">
        <v>3326</v>
      </c>
      <c r="F3659" s="1" t="s">
        <v>110</v>
      </c>
      <c r="G3659" s="1" t="s">
        <v>940</v>
      </c>
      <c r="H3659" s="3">
        <v>46121</v>
      </c>
      <c r="I3659" s="1" t="s">
        <v>933</v>
      </c>
      <c r="J3659" s="1" t="s">
        <v>66</v>
      </c>
      <c r="K3659" s="1" t="s">
        <v>308</v>
      </c>
      <c r="L3659" s="1" t="s">
        <v>5030</v>
      </c>
      <c r="M3659" s="3">
        <v>46105</v>
      </c>
      <c r="N3659" s="1" t="s">
        <v>57</v>
      </c>
      <c r="O3659" s="1" t="s">
        <v>936</v>
      </c>
      <c r="P3659" s="1">
        <v>1</v>
      </c>
    </row>
    <row r="3660" spans="1:16" x14ac:dyDescent="0.25">
      <c r="A3660" s="3">
        <v>46101</v>
      </c>
      <c r="B3660" s="1">
        <v>532</v>
      </c>
      <c r="C3660" s="5">
        <v>240</v>
      </c>
      <c r="D3660" s="1" t="s">
        <v>1953</v>
      </c>
      <c r="E3660" s="1" t="s">
        <v>3326</v>
      </c>
      <c r="F3660" s="1" t="s">
        <v>516</v>
      </c>
      <c r="G3660" s="1" t="s">
        <v>940</v>
      </c>
      <c r="H3660" s="3">
        <v>46121</v>
      </c>
      <c r="I3660" s="1" t="s">
        <v>933</v>
      </c>
      <c r="J3660" s="1" t="s">
        <v>66</v>
      </c>
      <c r="K3660" s="1" t="s">
        <v>487</v>
      </c>
      <c r="L3660" s="1" t="s">
        <v>5031</v>
      </c>
      <c r="M3660" s="3">
        <v>46105</v>
      </c>
      <c r="N3660" s="1" t="s">
        <v>57</v>
      </c>
      <c r="O3660" s="1" t="s">
        <v>936</v>
      </c>
      <c r="P3660" s="1">
        <v>1</v>
      </c>
    </row>
    <row r="3661" spans="1:16" x14ac:dyDescent="0.25">
      <c r="A3661" s="3">
        <v>46101</v>
      </c>
      <c r="B3661" s="1">
        <v>532</v>
      </c>
      <c r="C3661" s="5">
        <v>245</v>
      </c>
      <c r="D3661" s="1" t="s">
        <v>1953</v>
      </c>
      <c r="E3661" s="1" t="s">
        <v>3326</v>
      </c>
      <c r="F3661" s="1" t="s">
        <v>550</v>
      </c>
      <c r="G3661" s="1" t="s">
        <v>940</v>
      </c>
      <c r="H3661" s="3">
        <v>46121</v>
      </c>
      <c r="I3661" s="1" t="s">
        <v>933</v>
      </c>
      <c r="J3661" s="1" t="s">
        <v>66</v>
      </c>
      <c r="K3661" s="1" t="s">
        <v>148</v>
      </c>
      <c r="L3661" s="1" t="s">
        <v>5032</v>
      </c>
      <c r="M3661" s="3">
        <v>46105</v>
      </c>
      <c r="N3661" s="1" t="s">
        <v>57</v>
      </c>
      <c r="O3661" s="1" t="s">
        <v>936</v>
      </c>
      <c r="P3661" s="1">
        <v>1</v>
      </c>
    </row>
    <row r="3662" spans="1:16" x14ac:dyDescent="0.25">
      <c r="A3662" s="3">
        <v>46101</v>
      </c>
      <c r="B3662" s="1">
        <v>532</v>
      </c>
      <c r="C3662" s="5">
        <v>180</v>
      </c>
      <c r="D3662" s="1" t="s">
        <v>1953</v>
      </c>
      <c r="E3662" s="1" t="s">
        <v>3326</v>
      </c>
      <c r="F3662" s="1" t="s">
        <v>400</v>
      </c>
      <c r="G3662" s="1" t="s">
        <v>940</v>
      </c>
      <c r="H3662" s="3">
        <v>46121</v>
      </c>
      <c r="I3662" s="1" t="s">
        <v>933</v>
      </c>
      <c r="J3662" s="1" t="s">
        <v>66</v>
      </c>
      <c r="K3662" s="1" t="s">
        <v>340</v>
      </c>
      <c r="L3662" s="1" t="s">
        <v>5033</v>
      </c>
      <c r="M3662" s="3">
        <v>46105</v>
      </c>
      <c r="N3662" s="1" t="s">
        <v>57</v>
      </c>
      <c r="O3662" s="1" t="s">
        <v>936</v>
      </c>
      <c r="P3662" s="1">
        <v>1</v>
      </c>
    </row>
    <row r="3663" spans="1:16" x14ac:dyDescent="0.25">
      <c r="A3663" s="3">
        <v>46101</v>
      </c>
      <c r="B3663" s="1">
        <v>532</v>
      </c>
      <c r="C3663" s="5">
        <v>85</v>
      </c>
      <c r="D3663" s="1" t="s">
        <v>1953</v>
      </c>
      <c r="E3663" s="1" t="s">
        <v>3326</v>
      </c>
      <c r="F3663" s="1" t="s">
        <v>683</v>
      </c>
      <c r="G3663" s="1" t="s">
        <v>940</v>
      </c>
      <c r="H3663" s="3">
        <v>46121</v>
      </c>
      <c r="I3663" s="1" t="s">
        <v>933</v>
      </c>
      <c r="J3663" s="1" t="s">
        <v>66</v>
      </c>
      <c r="K3663" s="1" t="s">
        <v>105</v>
      </c>
      <c r="L3663" s="1" t="s">
        <v>5034</v>
      </c>
      <c r="M3663" s="3">
        <v>46105</v>
      </c>
      <c r="N3663" s="1" t="s">
        <v>57</v>
      </c>
      <c r="O3663" s="1" t="s">
        <v>936</v>
      </c>
      <c r="P3663" s="1">
        <v>1</v>
      </c>
    </row>
    <row r="3664" spans="1:16" x14ac:dyDescent="0.25">
      <c r="A3664" s="3">
        <v>46101</v>
      </c>
      <c r="B3664" s="1">
        <v>532</v>
      </c>
      <c r="C3664" s="5">
        <v>120</v>
      </c>
      <c r="D3664" s="1" t="s">
        <v>1953</v>
      </c>
      <c r="E3664" s="1" t="s">
        <v>3326</v>
      </c>
      <c r="F3664" s="1" t="s">
        <v>654</v>
      </c>
      <c r="G3664" s="1" t="s">
        <v>940</v>
      </c>
      <c r="H3664" s="3">
        <v>46121</v>
      </c>
      <c r="I3664" s="1" t="s">
        <v>933</v>
      </c>
      <c r="J3664" s="1" t="s">
        <v>66</v>
      </c>
      <c r="K3664" s="1" t="s">
        <v>340</v>
      </c>
      <c r="L3664" s="1" t="s">
        <v>5035</v>
      </c>
      <c r="M3664" s="3">
        <v>46105</v>
      </c>
      <c r="N3664" s="1" t="s">
        <v>57</v>
      </c>
      <c r="O3664" s="1" t="s">
        <v>936</v>
      </c>
      <c r="P3664" s="1">
        <v>1</v>
      </c>
    </row>
    <row r="3665" spans="1:16" x14ac:dyDescent="0.25">
      <c r="A3665" s="3">
        <v>46101</v>
      </c>
      <c r="B3665" s="1">
        <v>532</v>
      </c>
      <c r="C3665" s="5">
        <v>1890</v>
      </c>
      <c r="D3665" s="1" t="s">
        <v>1953</v>
      </c>
      <c r="E3665" s="1" t="s">
        <v>3326</v>
      </c>
      <c r="F3665" s="1" t="s">
        <v>647</v>
      </c>
      <c r="G3665" s="1" t="s">
        <v>940</v>
      </c>
      <c r="H3665" s="3">
        <v>46121</v>
      </c>
      <c r="I3665" s="1" t="s">
        <v>933</v>
      </c>
      <c r="J3665" s="1" t="s">
        <v>66</v>
      </c>
      <c r="K3665" s="1" t="s">
        <v>340</v>
      </c>
      <c r="L3665" s="1" t="s">
        <v>5036</v>
      </c>
      <c r="M3665" s="3">
        <v>46105</v>
      </c>
      <c r="N3665" s="1" t="s">
        <v>57</v>
      </c>
      <c r="O3665" s="1" t="s">
        <v>936</v>
      </c>
      <c r="P3665" s="1">
        <v>1</v>
      </c>
    </row>
    <row r="3666" spans="1:16" x14ac:dyDescent="0.25">
      <c r="A3666" s="3">
        <v>46101</v>
      </c>
      <c r="B3666" s="1">
        <v>532</v>
      </c>
      <c r="C3666" s="5">
        <v>240</v>
      </c>
      <c r="D3666" s="1" t="s">
        <v>1953</v>
      </c>
      <c r="E3666" s="1" t="s">
        <v>3326</v>
      </c>
      <c r="F3666" s="1" t="s">
        <v>775</v>
      </c>
      <c r="G3666" s="1" t="s">
        <v>940</v>
      </c>
      <c r="H3666" s="3">
        <v>46121</v>
      </c>
      <c r="I3666" s="1" t="s">
        <v>933</v>
      </c>
      <c r="J3666" s="1" t="s">
        <v>66</v>
      </c>
      <c r="K3666" s="1" t="s">
        <v>340</v>
      </c>
      <c r="L3666" s="1" t="s">
        <v>5037</v>
      </c>
      <c r="M3666" s="3">
        <v>46105</v>
      </c>
      <c r="N3666" s="1" t="s">
        <v>57</v>
      </c>
      <c r="O3666" s="1" t="s">
        <v>936</v>
      </c>
      <c r="P3666" s="1">
        <v>1</v>
      </c>
    </row>
    <row r="3667" spans="1:16" x14ac:dyDescent="0.25">
      <c r="A3667" s="3">
        <v>46101</v>
      </c>
      <c r="B3667" s="1">
        <v>532</v>
      </c>
      <c r="C3667" s="5">
        <v>930</v>
      </c>
      <c r="D3667" s="1" t="s">
        <v>1953</v>
      </c>
      <c r="E3667" s="1" t="s">
        <v>3326</v>
      </c>
      <c r="F3667" s="1" t="s">
        <v>693</v>
      </c>
      <c r="G3667" s="1" t="s">
        <v>940</v>
      </c>
      <c r="H3667" s="3">
        <v>46121</v>
      </c>
      <c r="I3667" s="1" t="s">
        <v>933</v>
      </c>
      <c r="J3667" s="1" t="s">
        <v>66</v>
      </c>
      <c r="K3667" s="1" t="s">
        <v>340</v>
      </c>
      <c r="L3667" s="1" t="s">
        <v>5038</v>
      </c>
      <c r="M3667" s="3">
        <v>46105</v>
      </c>
      <c r="N3667" s="1" t="s">
        <v>57</v>
      </c>
      <c r="O3667" s="1" t="s">
        <v>936</v>
      </c>
      <c r="P3667" s="1">
        <v>1</v>
      </c>
    </row>
    <row r="3668" spans="1:16" x14ac:dyDescent="0.25">
      <c r="A3668" s="3">
        <v>46101</v>
      </c>
      <c r="B3668" s="1">
        <v>536</v>
      </c>
      <c r="C3668" s="5">
        <v>90</v>
      </c>
      <c r="D3668" s="1" t="s">
        <v>1953</v>
      </c>
      <c r="E3668" s="1" t="s">
        <v>3326</v>
      </c>
      <c r="F3668" s="1" t="s">
        <v>670</v>
      </c>
      <c r="G3668" s="1" t="s">
        <v>940</v>
      </c>
      <c r="H3668" s="3">
        <v>46121</v>
      </c>
      <c r="I3668" s="1" t="s">
        <v>933</v>
      </c>
      <c r="J3668" s="1" t="s">
        <v>66</v>
      </c>
      <c r="K3668" s="1" t="s">
        <v>659</v>
      </c>
      <c r="L3668" s="1" t="s">
        <v>5039</v>
      </c>
      <c r="M3668" s="3">
        <v>46105</v>
      </c>
      <c r="N3668" s="1" t="s">
        <v>57</v>
      </c>
      <c r="O3668" s="1" t="s">
        <v>936</v>
      </c>
      <c r="P3668" s="1">
        <v>1</v>
      </c>
    </row>
    <row r="3669" spans="1:16" x14ac:dyDescent="0.25">
      <c r="A3669" s="3">
        <v>46101</v>
      </c>
      <c r="B3669" s="1">
        <v>536</v>
      </c>
      <c r="C3669" s="5">
        <v>80</v>
      </c>
      <c r="D3669" s="1" t="s">
        <v>1953</v>
      </c>
      <c r="E3669" s="1" t="s">
        <v>3326</v>
      </c>
      <c r="F3669" s="1" t="s">
        <v>201</v>
      </c>
      <c r="G3669" s="1" t="s">
        <v>940</v>
      </c>
      <c r="H3669" s="3">
        <v>46121</v>
      </c>
      <c r="I3669" s="1" t="s">
        <v>933</v>
      </c>
      <c r="J3669" s="1" t="s">
        <v>66</v>
      </c>
      <c r="K3669" s="1" t="s">
        <v>340</v>
      </c>
      <c r="L3669" s="1" t="s">
        <v>5040</v>
      </c>
      <c r="M3669" s="3">
        <v>46105</v>
      </c>
      <c r="N3669" s="1" t="s">
        <v>57</v>
      </c>
      <c r="O3669" s="1" t="s">
        <v>936</v>
      </c>
      <c r="P3669" s="1">
        <v>1</v>
      </c>
    </row>
    <row r="3670" spans="1:16" x14ac:dyDescent="0.25">
      <c r="A3670" s="3">
        <v>46101</v>
      </c>
      <c r="B3670" s="1">
        <v>536</v>
      </c>
      <c r="C3670" s="5">
        <v>55</v>
      </c>
      <c r="D3670" s="1" t="s">
        <v>1953</v>
      </c>
      <c r="E3670" s="1" t="s">
        <v>3326</v>
      </c>
      <c r="F3670" s="1" t="s">
        <v>304</v>
      </c>
      <c r="G3670" s="1" t="s">
        <v>940</v>
      </c>
      <c r="H3670" s="3">
        <v>46121</v>
      </c>
      <c r="I3670" s="1" t="s">
        <v>933</v>
      </c>
      <c r="J3670" s="1" t="s">
        <v>66</v>
      </c>
      <c r="K3670" s="1" t="s">
        <v>340</v>
      </c>
      <c r="L3670" s="1" t="s">
        <v>5041</v>
      </c>
      <c r="M3670" s="3">
        <v>46105</v>
      </c>
      <c r="N3670" s="1" t="s">
        <v>57</v>
      </c>
      <c r="O3670" s="1" t="s">
        <v>936</v>
      </c>
      <c r="P3670" s="1">
        <v>1</v>
      </c>
    </row>
    <row r="3671" spans="1:16" x14ac:dyDescent="0.25">
      <c r="A3671" s="3">
        <v>46101</v>
      </c>
      <c r="B3671" s="1">
        <v>536</v>
      </c>
      <c r="C3671" s="5">
        <v>280</v>
      </c>
      <c r="D3671" s="1" t="s">
        <v>1953</v>
      </c>
      <c r="E3671" s="1" t="s">
        <v>3326</v>
      </c>
      <c r="F3671" s="1" t="s">
        <v>445</v>
      </c>
      <c r="G3671" s="1" t="s">
        <v>940</v>
      </c>
      <c r="H3671" s="3">
        <v>46121</v>
      </c>
      <c r="I3671" s="1" t="s">
        <v>933</v>
      </c>
      <c r="J3671" s="1" t="s">
        <v>66</v>
      </c>
      <c r="K3671" s="1" t="s">
        <v>308</v>
      </c>
      <c r="L3671" s="1" t="s">
        <v>5042</v>
      </c>
      <c r="M3671" s="3">
        <v>46105</v>
      </c>
      <c r="N3671" s="1" t="s">
        <v>57</v>
      </c>
      <c r="O3671" s="1" t="s">
        <v>936</v>
      </c>
      <c r="P3671" s="1">
        <v>1</v>
      </c>
    </row>
    <row r="3672" spans="1:16" x14ac:dyDescent="0.25">
      <c r="A3672" s="3">
        <v>46101</v>
      </c>
      <c r="B3672" s="1">
        <v>536</v>
      </c>
      <c r="C3672" s="5">
        <v>160</v>
      </c>
      <c r="D3672" s="1" t="s">
        <v>1953</v>
      </c>
      <c r="E3672" s="1" t="s">
        <v>3326</v>
      </c>
      <c r="F3672" s="1" t="s">
        <v>66</v>
      </c>
      <c r="G3672" s="1" t="s">
        <v>940</v>
      </c>
      <c r="H3672" s="3">
        <v>46121</v>
      </c>
      <c r="I3672" s="1" t="s">
        <v>933</v>
      </c>
      <c r="J3672" s="1" t="s">
        <v>66</v>
      </c>
      <c r="K3672" s="1" t="s">
        <v>308</v>
      </c>
      <c r="L3672" s="1" t="s">
        <v>5043</v>
      </c>
      <c r="M3672" s="3">
        <v>46105</v>
      </c>
      <c r="N3672" s="1" t="s">
        <v>57</v>
      </c>
      <c r="O3672" s="1" t="s">
        <v>936</v>
      </c>
      <c r="P3672" s="1">
        <v>1</v>
      </c>
    </row>
    <row r="3673" spans="1:16" x14ac:dyDescent="0.25">
      <c r="A3673" s="3">
        <v>46101</v>
      </c>
      <c r="B3673" s="1">
        <v>536</v>
      </c>
      <c r="C3673" s="5">
        <v>400</v>
      </c>
      <c r="D3673" s="1" t="s">
        <v>1953</v>
      </c>
      <c r="E3673" s="1" t="s">
        <v>3326</v>
      </c>
      <c r="F3673" s="1" t="s">
        <v>949</v>
      </c>
      <c r="G3673" s="1" t="s">
        <v>940</v>
      </c>
      <c r="H3673" s="3">
        <v>46121</v>
      </c>
      <c r="I3673" s="1" t="s">
        <v>933</v>
      </c>
      <c r="J3673" s="1" t="s">
        <v>66</v>
      </c>
      <c r="K3673" s="1" t="s">
        <v>640</v>
      </c>
      <c r="L3673" s="1" t="s">
        <v>5044</v>
      </c>
      <c r="M3673" s="3">
        <v>46105</v>
      </c>
      <c r="N3673" s="1" t="s">
        <v>57</v>
      </c>
      <c r="O3673" s="1" t="s">
        <v>936</v>
      </c>
      <c r="P3673" s="1">
        <v>1</v>
      </c>
    </row>
    <row r="3674" spans="1:16" x14ac:dyDescent="0.25">
      <c r="A3674" s="3">
        <v>46101</v>
      </c>
      <c r="B3674" s="1">
        <v>536</v>
      </c>
      <c r="C3674" s="5">
        <v>240</v>
      </c>
      <c r="D3674" s="1" t="s">
        <v>1953</v>
      </c>
      <c r="E3674" s="1" t="s">
        <v>3326</v>
      </c>
      <c r="F3674" s="1" t="s">
        <v>906</v>
      </c>
      <c r="G3674" s="1" t="s">
        <v>940</v>
      </c>
      <c r="H3674" s="3">
        <v>46121</v>
      </c>
      <c r="I3674" s="1" t="s">
        <v>933</v>
      </c>
      <c r="J3674" s="1" t="s">
        <v>66</v>
      </c>
      <c r="K3674" s="1" t="s">
        <v>308</v>
      </c>
      <c r="L3674" s="1" t="s">
        <v>5045</v>
      </c>
      <c r="M3674" s="3">
        <v>46105</v>
      </c>
      <c r="N3674" s="1" t="s">
        <v>57</v>
      </c>
      <c r="O3674" s="1" t="s">
        <v>936</v>
      </c>
      <c r="P3674" s="1">
        <v>1</v>
      </c>
    </row>
    <row r="3675" spans="1:16" x14ac:dyDescent="0.25">
      <c r="A3675" s="3">
        <v>46101</v>
      </c>
      <c r="B3675" s="1">
        <v>536</v>
      </c>
      <c r="C3675" s="5">
        <v>850</v>
      </c>
      <c r="D3675" s="1" t="s">
        <v>1953</v>
      </c>
      <c r="E3675" s="1" t="s">
        <v>3326</v>
      </c>
      <c r="F3675" s="1" t="s">
        <v>572</v>
      </c>
      <c r="G3675" s="1" t="s">
        <v>940</v>
      </c>
      <c r="H3675" s="3">
        <v>46121</v>
      </c>
      <c r="I3675" s="1" t="s">
        <v>933</v>
      </c>
      <c r="J3675" s="1" t="s">
        <v>66</v>
      </c>
      <c r="K3675" s="1" t="s">
        <v>148</v>
      </c>
      <c r="L3675" s="1" t="s">
        <v>5046</v>
      </c>
      <c r="M3675" s="3">
        <v>46105</v>
      </c>
      <c r="N3675" s="1" t="s">
        <v>57</v>
      </c>
      <c r="O3675" s="1" t="s">
        <v>936</v>
      </c>
      <c r="P3675" s="1">
        <v>1</v>
      </c>
    </row>
    <row r="3676" spans="1:16" x14ac:dyDescent="0.25">
      <c r="A3676" s="3">
        <v>46101</v>
      </c>
      <c r="B3676" s="1">
        <v>536</v>
      </c>
      <c r="C3676" s="5">
        <v>570</v>
      </c>
      <c r="D3676" s="1" t="s">
        <v>1953</v>
      </c>
      <c r="E3676" s="1" t="s">
        <v>3326</v>
      </c>
      <c r="F3676" s="1" t="s">
        <v>66</v>
      </c>
      <c r="G3676" s="1" t="s">
        <v>940</v>
      </c>
      <c r="H3676" s="3">
        <v>46121</v>
      </c>
      <c r="I3676" s="1" t="s">
        <v>933</v>
      </c>
      <c r="J3676" s="1" t="s">
        <v>66</v>
      </c>
      <c r="K3676" s="1" t="s">
        <v>308</v>
      </c>
      <c r="L3676" s="1" t="s">
        <v>5047</v>
      </c>
      <c r="M3676" s="3">
        <v>46105</v>
      </c>
      <c r="N3676" s="1" t="s">
        <v>57</v>
      </c>
      <c r="O3676" s="1" t="s">
        <v>936</v>
      </c>
      <c r="P3676" s="1">
        <v>1</v>
      </c>
    </row>
    <row r="3677" spans="1:16" x14ac:dyDescent="0.25">
      <c r="A3677" s="3">
        <v>46101</v>
      </c>
      <c r="B3677" s="1">
        <v>536</v>
      </c>
      <c r="C3677" s="5">
        <v>40</v>
      </c>
      <c r="D3677" s="1" t="s">
        <v>1953</v>
      </c>
      <c r="E3677" s="1" t="s">
        <v>3326</v>
      </c>
      <c r="F3677" s="1" t="s">
        <v>426</v>
      </c>
      <c r="G3677" s="1" t="s">
        <v>940</v>
      </c>
      <c r="H3677" s="3">
        <v>46121</v>
      </c>
      <c r="I3677" s="1" t="s">
        <v>933</v>
      </c>
      <c r="J3677" s="1" t="s">
        <v>66</v>
      </c>
      <c r="K3677" s="1" t="s">
        <v>308</v>
      </c>
      <c r="L3677" s="1" t="s">
        <v>5048</v>
      </c>
      <c r="M3677" s="3">
        <v>46105</v>
      </c>
      <c r="N3677" s="1" t="s">
        <v>57</v>
      </c>
      <c r="O3677" s="1" t="s">
        <v>936</v>
      </c>
      <c r="P3677" s="1">
        <v>1</v>
      </c>
    </row>
    <row r="3678" spans="1:16" x14ac:dyDescent="0.25">
      <c r="A3678" s="3">
        <v>46101</v>
      </c>
      <c r="B3678" s="1">
        <v>536</v>
      </c>
      <c r="C3678" s="5">
        <v>2210</v>
      </c>
      <c r="D3678" s="1" t="s">
        <v>1953</v>
      </c>
      <c r="E3678" s="1" t="s">
        <v>3326</v>
      </c>
      <c r="F3678" s="1" t="s">
        <v>599</v>
      </c>
      <c r="G3678" s="1" t="s">
        <v>940</v>
      </c>
      <c r="H3678" s="3">
        <v>46121</v>
      </c>
      <c r="I3678" s="1" t="s">
        <v>1100</v>
      </c>
      <c r="J3678" s="1" t="s">
        <v>66</v>
      </c>
      <c r="K3678" s="1" t="s">
        <v>148</v>
      </c>
      <c r="L3678" s="1" t="s">
        <v>5049</v>
      </c>
      <c r="M3678" s="3">
        <v>46105</v>
      </c>
      <c r="N3678" s="1" t="s">
        <v>57</v>
      </c>
      <c r="O3678" s="1" t="s">
        <v>936</v>
      </c>
      <c r="P3678" s="1">
        <v>1</v>
      </c>
    </row>
    <row r="3679" spans="1:16" x14ac:dyDescent="0.25">
      <c r="A3679" s="3">
        <v>46101</v>
      </c>
      <c r="B3679" s="1">
        <v>536</v>
      </c>
      <c r="C3679" s="5">
        <v>80</v>
      </c>
      <c r="D3679" s="1" t="s">
        <v>1953</v>
      </c>
      <c r="E3679" s="1" t="s">
        <v>3326</v>
      </c>
      <c r="F3679" s="1" t="s">
        <v>949</v>
      </c>
      <c r="G3679" s="1" t="s">
        <v>940</v>
      </c>
      <c r="H3679" s="3">
        <v>46121</v>
      </c>
      <c r="I3679" s="1" t="s">
        <v>933</v>
      </c>
      <c r="J3679" s="1" t="s">
        <v>66</v>
      </c>
      <c r="K3679" s="1" t="s">
        <v>640</v>
      </c>
      <c r="L3679" s="1" t="s">
        <v>5050</v>
      </c>
      <c r="M3679" s="3">
        <v>46105</v>
      </c>
      <c r="N3679" s="1" t="s">
        <v>57</v>
      </c>
      <c r="O3679" s="1" t="s">
        <v>936</v>
      </c>
      <c r="P3679" s="1">
        <v>1</v>
      </c>
    </row>
    <row r="3680" spans="1:16" x14ac:dyDescent="0.25">
      <c r="A3680" s="3">
        <v>46101</v>
      </c>
      <c r="B3680" s="1">
        <v>535</v>
      </c>
      <c r="C3680" s="5">
        <v>60</v>
      </c>
      <c r="D3680" s="1" t="s">
        <v>1953</v>
      </c>
      <c r="E3680" s="1" t="s">
        <v>3326</v>
      </c>
      <c r="F3680" s="1" t="s">
        <v>83</v>
      </c>
      <c r="G3680" s="1" t="s">
        <v>940</v>
      </c>
      <c r="H3680" s="3">
        <v>46121</v>
      </c>
      <c r="I3680" s="1" t="s">
        <v>933</v>
      </c>
      <c r="J3680" s="1" t="s">
        <v>66</v>
      </c>
      <c r="K3680" s="1" t="s">
        <v>105</v>
      </c>
      <c r="L3680" s="1" t="s">
        <v>5051</v>
      </c>
      <c r="M3680" s="3">
        <v>46105</v>
      </c>
      <c r="N3680" s="1" t="s">
        <v>57</v>
      </c>
      <c r="O3680" s="1" t="s">
        <v>936</v>
      </c>
      <c r="P3680" s="1">
        <v>1</v>
      </c>
    </row>
    <row r="3681" spans="1:16" x14ac:dyDescent="0.25">
      <c r="A3681" s="3">
        <v>46101</v>
      </c>
      <c r="B3681" s="1">
        <v>535</v>
      </c>
      <c r="C3681" s="5">
        <v>410</v>
      </c>
      <c r="D3681" s="1" t="s">
        <v>1953</v>
      </c>
      <c r="E3681" s="1" t="s">
        <v>3326</v>
      </c>
      <c r="F3681" s="1" t="s">
        <v>95</v>
      </c>
      <c r="G3681" s="1" t="s">
        <v>940</v>
      </c>
      <c r="H3681" s="3">
        <v>46121</v>
      </c>
      <c r="I3681" s="1" t="s">
        <v>933</v>
      </c>
      <c r="J3681" s="1" t="s">
        <v>66</v>
      </c>
      <c r="K3681" s="1" t="s">
        <v>340</v>
      </c>
      <c r="L3681" s="1" t="s">
        <v>5052</v>
      </c>
      <c r="M3681" s="3">
        <v>46105</v>
      </c>
      <c r="N3681" s="1" t="s">
        <v>57</v>
      </c>
      <c r="O3681" s="1" t="s">
        <v>936</v>
      </c>
      <c r="P3681" s="1">
        <v>1</v>
      </c>
    </row>
    <row r="3682" spans="1:16" x14ac:dyDescent="0.25">
      <c r="A3682" s="3">
        <v>46101</v>
      </c>
      <c r="B3682" s="1">
        <v>535</v>
      </c>
      <c r="C3682" s="5">
        <v>270</v>
      </c>
      <c r="D3682" s="1" t="s">
        <v>1953</v>
      </c>
      <c r="E3682" s="1" t="s">
        <v>3326</v>
      </c>
      <c r="F3682" s="1" t="s">
        <v>153</v>
      </c>
      <c r="G3682" s="1" t="s">
        <v>940</v>
      </c>
      <c r="H3682" s="3">
        <v>46121</v>
      </c>
      <c r="I3682" s="1" t="s">
        <v>933</v>
      </c>
      <c r="J3682" s="1" t="s">
        <v>66</v>
      </c>
      <c r="K3682" s="1" t="s">
        <v>52</v>
      </c>
      <c r="L3682" s="1" t="s">
        <v>5053</v>
      </c>
      <c r="M3682" s="3">
        <v>46105</v>
      </c>
      <c r="N3682" s="1" t="s">
        <v>57</v>
      </c>
      <c r="O3682" s="1" t="s">
        <v>936</v>
      </c>
      <c r="P3682" s="1">
        <v>1</v>
      </c>
    </row>
    <row r="3683" spans="1:16" x14ac:dyDescent="0.25">
      <c r="A3683" s="3">
        <v>46101</v>
      </c>
      <c r="B3683" s="1">
        <v>535</v>
      </c>
      <c r="C3683" s="5">
        <v>280</v>
      </c>
      <c r="D3683" s="1" t="s">
        <v>1953</v>
      </c>
      <c r="E3683" s="1" t="s">
        <v>3326</v>
      </c>
      <c r="F3683" s="1" t="s">
        <v>578</v>
      </c>
      <c r="G3683" s="1" t="s">
        <v>940</v>
      </c>
      <c r="H3683" s="3">
        <v>46121</v>
      </c>
      <c r="I3683" s="1" t="s">
        <v>933</v>
      </c>
      <c r="J3683" s="1" t="s">
        <v>66</v>
      </c>
      <c r="K3683" s="1" t="s">
        <v>52</v>
      </c>
      <c r="L3683" s="1" t="s">
        <v>5054</v>
      </c>
      <c r="M3683" s="3">
        <v>46105</v>
      </c>
      <c r="N3683" s="1" t="s">
        <v>57</v>
      </c>
      <c r="O3683" s="1" t="s">
        <v>936</v>
      </c>
      <c r="P3683" s="1">
        <v>1</v>
      </c>
    </row>
    <row r="3684" spans="1:16" x14ac:dyDescent="0.25">
      <c r="A3684" s="3">
        <v>46101</v>
      </c>
      <c r="B3684" s="1">
        <v>535</v>
      </c>
      <c r="C3684" s="5">
        <v>240</v>
      </c>
      <c r="D3684" s="1" t="s">
        <v>1953</v>
      </c>
      <c r="E3684" s="1" t="s">
        <v>3326</v>
      </c>
      <c r="F3684" s="1" t="s">
        <v>617</v>
      </c>
      <c r="G3684" s="1" t="s">
        <v>940</v>
      </c>
      <c r="H3684" s="3">
        <v>46121</v>
      </c>
      <c r="I3684" s="1" t="s">
        <v>933</v>
      </c>
      <c r="J3684" s="1" t="s">
        <v>66</v>
      </c>
      <c r="K3684" s="1" t="s">
        <v>340</v>
      </c>
      <c r="L3684" s="1" t="s">
        <v>5055</v>
      </c>
      <c r="M3684" s="3">
        <v>46105</v>
      </c>
      <c r="N3684" s="1" t="s">
        <v>57</v>
      </c>
      <c r="O3684" s="1" t="s">
        <v>936</v>
      </c>
      <c r="P3684" s="1">
        <v>1</v>
      </c>
    </row>
    <row r="3685" spans="1:16" x14ac:dyDescent="0.25">
      <c r="A3685" s="3">
        <v>46101</v>
      </c>
      <c r="B3685" s="1">
        <v>535</v>
      </c>
      <c r="C3685" s="5">
        <v>330</v>
      </c>
      <c r="D3685" s="1" t="s">
        <v>1953</v>
      </c>
      <c r="E3685" s="1" t="s">
        <v>3326</v>
      </c>
      <c r="F3685" s="1" t="s">
        <v>185</v>
      </c>
      <c r="G3685" s="1" t="s">
        <v>940</v>
      </c>
      <c r="H3685" s="3">
        <v>46121</v>
      </c>
      <c r="I3685" s="1" t="s">
        <v>933</v>
      </c>
      <c r="J3685" s="1" t="s">
        <v>66</v>
      </c>
      <c r="K3685" s="1" t="s">
        <v>52</v>
      </c>
      <c r="L3685" s="1" t="s">
        <v>5056</v>
      </c>
      <c r="M3685" s="3">
        <v>46105</v>
      </c>
      <c r="N3685" s="1" t="s">
        <v>57</v>
      </c>
      <c r="O3685" s="1" t="s">
        <v>936</v>
      </c>
      <c r="P3685" s="1">
        <v>1</v>
      </c>
    </row>
    <row r="3686" spans="1:16" x14ac:dyDescent="0.25">
      <c r="A3686" s="3">
        <v>46101</v>
      </c>
      <c r="B3686" s="1">
        <v>535</v>
      </c>
      <c r="C3686" s="5">
        <v>280</v>
      </c>
      <c r="D3686" s="1" t="s">
        <v>1953</v>
      </c>
      <c r="E3686" s="1" t="s">
        <v>3326</v>
      </c>
      <c r="F3686" s="1" t="s">
        <v>1814</v>
      </c>
      <c r="G3686" s="1" t="s">
        <v>940</v>
      </c>
      <c r="H3686" s="3">
        <v>46121</v>
      </c>
      <c r="I3686" s="1" t="s">
        <v>933</v>
      </c>
      <c r="J3686" s="1" t="s">
        <v>66</v>
      </c>
      <c r="K3686" s="1" t="s">
        <v>1814</v>
      </c>
      <c r="L3686" s="1" t="s">
        <v>5057</v>
      </c>
      <c r="M3686" s="3">
        <v>46105</v>
      </c>
      <c r="N3686" s="1" t="s">
        <v>57</v>
      </c>
      <c r="O3686" s="1" t="s">
        <v>936</v>
      </c>
      <c r="P3686" s="1">
        <v>1</v>
      </c>
    </row>
    <row r="3687" spans="1:16" x14ac:dyDescent="0.25">
      <c r="A3687" s="3">
        <v>46101</v>
      </c>
      <c r="B3687" s="1">
        <v>535</v>
      </c>
      <c r="C3687" s="5">
        <v>485</v>
      </c>
      <c r="D3687" s="1" t="s">
        <v>1953</v>
      </c>
      <c r="E3687" s="1" t="s">
        <v>3326</v>
      </c>
      <c r="F3687" s="1" t="s">
        <v>147</v>
      </c>
      <c r="G3687" s="1" t="s">
        <v>940</v>
      </c>
      <c r="H3687" s="3">
        <v>46121</v>
      </c>
      <c r="I3687" s="1" t="s">
        <v>933</v>
      </c>
      <c r="J3687" s="1" t="s">
        <v>66</v>
      </c>
      <c r="K3687" s="1" t="s">
        <v>340</v>
      </c>
      <c r="L3687" s="1" t="s">
        <v>5058</v>
      </c>
      <c r="M3687" s="3">
        <v>46105</v>
      </c>
      <c r="N3687" s="1" t="s">
        <v>57</v>
      </c>
      <c r="O3687" s="1" t="s">
        <v>936</v>
      </c>
      <c r="P3687" s="1">
        <v>1</v>
      </c>
    </row>
    <row r="3688" spans="1:16" x14ac:dyDescent="0.25">
      <c r="A3688" s="3">
        <v>46101</v>
      </c>
      <c r="B3688" s="1">
        <v>535</v>
      </c>
      <c r="C3688" s="5">
        <v>280</v>
      </c>
      <c r="D3688" s="1" t="s">
        <v>1953</v>
      </c>
      <c r="E3688" s="1" t="s">
        <v>3326</v>
      </c>
      <c r="F3688" s="1" t="s">
        <v>447</v>
      </c>
      <c r="G3688" s="1" t="s">
        <v>940</v>
      </c>
      <c r="H3688" s="3">
        <v>46121</v>
      </c>
      <c r="I3688" s="1" t="s">
        <v>933</v>
      </c>
      <c r="J3688" s="1" t="s">
        <v>66</v>
      </c>
      <c r="K3688" s="1" t="s">
        <v>308</v>
      </c>
      <c r="L3688" s="1" t="s">
        <v>5059</v>
      </c>
      <c r="M3688" s="3">
        <v>46105</v>
      </c>
      <c r="N3688" s="1" t="s">
        <v>57</v>
      </c>
      <c r="O3688" s="1" t="s">
        <v>936</v>
      </c>
      <c r="P3688" s="1">
        <v>1</v>
      </c>
    </row>
    <row r="3689" spans="1:16" x14ac:dyDescent="0.25">
      <c r="A3689" s="3">
        <v>46101</v>
      </c>
      <c r="B3689" s="1">
        <v>535</v>
      </c>
      <c r="C3689" s="5">
        <v>120</v>
      </c>
      <c r="D3689" s="1" t="s">
        <v>1953</v>
      </c>
      <c r="E3689" s="1" t="s">
        <v>3326</v>
      </c>
      <c r="F3689" s="1" t="s">
        <v>453</v>
      </c>
      <c r="G3689" s="1" t="s">
        <v>940</v>
      </c>
      <c r="H3689" s="3">
        <v>46121</v>
      </c>
      <c r="I3689" s="1" t="s">
        <v>933</v>
      </c>
      <c r="J3689" s="1" t="s">
        <v>66</v>
      </c>
      <c r="K3689" s="1" t="s">
        <v>308</v>
      </c>
      <c r="L3689" s="1" t="s">
        <v>5060</v>
      </c>
      <c r="M3689" s="3">
        <v>46105</v>
      </c>
      <c r="N3689" s="1" t="s">
        <v>57</v>
      </c>
      <c r="O3689" s="1" t="s">
        <v>936</v>
      </c>
      <c r="P3689" s="1">
        <v>1</v>
      </c>
    </row>
    <row r="3690" spans="1:16" x14ac:dyDescent="0.25">
      <c r="A3690" s="3">
        <v>46101</v>
      </c>
      <c r="B3690" s="1">
        <v>535</v>
      </c>
      <c r="C3690" s="5">
        <v>50</v>
      </c>
      <c r="D3690" s="1" t="s">
        <v>1953</v>
      </c>
      <c r="E3690" s="1" t="s">
        <v>3326</v>
      </c>
      <c r="F3690" s="1" t="s">
        <v>483</v>
      </c>
      <c r="G3690" s="1" t="s">
        <v>940</v>
      </c>
      <c r="H3690" s="3">
        <v>46121</v>
      </c>
      <c r="I3690" s="1" t="s">
        <v>933</v>
      </c>
      <c r="J3690" s="1" t="s">
        <v>66</v>
      </c>
      <c r="K3690" s="1" t="s">
        <v>308</v>
      </c>
      <c r="L3690" s="1" t="s">
        <v>5061</v>
      </c>
      <c r="M3690" s="3">
        <v>46105</v>
      </c>
      <c r="N3690" s="1" t="s">
        <v>57</v>
      </c>
      <c r="O3690" s="1" t="s">
        <v>936</v>
      </c>
      <c r="P3690" s="1">
        <v>1</v>
      </c>
    </row>
    <row r="3691" spans="1:16" x14ac:dyDescent="0.25">
      <c r="A3691" s="3">
        <v>46101</v>
      </c>
      <c r="B3691" s="1">
        <v>535</v>
      </c>
      <c r="C3691" s="5">
        <v>130</v>
      </c>
      <c r="D3691" s="1" t="s">
        <v>1953</v>
      </c>
      <c r="E3691" s="1" t="s">
        <v>3326</v>
      </c>
      <c r="F3691" s="1" t="s">
        <v>250</v>
      </c>
      <c r="G3691" s="1" t="s">
        <v>940</v>
      </c>
      <c r="H3691" s="3">
        <v>46121</v>
      </c>
      <c r="I3691" s="1" t="s">
        <v>933</v>
      </c>
      <c r="J3691" s="1" t="s">
        <v>66</v>
      </c>
      <c r="K3691" s="1" t="s">
        <v>340</v>
      </c>
      <c r="L3691" s="1" t="s">
        <v>5063</v>
      </c>
      <c r="M3691" s="3">
        <v>46105</v>
      </c>
      <c r="N3691" s="1" t="s">
        <v>57</v>
      </c>
      <c r="O3691" s="1" t="s">
        <v>936</v>
      </c>
      <c r="P3691" s="1">
        <v>1</v>
      </c>
    </row>
    <row r="3692" spans="1:16" x14ac:dyDescent="0.25">
      <c r="A3692" s="3">
        <v>46101</v>
      </c>
      <c r="B3692" s="1">
        <v>535</v>
      </c>
      <c r="C3692" s="5">
        <v>200</v>
      </c>
      <c r="D3692" s="1" t="s">
        <v>1953</v>
      </c>
      <c r="E3692" s="1" t="s">
        <v>3326</v>
      </c>
      <c r="F3692" s="1" t="s">
        <v>773</v>
      </c>
      <c r="G3692" s="1" t="s">
        <v>940</v>
      </c>
      <c r="H3692" s="3">
        <v>46121</v>
      </c>
      <c r="I3692" s="1" t="s">
        <v>933</v>
      </c>
      <c r="J3692" s="1" t="s">
        <v>66</v>
      </c>
      <c r="K3692" s="1" t="s">
        <v>308</v>
      </c>
      <c r="L3692" s="1" t="s">
        <v>5064</v>
      </c>
      <c r="M3692" s="3">
        <v>46105</v>
      </c>
      <c r="N3692" s="1" t="s">
        <v>57</v>
      </c>
      <c r="O3692" s="1" t="s">
        <v>936</v>
      </c>
      <c r="P3692" s="1">
        <v>1</v>
      </c>
    </row>
    <row r="3693" spans="1:16" x14ac:dyDescent="0.25">
      <c r="A3693" s="3">
        <v>46101</v>
      </c>
      <c r="B3693" s="1">
        <v>535</v>
      </c>
      <c r="C3693" s="5">
        <v>70</v>
      </c>
      <c r="D3693" s="1" t="s">
        <v>1953</v>
      </c>
      <c r="E3693" s="1" t="s">
        <v>3326</v>
      </c>
      <c r="F3693" s="1" t="s">
        <v>339</v>
      </c>
      <c r="G3693" s="1" t="s">
        <v>940</v>
      </c>
      <c r="H3693" s="3">
        <v>46121</v>
      </c>
      <c r="I3693" s="1" t="s">
        <v>933</v>
      </c>
      <c r="J3693" s="1" t="s">
        <v>66</v>
      </c>
      <c r="K3693" s="1" t="s">
        <v>340</v>
      </c>
      <c r="L3693" s="1" t="s">
        <v>5065</v>
      </c>
      <c r="M3693" s="3">
        <v>46105</v>
      </c>
      <c r="N3693" s="1" t="s">
        <v>57</v>
      </c>
      <c r="O3693" s="1" t="s">
        <v>936</v>
      </c>
      <c r="P3693" s="1">
        <v>1</v>
      </c>
    </row>
    <row r="3694" spans="1:16" x14ac:dyDescent="0.25">
      <c r="A3694" s="3">
        <v>46101</v>
      </c>
      <c r="B3694" s="1">
        <v>535</v>
      </c>
      <c r="C3694" s="5">
        <v>400</v>
      </c>
      <c r="D3694" s="1" t="s">
        <v>1953</v>
      </c>
      <c r="E3694" s="1" t="s">
        <v>3326</v>
      </c>
      <c r="F3694" s="1" t="s">
        <v>949</v>
      </c>
      <c r="G3694" s="1" t="s">
        <v>940</v>
      </c>
      <c r="H3694" s="3">
        <v>46121</v>
      </c>
      <c r="I3694" s="1" t="s">
        <v>933</v>
      </c>
      <c r="J3694" s="1" t="s">
        <v>66</v>
      </c>
      <c r="K3694" s="1" t="s">
        <v>640</v>
      </c>
      <c r="L3694" s="1" t="s">
        <v>5066</v>
      </c>
      <c r="M3694" s="3">
        <v>46105</v>
      </c>
      <c r="N3694" s="1" t="s">
        <v>57</v>
      </c>
      <c r="O3694" s="1" t="s">
        <v>936</v>
      </c>
      <c r="P3694" s="1">
        <v>1</v>
      </c>
    </row>
    <row r="3695" spans="1:16" x14ac:dyDescent="0.25">
      <c r="A3695" s="3">
        <v>46101</v>
      </c>
      <c r="B3695" s="1">
        <v>535</v>
      </c>
      <c r="C3695" s="5">
        <v>20</v>
      </c>
      <c r="D3695" s="1" t="s">
        <v>1953</v>
      </c>
      <c r="E3695" s="1" t="s">
        <v>3326</v>
      </c>
      <c r="F3695" s="1" t="s">
        <v>66</v>
      </c>
      <c r="G3695" s="1" t="s">
        <v>940</v>
      </c>
      <c r="H3695" s="3">
        <v>46121</v>
      </c>
      <c r="I3695" s="1" t="s">
        <v>933</v>
      </c>
      <c r="J3695" s="1" t="s">
        <v>66</v>
      </c>
      <c r="K3695" s="1" t="s">
        <v>66</v>
      </c>
      <c r="L3695" s="1" t="s">
        <v>5067</v>
      </c>
      <c r="M3695" s="3">
        <v>46105</v>
      </c>
      <c r="N3695" s="1" t="s">
        <v>57</v>
      </c>
      <c r="O3695" s="1" t="s">
        <v>936</v>
      </c>
      <c r="P3695" s="1">
        <v>1</v>
      </c>
    </row>
    <row r="3696" spans="1:16" x14ac:dyDescent="0.25">
      <c r="A3696" s="3">
        <v>46101</v>
      </c>
      <c r="B3696" s="1">
        <v>535</v>
      </c>
      <c r="C3696" s="5">
        <v>580</v>
      </c>
      <c r="D3696" s="1" t="s">
        <v>1953</v>
      </c>
      <c r="E3696" s="1" t="s">
        <v>3326</v>
      </c>
      <c r="F3696" s="1" t="s">
        <v>663</v>
      </c>
      <c r="G3696" s="1" t="s">
        <v>940</v>
      </c>
      <c r="H3696" s="3">
        <v>46121</v>
      </c>
      <c r="I3696" s="1" t="s">
        <v>933</v>
      </c>
      <c r="J3696" s="1" t="s">
        <v>66</v>
      </c>
      <c r="K3696" s="1" t="s">
        <v>340</v>
      </c>
      <c r="L3696" s="1" t="s">
        <v>5068</v>
      </c>
      <c r="M3696" s="3">
        <v>46105</v>
      </c>
      <c r="N3696" s="1" t="s">
        <v>57</v>
      </c>
      <c r="O3696" s="1" t="s">
        <v>936</v>
      </c>
      <c r="P3696" s="1">
        <v>1</v>
      </c>
    </row>
    <row r="3697" spans="1:16" x14ac:dyDescent="0.25">
      <c r="A3697" s="3">
        <v>46101</v>
      </c>
      <c r="B3697" s="1">
        <v>535</v>
      </c>
      <c r="C3697" s="5">
        <v>130</v>
      </c>
      <c r="D3697" s="1" t="s">
        <v>1953</v>
      </c>
      <c r="E3697" s="1" t="s">
        <v>3326</v>
      </c>
      <c r="F3697" s="1" t="s">
        <v>588</v>
      </c>
      <c r="G3697" s="1" t="s">
        <v>940</v>
      </c>
      <c r="H3697" s="3">
        <v>46121</v>
      </c>
      <c r="I3697" s="1" t="s">
        <v>933</v>
      </c>
      <c r="J3697" s="1" t="s">
        <v>66</v>
      </c>
      <c r="K3697" s="1" t="s">
        <v>340</v>
      </c>
      <c r="L3697" s="1" t="s">
        <v>5069</v>
      </c>
      <c r="M3697" s="3">
        <v>46105</v>
      </c>
      <c r="N3697" s="1" t="s">
        <v>57</v>
      </c>
      <c r="O3697" s="1" t="s">
        <v>936</v>
      </c>
      <c r="P3697" s="1">
        <v>1</v>
      </c>
    </row>
    <row r="3698" spans="1:16" x14ac:dyDescent="0.25">
      <c r="A3698" s="3">
        <v>46101</v>
      </c>
      <c r="B3698" s="1">
        <v>534</v>
      </c>
      <c r="C3698" s="5">
        <v>60</v>
      </c>
      <c r="D3698" s="1" t="s">
        <v>1953</v>
      </c>
      <c r="E3698" s="1" t="s">
        <v>3326</v>
      </c>
      <c r="F3698" s="1" t="s">
        <v>578</v>
      </c>
      <c r="G3698" s="1" t="s">
        <v>940</v>
      </c>
      <c r="H3698" s="3">
        <v>46121</v>
      </c>
      <c r="I3698" s="1" t="s">
        <v>933</v>
      </c>
      <c r="J3698" s="1" t="s">
        <v>66</v>
      </c>
      <c r="K3698" s="1" t="s">
        <v>148</v>
      </c>
      <c r="L3698" s="1" t="s">
        <v>5070</v>
      </c>
      <c r="M3698" s="3">
        <v>46105</v>
      </c>
      <c r="N3698" s="1" t="s">
        <v>57</v>
      </c>
      <c r="O3698" s="1" t="s">
        <v>936</v>
      </c>
      <c r="P3698" s="1">
        <v>1</v>
      </c>
    </row>
    <row r="3699" spans="1:16" x14ac:dyDescent="0.25">
      <c r="A3699" s="3">
        <v>46101</v>
      </c>
      <c r="B3699" s="1">
        <v>534</v>
      </c>
      <c r="C3699" s="5">
        <v>35</v>
      </c>
      <c r="D3699" s="1" t="s">
        <v>1953</v>
      </c>
      <c r="E3699" s="1" t="s">
        <v>3326</v>
      </c>
      <c r="F3699" s="1" t="s">
        <v>658</v>
      </c>
      <c r="G3699" s="1" t="s">
        <v>940</v>
      </c>
      <c r="H3699" s="3">
        <v>46121</v>
      </c>
      <c r="I3699" s="1" t="s">
        <v>933</v>
      </c>
      <c r="J3699" s="1" t="s">
        <v>66</v>
      </c>
      <c r="K3699" s="1" t="s">
        <v>659</v>
      </c>
      <c r="L3699" s="1" t="s">
        <v>5071</v>
      </c>
      <c r="M3699" s="3">
        <v>46105</v>
      </c>
      <c r="N3699" s="1" t="s">
        <v>57</v>
      </c>
      <c r="O3699" s="1" t="s">
        <v>936</v>
      </c>
      <c r="P3699" s="1">
        <v>1</v>
      </c>
    </row>
    <row r="3700" spans="1:16" x14ac:dyDescent="0.25">
      <c r="A3700" s="3">
        <v>46101</v>
      </c>
      <c r="B3700" s="1">
        <v>534</v>
      </c>
      <c r="C3700" s="5">
        <v>390</v>
      </c>
      <c r="D3700" s="1" t="s">
        <v>1953</v>
      </c>
      <c r="E3700" s="1" t="s">
        <v>3326</v>
      </c>
      <c r="F3700" s="1" t="s">
        <v>116</v>
      </c>
      <c r="G3700" s="1" t="s">
        <v>940</v>
      </c>
      <c r="H3700" s="3">
        <v>46121</v>
      </c>
      <c r="I3700" s="1" t="s">
        <v>933</v>
      </c>
      <c r="J3700" s="1" t="s">
        <v>66</v>
      </c>
      <c r="K3700" s="1" t="s">
        <v>52</v>
      </c>
      <c r="L3700" s="1" t="s">
        <v>5072</v>
      </c>
      <c r="M3700" s="3">
        <v>46105</v>
      </c>
      <c r="N3700" s="1" t="s">
        <v>57</v>
      </c>
      <c r="O3700" s="1" t="s">
        <v>936</v>
      </c>
      <c r="P3700" s="1">
        <v>1</v>
      </c>
    </row>
    <row r="3701" spans="1:16" x14ac:dyDescent="0.25">
      <c r="A3701" s="3">
        <v>46101</v>
      </c>
      <c r="B3701" s="1">
        <v>534</v>
      </c>
      <c r="C3701" s="5">
        <v>320</v>
      </c>
      <c r="D3701" s="1" t="s">
        <v>1953</v>
      </c>
      <c r="E3701" s="1" t="s">
        <v>3326</v>
      </c>
      <c r="F3701" s="1" t="s">
        <v>483</v>
      </c>
      <c r="G3701" s="1" t="s">
        <v>940</v>
      </c>
      <c r="H3701" s="3">
        <v>46121</v>
      </c>
      <c r="I3701" s="1" t="s">
        <v>933</v>
      </c>
      <c r="J3701" s="1" t="s">
        <v>66</v>
      </c>
      <c r="K3701" s="1" t="s">
        <v>308</v>
      </c>
      <c r="L3701" s="1" t="s">
        <v>5073</v>
      </c>
      <c r="M3701" s="3">
        <v>46105</v>
      </c>
      <c r="N3701" s="1" t="s">
        <v>57</v>
      </c>
      <c r="O3701" s="1" t="s">
        <v>936</v>
      </c>
      <c r="P3701" s="1">
        <v>1</v>
      </c>
    </row>
    <row r="3702" spans="1:16" x14ac:dyDescent="0.25">
      <c r="A3702" s="3">
        <v>46101</v>
      </c>
      <c r="B3702" s="1">
        <v>534</v>
      </c>
      <c r="C3702" s="5">
        <v>130</v>
      </c>
      <c r="D3702" s="1" t="s">
        <v>1953</v>
      </c>
      <c r="E3702" s="1" t="s">
        <v>3326</v>
      </c>
      <c r="F3702" s="1" t="s">
        <v>182</v>
      </c>
      <c r="G3702" s="1" t="s">
        <v>940</v>
      </c>
      <c r="H3702" s="3">
        <v>46121</v>
      </c>
      <c r="I3702" s="1" t="s">
        <v>933</v>
      </c>
      <c r="J3702" s="1" t="s">
        <v>66</v>
      </c>
      <c r="K3702" s="1" t="s">
        <v>52</v>
      </c>
      <c r="L3702" s="1" t="s">
        <v>5074</v>
      </c>
      <c r="M3702" s="3">
        <v>46105</v>
      </c>
      <c r="N3702" s="1" t="s">
        <v>57</v>
      </c>
      <c r="O3702" s="1" t="s">
        <v>936</v>
      </c>
      <c r="P3702" s="1">
        <v>1</v>
      </c>
    </row>
    <row r="3703" spans="1:16" x14ac:dyDescent="0.25">
      <c r="A3703" s="3">
        <v>46101</v>
      </c>
      <c r="B3703" s="1">
        <v>534</v>
      </c>
      <c r="C3703" s="5">
        <v>90</v>
      </c>
      <c r="D3703" s="1" t="s">
        <v>1953</v>
      </c>
      <c r="E3703" s="1" t="s">
        <v>3326</v>
      </c>
      <c r="F3703" s="1" t="s">
        <v>849</v>
      </c>
      <c r="G3703" s="1" t="s">
        <v>940</v>
      </c>
      <c r="H3703" s="3">
        <v>46121</v>
      </c>
      <c r="I3703" s="1" t="s">
        <v>933</v>
      </c>
      <c r="J3703" s="1" t="s">
        <v>66</v>
      </c>
      <c r="K3703" s="1" t="s">
        <v>340</v>
      </c>
      <c r="L3703" s="1" t="s">
        <v>5075</v>
      </c>
      <c r="M3703" s="3">
        <v>46105</v>
      </c>
      <c r="N3703" s="1" t="s">
        <v>57</v>
      </c>
      <c r="O3703" s="1" t="s">
        <v>936</v>
      </c>
      <c r="P3703" s="1">
        <v>1</v>
      </c>
    </row>
    <row r="3704" spans="1:16" x14ac:dyDescent="0.25">
      <c r="A3704" s="3">
        <v>46101</v>
      </c>
      <c r="B3704" s="1">
        <v>534</v>
      </c>
      <c r="C3704" s="5">
        <v>320</v>
      </c>
      <c r="D3704" s="1" t="s">
        <v>1953</v>
      </c>
      <c r="E3704" s="1" t="s">
        <v>3326</v>
      </c>
      <c r="F3704" s="1" t="s">
        <v>250</v>
      </c>
      <c r="G3704" s="1" t="s">
        <v>940</v>
      </c>
      <c r="H3704" s="3">
        <v>46121</v>
      </c>
      <c r="I3704" s="1" t="s">
        <v>933</v>
      </c>
      <c r="J3704" s="1" t="s">
        <v>66</v>
      </c>
      <c r="K3704" s="1" t="s">
        <v>340</v>
      </c>
      <c r="L3704" s="1" t="s">
        <v>5076</v>
      </c>
      <c r="M3704" s="3">
        <v>46105</v>
      </c>
      <c r="N3704" s="1" t="s">
        <v>57</v>
      </c>
      <c r="O3704" s="1" t="s">
        <v>936</v>
      </c>
      <c r="P3704" s="1">
        <v>1</v>
      </c>
    </row>
    <row r="3705" spans="1:16" x14ac:dyDescent="0.25">
      <c r="A3705" s="3">
        <v>46101</v>
      </c>
      <c r="B3705" s="1">
        <v>534</v>
      </c>
      <c r="C3705" s="5">
        <v>930</v>
      </c>
      <c r="D3705" s="1" t="s">
        <v>1953</v>
      </c>
      <c r="E3705" s="1" t="s">
        <v>3326</v>
      </c>
      <c r="F3705" s="1" t="s">
        <v>759</v>
      </c>
      <c r="G3705" s="1" t="s">
        <v>940</v>
      </c>
      <c r="H3705" s="3">
        <v>46121</v>
      </c>
      <c r="I3705" s="1" t="s">
        <v>933</v>
      </c>
      <c r="J3705" s="1" t="s">
        <v>66</v>
      </c>
      <c r="K3705" s="1" t="s">
        <v>340</v>
      </c>
      <c r="L3705" s="1" t="s">
        <v>5077</v>
      </c>
      <c r="M3705" s="3">
        <v>46105</v>
      </c>
      <c r="N3705" s="1" t="s">
        <v>57</v>
      </c>
      <c r="O3705" s="1" t="s">
        <v>936</v>
      </c>
      <c r="P3705" s="1">
        <v>1</v>
      </c>
    </row>
    <row r="3706" spans="1:16" x14ac:dyDescent="0.25">
      <c r="A3706" s="3">
        <v>46101</v>
      </c>
      <c r="B3706" s="1">
        <v>534</v>
      </c>
      <c r="C3706" s="5">
        <v>330</v>
      </c>
      <c r="D3706" s="1" t="s">
        <v>1953</v>
      </c>
      <c r="E3706" s="1" t="s">
        <v>3326</v>
      </c>
      <c r="F3706" s="1" t="s">
        <v>43</v>
      </c>
      <c r="G3706" s="1" t="s">
        <v>940</v>
      </c>
      <c r="H3706" s="3">
        <v>46121</v>
      </c>
      <c r="I3706" s="1" t="s">
        <v>933</v>
      </c>
      <c r="J3706" s="1" t="s">
        <v>66</v>
      </c>
      <c r="K3706" s="1" t="s">
        <v>640</v>
      </c>
      <c r="L3706" s="1" t="s">
        <v>5078</v>
      </c>
      <c r="M3706" s="3">
        <v>46105</v>
      </c>
      <c r="N3706" s="1" t="s">
        <v>57</v>
      </c>
      <c r="O3706" s="1" t="s">
        <v>936</v>
      </c>
      <c r="P3706" s="1">
        <v>1</v>
      </c>
    </row>
    <row r="3707" spans="1:16" x14ac:dyDescent="0.25">
      <c r="A3707" s="3">
        <v>46101</v>
      </c>
      <c r="B3707" s="1">
        <v>534</v>
      </c>
      <c r="C3707" s="5">
        <v>230</v>
      </c>
      <c r="D3707" s="1" t="s">
        <v>1953</v>
      </c>
      <c r="E3707" s="1" t="s">
        <v>3326</v>
      </c>
      <c r="F3707" s="1" t="s">
        <v>66</v>
      </c>
      <c r="G3707" s="1" t="s">
        <v>940</v>
      </c>
      <c r="H3707" s="3">
        <v>46121</v>
      </c>
      <c r="I3707" s="1" t="s">
        <v>933</v>
      </c>
      <c r="J3707" s="1" t="s">
        <v>66</v>
      </c>
      <c r="K3707" s="1" t="s">
        <v>66</v>
      </c>
      <c r="L3707" s="1" t="s">
        <v>5079</v>
      </c>
      <c r="M3707" s="3">
        <v>46105</v>
      </c>
      <c r="N3707" s="1" t="s">
        <v>57</v>
      </c>
      <c r="O3707" s="1" t="s">
        <v>936</v>
      </c>
      <c r="P3707" s="1">
        <v>1</v>
      </c>
    </row>
    <row r="3708" spans="1:16" x14ac:dyDescent="0.25">
      <c r="A3708" s="3">
        <v>46101</v>
      </c>
      <c r="B3708" s="1">
        <v>534</v>
      </c>
      <c r="C3708" s="5">
        <v>480</v>
      </c>
      <c r="D3708" s="1" t="s">
        <v>1953</v>
      </c>
      <c r="E3708" s="1" t="s">
        <v>3326</v>
      </c>
      <c r="F3708" s="1" t="s">
        <v>199</v>
      </c>
      <c r="G3708" s="1" t="s">
        <v>940</v>
      </c>
      <c r="H3708" s="3">
        <v>46121</v>
      </c>
      <c r="I3708" s="1" t="s">
        <v>933</v>
      </c>
      <c r="J3708" s="1" t="s">
        <v>66</v>
      </c>
      <c r="K3708" s="1" t="s">
        <v>52</v>
      </c>
      <c r="L3708" s="1" t="s">
        <v>5080</v>
      </c>
      <c r="M3708" s="3">
        <v>46105</v>
      </c>
      <c r="N3708" s="1" t="s">
        <v>57</v>
      </c>
      <c r="O3708" s="1" t="s">
        <v>936</v>
      </c>
      <c r="P3708" s="1">
        <v>1</v>
      </c>
    </row>
    <row r="3709" spans="1:16" x14ac:dyDescent="0.25">
      <c r="A3709" s="3">
        <v>46101</v>
      </c>
      <c r="B3709" s="1">
        <v>534</v>
      </c>
      <c r="C3709" s="5">
        <v>480</v>
      </c>
      <c r="D3709" s="1" t="s">
        <v>1953</v>
      </c>
      <c r="E3709" s="1" t="s">
        <v>3326</v>
      </c>
      <c r="F3709" s="1" t="s">
        <v>670</v>
      </c>
      <c r="G3709" s="1" t="s">
        <v>940</v>
      </c>
      <c r="H3709" s="3">
        <v>46121</v>
      </c>
      <c r="I3709" s="1" t="s">
        <v>933</v>
      </c>
      <c r="J3709" s="1" t="s">
        <v>66</v>
      </c>
      <c r="K3709" s="1" t="s">
        <v>659</v>
      </c>
      <c r="L3709" s="1" t="s">
        <v>5081</v>
      </c>
      <c r="M3709" s="3">
        <v>46105</v>
      </c>
      <c r="N3709" s="1" t="s">
        <v>57</v>
      </c>
      <c r="O3709" s="1" t="s">
        <v>936</v>
      </c>
      <c r="P3709" s="1">
        <v>1</v>
      </c>
    </row>
    <row r="3710" spans="1:16" x14ac:dyDescent="0.25">
      <c r="A3710" s="3">
        <v>46101</v>
      </c>
      <c r="B3710" s="1">
        <v>534</v>
      </c>
      <c r="C3710" s="5">
        <v>140</v>
      </c>
      <c r="D3710" s="1" t="s">
        <v>1953</v>
      </c>
      <c r="E3710" s="1" t="s">
        <v>3326</v>
      </c>
      <c r="F3710" s="1" t="s">
        <v>516</v>
      </c>
      <c r="G3710" s="1" t="s">
        <v>940</v>
      </c>
      <c r="H3710" s="3">
        <v>46121</v>
      </c>
      <c r="I3710" s="1" t="s">
        <v>933</v>
      </c>
      <c r="J3710" s="1" t="s">
        <v>66</v>
      </c>
      <c r="K3710" s="1" t="s">
        <v>487</v>
      </c>
      <c r="L3710" s="1" t="s">
        <v>5082</v>
      </c>
      <c r="M3710" s="3">
        <v>46105</v>
      </c>
      <c r="N3710" s="1" t="s">
        <v>57</v>
      </c>
      <c r="O3710" s="1" t="s">
        <v>936</v>
      </c>
      <c r="P3710" s="1">
        <v>1</v>
      </c>
    </row>
    <row r="3711" spans="1:16" x14ac:dyDescent="0.25">
      <c r="A3711" s="3">
        <v>46101</v>
      </c>
      <c r="B3711" s="1">
        <v>534</v>
      </c>
      <c r="C3711" s="5">
        <v>120</v>
      </c>
      <c r="D3711" s="1" t="s">
        <v>1953</v>
      </c>
      <c r="E3711" s="1" t="s">
        <v>3326</v>
      </c>
      <c r="F3711" s="1" t="s">
        <v>304</v>
      </c>
      <c r="G3711" s="1" t="s">
        <v>940</v>
      </c>
      <c r="H3711" s="3">
        <v>46121</v>
      </c>
      <c r="I3711" s="1" t="s">
        <v>933</v>
      </c>
      <c r="J3711" s="1" t="s">
        <v>66</v>
      </c>
      <c r="K3711" s="1" t="s">
        <v>340</v>
      </c>
      <c r="L3711" s="1" t="s">
        <v>5083</v>
      </c>
      <c r="M3711" s="3">
        <v>46105</v>
      </c>
      <c r="N3711" s="1" t="s">
        <v>57</v>
      </c>
      <c r="O3711" s="1" t="s">
        <v>936</v>
      </c>
      <c r="P3711" s="1">
        <v>1</v>
      </c>
    </row>
    <row r="3712" spans="1:16" x14ac:dyDescent="0.25">
      <c r="A3712" s="3">
        <v>46101</v>
      </c>
      <c r="B3712" s="1">
        <v>534</v>
      </c>
      <c r="C3712" s="5">
        <v>60</v>
      </c>
      <c r="D3712" s="1" t="s">
        <v>1953</v>
      </c>
      <c r="E3712" s="1" t="s">
        <v>3326</v>
      </c>
      <c r="F3712" s="1" t="s">
        <v>66</v>
      </c>
      <c r="G3712" s="1" t="s">
        <v>940</v>
      </c>
      <c r="H3712" s="3">
        <v>46121</v>
      </c>
      <c r="I3712" s="1" t="s">
        <v>933</v>
      </c>
      <c r="J3712" s="1" t="s">
        <v>66</v>
      </c>
      <c r="K3712" s="1" t="s">
        <v>66</v>
      </c>
      <c r="L3712" s="1" t="s">
        <v>5084</v>
      </c>
      <c r="M3712" s="3">
        <v>46105</v>
      </c>
      <c r="N3712" s="1" t="s">
        <v>57</v>
      </c>
      <c r="O3712" s="1" t="s">
        <v>936</v>
      </c>
      <c r="P3712" s="1">
        <v>1</v>
      </c>
    </row>
    <row r="3713" spans="1:16" x14ac:dyDescent="0.25">
      <c r="A3713" s="3">
        <v>46101</v>
      </c>
      <c r="B3713" s="1">
        <v>534</v>
      </c>
      <c r="C3713" s="5">
        <v>360</v>
      </c>
      <c r="D3713" s="1" t="s">
        <v>1953</v>
      </c>
      <c r="E3713" s="1" t="s">
        <v>3326</v>
      </c>
      <c r="F3713" s="1" t="s">
        <v>255</v>
      </c>
      <c r="G3713" s="1" t="s">
        <v>940</v>
      </c>
      <c r="H3713" s="3">
        <v>46121</v>
      </c>
      <c r="I3713" s="1" t="s">
        <v>933</v>
      </c>
      <c r="J3713" s="1" t="s">
        <v>66</v>
      </c>
      <c r="K3713" s="1" t="s">
        <v>308</v>
      </c>
      <c r="L3713" s="1" t="s">
        <v>5085</v>
      </c>
      <c r="M3713" s="3">
        <v>46105</v>
      </c>
      <c r="N3713" s="1" t="s">
        <v>57</v>
      </c>
      <c r="O3713" s="1" t="s">
        <v>936</v>
      </c>
      <c r="P3713" s="1">
        <v>1</v>
      </c>
    </row>
    <row r="3714" spans="1:16" x14ac:dyDescent="0.25">
      <c r="A3714" s="3">
        <v>46101</v>
      </c>
      <c r="B3714" s="1">
        <v>534</v>
      </c>
      <c r="C3714" s="5">
        <v>1350</v>
      </c>
      <c r="D3714" s="1" t="s">
        <v>1953</v>
      </c>
      <c r="E3714" s="1" t="s">
        <v>3326</v>
      </c>
      <c r="F3714" s="1" t="s">
        <v>437</v>
      </c>
      <c r="G3714" s="1" t="s">
        <v>940</v>
      </c>
      <c r="H3714" s="3">
        <v>46121</v>
      </c>
      <c r="I3714" s="1" t="s">
        <v>933</v>
      </c>
      <c r="J3714" s="1" t="s">
        <v>66</v>
      </c>
      <c r="K3714" s="1" t="s">
        <v>308</v>
      </c>
      <c r="L3714" s="1" t="s">
        <v>5086</v>
      </c>
      <c r="M3714" s="3">
        <v>46105</v>
      </c>
      <c r="N3714" s="1" t="s">
        <v>57</v>
      </c>
      <c r="O3714" s="1" t="s">
        <v>936</v>
      </c>
      <c r="P3714" s="1">
        <v>1</v>
      </c>
    </row>
    <row r="3715" spans="1:16" x14ac:dyDescent="0.25">
      <c r="A3715" s="3">
        <v>46101</v>
      </c>
      <c r="B3715" s="1">
        <v>534</v>
      </c>
      <c r="C3715" s="5">
        <v>270</v>
      </c>
      <c r="D3715" s="1" t="s">
        <v>1953</v>
      </c>
      <c r="E3715" s="1" t="s">
        <v>3326</v>
      </c>
      <c r="F3715" s="1" t="s">
        <v>121</v>
      </c>
      <c r="G3715" s="1" t="s">
        <v>940</v>
      </c>
      <c r="H3715" s="3">
        <v>46121</v>
      </c>
      <c r="I3715" s="1" t="s">
        <v>933</v>
      </c>
      <c r="J3715" s="1" t="s">
        <v>66</v>
      </c>
      <c r="K3715" s="1" t="s">
        <v>640</v>
      </c>
      <c r="L3715" s="1" t="s">
        <v>5087</v>
      </c>
      <c r="M3715" s="3">
        <v>46105</v>
      </c>
      <c r="N3715" s="1" t="s">
        <v>57</v>
      </c>
      <c r="O3715" s="1" t="s">
        <v>936</v>
      </c>
      <c r="P3715" s="1">
        <v>1</v>
      </c>
    </row>
    <row r="3716" spans="1:16" x14ac:dyDescent="0.25">
      <c r="A3716" s="3">
        <v>46101</v>
      </c>
      <c r="B3716" s="1">
        <v>533</v>
      </c>
      <c r="C3716" s="5">
        <v>60</v>
      </c>
      <c r="D3716" s="1" t="s">
        <v>1953</v>
      </c>
      <c r="E3716" s="1" t="s">
        <v>3326</v>
      </c>
      <c r="F3716" s="1" t="s">
        <v>88</v>
      </c>
      <c r="G3716" s="1" t="s">
        <v>940</v>
      </c>
      <c r="H3716" s="3">
        <v>46121</v>
      </c>
      <c r="I3716" s="1" t="s">
        <v>933</v>
      </c>
      <c r="J3716" s="1" t="s">
        <v>66</v>
      </c>
      <c r="K3716" s="1" t="s">
        <v>105</v>
      </c>
      <c r="L3716" s="1" t="s">
        <v>5089</v>
      </c>
      <c r="M3716" s="3">
        <v>46105</v>
      </c>
      <c r="N3716" s="1" t="s">
        <v>57</v>
      </c>
      <c r="O3716" s="1" t="s">
        <v>936</v>
      </c>
      <c r="P3716" s="1">
        <v>1</v>
      </c>
    </row>
    <row r="3717" spans="1:16" x14ac:dyDescent="0.25">
      <c r="A3717" s="3">
        <v>46101</v>
      </c>
      <c r="B3717" s="1">
        <v>533</v>
      </c>
      <c r="C3717" s="5">
        <v>60</v>
      </c>
      <c r="D3717" s="1" t="s">
        <v>1953</v>
      </c>
      <c r="E3717" s="1" t="s">
        <v>3326</v>
      </c>
      <c r="F3717" s="1" t="s">
        <v>66</v>
      </c>
      <c r="G3717" s="1" t="s">
        <v>940</v>
      </c>
      <c r="H3717" s="3">
        <v>46121</v>
      </c>
      <c r="I3717" s="1" t="s">
        <v>933</v>
      </c>
      <c r="J3717" s="1" t="s">
        <v>66</v>
      </c>
      <c r="K3717" s="1" t="s">
        <v>66</v>
      </c>
      <c r="L3717" s="1" t="s">
        <v>5090</v>
      </c>
      <c r="M3717" s="3">
        <v>46105</v>
      </c>
      <c r="N3717" s="1" t="s">
        <v>57</v>
      </c>
      <c r="O3717" s="1" t="s">
        <v>936</v>
      </c>
      <c r="P3717" s="1">
        <v>1</v>
      </c>
    </row>
    <row r="3718" spans="1:16" x14ac:dyDescent="0.25">
      <c r="A3718" s="3">
        <v>46101</v>
      </c>
      <c r="B3718" s="1">
        <v>533</v>
      </c>
      <c r="C3718" s="5">
        <v>280</v>
      </c>
      <c r="D3718" s="1" t="s">
        <v>1953</v>
      </c>
      <c r="E3718" s="1" t="s">
        <v>3326</v>
      </c>
      <c r="F3718" s="1" t="s">
        <v>809</v>
      </c>
      <c r="G3718" s="1" t="s">
        <v>940</v>
      </c>
      <c r="H3718" s="3">
        <v>46121</v>
      </c>
      <c r="I3718" s="1" t="s">
        <v>933</v>
      </c>
      <c r="J3718" s="1" t="s">
        <v>66</v>
      </c>
      <c r="K3718" s="1" t="s">
        <v>340</v>
      </c>
      <c r="L3718" s="1" t="s">
        <v>5091</v>
      </c>
      <c r="M3718" s="3">
        <v>46105</v>
      </c>
      <c r="N3718" s="1" t="s">
        <v>57</v>
      </c>
      <c r="O3718" s="1" t="s">
        <v>936</v>
      </c>
      <c r="P3718" s="1">
        <v>1</v>
      </c>
    </row>
    <row r="3719" spans="1:16" x14ac:dyDescent="0.25">
      <c r="A3719" s="3">
        <v>46101</v>
      </c>
      <c r="B3719" s="1">
        <v>533</v>
      </c>
      <c r="C3719" s="5">
        <v>880</v>
      </c>
      <c r="D3719" s="1" t="s">
        <v>1953</v>
      </c>
      <c r="E3719" s="1" t="s">
        <v>3326</v>
      </c>
      <c r="F3719" s="1" t="s">
        <v>566</v>
      </c>
      <c r="G3719" s="1" t="s">
        <v>940</v>
      </c>
      <c r="H3719" s="3">
        <v>46121</v>
      </c>
      <c r="I3719" s="1" t="s">
        <v>933</v>
      </c>
      <c r="J3719" s="1" t="s">
        <v>66</v>
      </c>
      <c r="K3719" s="1" t="s">
        <v>148</v>
      </c>
      <c r="L3719" s="1" t="s">
        <v>5092</v>
      </c>
      <c r="M3719" s="3">
        <v>46105</v>
      </c>
      <c r="N3719" s="1" t="s">
        <v>57</v>
      </c>
      <c r="O3719" s="1" t="s">
        <v>936</v>
      </c>
      <c r="P3719" s="1">
        <v>1</v>
      </c>
    </row>
    <row r="3720" spans="1:16" x14ac:dyDescent="0.25">
      <c r="A3720" s="3">
        <v>46101</v>
      </c>
      <c r="B3720" s="1">
        <v>533</v>
      </c>
      <c r="C3720" s="5">
        <v>2995</v>
      </c>
      <c r="D3720" s="1" t="s">
        <v>1953</v>
      </c>
      <c r="E3720" s="1" t="s">
        <v>3326</v>
      </c>
      <c r="F3720" s="1" t="s">
        <v>66</v>
      </c>
      <c r="G3720" s="1" t="s">
        <v>1500</v>
      </c>
      <c r="H3720" s="3">
        <v>46121</v>
      </c>
      <c r="I3720" s="1" t="s">
        <v>933</v>
      </c>
      <c r="J3720" s="1" t="s">
        <v>66</v>
      </c>
      <c r="K3720" s="1" t="s">
        <v>66</v>
      </c>
      <c r="L3720" s="1" t="s">
        <v>5093</v>
      </c>
      <c r="M3720" s="3">
        <v>46105</v>
      </c>
      <c r="N3720" s="1" t="s">
        <v>57</v>
      </c>
      <c r="O3720" s="1" t="s">
        <v>936</v>
      </c>
      <c r="P3720" s="1">
        <v>1</v>
      </c>
    </row>
    <row r="3721" spans="1:16" x14ac:dyDescent="0.25">
      <c r="A3721" s="3">
        <v>46101</v>
      </c>
      <c r="B3721" s="1">
        <v>533</v>
      </c>
      <c r="C3721" s="5">
        <v>40</v>
      </c>
      <c r="D3721" s="1" t="s">
        <v>1953</v>
      </c>
      <c r="E3721" s="1" t="s">
        <v>3326</v>
      </c>
      <c r="F3721" s="1" t="s">
        <v>732</v>
      </c>
      <c r="G3721" s="1" t="s">
        <v>940</v>
      </c>
      <c r="H3721" s="3">
        <v>46121</v>
      </c>
      <c r="I3721" s="1" t="s">
        <v>933</v>
      </c>
      <c r="J3721" s="1" t="s">
        <v>66</v>
      </c>
      <c r="K3721" s="1" t="s">
        <v>340</v>
      </c>
      <c r="L3721" s="1" t="s">
        <v>5094</v>
      </c>
      <c r="M3721" s="3">
        <v>46105</v>
      </c>
      <c r="N3721" s="1" t="s">
        <v>57</v>
      </c>
      <c r="O3721" s="1" t="s">
        <v>936</v>
      </c>
      <c r="P3721" s="1">
        <v>1</v>
      </c>
    </row>
    <row r="3722" spans="1:16" x14ac:dyDescent="0.25">
      <c r="A3722" s="3">
        <v>46101</v>
      </c>
      <c r="B3722" s="1">
        <v>533</v>
      </c>
      <c r="C3722" s="5">
        <v>410</v>
      </c>
      <c r="D3722" s="1" t="s">
        <v>1953</v>
      </c>
      <c r="E3722" s="1" t="s">
        <v>3326</v>
      </c>
      <c r="F3722" s="1" t="s">
        <v>430</v>
      </c>
      <c r="G3722" s="1" t="s">
        <v>940</v>
      </c>
      <c r="H3722" s="3">
        <v>46121</v>
      </c>
      <c r="I3722" s="1" t="s">
        <v>933</v>
      </c>
      <c r="J3722" s="1" t="s">
        <v>66</v>
      </c>
      <c r="K3722" s="1" t="s">
        <v>340</v>
      </c>
      <c r="L3722" s="1" t="s">
        <v>5095</v>
      </c>
      <c r="M3722" s="3">
        <v>46105</v>
      </c>
      <c r="N3722" s="1" t="s">
        <v>57</v>
      </c>
      <c r="O3722" s="1" t="s">
        <v>936</v>
      </c>
      <c r="P3722" s="1">
        <v>1</v>
      </c>
    </row>
    <row r="3723" spans="1:16" x14ac:dyDescent="0.25">
      <c r="A3723" s="3">
        <v>46101</v>
      </c>
      <c r="B3723" s="1">
        <v>533</v>
      </c>
      <c r="C3723" s="5">
        <v>480</v>
      </c>
      <c r="D3723" s="1" t="s">
        <v>1953</v>
      </c>
      <c r="E3723" s="1" t="s">
        <v>3326</v>
      </c>
      <c r="F3723" s="1" t="s">
        <v>787</v>
      </c>
      <c r="G3723" s="1" t="s">
        <v>940</v>
      </c>
      <c r="H3723" s="3">
        <v>46121</v>
      </c>
      <c r="I3723" s="1" t="s">
        <v>1100</v>
      </c>
      <c r="J3723" s="1" t="s">
        <v>66</v>
      </c>
      <c r="K3723" s="1" t="s">
        <v>308</v>
      </c>
      <c r="L3723" s="1" t="s">
        <v>5096</v>
      </c>
      <c r="M3723" s="3">
        <v>46105</v>
      </c>
      <c r="N3723" s="1" t="s">
        <v>57</v>
      </c>
      <c r="O3723" s="1" t="s">
        <v>936</v>
      </c>
      <c r="P3723" s="1">
        <v>1</v>
      </c>
    </row>
    <row r="3724" spans="1:16" x14ac:dyDescent="0.25">
      <c r="A3724" s="3">
        <v>46101</v>
      </c>
      <c r="B3724" s="1">
        <v>533</v>
      </c>
      <c r="C3724" s="5">
        <v>30</v>
      </c>
      <c r="D3724" s="1" t="s">
        <v>1953</v>
      </c>
      <c r="E3724" s="1" t="s">
        <v>3326</v>
      </c>
      <c r="F3724" s="1" t="s">
        <v>43</v>
      </c>
      <c r="G3724" s="1" t="s">
        <v>940</v>
      </c>
      <c r="H3724" s="3">
        <v>46121</v>
      </c>
      <c r="I3724" s="1" t="s">
        <v>933</v>
      </c>
      <c r="J3724" s="1" t="s">
        <v>66</v>
      </c>
      <c r="K3724" s="1" t="s">
        <v>640</v>
      </c>
      <c r="L3724" s="1" t="s">
        <v>5097</v>
      </c>
      <c r="M3724" s="3">
        <v>46105</v>
      </c>
      <c r="N3724" s="1" t="s">
        <v>57</v>
      </c>
      <c r="O3724" s="1" t="s">
        <v>936</v>
      </c>
      <c r="P3724" s="1">
        <v>1</v>
      </c>
    </row>
    <row r="3725" spans="1:16" x14ac:dyDescent="0.25">
      <c r="A3725" s="3">
        <v>46101</v>
      </c>
      <c r="B3725" s="1">
        <v>533</v>
      </c>
      <c r="C3725" s="5">
        <v>55</v>
      </c>
      <c r="D3725" s="1" t="s">
        <v>1953</v>
      </c>
      <c r="E3725" s="1" t="s">
        <v>3326</v>
      </c>
      <c r="F3725" s="1" t="s">
        <v>245</v>
      </c>
      <c r="G3725" s="1" t="s">
        <v>940</v>
      </c>
      <c r="H3725" s="3">
        <v>46121</v>
      </c>
      <c r="I3725" s="1" t="s">
        <v>933</v>
      </c>
      <c r="J3725" s="1" t="s">
        <v>66</v>
      </c>
      <c r="K3725" s="1" t="s">
        <v>308</v>
      </c>
      <c r="L3725" s="1" t="s">
        <v>5098</v>
      </c>
      <c r="M3725" s="3">
        <v>46105</v>
      </c>
      <c r="N3725" s="1" t="s">
        <v>57</v>
      </c>
      <c r="O3725" s="1" t="s">
        <v>936</v>
      </c>
      <c r="P3725" s="1">
        <v>1</v>
      </c>
    </row>
    <row r="3726" spans="1:16" x14ac:dyDescent="0.25">
      <c r="A3726" s="3">
        <v>46101</v>
      </c>
      <c r="B3726" s="1">
        <v>533</v>
      </c>
      <c r="C3726" s="5">
        <v>280</v>
      </c>
      <c r="D3726" s="1" t="s">
        <v>1953</v>
      </c>
      <c r="E3726" s="1" t="s">
        <v>3326</v>
      </c>
      <c r="F3726" s="1" t="s">
        <v>453</v>
      </c>
      <c r="G3726" s="1" t="s">
        <v>940</v>
      </c>
      <c r="H3726" s="3">
        <v>46121</v>
      </c>
      <c r="I3726" s="1" t="s">
        <v>933</v>
      </c>
      <c r="J3726" s="1" t="s">
        <v>66</v>
      </c>
      <c r="K3726" s="1" t="s">
        <v>308</v>
      </c>
      <c r="L3726" s="1" t="s">
        <v>5099</v>
      </c>
      <c r="M3726" s="3">
        <v>46105</v>
      </c>
      <c r="N3726" s="1" t="s">
        <v>57</v>
      </c>
      <c r="O3726" s="1" t="s">
        <v>936</v>
      </c>
      <c r="P3726" s="1">
        <v>1</v>
      </c>
    </row>
    <row r="3727" spans="1:16" x14ac:dyDescent="0.25">
      <c r="A3727" s="3">
        <v>46101</v>
      </c>
      <c r="B3727" s="1">
        <v>533</v>
      </c>
      <c r="C3727" s="5">
        <v>55</v>
      </c>
      <c r="D3727" s="1" t="s">
        <v>1953</v>
      </c>
      <c r="E3727" s="1" t="s">
        <v>3326</v>
      </c>
      <c r="F3727" s="1" t="s">
        <v>533</v>
      </c>
      <c r="G3727" s="1" t="s">
        <v>940</v>
      </c>
      <c r="H3727" s="3">
        <v>46121</v>
      </c>
      <c r="I3727" s="1" t="s">
        <v>933</v>
      </c>
      <c r="J3727" s="1" t="s">
        <v>66</v>
      </c>
      <c r="K3727" s="1" t="s">
        <v>308</v>
      </c>
      <c r="L3727" s="1" t="s">
        <v>5100</v>
      </c>
      <c r="M3727" s="3">
        <v>46105</v>
      </c>
      <c r="N3727" s="1" t="s">
        <v>57</v>
      </c>
      <c r="O3727" s="1" t="s">
        <v>936</v>
      </c>
      <c r="P3727" s="1">
        <v>1</v>
      </c>
    </row>
    <row r="3728" spans="1:16" x14ac:dyDescent="0.25">
      <c r="A3728" s="3">
        <v>46101</v>
      </c>
      <c r="B3728" s="1">
        <v>533</v>
      </c>
      <c r="C3728" s="5">
        <v>80</v>
      </c>
      <c r="D3728" s="1" t="s">
        <v>1953</v>
      </c>
      <c r="E3728" s="1" t="s">
        <v>3326</v>
      </c>
      <c r="F3728" s="1" t="s">
        <v>709</v>
      </c>
      <c r="G3728" s="1" t="s">
        <v>940</v>
      </c>
      <c r="H3728" s="3">
        <v>46121</v>
      </c>
      <c r="I3728" s="1" t="s">
        <v>933</v>
      </c>
      <c r="J3728" s="1" t="s">
        <v>66</v>
      </c>
      <c r="K3728" s="1" t="s">
        <v>148</v>
      </c>
      <c r="L3728" s="1" t="s">
        <v>5101</v>
      </c>
      <c r="M3728" s="3">
        <v>46105</v>
      </c>
      <c r="N3728" s="1" t="s">
        <v>57</v>
      </c>
      <c r="O3728" s="1" t="s">
        <v>936</v>
      </c>
      <c r="P3728" s="1">
        <v>1</v>
      </c>
    </row>
    <row r="3729" spans="1:16" x14ac:dyDescent="0.25">
      <c r="A3729" s="3">
        <v>46101</v>
      </c>
      <c r="B3729" s="1">
        <v>533</v>
      </c>
      <c r="C3729" s="5">
        <v>100</v>
      </c>
      <c r="D3729" s="1" t="s">
        <v>1953</v>
      </c>
      <c r="E3729" s="1" t="s">
        <v>3326</v>
      </c>
      <c r="F3729" s="1" t="s">
        <v>566</v>
      </c>
      <c r="G3729" s="1" t="s">
        <v>940</v>
      </c>
      <c r="H3729" s="3">
        <v>46121</v>
      </c>
      <c r="I3729" s="1" t="s">
        <v>933</v>
      </c>
      <c r="J3729" s="1" t="s">
        <v>66</v>
      </c>
      <c r="K3729" s="1" t="s">
        <v>148</v>
      </c>
      <c r="L3729" s="1" t="s">
        <v>5102</v>
      </c>
      <c r="M3729" s="3">
        <v>46105</v>
      </c>
      <c r="N3729" s="1" t="s">
        <v>57</v>
      </c>
      <c r="O3729" s="1" t="s">
        <v>936</v>
      </c>
      <c r="P3729" s="1">
        <v>1</v>
      </c>
    </row>
    <row r="3730" spans="1:16" x14ac:dyDescent="0.25">
      <c r="A3730" s="3">
        <v>46101</v>
      </c>
      <c r="B3730" s="1">
        <v>533</v>
      </c>
      <c r="C3730" s="5">
        <v>40</v>
      </c>
      <c r="D3730" s="1" t="s">
        <v>1953</v>
      </c>
      <c r="E3730" s="1" t="s">
        <v>3326</v>
      </c>
      <c r="F3730" s="1" t="s">
        <v>619</v>
      </c>
      <c r="G3730" s="1" t="s">
        <v>940</v>
      </c>
      <c r="H3730" s="3">
        <v>46121</v>
      </c>
      <c r="I3730" s="1" t="s">
        <v>933</v>
      </c>
      <c r="J3730" s="1" t="s">
        <v>66</v>
      </c>
      <c r="K3730" s="1" t="s">
        <v>148</v>
      </c>
      <c r="L3730" s="1" t="s">
        <v>5103</v>
      </c>
      <c r="M3730" s="3">
        <v>46105</v>
      </c>
      <c r="N3730" s="1" t="s">
        <v>57</v>
      </c>
      <c r="O3730" s="1" t="s">
        <v>936</v>
      </c>
      <c r="P3730" s="1">
        <v>1</v>
      </c>
    </row>
    <row r="3731" spans="1:16" x14ac:dyDescent="0.25">
      <c r="A3731" s="3">
        <v>46101</v>
      </c>
      <c r="B3731" s="1">
        <v>533</v>
      </c>
      <c r="C3731" s="5">
        <v>200</v>
      </c>
      <c r="D3731" s="1" t="s">
        <v>1953</v>
      </c>
      <c r="E3731" s="1" t="s">
        <v>3326</v>
      </c>
      <c r="F3731" s="1" t="s">
        <v>533</v>
      </c>
      <c r="G3731" s="1" t="s">
        <v>940</v>
      </c>
      <c r="H3731" s="3">
        <v>46121</v>
      </c>
      <c r="I3731" s="1" t="s">
        <v>933</v>
      </c>
      <c r="J3731" s="1" t="s">
        <v>66</v>
      </c>
      <c r="K3731" s="1" t="s">
        <v>308</v>
      </c>
      <c r="L3731" s="1" t="s">
        <v>5104</v>
      </c>
      <c r="M3731" s="3">
        <v>46105</v>
      </c>
      <c r="N3731" s="1" t="s">
        <v>57</v>
      </c>
      <c r="O3731" s="1" t="s">
        <v>936</v>
      </c>
      <c r="P3731" s="1">
        <v>1</v>
      </c>
    </row>
    <row r="3732" spans="1:16" x14ac:dyDescent="0.25">
      <c r="A3732" s="3">
        <v>46101</v>
      </c>
      <c r="B3732" s="4">
        <v>2166</v>
      </c>
      <c r="C3732" s="5">
        <v>1576</v>
      </c>
      <c r="D3732" s="1" t="s">
        <v>5130</v>
      </c>
      <c r="E3732" s="1" t="s">
        <v>5131</v>
      </c>
      <c r="F3732" s="1" t="s">
        <v>66</v>
      </c>
      <c r="G3732" s="1" t="s">
        <v>940</v>
      </c>
      <c r="H3732" s="1" t="s">
        <v>4055</v>
      </c>
      <c r="I3732" s="1" t="s">
        <v>933</v>
      </c>
      <c r="J3732" s="1" t="s">
        <v>66</v>
      </c>
      <c r="K3732" s="1" t="s">
        <v>308</v>
      </c>
      <c r="L3732" s="1" t="s">
        <v>5132</v>
      </c>
      <c r="M3732" s="1" t="s">
        <v>4055</v>
      </c>
      <c r="N3732" s="1" t="s">
        <v>57</v>
      </c>
      <c r="O3732" s="1" t="s">
        <v>936</v>
      </c>
      <c r="P3732" s="1">
        <v>1</v>
      </c>
    </row>
    <row r="3733" spans="1:16" x14ac:dyDescent="0.25">
      <c r="A3733" s="3">
        <v>46101</v>
      </c>
      <c r="B3733" s="4">
        <v>40375</v>
      </c>
      <c r="C3733" s="5">
        <v>190.14</v>
      </c>
      <c r="D3733" s="1" t="s">
        <v>5134</v>
      </c>
      <c r="E3733" s="1" t="s">
        <v>5135</v>
      </c>
      <c r="F3733" s="1" t="s">
        <v>66</v>
      </c>
      <c r="G3733" s="1" t="s">
        <v>940</v>
      </c>
      <c r="H3733" s="1" t="s">
        <v>4055</v>
      </c>
      <c r="I3733" s="1" t="s">
        <v>933</v>
      </c>
      <c r="J3733" s="1" t="s">
        <v>66</v>
      </c>
      <c r="K3733" s="1" t="s">
        <v>52</v>
      </c>
      <c r="L3733" s="1" t="s">
        <v>5136</v>
      </c>
      <c r="M3733" s="1" t="s">
        <v>4055</v>
      </c>
      <c r="N3733" s="1" t="s">
        <v>57</v>
      </c>
      <c r="O3733" s="1" t="s">
        <v>936</v>
      </c>
      <c r="P3733" s="1">
        <v>1</v>
      </c>
    </row>
    <row r="3734" spans="1:16" x14ac:dyDescent="0.25">
      <c r="A3734" s="3">
        <v>46101</v>
      </c>
      <c r="B3734" s="1">
        <v>999</v>
      </c>
      <c r="C3734" s="5">
        <v>4140.26</v>
      </c>
      <c r="D3734" s="1" t="s">
        <v>4899</v>
      </c>
      <c r="E3734" s="1" t="s">
        <v>4900</v>
      </c>
      <c r="F3734" s="1" t="s">
        <v>658</v>
      </c>
      <c r="G3734" s="1" t="s">
        <v>940</v>
      </c>
      <c r="H3734" s="3">
        <v>46131</v>
      </c>
      <c r="I3734" s="1" t="s">
        <v>1100</v>
      </c>
      <c r="J3734" s="1" t="s">
        <v>66</v>
      </c>
      <c r="K3734" s="1" t="s">
        <v>659</v>
      </c>
      <c r="L3734" s="1" t="s">
        <v>5169</v>
      </c>
      <c r="M3734" s="3">
        <v>46108</v>
      </c>
      <c r="N3734" s="1" t="s">
        <v>57</v>
      </c>
      <c r="O3734" s="1" t="s">
        <v>936</v>
      </c>
      <c r="P3734" s="1" t="s">
        <v>937</v>
      </c>
    </row>
    <row r="3735" spans="1:16" x14ac:dyDescent="0.25">
      <c r="A3735" s="3">
        <v>46102</v>
      </c>
      <c r="B3735" s="4">
        <v>10721</v>
      </c>
      <c r="C3735" s="5">
        <v>6309.52</v>
      </c>
      <c r="D3735" s="1" t="s">
        <v>973</v>
      </c>
      <c r="E3735" s="1" t="s">
        <v>1068</v>
      </c>
      <c r="F3735" s="1" t="s">
        <v>66</v>
      </c>
      <c r="G3735" s="1" t="s">
        <v>998</v>
      </c>
      <c r="H3735" s="3">
        <v>46117</v>
      </c>
      <c r="I3735" s="1" t="s">
        <v>933</v>
      </c>
      <c r="J3735" s="1" t="s">
        <v>66</v>
      </c>
      <c r="K3735" s="1" t="s">
        <v>66</v>
      </c>
      <c r="L3735" s="1" t="s">
        <v>5105</v>
      </c>
      <c r="M3735" s="3">
        <v>46105</v>
      </c>
      <c r="N3735" s="1" t="s">
        <v>57</v>
      </c>
      <c r="O3735" s="1" t="s">
        <v>998</v>
      </c>
      <c r="P3735" s="1">
        <v>1</v>
      </c>
    </row>
    <row r="3736" spans="1:16" x14ac:dyDescent="0.25">
      <c r="A3736" s="3">
        <v>46102</v>
      </c>
      <c r="B3736" s="4">
        <v>10741</v>
      </c>
      <c r="C3736" s="5">
        <v>36450</v>
      </c>
      <c r="D3736" s="1" t="s">
        <v>973</v>
      </c>
      <c r="E3736" s="1" t="s">
        <v>1068</v>
      </c>
      <c r="F3736" s="1" t="s">
        <v>66</v>
      </c>
      <c r="G3736" s="1" t="s">
        <v>998</v>
      </c>
      <c r="H3736" s="3">
        <v>46111</v>
      </c>
      <c r="I3736" s="1" t="s">
        <v>933</v>
      </c>
      <c r="J3736" s="1" t="s">
        <v>66</v>
      </c>
      <c r="K3736" s="1" t="s">
        <v>66</v>
      </c>
      <c r="L3736" s="1" t="s">
        <v>5106</v>
      </c>
      <c r="M3736" s="3">
        <v>46105</v>
      </c>
      <c r="N3736" s="1" t="s">
        <v>57</v>
      </c>
      <c r="O3736" s="1" t="s">
        <v>998</v>
      </c>
      <c r="P3736" s="1">
        <v>1</v>
      </c>
    </row>
    <row r="3737" spans="1:16" x14ac:dyDescent="0.25">
      <c r="A3737" s="3">
        <v>46102</v>
      </c>
      <c r="B3737" s="4">
        <v>7011</v>
      </c>
      <c r="C3737" s="5">
        <v>986.55</v>
      </c>
      <c r="D3737" s="1" t="s">
        <v>2001</v>
      </c>
      <c r="E3737" s="1" t="s">
        <v>2002</v>
      </c>
      <c r="F3737" s="1" t="s">
        <v>453</v>
      </c>
      <c r="G3737" s="1" t="s">
        <v>940</v>
      </c>
      <c r="H3737" s="3">
        <v>46132</v>
      </c>
      <c r="I3737" s="1" t="s">
        <v>933</v>
      </c>
      <c r="J3737" s="1" t="s">
        <v>66</v>
      </c>
      <c r="K3737" s="1" t="s">
        <v>308</v>
      </c>
      <c r="L3737" s="1" t="s">
        <v>5127</v>
      </c>
      <c r="M3737" s="3">
        <v>46106</v>
      </c>
      <c r="N3737" s="1" t="s">
        <v>455</v>
      </c>
      <c r="O3737" s="1" t="s">
        <v>936</v>
      </c>
      <c r="P3737" s="1">
        <v>1</v>
      </c>
    </row>
    <row r="3738" spans="1:16" x14ac:dyDescent="0.25">
      <c r="A3738" s="3">
        <v>46102</v>
      </c>
      <c r="B3738" s="4">
        <v>7021</v>
      </c>
      <c r="C3738" s="5">
        <v>780.34</v>
      </c>
      <c r="D3738" s="1" t="s">
        <v>2001</v>
      </c>
      <c r="E3738" s="1" t="s">
        <v>2002</v>
      </c>
      <c r="F3738" s="1" t="s">
        <v>949</v>
      </c>
      <c r="G3738" s="1" t="s">
        <v>940</v>
      </c>
      <c r="H3738" s="3">
        <v>46134</v>
      </c>
      <c r="I3738" s="1" t="s">
        <v>933</v>
      </c>
      <c r="J3738" s="1" t="s">
        <v>951</v>
      </c>
      <c r="K3738" s="1" t="s">
        <v>308</v>
      </c>
      <c r="L3738" s="1" t="s">
        <v>5128</v>
      </c>
      <c r="M3738" s="3">
        <v>46106</v>
      </c>
      <c r="N3738" s="1" t="s">
        <v>57</v>
      </c>
      <c r="O3738" s="1" t="s">
        <v>936</v>
      </c>
      <c r="P3738" s="1">
        <v>2</v>
      </c>
    </row>
    <row r="3739" spans="1:16" x14ac:dyDescent="0.25">
      <c r="A3739" s="3">
        <v>46102</v>
      </c>
      <c r="B3739" s="4">
        <v>5295</v>
      </c>
      <c r="C3739" s="5">
        <v>777.77</v>
      </c>
      <c r="D3739" s="1" t="s">
        <v>938</v>
      </c>
      <c r="E3739" s="1" t="s">
        <v>939</v>
      </c>
      <c r="F3739" s="1" t="s">
        <v>66</v>
      </c>
      <c r="G3739" s="1" t="s">
        <v>940</v>
      </c>
      <c r="H3739" s="3">
        <v>46133</v>
      </c>
      <c r="I3739" s="1" t="s">
        <v>933</v>
      </c>
      <c r="J3739" s="1" t="s">
        <v>66</v>
      </c>
      <c r="K3739" s="1" t="s">
        <v>340</v>
      </c>
      <c r="L3739" s="1" t="s">
        <v>5129</v>
      </c>
      <c r="M3739" s="3">
        <v>46106</v>
      </c>
      <c r="N3739" s="1" t="s">
        <v>57</v>
      </c>
      <c r="O3739" s="1" t="s">
        <v>936</v>
      </c>
      <c r="P3739" s="1">
        <v>1</v>
      </c>
    </row>
    <row r="3740" spans="1:16" x14ac:dyDescent="0.25">
      <c r="A3740" s="3">
        <v>46102</v>
      </c>
      <c r="B3740" s="4">
        <v>14863</v>
      </c>
      <c r="C3740" s="5">
        <v>13</v>
      </c>
      <c r="D3740" s="1" t="s">
        <v>1064</v>
      </c>
      <c r="E3740" s="1" t="s">
        <v>1042</v>
      </c>
      <c r="F3740" s="1" t="s">
        <v>949</v>
      </c>
      <c r="G3740" s="1" t="s">
        <v>940</v>
      </c>
      <c r="H3740" s="1" t="s">
        <v>4055</v>
      </c>
      <c r="I3740" s="1" t="s">
        <v>933</v>
      </c>
      <c r="J3740" s="1" t="s">
        <v>951</v>
      </c>
      <c r="K3740" s="1" t="s">
        <v>340</v>
      </c>
      <c r="L3740" s="1" t="s">
        <v>5137</v>
      </c>
      <c r="M3740" s="1" t="s">
        <v>4055</v>
      </c>
      <c r="N3740" s="1" t="s">
        <v>57</v>
      </c>
      <c r="O3740" s="1" t="s">
        <v>936</v>
      </c>
      <c r="P3740" s="1">
        <v>1</v>
      </c>
    </row>
    <row r="3741" spans="1:16" x14ac:dyDescent="0.25">
      <c r="A3741" s="3">
        <v>46102</v>
      </c>
      <c r="B3741" s="1">
        <v>832</v>
      </c>
      <c r="C3741" s="5">
        <v>2500</v>
      </c>
      <c r="D3741" s="1" t="s">
        <v>5221</v>
      </c>
      <c r="E3741" s="1" t="s">
        <v>5222</v>
      </c>
      <c r="F3741" s="1">
        <v>100141</v>
      </c>
      <c r="G3741" s="1" t="s">
        <v>1029</v>
      </c>
      <c r="H3741" s="3">
        <v>46122</v>
      </c>
      <c r="I3741" s="1" t="s">
        <v>933</v>
      </c>
      <c r="J3741" s="1" t="s">
        <v>66</v>
      </c>
      <c r="K3741" s="1" t="s">
        <v>858</v>
      </c>
      <c r="L3741" s="1" t="s">
        <v>5223</v>
      </c>
      <c r="M3741" s="3">
        <v>46109</v>
      </c>
      <c r="N3741" s="1" t="s">
        <v>57</v>
      </c>
      <c r="O3741" s="1" t="s">
        <v>936</v>
      </c>
      <c r="P3741" s="1">
        <v>1</v>
      </c>
    </row>
    <row r="3742" spans="1:16" x14ac:dyDescent="0.25">
      <c r="A3742" s="3">
        <v>46102</v>
      </c>
      <c r="B3742" s="1">
        <v>830</v>
      </c>
      <c r="C3742" s="5">
        <v>6200</v>
      </c>
      <c r="D3742" s="1" t="s">
        <v>5221</v>
      </c>
      <c r="E3742" s="1" t="s">
        <v>5222</v>
      </c>
      <c r="F3742" s="1" t="s">
        <v>360</v>
      </c>
      <c r="G3742" s="1" t="s">
        <v>1029</v>
      </c>
      <c r="H3742" s="3">
        <v>46122</v>
      </c>
      <c r="I3742" s="1" t="s">
        <v>933</v>
      </c>
      <c r="J3742" s="1" t="s">
        <v>66</v>
      </c>
      <c r="K3742" s="1" t="s">
        <v>308</v>
      </c>
      <c r="L3742" s="1" t="s">
        <v>5224</v>
      </c>
      <c r="M3742" s="3">
        <v>46109</v>
      </c>
      <c r="N3742" s="1" t="s">
        <v>338</v>
      </c>
      <c r="O3742" s="1" t="s">
        <v>936</v>
      </c>
      <c r="P3742" s="1">
        <v>1</v>
      </c>
    </row>
    <row r="3743" spans="1:16" x14ac:dyDescent="0.25">
      <c r="A3743" s="3">
        <v>46102</v>
      </c>
      <c r="B3743" s="1">
        <v>829</v>
      </c>
      <c r="C3743" s="5">
        <v>6200</v>
      </c>
      <c r="D3743" s="1" t="s">
        <v>5221</v>
      </c>
      <c r="E3743" s="1" t="s">
        <v>5222</v>
      </c>
      <c r="F3743" s="1" t="s">
        <v>66</v>
      </c>
      <c r="G3743" s="1" t="s">
        <v>1029</v>
      </c>
      <c r="H3743" s="3">
        <v>46122</v>
      </c>
      <c r="I3743" s="1" t="s">
        <v>933</v>
      </c>
      <c r="J3743" s="1" t="s">
        <v>66</v>
      </c>
      <c r="K3743" s="1" t="s">
        <v>308</v>
      </c>
      <c r="L3743" s="1" t="s">
        <v>5225</v>
      </c>
      <c r="M3743" s="3">
        <v>46109</v>
      </c>
      <c r="N3743" s="1" t="s">
        <v>57</v>
      </c>
      <c r="O3743" s="1" t="s">
        <v>936</v>
      </c>
      <c r="P3743" s="1">
        <v>1</v>
      </c>
    </row>
    <row r="3744" spans="1:16" x14ac:dyDescent="0.25">
      <c r="A3744" s="3">
        <v>46103</v>
      </c>
      <c r="B3744" s="4">
        <v>14871</v>
      </c>
      <c r="C3744" s="5">
        <v>180</v>
      </c>
      <c r="D3744" s="1" t="s">
        <v>1064</v>
      </c>
      <c r="E3744" s="1" t="s">
        <v>1042</v>
      </c>
      <c r="F3744" s="1" t="s">
        <v>693</v>
      </c>
      <c r="G3744" s="1" t="s">
        <v>940</v>
      </c>
      <c r="H3744" s="1" t="s">
        <v>4055</v>
      </c>
      <c r="I3744" s="1" t="s">
        <v>933</v>
      </c>
      <c r="J3744" s="1" t="s">
        <v>66</v>
      </c>
      <c r="K3744" s="1" t="s">
        <v>340</v>
      </c>
      <c r="L3744" s="1" t="s">
        <v>5133</v>
      </c>
      <c r="M3744" s="1" t="s">
        <v>4055</v>
      </c>
      <c r="N3744" s="1" t="s">
        <v>383</v>
      </c>
      <c r="O3744" s="1" t="s">
        <v>936</v>
      </c>
      <c r="P3744" s="1">
        <v>1</v>
      </c>
    </row>
    <row r="3745" spans="1:16" x14ac:dyDescent="0.25">
      <c r="A3745" s="3">
        <v>46104</v>
      </c>
      <c r="B3745" s="4">
        <v>1228</v>
      </c>
      <c r="C3745" s="5">
        <v>1350</v>
      </c>
      <c r="D3745" s="1" t="s">
        <v>1074</v>
      </c>
      <c r="E3745" s="1" t="s">
        <v>1075</v>
      </c>
      <c r="F3745" s="1" t="s">
        <v>283</v>
      </c>
      <c r="G3745" s="1" t="s">
        <v>981</v>
      </c>
      <c r="H3745" s="3">
        <v>46117</v>
      </c>
      <c r="I3745" s="1" t="s">
        <v>933</v>
      </c>
      <c r="J3745" s="1" t="s">
        <v>66</v>
      </c>
      <c r="K3745" s="1" t="s">
        <v>340</v>
      </c>
      <c r="L3745" s="1" t="s">
        <v>4847</v>
      </c>
      <c r="M3745" s="3">
        <v>46108</v>
      </c>
      <c r="N3745" s="1" t="s">
        <v>264</v>
      </c>
      <c r="O3745" s="1" t="s">
        <v>936</v>
      </c>
      <c r="P3745" s="1">
        <v>1</v>
      </c>
    </row>
    <row r="3746" spans="1:16" x14ac:dyDescent="0.25">
      <c r="A3746" s="3">
        <v>46104</v>
      </c>
      <c r="B3746" s="4">
        <v>10739</v>
      </c>
      <c r="C3746" s="5">
        <v>41579.449999999997</v>
      </c>
      <c r="D3746" s="1" t="s">
        <v>973</v>
      </c>
      <c r="E3746" s="1" t="s">
        <v>1068</v>
      </c>
      <c r="F3746" s="1" t="s">
        <v>66</v>
      </c>
      <c r="G3746" s="1" t="s">
        <v>998</v>
      </c>
      <c r="H3746" s="3">
        <v>46119</v>
      </c>
      <c r="I3746" s="1" t="s">
        <v>933</v>
      </c>
      <c r="J3746" s="1" t="s">
        <v>66</v>
      </c>
      <c r="K3746" s="1" t="s">
        <v>66</v>
      </c>
      <c r="L3746" s="1" t="s">
        <v>5107</v>
      </c>
      <c r="M3746" s="3">
        <v>46105</v>
      </c>
      <c r="N3746" s="1" t="s">
        <v>57</v>
      </c>
      <c r="O3746" s="1" t="s">
        <v>998</v>
      </c>
      <c r="P3746" s="1">
        <v>1</v>
      </c>
    </row>
    <row r="3747" spans="1:16" x14ac:dyDescent="0.25">
      <c r="A3747" s="3">
        <v>46104</v>
      </c>
      <c r="B3747" s="4">
        <v>10740</v>
      </c>
      <c r="C3747" s="5">
        <v>28360</v>
      </c>
      <c r="D3747" s="1" t="s">
        <v>973</v>
      </c>
      <c r="E3747" s="1" t="s">
        <v>1068</v>
      </c>
      <c r="F3747" s="1" t="s">
        <v>66</v>
      </c>
      <c r="G3747" s="1" t="s">
        <v>998</v>
      </c>
      <c r="H3747" s="3">
        <v>46111</v>
      </c>
      <c r="I3747" s="1" t="s">
        <v>933</v>
      </c>
      <c r="J3747" s="1" t="s">
        <v>66</v>
      </c>
      <c r="K3747" s="1" t="s">
        <v>66</v>
      </c>
      <c r="L3747" s="1" t="s">
        <v>5106</v>
      </c>
      <c r="M3747" s="3">
        <v>46105</v>
      </c>
      <c r="N3747" s="1" t="s">
        <v>57</v>
      </c>
      <c r="O3747" s="1" t="s">
        <v>998</v>
      </c>
      <c r="P3747" s="1">
        <v>1</v>
      </c>
    </row>
    <row r="3748" spans="1:16" x14ac:dyDescent="0.25">
      <c r="A3748" s="3">
        <v>46104</v>
      </c>
      <c r="B3748" s="4">
        <v>2534</v>
      </c>
      <c r="C3748" s="5">
        <v>900</v>
      </c>
      <c r="D3748" s="1" t="s">
        <v>1182</v>
      </c>
      <c r="E3748" s="1" t="s">
        <v>1183</v>
      </c>
      <c r="F3748" s="1" t="s">
        <v>66</v>
      </c>
      <c r="G3748" s="1" t="s">
        <v>940</v>
      </c>
      <c r="H3748" s="3">
        <v>46135</v>
      </c>
      <c r="I3748" s="1" t="s">
        <v>933</v>
      </c>
      <c r="J3748" s="1" t="s">
        <v>66</v>
      </c>
      <c r="K3748" s="1" t="s">
        <v>66</v>
      </c>
      <c r="L3748" s="1" t="s">
        <v>5108</v>
      </c>
      <c r="M3748" s="3">
        <v>46106</v>
      </c>
      <c r="N3748" s="1" t="s">
        <v>57</v>
      </c>
      <c r="O3748" s="1" t="s">
        <v>936</v>
      </c>
      <c r="P3748" s="1">
        <v>1</v>
      </c>
    </row>
    <row r="3749" spans="1:16" x14ac:dyDescent="0.25">
      <c r="A3749" s="3">
        <v>46104</v>
      </c>
      <c r="B3749" s="4">
        <v>3037</v>
      </c>
      <c r="C3749" s="5">
        <v>5000</v>
      </c>
      <c r="D3749" s="1" t="s">
        <v>1770</v>
      </c>
      <c r="E3749" s="1" t="s">
        <v>1771</v>
      </c>
      <c r="F3749" s="1">
        <v>100141</v>
      </c>
      <c r="G3749" s="1" t="s">
        <v>1029</v>
      </c>
      <c r="H3749" s="3">
        <v>46133</v>
      </c>
      <c r="I3749" s="1" t="s">
        <v>933</v>
      </c>
      <c r="J3749" s="1" t="s">
        <v>66</v>
      </c>
      <c r="K3749" s="1" t="s">
        <v>308</v>
      </c>
      <c r="L3749" s="1" t="s">
        <v>5110</v>
      </c>
      <c r="M3749" s="3">
        <v>46106</v>
      </c>
      <c r="N3749" s="1" t="s">
        <v>57</v>
      </c>
      <c r="O3749" s="1" t="s">
        <v>1031</v>
      </c>
      <c r="P3749" s="1">
        <v>1</v>
      </c>
    </row>
    <row r="3750" spans="1:16" x14ac:dyDescent="0.25">
      <c r="A3750" s="3">
        <v>46104</v>
      </c>
      <c r="B3750" s="4">
        <v>1850</v>
      </c>
      <c r="C3750" s="5">
        <v>21252.81</v>
      </c>
      <c r="D3750" s="1" t="s">
        <v>3971</v>
      </c>
      <c r="E3750" s="1" t="s">
        <v>3972</v>
      </c>
      <c r="F3750" s="1" t="s">
        <v>906</v>
      </c>
      <c r="G3750" s="1" t="s">
        <v>940</v>
      </c>
      <c r="H3750" s="3">
        <v>46134</v>
      </c>
      <c r="I3750" s="1" t="s">
        <v>933</v>
      </c>
      <c r="J3750" s="1" t="s">
        <v>66</v>
      </c>
      <c r="K3750" s="1" t="s">
        <v>308</v>
      </c>
      <c r="L3750" s="1" t="s">
        <v>5113</v>
      </c>
      <c r="M3750" s="3">
        <v>46106</v>
      </c>
      <c r="N3750" s="1" t="s">
        <v>57</v>
      </c>
      <c r="O3750" s="1" t="s">
        <v>936</v>
      </c>
      <c r="P3750" s="1">
        <v>1</v>
      </c>
    </row>
    <row r="3751" spans="1:16" x14ac:dyDescent="0.25">
      <c r="A3751" s="3">
        <v>46104</v>
      </c>
      <c r="B3751" s="4">
        <v>130785</v>
      </c>
      <c r="C3751" s="5">
        <v>4559.25</v>
      </c>
      <c r="D3751" s="1" t="s">
        <v>4499</v>
      </c>
      <c r="E3751" s="1" t="s">
        <v>4500</v>
      </c>
      <c r="F3751" s="1" t="s">
        <v>949</v>
      </c>
      <c r="G3751" s="1" t="s">
        <v>940</v>
      </c>
      <c r="H3751" s="3">
        <v>46132</v>
      </c>
      <c r="I3751" s="1" t="s">
        <v>933</v>
      </c>
      <c r="J3751" s="1" t="s">
        <v>951</v>
      </c>
      <c r="K3751" s="1" t="s">
        <v>308</v>
      </c>
      <c r="L3751" s="1" t="s">
        <v>5117</v>
      </c>
      <c r="M3751" s="3">
        <v>46106</v>
      </c>
      <c r="N3751" s="1" t="s">
        <v>57</v>
      </c>
      <c r="O3751" s="1" t="s">
        <v>936</v>
      </c>
      <c r="P3751" s="1">
        <v>1</v>
      </c>
    </row>
    <row r="3752" spans="1:16" x14ac:dyDescent="0.25">
      <c r="A3752" s="3">
        <v>46104</v>
      </c>
      <c r="B3752" s="1">
        <v>1</v>
      </c>
      <c r="C3752" s="5">
        <v>1780.38</v>
      </c>
      <c r="D3752" s="1" t="s">
        <v>5121</v>
      </c>
      <c r="E3752" s="1" t="s">
        <v>5122</v>
      </c>
      <c r="F3752" s="1" t="s">
        <v>66</v>
      </c>
      <c r="G3752" s="1" t="s">
        <v>1029</v>
      </c>
      <c r="H3752" s="3">
        <v>46122</v>
      </c>
      <c r="I3752" s="1" t="s">
        <v>933</v>
      </c>
      <c r="J3752" s="1" t="s">
        <v>66</v>
      </c>
      <c r="K3752" s="1" t="s">
        <v>308</v>
      </c>
      <c r="L3752" s="1" t="s">
        <v>5123</v>
      </c>
      <c r="M3752" s="3">
        <v>46106</v>
      </c>
      <c r="N3752" s="1" t="s">
        <v>57</v>
      </c>
      <c r="O3752" s="1" t="s">
        <v>936</v>
      </c>
      <c r="P3752" s="1">
        <v>1</v>
      </c>
    </row>
    <row r="3753" spans="1:16" x14ac:dyDescent="0.25">
      <c r="A3753" s="3">
        <v>46104</v>
      </c>
      <c r="B3753" s="1">
        <v>19</v>
      </c>
      <c r="C3753" s="5">
        <v>6000</v>
      </c>
      <c r="D3753" s="1" t="s">
        <v>4106</v>
      </c>
      <c r="E3753" s="1" t="s">
        <v>4107</v>
      </c>
      <c r="F3753" s="1" t="s">
        <v>1814</v>
      </c>
      <c r="G3753" s="1" t="s">
        <v>932</v>
      </c>
      <c r="H3753" s="3">
        <v>46117</v>
      </c>
      <c r="I3753" s="1" t="s">
        <v>933</v>
      </c>
      <c r="J3753" s="1" t="s">
        <v>66</v>
      </c>
      <c r="K3753" s="1" t="s">
        <v>340</v>
      </c>
      <c r="L3753" s="1" t="s">
        <v>5124</v>
      </c>
      <c r="M3753" s="3">
        <v>46106</v>
      </c>
      <c r="N3753" s="1" t="s">
        <v>1814</v>
      </c>
      <c r="O3753" s="1" t="s">
        <v>936</v>
      </c>
      <c r="P3753" s="1" t="s">
        <v>937</v>
      </c>
    </row>
    <row r="3754" spans="1:16" x14ac:dyDescent="0.25">
      <c r="A3754" s="3">
        <v>46104</v>
      </c>
      <c r="B3754" s="4">
        <v>1493</v>
      </c>
      <c r="C3754" s="5">
        <v>70</v>
      </c>
      <c r="D3754" s="1" t="s">
        <v>3954</v>
      </c>
      <c r="E3754" s="1" t="s">
        <v>3955</v>
      </c>
      <c r="F3754" s="1" t="s">
        <v>66</v>
      </c>
      <c r="G3754" s="1" t="s">
        <v>940</v>
      </c>
      <c r="H3754" s="3">
        <v>46135</v>
      </c>
      <c r="I3754" s="1" t="s">
        <v>933</v>
      </c>
      <c r="J3754" s="1" t="s">
        <v>66</v>
      </c>
      <c r="K3754" s="1" t="s">
        <v>340</v>
      </c>
      <c r="L3754" s="1" t="s">
        <v>5125</v>
      </c>
      <c r="M3754" s="3">
        <v>46106</v>
      </c>
      <c r="N3754" s="1" t="s">
        <v>57</v>
      </c>
      <c r="O3754" s="1" t="s">
        <v>936</v>
      </c>
      <c r="P3754" s="1" t="s">
        <v>937</v>
      </c>
    </row>
    <row r="3755" spans="1:16" x14ac:dyDescent="0.25">
      <c r="A3755" s="3">
        <v>46104</v>
      </c>
      <c r="B3755" s="4">
        <v>1695</v>
      </c>
      <c r="C3755" s="5">
        <v>2877.1</v>
      </c>
      <c r="D3755" s="1" t="s">
        <v>1901</v>
      </c>
      <c r="E3755" s="1" t="s">
        <v>1902</v>
      </c>
      <c r="F3755" s="1" t="s">
        <v>949</v>
      </c>
      <c r="G3755" s="1" t="s">
        <v>940</v>
      </c>
      <c r="H3755" s="3">
        <v>46132</v>
      </c>
      <c r="I3755" s="1" t="s">
        <v>933</v>
      </c>
      <c r="J3755" s="1" t="s">
        <v>951</v>
      </c>
      <c r="K3755" s="1" t="s">
        <v>934</v>
      </c>
      <c r="L3755" s="1" t="s">
        <v>5126</v>
      </c>
      <c r="M3755" s="3">
        <v>46106</v>
      </c>
      <c r="N3755" s="1" t="s">
        <v>57</v>
      </c>
      <c r="O3755" s="1" t="s">
        <v>936</v>
      </c>
      <c r="P3755" s="1">
        <v>1</v>
      </c>
    </row>
    <row r="3756" spans="1:16" x14ac:dyDescent="0.25">
      <c r="A3756" s="3">
        <v>46104</v>
      </c>
      <c r="B3756" s="4">
        <v>1229</v>
      </c>
      <c r="C3756" s="5">
        <v>280</v>
      </c>
      <c r="D3756" s="1" t="s">
        <v>1074</v>
      </c>
      <c r="E3756" s="1" t="s">
        <v>1075</v>
      </c>
      <c r="F3756" s="1" t="s">
        <v>65</v>
      </c>
      <c r="G3756" s="1" t="s">
        <v>1058</v>
      </c>
      <c r="H3756" s="3">
        <v>46117</v>
      </c>
      <c r="I3756" s="1" t="s">
        <v>933</v>
      </c>
      <c r="J3756" s="1" t="s">
        <v>66</v>
      </c>
      <c r="K3756" s="1" t="s">
        <v>817</v>
      </c>
      <c r="L3756" s="1" t="s">
        <v>5170</v>
      </c>
      <c r="M3756" s="3">
        <v>46108</v>
      </c>
      <c r="N3756" s="1" t="s">
        <v>57</v>
      </c>
      <c r="O3756" s="1" t="s">
        <v>936</v>
      </c>
      <c r="P3756" s="1">
        <v>1</v>
      </c>
    </row>
    <row r="3757" spans="1:16" x14ac:dyDescent="0.25">
      <c r="A3757" s="3">
        <v>46104</v>
      </c>
      <c r="B3757" s="4">
        <v>1229</v>
      </c>
      <c r="C3757" s="5">
        <v>280</v>
      </c>
      <c r="D3757" s="1" t="s">
        <v>1074</v>
      </c>
      <c r="E3757" s="1" t="s">
        <v>1075</v>
      </c>
      <c r="F3757" s="1" t="s">
        <v>639</v>
      </c>
      <c r="G3757" s="1" t="s">
        <v>1058</v>
      </c>
      <c r="H3757" s="3">
        <v>46117</v>
      </c>
      <c r="I3757" s="1" t="s">
        <v>933</v>
      </c>
      <c r="J3757" s="1" t="s">
        <v>66</v>
      </c>
      <c r="K3757" s="1" t="s">
        <v>640</v>
      </c>
      <c r="L3757" s="1" t="s">
        <v>5171</v>
      </c>
      <c r="M3757" s="3">
        <v>46108</v>
      </c>
      <c r="N3757" s="1" t="s">
        <v>98</v>
      </c>
      <c r="O3757" s="1" t="s">
        <v>936</v>
      </c>
      <c r="P3757" s="1">
        <v>1</v>
      </c>
    </row>
    <row r="3758" spans="1:16" x14ac:dyDescent="0.25">
      <c r="A3758" s="3">
        <v>46104</v>
      </c>
      <c r="B3758" s="4">
        <v>1229</v>
      </c>
      <c r="C3758" s="5">
        <v>80</v>
      </c>
      <c r="D3758" s="1" t="s">
        <v>1074</v>
      </c>
      <c r="E3758" s="1" t="s">
        <v>1075</v>
      </c>
      <c r="F3758" s="1" t="s">
        <v>66</v>
      </c>
      <c r="G3758" s="1" t="s">
        <v>1058</v>
      </c>
      <c r="H3758" s="3">
        <v>46117</v>
      </c>
      <c r="I3758" s="1" t="s">
        <v>933</v>
      </c>
      <c r="J3758" s="1" t="s">
        <v>66</v>
      </c>
      <c r="K3758" s="1" t="s">
        <v>640</v>
      </c>
      <c r="L3758" s="1" t="s">
        <v>5172</v>
      </c>
      <c r="M3758" s="3">
        <v>46108</v>
      </c>
      <c r="N3758" s="1" t="s">
        <v>57</v>
      </c>
      <c r="O3758" s="1" t="s">
        <v>936</v>
      </c>
      <c r="P3758" s="1">
        <v>1</v>
      </c>
    </row>
    <row r="3759" spans="1:16" x14ac:dyDescent="0.25">
      <c r="A3759" s="3">
        <v>46104</v>
      </c>
      <c r="B3759" s="4">
        <v>1229</v>
      </c>
      <c r="C3759" s="5">
        <v>80</v>
      </c>
      <c r="D3759" s="1" t="s">
        <v>1074</v>
      </c>
      <c r="E3759" s="1" t="s">
        <v>1075</v>
      </c>
      <c r="F3759" s="1" t="s">
        <v>66</v>
      </c>
      <c r="G3759" s="1" t="s">
        <v>1058</v>
      </c>
      <c r="H3759" s="3">
        <v>46117</v>
      </c>
      <c r="I3759" s="1" t="s">
        <v>933</v>
      </c>
      <c r="J3759" s="1" t="s">
        <v>66</v>
      </c>
      <c r="K3759" s="1" t="s">
        <v>817</v>
      </c>
      <c r="L3759" s="1" t="s">
        <v>5173</v>
      </c>
      <c r="M3759" s="3">
        <v>46108</v>
      </c>
      <c r="N3759" s="1" t="s">
        <v>57</v>
      </c>
      <c r="O3759" s="1" t="s">
        <v>936</v>
      </c>
      <c r="P3759" s="1">
        <v>1</v>
      </c>
    </row>
    <row r="3760" spans="1:16" x14ac:dyDescent="0.25">
      <c r="A3760" s="3">
        <v>46104</v>
      </c>
      <c r="B3760" s="4">
        <v>1229</v>
      </c>
      <c r="C3760" s="5">
        <v>80</v>
      </c>
      <c r="D3760" s="1" t="s">
        <v>1074</v>
      </c>
      <c r="E3760" s="1" t="s">
        <v>1075</v>
      </c>
      <c r="F3760" s="1" t="s">
        <v>66</v>
      </c>
      <c r="G3760" s="1" t="s">
        <v>1058</v>
      </c>
      <c r="H3760" s="3">
        <v>46117</v>
      </c>
      <c r="I3760" s="1" t="s">
        <v>933</v>
      </c>
      <c r="J3760" s="1" t="s">
        <v>66</v>
      </c>
      <c r="K3760" s="1" t="s">
        <v>2085</v>
      </c>
      <c r="L3760" s="1" t="s">
        <v>5174</v>
      </c>
      <c r="M3760" s="3">
        <v>46108</v>
      </c>
      <c r="N3760" s="1" t="s">
        <v>57</v>
      </c>
      <c r="O3760" s="1" t="s">
        <v>936</v>
      </c>
      <c r="P3760" s="1">
        <v>1</v>
      </c>
    </row>
    <row r="3761" spans="1:16" x14ac:dyDescent="0.25">
      <c r="A3761" s="3">
        <v>46104</v>
      </c>
      <c r="B3761" s="4">
        <v>1229</v>
      </c>
      <c r="C3761" s="5">
        <v>280</v>
      </c>
      <c r="D3761" s="1" t="s">
        <v>1074</v>
      </c>
      <c r="E3761" s="1" t="s">
        <v>1075</v>
      </c>
      <c r="F3761" s="1" t="s">
        <v>339</v>
      </c>
      <c r="G3761" s="1" t="s">
        <v>1058</v>
      </c>
      <c r="H3761" s="3">
        <v>46117</v>
      </c>
      <c r="I3761" s="1" t="s">
        <v>933</v>
      </c>
      <c r="J3761" s="1" t="s">
        <v>66</v>
      </c>
      <c r="K3761" s="1" t="s">
        <v>340</v>
      </c>
      <c r="L3761" s="1" t="s">
        <v>5175</v>
      </c>
      <c r="M3761" s="3">
        <v>46108</v>
      </c>
      <c r="N3761" s="1" t="s">
        <v>57</v>
      </c>
      <c r="O3761" s="1" t="s">
        <v>936</v>
      </c>
      <c r="P3761" s="1">
        <v>1</v>
      </c>
    </row>
    <row r="3762" spans="1:16" x14ac:dyDescent="0.25">
      <c r="A3762" s="3">
        <v>46104</v>
      </c>
      <c r="B3762" s="4">
        <v>1229</v>
      </c>
      <c r="C3762" s="5">
        <v>350</v>
      </c>
      <c r="D3762" s="1" t="s">
        <v>1074</v>
      </c>
      <c r="E3762" s="1" t="s">
        <v>1075</v>
      </c>
      <c r="F3762" s="1" t="s">
        <v>453</v>
      </c>
      <c r="G3762" s="1" t="s">
        <v>1058</v>
      </c>
      <c r="H3762" s="3">
        <v>46117</v>
      </c>
      <c r="I3762" s="1" t="s">
        <v>933</v>
      </c>
      <c r="J3762" s="1" t="s">
        <v>66</v>
      </c>
      <c r="K3762" s="1" t="s">
        <v>105</v>
      </c>
      <c r="L3762" s="1" t="s">
        <v>5175</v>
      </c>
      <c r="M3762" s="3">
        <v>46108</v>
      </c>
      <c r="N3762" s="1" t="s">
        <v>455</v>
      </c>
      <c r="O3762" s="1" t="s">
        <v>936</v>
      </c>
      <c r="P3762" s="1">
        <v>1</v>
      </c>
    </row>
    <row r="3763" spans="1:16" x14ac:dyDescent="0.25">
      <c r="A3763" s="3">
        <v>46104</v>
      </c>
      <c r="B3763" s="4">
        <v>1229</v>
      </c>
      <c r="C3763" s="5">
        <v>500</v>
      </c>
      <c r="D3763" s="1" t="s">
        <v>1074</v>
      </c>
      <c r="E3763" s="1" t="s">
        <v>1075</v>
      </c>
      <c r="F3763" s="1" t="s">
        <v>736</v>
      </c>
      <c r="G3763" s="1" t="s">
        <v>1058</v>
      </c>
      <c r="H3763" s="3">
        <v>46117</v>
      </c>
      <c r="I3763" s="1" t="s">
        <v>933</v>
      </c>
      <c r="J3763" s="1" t="s">
        <v>66</v>
      </c>
      <c r="K3763" s="1" t="s">
        <v>308</v>
      </c>
      <c r="L3763" s="1" t="s">
        <v>5176</v>
      </c>
      <c r="M3763" s="3">
        <v>46108</v>
      </c>
      <c r="N3763" s="1" t="s">
        <v>57</v>
      </c>
      <c r="O3763" s="1" t="s">
        <v>936</v>
      </c>
      <c r="P3763" s="1">
        <v>1</v>
      </c>
    </row>
    <row r="3764" spans="1:16" x14ac:dyDescent="0.25">
      <c r="A3764" s="3">
        <v>46104</v>
      </c>
      <c r="B3764" s="4">
        <v>1229</v>
      </c>
      <c r="C3764" s="5">
        <v>500</v>
      </c>
      <c r="D3764" s="1" t="s">
        <v>1074</v>
      </c>
      <c r="E3764" s="1" t="s">
        <v>1075</v>
      </c>
      <c r="F3764" s="1" t="s">
        <v>727</v>
      </c>
      <c r="G3764" s="1" t="s">
        <v>1058</v>
      </c>
      <c r="H3764" s="3">
        <v>46117</v>
      </c>
      <c r="I3764" s="1" t="s">
        <v>933</v>
      </c>
      <c r="J3764" s="1" t="s">
        <v>66</v>
      </c>
      <c r="K3764" s="1" t="s">
        <v>308</v>
      </c>
      <c r="L3764" s="1" t="s">
        <v>5176</v>
      </c>
      <c r="M3764" s="3">
        <v>46108</v>
      </c>
      <c r="N3764" s="1" t="s">
        <v>57</v>
      </c>
      <c r="O3764" s="1" t="s">
        <v>936</v>
      </c>
      <c r="P3764" s="1">
        <v>1</v>
      </c>
    </row>
    <row r="3765" spans="1:16" x14ac:dyDescent="0.25">
      <c r="A3765" s="3">
        <v>46104</v>
      </c>
      <c r="B3765" s="4">
        <v>1229</v>
      </c>
      <c r="C3765" s="5">
        <v>350</v>
      </c>
      <c r="D3765" s="1" t="s">
        <v>1074</v>
      </c>
      <c r="E3765" s="1" t="s">
        <v>1075</v>
      </c>
      <c r="F3765" s="1" t="s">
        <v>457</v>
      </c>
      <c r="G3765" s="1" t="s">
        <v>1058</v>
      </c>
      <c r="H3765" s="3">
        <v>46117</v>
      </c>
      <c r="I3765" s="1" t="s">
        <v>933</v>
      </c>
      <c r="J3765" s="1" t="s">
        <v>66</v>
      </c>
      <c r="K3765" s="1" t="s">
        <v>308</v>
      </c>
      <c r="L3765" s="1" t="s">
        <v>5175</v>
      </c>
      <c r="M3765" s="3">
        <v>46108</v>
      </c>
      <c r="N3765" s="1" t="s">
        <v>358</v>
      </c>
      <c r="O3765" s="1" t="s">
        <v>936</v>
      </c>
      <c r="P3765" s="1">
        <v>1</v>
      </c>
    </row>
    <row r="3766" spans="1:16" x14ac:dyDescent="0.25">
      <c r="A3766" s="3">
        <v>46104</v>
      </c>
      <c r="B3766" s="4">
        <v>1229</v>
      </c>
      <c r="C3766" s="5">
        <v>600</v>
      </c>
      <c r="D3766" s="1" t="s">
        <v>1074</v>
      </c>
      <c r="E3766" s="1" t="s">
        <v>1075</v>
      </c>
      <c r="F3766" s="1" t="s">
        <v>658</v>
      </c>
      <c r="G3766" s="1" t="s">
        <v>1058</v>
      </c>
      <c r="H3766" s="3">
        <v>46117</v>
      </c>
      <c r="I3766" s="1" t="s">
        <v>933</v>
      </c>
      <c r="J3766" s="1" t="s">
        <v>66</v>
      </c>
      <c r="K3766" s="1" t="s">
        <v>659</v>
      </c>
      <c r="L3766" s="1" t="s">
        <v>5177</v>
      </c>
      <c r="M3766" s="3">
        <v>46108</v>
      </c>
      <c r="N3766" s="1" t="s">
        <v>57</v>
      </c>
      <c r="O3766" s="1" t="s">
        <v>936</v>
      </c>
      <c r="P3766" s="1">
        <v>1</v>
      </c>
    </row>
    <row r="3767" spans="1:16" x14ac:dyDescent="0.25">
      <c r="A3767" s="3">
        <v>46104</v>
      </c>
      <c r="B3767" s="4">
        <v>1229</v>
      </c>
      <c r="C3767" s="5">
        <v>280</v>
      </c>
      <c r="D3767" s="1" t="s">
        <v>1074</v>
      </c>
      <c r="E3767" s="1" t="s">
        <v>1075</v>
      </c>
      <c r="F3767" s="1" t="s">
        <v>596</v>
      </c>
      <c r="G3767" s="1" t="s">
        <v>1058</v>
      </c>
      <c r="H3767" s="3">
        <v>46117</v>
      </c>
      <c r="I3767" s="1" t="s">
        <v>933</v>
      </c>
      <c r="J3767" s="1" t="s">
        <v>66</v>
      </c>
      <c r="K3767" s="1" t="s">
        <v>340</v>
      </c>
      <c r="L3767" s="1" t="s">
        <v>5176</v>
      </c>
      <c r="M3767" s="3">
        <v>46108</v>
      </c>
      <c r="N3767" s="1" t="s">
        <v>57</v>
      </c>
      <c r="O3767" s="1" t="s">
        <v>936</v>
      </c>
      <c r="P3767" s="1">
        <v>1</v>
      </c>
    </row>
    <row r="3768" spans="1:16" x14ac:dyDescent="0.25">
      <c r="A3768" s="3">
        <v>46104</v>
      </c>
      <c r="B3768" s="4">
        <v>1229</v>
      </c>
      <c r="C3768" s="5">
        <v>280</v>
      </c>
      <c r="D3768" s="1" t="s">
        <v>1074</v>
      </c>
      <c r="E3768" s="1" t="s">
        <v>1075</v>
      </c>
      <c r="F3768" s="1" t="s">
        <v>66</v>
      </c>
      <c r="G3768" s="1" t="s">
        <v>1058</v>
      </c>
      <c r="H3768" s="3">
        <v>46117</v>
      </c>
      <c r="I3768" s="1" t="s">
        <v>933</v>
      </c>
      <c r="J3768" s="1" t="s">
        <v>66</v>
      </c>
      <c r="K3768" s="1" t="s">
        <v>308</v>
      </c>
      <c r="L3768" s="1" t="s">
        <v>5178</v>
      </c>
      <c r="M3768" s="3">
        <v>46108</v>
      </c>
      <c r="N3768" s="1" t="s">
        <v>57</v>
      </c>
      <c r="O3768" s="1" t="s">
        <v>936</v>
      </c>
      <c r="P3768" s="1">
        <v>1</v>
      </c>
    </row>
    <row r="3769" spans="1:16" x14ac:dyDescent="0.25">
      <c r="A3769" s="3">
        <v>46104</v>
      </c>
      <c r="B3769" s="4">
        <v>1229</v>
      </c>
      <c r="C3769" s="5">
        <v>500</v>
      </c>
      <c r="D3769" s="1" t="s">
        <v>1074</v>
      </c>
      <c r="E3769" s="1" t="s">
        <v>1075</v>
      </c>
      <c r="F3769" s="1" t="s">
        <v>670</v>
      </c>
      <c r="G3769" s="1" t="s">
        <v>1058</v>
      </c>
      <c r="H3769" s="3">
        <v>46117</v>
      </c>
      <c r="I3769" s="1" t="s">
        <v>933</v>
      </c>
      <c r="J3769" s="1" t="s">
        <v>66</v>
      </c>
      <c r="K3769" s="1" t="s">
        <v>659</v>
      </c>
      <c r="L3769" s="1" t="s">
        <v>5175</v>
      </c>
      <c r="M3769" s="3">
        <v>46108</v>
      </c>
      <c r="N3769" s="1" t="s">
        <v>57</v>
      </c>
      <c r="O3769" s="1" t="s">
        <v>936</v>
      </c>
      <c r="P3769" s="1">
        <v>1</v>
      </c>
    </row>
    <row r="3770" spans="1:16" x14ac:dyDescent="0.25">
      <c r="A3770" s="3">
        <v>46104</v>
      </c>
      <c r="B3770" s="4">
        <v>1229</v>
      </c>
      <c r="C3770" s="5">
        <v>40</v>
      </c>
      <c r="D3770" s="1" t="s">
        <v>1074</v>
      </c>
      <c r="E3770" s="1" t="s">
        <v>1075</v>
      </c>
      <c r="F3770" s="1" t="s">
        <v>66</v>
      </c>
      <c r="G3770" s="1" t="s">
        <v>1058</v>
      </c>
      <c r="H3770" s="3">
        <v>46117</v>
      </c>
      <c r="I3770" s="1" t="s">
        <v>933</v>
      </c>
      <c r="J3770" s="1" t="s">
        <v>66</v>
      </c>
      <c r="K3770" s="1" t="s">
        <v>817</v>
      </c>
      <c r="L3770" s="1" t="s">
        <v>5179</v>
      </c>
      <c r="M3770" s="3">
        <v>46108</v>
      </c>
      <c r="N3770" s="1" t="s">
        <v>821</v>
      </c>
      <c r="O3770" s="1" t="s">
        <v>936</v>
      </c>
      <c r="P3770" s="1">
        <v>1</v>
      </c>
    </row>
    <row r="3771" spans="1:16" x14ac:dyDescent="0.25">
      <c r="A3771" s="3">
        <v>46104</v>
      </c>
      <c r="B3771" s="4">
        <v>1229</v>
      </c>
      <c r="C3771" s="5">
        <v>450</v>
      </c>
      <c r="D3771" s="1" t="s">
        <v>1074</v>
      </c>
      <c r="E3771" s="1" t="s">
        <v>1075</v>
      </c>
      <c r="F3771" s="1" t="s">
        <v>572</v>
      </c>
      <c r="G3771" s="1" t="s">
        <v>1058</v>
      </c>
      <c r="H3771" s="3">
        <v>46117</v>
      </c>
      <c r="I3771" s="1" t="s">
        <v>933</v>
      </c>
      <c r="J3771" s="1" t="s">
        <v>66</v>
      </c>
      <c r="K3771" s="1" t="s">
        <v>308</v>
      </c>
      <c r="L3771" s="1" t="s">
        <v>5177</v>
      </c>
      <c r="M3771" s="3">
        <v>46108</v>
      </c>
      <c r="N3771" s="1" t="s">
        <v>574</v>
      </c>
      <c r="O3771" s="1" t="s">
        <v>936</v>
      </c>
      <c r="P3771" s="1">
        <v>1</v>
      </c>
    </row>
    <row r="3772" spans="1:16" x14ac:dyDescent="0.25">
      <c r="A3772" s="3">
        <v>46104</v>
      </c>
      <c r="B3772" s="4">
        <v>1229</v>
      </c>
      <c r="C3772" s="5">
        <v>80</v>
      </c>
      <c r="D3772" s="1" t="s">
        <v>1074</v>
      </c>
      <c r="E3772" s="1" t="s">
        <v>1075</v>
      </c>
      <c r="F3772" s="1" t="s">
        <v>66</v>
      </c>
      <c r="G3772" s="1" t="s">
        <v>1058</v>
      </c>
      <c r="H3772" s="3">
        <v>46117</v>
      </c>
      <c r="I3772" s="1" t="s">
        <v>933</v>
      </c>
      <c r="J3772" s="1" t="s">
        <v>66</v>
      </c>
      <c r="K3772" s="1" t="s">
        <v>2085</v>
      </c>
      <c r="L3772" s="1" t="s">
        <v>5180</v>
      </c>
      <c r="M3772" s="3">
        <v>46108</v>
      </c>
      <c r="N3772" s="1" t="s">
        <v>821</v>
      </c>
      <c r="O3772" s="1" t="s">
        <v>936</v>
      </c>
      <c r="P3772" s="1">
        <v>1</v>
      </c>
    </row>
    <row r="3773" spans="1:16" x14ac:dyDescent="0.25">
      <c r="A3773" s="3">
        <v>46104</v>
      </c>
      <c r="B3773" s="4">
        <v>1229</v>
      </c>
      <c r="C3773" s="5">
        <v>80</v>
      </c>
      <c r="D3773" s="1" t="s">
        <v>1074</v>
      </c>
      <c r="E3773" s="1" t="s">
        <v>1075</v>
      </c>
      <c r="F3773" s="1" t="s">
        <v>66</v>
      </c>
      <c r="G3773" s="1" t="s">
        <v>1058</v>
      </c>
      <c r="H3773" s="3">
        <v>46117</v>
      </c>
      <c r="I3773" s="1" t="s">
        <v>933</v>
      </c>
      <c r="J3773" s="1" t="s">
        <v>66</v>
      </c>
      <c r="K3773" s="1" t="s">
        <v>2085</v>
      </c>
      <c r="L3773" s="1" t="s">
        <v>5181</v>
      </c>
      <c r="M3773" s="3">
        <v>46108</v>
      </c>
      <c r="N3773" s="1" t="s">
        <v>821</v>
      </c>
      <c r="O3773" s="1" t="s">
        <v>936</v>
      </c>
      <c r="P3773" s="1">
        <v>1</v>
      </c>
    </row>
    <row r="3774" spans="1:16" x14ac:dyDescent="0.25">
      <c r="A3774" s="3">
        <v>46104</v>
      </c>
      <c r="B3774" s="4">
        <v>1229</v>
      </c>
      <c r="C3774" s="5">
        <v>250</v>
      </c>
      <c r="D3774" s="1" t="s">
        <v>1074</v>
      </c>
      <c r="E3774" s="1" t="s">
        <v>1075</v>
      </c>
      <c r="F3774" s="1" t="s">
        <v>66</v>
      </c>
      <c r="G3774" s="1" t="s">
        <v>1058</v>
      </c>
      <c r="H3774" s="3">
        <v>46117</v>
      </c>
      <c r="I3774" s="1" t="s">
        <v>933</v>
      </c>
      <c r="J3774" s="1" t="s">
        <v>66</v>
      </c>
      <c r="K3774" s="1" t="s">
        <v>308</v>
      </c>
      <c r="L3774" s="1" t="s">
        <v>5182</v>
      </c>
      <c r="M3774" s="3">
        <v>46108</v>
      </c>
      <c r="N3774" s="1" t="s">
        <v>821</v>
      </c>
      <c r="O3774" s="1" t="s">
        <v>936</v>
      </c>
      <c r="P3774" s="1">
        <v>1</v>
      </c>
    </row>
    <row r="3775" spans="1:16" x14ac:dyDescent="0.25">
      <c r="A3775" s="3">
        <v>46104</v>
      </c>
      <c r="B3775" s="4">
        <v>1229</v>
      </c>
      <c r="C3775" s="5">
        <v>280</v>
      </c>
      <c r="D3775" s="1" t="s">
        <v>1074</v>
      </c>
      <c r="E3775" s="1" t="s">
        <v>1075</v>
      </c>
      <c r="F3775" s="1" t="s">
        <v>43</v>
      </c>
      <c r="G3775" s="1" t="s">
        <v>1058</v>
      </c>
      <c r="H3775" s="3">
        <v>46117</v>
      </c>
      <c r="I3775" s="1" t="s">
        <v>933</v>
      </c>
      <c r="J3775" s="1" t="s">
        <v>66</v>
      </c>
      <c r="K3775" s="1" t="s">
        <v>640</v>
      </c>
      <c r="L3775" s="1" t="s">
        <v>5176</v>
      </c>
      <c r="M3775" s="3">
        <v>46108</v>
      </c>
      <c r="N3775" s="1" t="s">
        <v>50</v>
      </c>
      <c r="O3775" s="1" t="s">
        <v>936</v>
      </c>
      <c r="P3775" s="1">
        <v>1</v>
      </c>
    </row>
    <row r="3776" spans="1:16" x14ac:dyDescent="0.25">
      <c r="A3776" s="3">
        <v>46104</v>
      </c>
      <c r="B3776" s="4">
        <v>1229</v>
      </c>
      <c r="C3776" s="5">
        <v>280</v>
      </c>
      <c r="D3776" s="1" t="s">
        <v>1074</v>
      </c>
      <c r="E3776" s="1" t="s">
        <v>1075</v>
      </c>
      <c r="F3776" s="1" t="s">
        <v>400</v>
      </c>
      <c r="G3776" s="1" t="s">
        <v>1058</v>
      </c>
      <c r="H3776" s="3">
        <v>46117</v>
      </c>
      <c r="I3776" s="1" t="s">
        <v>933</v>
      </c>
      <c r="J3776" s="1" t="s">
        <v>66</v>
      </c>
      <c r="K3776" s="1" t="s">
        <v>340</v>
      </c>
      <c r="L3776" s="1" t="s">
        <v>5183</v>
      </c>
      <c r="M3776" s="3">
        <v>46108</v>
      </c>
      <c r="N3776" s="1" t="s">
        <v>57</v>
      </c>
      <c r="O3776" s="1" t="s">
        <v>936</v>
      </c>
      <c r="P3776" s="1">
        <v>1</v>
      </c>
    </row>
    <row r="3777" spans="1:16" x14ac:dyDescent="0.25">
      <c r="A3777" s="3">
        <v>46104</v>
      </c>
      <c r="B3777" s="4">
        <v>1229</v>
      </c>
      <c r="C3777" s="5">
        <v>80</v>
      </c>
      <c r="D3777" s="1" t="s">
        <v>1074</v>
      </c>
      <c r="E3777" s="1" t="s">
        <v>1075</v>
      </c>
      <c r="F3777" s="1" t="s">
        <v>66</v>
      </c>
      <c r="G3777" s="1" t="s">
        <v>1058</v>
      </c>
      <c r="H3777" s="3">
        <v>46117</v>
      </c>
      <c r="I3777" s="1" t="s">
        <v>933</v>
      </c>
      <c r="J3777" s="1" t="s">
        <v>66</v>
      </c>
      <c r="K3777" s="1" t="s">
        <v>2085</v>
      </c>
      <c r="L3777" s="1" t="s">
        <v>5184</v>
      </c>
      <c r="M3777" s="3">
        <v>46108</v>
      </c>
      <c r="N3777" s="1" t="s">
        <v>821</v>
      </c>
      <c r="O3777" s="1" t="s">
        <v>936</v>
      </c>
      <c r="P3777" s="1">
        <v>1</v>
      </c>
    </row>
    <row r="3778" spans="1:16" x14ac:dyDescent="0.25">
      <c r="A3778" s="3">
        <v>46104</v>
      </c>
      <c r="B3778" s="4">
        <v>1229</v>
      </c>
      <c r="C3778" s="5">
        <v>80</v>
      </c>
      <c r="D3778" s="1" t="s">
        <v>1074</v>
      </c>
      <c r="E3778" s="1" t="s">
        <v>1075</v>
      </c>
      <c r="F3778" s="1" t="s">
        <v>66</v>
      </c>
      <c r="G3778" s="1" t="s">
        <v>1058</v>
      </c>
      <c r="H3778" s="3">
        <v>46117</v>
      </c>
      <c r="I3778" s="1" t="s">
        <v>933</v>
      </c>
      <c r="J3778" s="1" t="s">
        <v>66</v>
      </c>
      <c r="K3778" s="1" t="s">
        <v>2085</v>
      </c>
      <c r="L3778" s="1" t="s">
        <v>5185</v>
      </c>
      <c r="M3778" s="3">
        <v>46108</v>
      </c>
      <c r="N3778" s="1" t="s">
        <v>821</v>
      </c>
      <c r="O3778" s="1" t="s">
        <v>936</v>
      </c>
      <c r="P3778" s="1">
        <v>1</v>
      </c>
    </row>
    <row r="3779" spans="1:16" x14ac:dyDescent="0.25">
      <c r="A3779" s="3">
        <v>46104</v>
      </c>
      <c r="B3779" s="4">
        <v>1229</v>
      </c>
      <c r="C3779" s="5">
        <v>180</v>
      </c>
      <c r="D3779" s="1" t="s">
        <v>1074</v>
      </c>
      <c r="E3779" s="1" t="s">
        <v>1075</v>
      </c>
      <c r="F3779" s="1" t="s">
        <v>852</v>
      </c>
      <c r="G3779" s="1" t="s">
        <v>1058</v>
      </c>
      <c r="H3779" s="3">
        <v>46117</v>
      </c>
      <c r="I3779" s="1" t="s">
        <v>933</v>
      </c>
      <c r="J3779" s="1" t="s">
        <v>66</v>
      </c>
      <c r="K3779" s="1" t="s">
        <v>340</v>
      </c>
      <c r="L3779" s="1" t="s">
        <v>5176</v>
      </c>
      <c r="M3779" s="3">
        <v>46108</v>
      </c>
      <c r="N3779" s="1" t="s">
        <v>666</v>
      </c>
      <c r="O3779" s="1" t="s">
        <v>936</v>
      </c>
      <c r="P3779" s="1">
        <v>1</v>
      </c>
    </row>
    <row r="3780" spans="1:16" x14ac:dyDescent="0.25">
      <c r="A3780" s="3">
        <v>46104</v>
      </c>
      <c r="B3780" s="4">
        <v>1229</v>
      </c>
      <c r="C3780" s="5">
        <v>280</v>
      </c>
      <c r="D3780" s="1" t="s">
        <v>1074</v>
      </c>
      <c r="E3780" s="1" t="s">
        <v>1075</v>
      </c>
      <c r="F3780" s="1" t="s">
        <v>654</v>
      </c>
      <c r="G3780" s="1" t="s">
        <v>1058</v>
      </c>
      <c r="H3780" s="3">
        <v>46117</v>
      </c>
      <c r="I3780" s="1" t="s">
        <v>933</v>
      </c>
      <c r="J3780" s="1" t="s">
        <v>66</v>
      </c>
      <c r="K3780" s="1" t="s">
        <v>640</v>
      </c>
      <c r="L3780" s="1" t="s">
        <v>5176</v>
      </c>
      <c r="M3780" s="3">
        <v>46108</v>
      </c>
      <c r="N3780" s="1" t="s">
        <v>657</v>
      </c>
      <c r="O3780" s="1" t="s">
        <v>936</v>
      </c>
      <c r="P3780" s="1">
        <v>1</v>
      </c>
    </row>
    <row r="3781" spans="1:16" x14ac:dyDescent="0.25">
      <c r="A3781" s="3">
        <v>46104</v>
      </c>
      <c r="B3781" s="4">
        <v>1229</v>
      </c>
      <c r="C3781" s="5">
        <v>280</v>
      </c>
      <c r="D3781" s="1" t="s">
        <v>1074</v>
      </c>
      <c r="E3781" s="1" t="s">
        <v>1075</v>
      </c>
      <c r="F3781" s="1" t="s">
        <v>304</v>
      </c>
      <c r="G3781" s="1" t="s">
        <v>1058</v>
      </c>
      <c r="H3781" s="3">
        <v>46117</v>
      </c>
      <c r="I3781" s="1" t="s">
        <v>933</v>
      </c>
      <c r="J3781" s="1" t="s">
        <v>66</v>
      </c>
      <c r="K3781" s="1" t="s">
        <v>340</v>
      </c>
      <c r="L3781" s="1" t="s">
        <v>5176</v>
      </c>
      <c r="M3781" s="3">
        <v>46108</v>
      </c>
      <c r="N3781" s="1" t="s">
        <v>57</v>
      </c>
      <c r="O3781" s="1" t="s">
        <v>936</v>
      </c>
      <c r="P3781" s="1">
        <v>1</v>
      </c>
    </row>
    <row r="3782" spans="1:16" x14ac:dyDescent="0.25">
      <c r="A3782" s="3">
        <v>46104</v>
      </c>
      <c r="B3782" s="4">
        <v>1229</v>
      </c>
      <c r="C3782" s="5">
        <v>80</v>
      </c>
      <c r="D3782" s="1" t="s">
        <v>1074</v>
      </c>
      <c r="E3782" s="1" t="s">
        <v>1075</v>
      </c>
      <c r="F3782" s="1" t="s">
        <v>66</v>
      </c>
      <c r="G3782" s="1" t="s">
        <v>1058</v>
      </c>
      <c r="H3782" s="3">
        <v>46117</v>
      </c>
      <c r="I3782" s="1" t="s">
        <v>933</v>
      </c>
      <c r="J3782" s="1" t="s">
        <v>66</v>
      </c>
      <c r="K3782" s="1" t="s">
        <v>340</v>
      </c>
      <c r="L3782" s="1" t="s">
        <v>5176</v>
      </c>
      <c r="M3782" s="3">
        <v>46108</v>
      </c>
      <c r="N3782" s="1" t="s">
        <v>821</v>
      </c>
      <c r="O3782" s="1" t="s">
        <v>936</v>
      </c>
      <c r="P3782" s="1">
        <v>1</v>
      </c>
    </row>
    <row r="3783" spans="1:16" x14ac:dyDescent="0.25">
      <c r="A3783" s="3">
        <v>46104</v>
      </c>
      <c r="B3783" s="4">
        <v>1229</v>
      </c>
      <c r="C3783" s="5">
        <v>280</v>
      </c>
      <c r="D3783" s="1" t="s">
        <v>1074</v>
      </c>
      <c r="E3783" s="1" t="s">
        <v>1075</v>
      </c>
      <c r="F3783" s="1" t="s">
        <v>392</v>
      </c>
      <c r="G3783" s="1" t="s">
        <v>1058</v>
      </c>
      <c r="H3783" s="3">
        <v>46117</v>
      </c>
      <c r="I3783" s="1" t="s">
        <v>933</v>
      </c>
      <c r="J3783" s="1" t="s">
        <v>66</v>
      </c>
      <c r="K3783" s="1" t="s">
        <v>817</v>
      </c>
      <c r="L3783" s="1" t="s">
        <v>5176</v>
      </c>
      <c r="M3783" s="3">
        <v>46108</v>
      </c>
      <c r="N3783" s="1" t="s">
        <v>93</v>
      </c>
      <c r="O3783" s="1" t="s">
        <v>936</v>
      </c>
      <c r="P3783" s="1">
        <v>1</v>
      </c>
    </row>
    <row r="3784" spans="1:16" x14ac:dyDescent="0.25">
      <c r="A3784" s="3">
        <v>46104</v>
      </c>
      <c r="B3784" s="4">
        <v>1229</v>
      </c>
      <c r="C3784" s="5">
        <v>250</v>
      </c>
      <c r="D3784" s="1" t="s">
        <v>1074</v>
      </c>
      <c r="E3784" s="1" t="s">
        <v>1075</v>
      </c>
      <c r="F3784" s="1" t="s">
        <v>683</v>
      </c>
      <c r="G3784" s="1" t="s">
        <v>1058</v>
      </c>
      <c r="H3784" s="3">
        <v>46117</v>
      </c>
      <c r="I3784" s="1" t="s">
        <v>933</v>
      </c>
      <c r="J3784" s="1" t="s">
        <v>66</v>
      </c>
      <c r="K3784" s="1" t="s">
        <v>52</v>
      </c>
      <c r="L3784" s="1" t="s">
        <v>5176</v>
      </c>
      <c r="M3784" s="3">
        <v>46108</v>
      </c>
      <c r="N3784" s="1" t="s">
        <v>75</v>
      </c>
      <c r="O3784" s="1" t="s">
        <v>936</v>
      </c>
      <c r="P3784" s="1">
        <v>1</v>
      </c>
    </row>
    <row r="3785" spans="1:16" x14ac:dyDescent="0.25">
      <c r="A3785" s="3">
        <v>46104</v>
      </c>
      <c r="B3785" s="4">
        <v>1229</v>
      </c>
      <c r="C3785" s="5">
        <v>280</v>
      </c>
      <c r="D3785" s="1" t="s">
        <v>1074</v>
      </c>
      <c r="E3785" s="1" t="s">
        <v>1075</v>
      </c>
      <c r="F3785" s="1" t="s">
        <v>255</v>
      </c>
      <c r="G3785" s="1" t="s">
        <v>1058</v>
      </c>
      <c r="H3785" s="3">
        <v>46117</v>
      </c>
      <c r="I3785" s="1" t="s">
        <v>933</v>
      </c>
      <c r="J3785" s="1" t="s">
        <v>66</v>
      </c>
      <c r="K3785" s="1" t="s">
        <v>308</v>
      </c>
      <c r="L3785" s="1" t="s">
        <v>5176</v>
      </c>
      <c r="M3785" s="3">
        <v>46108</v>
      </c>
      <c r="N3785" s="1" t="s">
        <v>57</v>
      </c>
      <c r="O3785" s="1" t="s">
        <v>936</v>
      </c>
      <c r="P3785" s="1">
        <v>1</v>
      </c>
    </row>
    <row r="3786" spans="1:16" x14ac:dyDescent="0.25">
      <c r="A3786" s="3">
        <v>46104</v>
      </c>
      <c r="B3786" s="4">
        <v>1229</v>
      </c>
      <c r="C3786" s="5">
        <v>280</v>
      </c>
      <c r="D3786" s="1" t="s">
        <v>1074</v>
      </c>
      <c r="E3786" s="1" t="s">
        <v>1075</v>
      </c>
      <c r="F3786" s="1" t="s">
        <v>245</v>
      </c>
      <c r="G3786" s="1" t="s">
        <v>1058</v>
      </c>
      <c r="H3786" s="3">
        <v>46117</v>
      </c>
      <c r="I3786" s="1" t="s">
        <v>933</v>
      </c>
      <c r="J3786" s="1" t="s">
        <v>66</v>
      </c>
      <c r="K3786" s="1" t="s">
        <v>308</v>
      </c>
      <c r="L3786" s="1" t="s">
        <v>5176</v>
      </c>
      <c r="M3786" s="3">
        <v>46108</v>
      </c>
      <c r="N3786" s="1" t="s">
        <v>57</v>
      </c>
      <c r="O3786" s="1" t="s">
        <v>936</v>
      </c>
      <c r="P3786" s="1">
        <v>1</v>
      </c>
    </row>
    <row r="3787" spans="1:16" x14ac:dyDescent="0.25">
      <c r="A3787" s="3">
        <v>46104</v>
      </c>
      <c r="B3787" s="4">
        <v>1229</v>
      </c>
      <c r="C3787" s="5">
        <v>280</v>
      </c>
      <c r="D3787" s="1" t="s">
        <v>1074</v>
      </c>
      <c r="E3787" s="1" t="s">
        <v>1075</v>
      </c>
      <c r="F3787" s="1" t="s">
        <v>201</v>
      </c>
      <c r="G3787" s="1" t="s">
        <v>1058</v>
      </c>
      <c r="H3787" s="3">
        <v>46117</v>
      </c>
      <c r="I3787" s="1" t="s">
        <v>933</v>
      </c>
      <c r="J3787" s="1" t="s">
        <v>66</v>
      </c>
      <c r="K3787" s="1" t="s">
        <v>636</v>
      </c>
      <c r="L3787" s="1" t="s">
        <v>5176</v>
      </c>
      <c r="M3787" s="3">
        <v>46108</v>
      </c>
      <c r="N3787" s="1" t="s">
        <v>57</v>
      </c>
      <c r="O3787" s="1" t="s">
        <v>936</v>
      </c>
      <c r="P3787" s="1">
        <v>1</v>
      </c>
    </row>
    <row r="3788" spans="1:16" x14ac:dyDescent="0.25">
      <c r="A3788" s="3">
        <v>46104</v>
      </c>
      <c r="B3788" s="4">
        <v>1229</v>
      </c>
      <c r="C3788" s="5">
        <v>280</v>
      </c>
      <c r="D3788" s="1" t="s">
        <v>1074</v>
      </c>
      <c r="E3788" s="1" t="s">
        <v>1075</v>
      </c>
      <c r="F3788" s="1" t="s">
        <v>147</v>
      </c>
      <c r="G3788" s="1" t="s">
        <v>1058</v>
      </c>
      <c r="H3788" s="3">
        <v>46117</v>
      </c>
      <c r="I3788" s="1" t="s">
        <v>933</v>
      </c>
      <c r="J3788" s="1" t="s">
        <v>66</v>
      </c>
      <c r="K3788" s="1" t="s">
        <v>636</v>
      </c>
      <c r="L3788" s="1" t="s">
        <v>5176</v>
      </c>
      <c r="M3788" s="3">
        <v>46108</v>
      </c>
      <c r="N3788" s="1" t="s">
        <v>57</v>
      </c>
      <c r="O3788" s="1" t="s">
        <v>936</v>
      </c>
      <c r="P3788" s="1">
        <v>1</v>
      </c>
    </row>
    <row r="3789" spans="1:16" x14ac:dyDescent="0.25">
      <c r="A3789" s="3">
        <v>46104</v>
      </c>
      <c r="B3789" s="4">
        <v>1229</v>
      </c>
      <c r="C3789" s="5">
        <v>80</v>
      </c>
      <c r="D3789" s="1" t="s">
        <v>1074</v>
      </c>
      <c r="E3789" s="1" t="s">
        <v>1075</v>
      </c>
      <c r="F3789" s="1" t="s">
        <v>66</v>
      </c>
      <c r="G3789" s="1" t="s">
        <v>1058</v>
      </c>
      <c r="H3789" s="3">
        <v>46117</v>
      </c>
      <c r="I3789" s="1" t="s">
        <v>933</v>
      </c>
      <c r="J3789" s="1" t="s">
        <v>66</v>
      </c>
      <c r="K3789" s="1" t="s">
        <v>934</v>
      </c>
      <c r="L3789" s="1" t="s">
        <v>5176</v>
      </c>
      <c r="M3789" s="3">
        <v>46108</v>
      </c>
      <c r="N3789" s="1" t="s">
        <v>821</v>
      </c>
      <c r="O3789" s="1" t="s">
        <v>936</v>
      </c>
      <c r="P3789" s="1">
        <v>1</v>
      </c>
    </row>
    <row r="3790" spans="1:16" x14ac:dyDescent="0.25">
      <c r="A3790" s="3">
        <v>46104</v>
      </c>
      <c r="B3790" s="4">
        <v>1229</v>
      </c>
      <c r="C3790" s="5">
        <v>80</v>
      </c>
      <c r="D3790" s="1" t="s">
        <v>1074</v>
      </c>
      <c r="E3790" s="1" t="s">
        <v>1075</v>
      </c>
      <c r="F3790" s="1" t="s">
        <v>66</v>
      </c>
      <c r="G3790" s="1" t="s">
        <v>1058</v>
      </c>
      <c r="H3790" s="3">
        <v>46117</v>
      </c>
      <c r="I3790" s="1" t="s">
        <v>933</v>
      </c>
      <c r="J3790" s="1" t="s">
        <v>66</v>
      </c>
      <c r="K3790" s="1" t="s">
        <v>640</v>
      </c>
      <c r="L3790" s="1" t="s">
        <v>5176</v>
      </c>
      <c r="M3790" s="3">
        <v>46108</v>
      </c>
      <c r="N3790" s="1" t="s">
        <v>821</v>
      </c>
      <c r="O3790" s="1" t="s">
        <v>936</v>
      </c>
      <c r="P3790" s="1">
        <v>1</v>
      </c>
    </row>
    <row r="3791" spans="1:16" x14ac:dyDescent="0.25">
      <c r="A3791" s="3">
        <v>46104</v>
      </c>
      <c r="B3791" s="4">
        <v>1229</v>
      </c>
      <c r="C3791" s="5">
        <v>280</v>
      </c>
      <c r="D3791" s="1" t="s">
        <v>1074</v>
      </c>
      <c r="E3791" s="1" t="s">
        <v>1075</v>
      </c>
      <c r="F3791" s="1" t="s">
        <v>66</v>
      </c>
      <c r="G3791" s="1" t="s">
        <v>1058</v>
      </c>
      <c r="H3791" s="3">
        <v>46117</v>
      </c>
      <c r="I3791" s="1" t="s">
        <v>933</v>
      </c>
      <c r="J3791" s="1" t="s">
        <v>66</v>
      </c>
      <c r="K3791" s="1" t="s">
        <v>308</v>
      </c>
      <c r="L3791" s="1" t="s">
        <v>5186</v>
      </c>
      <c r="M3791" s="3">
        <v>46108</v>
      </c>
      <c r="N3791" s="1" t="s">
        <v>821</v>
      </c>
      <c r="O3791" s="1" t="s">
        <v>936</v>
      </c>
      <c r="P3791" s="1">
        <v>1</v>
      </c>
    </row>
    <row r="3792" spans="1:16" x14ac:dyDescent="0.25">
      <c r="A3792" s="3">
        <v>46104</v>
      </c>
      <c r="B3792" s="4">
        <v>1229</v>
      </c>
      <c r="C3792" s="5">
        <v>80</v>
      </c>
      <c r="D3792" s="1" t="s">
        <v>1074</v>
      </c>
      <c r="E3792" s="1" t="s">
        <v>1075</v>
      </c>
      <c r="F3792" s="1" t="s">
        <v>66</v>
      </c>
      <c r="G3792" s="1" t="s">
        <v>1058</v>
      </c>
      <c r="H3792" s="3">
        <v>46117</v>
      </c>
      <c r="I3792" s="1" t="s">
        <v>933</v>
      </c>
      <c r="J3792" s="1" t="s">
        <v>66</v>
      </c>
      <c r="K3792" s="1" t="s">
        <v>308</v>
      </c>
      <c r="L3792" s="1" t="s">
        <v>5187</v>
      </c>
      <c r="M3792" s="3">
        <v>46108</v>
      </c>
      <c r="N3792" s="1" t="s">
        <v>821</v>
      </c>
      <c r="O3792" s="1" t="s">
        <v>936</v>
      </c>
      <c r="P3792" s="1">
        <v>1</v>
      </c>
    </row>
    <row r="3793" spans="1:16" x14ac:dyDescent="0.25">
      <c r="A3793" s="3">
        <v>46104</v>
      </c>
      <c r="B3793" s="4">
        <v>1229</v>
      </c>
      <c r="C3793" s="5">
        <v>280</v>
      </c>
      <c r="D3793" s="1" t="s">
        <v>1074</v>
      </c>
      <c r="E3793" s="1" t="s">
        <v>1075</v>
      </c>
      <c r="F3793" s="1" t="s">
        <v>430</v>
      </c>
      <c r="G3793" s="1" t="s">
        <v>1058</v>
      </c>
      <c r="H3793" s="3">
        <v>46117</v>
      </c>
      <c r="I3793" s="1" t="s">
        <v>933</v>
      </c>
      <c r="J3793" s="1" t="s">
        <v>66</v>
      </c>
      <c r="K3793" s="1" t="s">
        <v>52</v>
      </c>
      <c r="L3793" s="1" t="s">
        <v>5176</v>
      </c>
      <c r="M3793" s="3">
        <v>46108</v>
      </c>
      <c r="N3793" s="1" t="s">
        <v>57</v>
      </c>
      <c r="O3793" s="1" t="s">
        <v>936</v>
      </c>
      <c r="P3793" s="1">
        <v>1</v>
      </c>
    </row>
    <row r="3794" spans="1:16" x14ac:dyDescent="0.25">
      <c r="A3794" s="3">
        <v>46104</v>
      </c>
      <c r="B3794" s="4">
        <v>1229</v>
      </c>
      <c r="C3794" s="5">
        <v>80</v>
      </c>
      <c r="D3794" s="1" t="s">
        <v>1074</v>
      </c>
      <c r="E3794" s="1" t="s">
        <v>1075</v>
      </c>
      <c r="F3794" s="1" t="s">
        <v>66</v>
      </c>
      <c r="G3794" s="1" t="s">
        <v>1058</v>
      </c>
      <c r="H3794" s="3">
        <v>46117</v>
      </c>
      <c r="I3794" s="1" t="s">
        <v>933</v>
      </c>
      <c r="J3794" s="1" t="s">
        <v>66</v>
      </c>
      <c r="K3794" s="1" t="s">
        <v>2085</v>
      </c>
      <c r="L3794" s="1" t="s">
        <v>5188</v>
      </c>
      <c r="M3794" s="3">
        <v>46108</v>
      </c>
      <c r="N3794" s="1" t="s">
        <v>821</v>
      </c>
      <c r="O3794" s="1" t="s">
        <v>936</v>
      </c>
      <c r="P3794" s="1">
        <v>1</v>
      </c>
    </row>
    <row r="3795" spans="1:16" x14ac:dyDescent="0.25">
      <c r="A3795" s="3">
        <v>46104</v>
      </c>
      <c r="B3795" s="4">
        <v>1229</v>
      </c>
      <c r="C3795" s="5">
        <v>280</v>
      </c>
      <c r="D3795" s="1" t="s">
        <v>1074</v>
      </c>
      <c r="E3795" s="1" t="s">
        <v>1075</v>
      </c>
      <c r="F3795" s="1" t="s">
        <v>66</v>
      </c>
      <c r="G3795" s="1" t="s">
        <v>1058</v>
      </c>
      <c r="H3795" s="3">
        <v>46117</v>
      </c>
      <c r="I3795" s="1" t="s">
        <v>933</v>
      </c>
      <c r="J3795" s="1" t="s">
        <v>66</v>
      </c>
      <c r="K3795" s="1" t="s">
        <v>308</v>
      </c>
      <c r="L3795" s="1" t="s">
        <v>5189</v>
      </c>
      <c r="M3795" s="3">
        <v>46108</v>
      </c>
      <c r="N3795" s="1" t="s">
        <v>821</v>
      </c>
      <c r="O3795" s="1" t="s">
        <v>936</v>
      </c>
      <c r="P3795" s="1">
        <v>1</v>
      </c>
    </row>
    <row r="3796" spans="1:16" x14ac:dyDescent="0.25">
      <c r="A3796" s="3">
        <v>46104</v>
      </c>
      <c r="B3796" s="4">
        <v>1229</v>
      </c>
      <c r="C3796" s="5">
        <v>280</v>
      </c>
      <c r="D3796" s="1" t="s">
        <v>1074</v>
      </c>
      <c r="E3796" s="1" t="s">
        <v>1075</v>
      </c>
      <c r="F3796" s="1" t="s">
        <v>110</v>
      </c>
      <c r="G3796" s="1" t="s">
        <v>1058</v>
      </c>
      <c r="H3796" s="3">
        <v>46117</v>
      </c>
      <c r="I3796" s="1" t="s">
        <v>933</v>
      </c>
      <c r="J3796" s="1" t="s">
        <v>66</v>
      </c>
      <c r="K3796" s="1" t="s">
        <v>308</v>
      </c>
      <c r="L3796" s="1" t="s">
        <v>5176</v>
      </c>
      <c r="M3796" s="3">
        <v>46108</v>
      </c>
      <c r="N3796" s="1" t="s">
        <v>115</v>
      </c>
      <c r="O3796" s="1" t="s">
        <v>936</v>
      </c>
      <c r="P3796" s="1">
        <v>1</v>
      </c>
    </row>
    <row r="3797" spans="1:16" x14ac:dyDescent="0.25">
      <c r="A3797" s="3">
        <v>46104</v>
      </c>
      <c r="B3797" s="4">
        <v>1229</v>
      </c>
      <c r="C3797" s="5">
        <v>700</v>
      </c>
      <c r="D3797" s="1" t="s">
        <v>1074</v>
      </c>
      <c r="E3797" s="1" t="s">
        <v>1075</v>
      </c>
      <c r="F3797" s="1" t="s">
        <v>674</v>
      </c>
      <c r="G3797" s="1" t="s">
        <v>1058</v>
      </c>
      <c r="H3797" s="3">
        <v>46117</v>
      </c>
      <c r="I3797" s="1" t="s">
        <v>933</v>
      </c>
      <c r="J3797" s="1" t="s">
        <v>66</v>
      </c>
      <c r="K3797" s="1" t="s">
        <v>148</v>
      </c>
      <c r="L3797" s="1" t="s">
        <v>5177</v>
      </c>
      <c r="M3797" s="3">
        <v>46108</v>
      </c>
      <c r="N3797" s="1" t="s">
        <v>57</v>
      </c>
      <c r="O3797" s="1" t="s">
        <v>936</v>
      </c>
      <c r="P3797" s="1">
        <v>1</v>
      </c>
    </row>
    <row r="3798" spans="1:16" x14ac:dyDescent="0.25">
      <c r="A3798" s="3">
        <v>46104</v>
      </c>
      <c r="B3798" s="4">
        <v>1228</v>
      </c>
      <c r="C3798" s="5">
        <v>760</v>
      </c>
      <c r="D3798" s="1" t="s">
        <v>1074</v>
      </c>
      <c r="E3798" s="1" t="s">
        <v>1075</v>
      </c>
      <c r="F3798" s="1" t="s">
        <v>66</v>
      </c>
      <c r="G3798" s="1" t="s">
        <v>981</v>
      </c>
      <c r="H3798" s="3">
        <v>46117</v>
      </c>
      <c r="I3798" s="1" t="s">
        <v>933</v>
      </c>
      <c r="J3798" s="1" t="s">
        <v>66</v>
      </c>
      <c r="K3798" s="1" t="s">
        <v>308</v>
      </c>
      <c r="L3798" s="1" t="s">
        <v>5196</v>
      </c>
      <c r="M3798" s="3">
        <v>46108</v>
      </c>
      <c r="N3798" s="1" t="s">
        <v>5197</v>
      </c>
      <c r="O3798" s="1" t="s">
        <v>936</v>
      </c>
      <c r="P3798" s="1">
        <v>1</v>
      </c>
    </row>
    <row r="3799" spans="1:16" x14ac:dyDescent="0.25">
      <c r="A3799" s="3">
        <v>46104</v>
      </c>
      <c r="B3799" s="4">
        <v>1228</v>
      </c>
      <c r="C3799" s="5">
        <v>40</v>
      </c>
      <c r="D3799" s="1" t="s">
        <v>1074</v>
      </c>
      <c r="E3799" s="1" t="s">
        <v>1075</v>
      </c>
      <c r="F3799" s="1" t="s">
        <v>66</v>
      </c>
      <c r="G3799" s="1" t="s">
        <v>981</v>
      </c>
      <c r="H3799" s="3">
        <v>46117</v>
      </c>
      <c r="I3799" s="1" t="s">
        <v>933</v>
      </c>
      <c r="J3799" s="1" t="s">
        <v>66</v>
      </c>
      <c r="K3799" s="1" t="s">
        <v>934</v>
      </c>
      <c r="L3799" s="1" t="s">
        <v>5198</v>
      </c>
      <c r="M3799" s="3">
        <v>46108</v>
      </c>
      <c r="N3799" s="1" t="s">
        <v>821</v>
      </c>
      <c r="O3799" s="1" t="s">
        <v>936</v>
      </c>
      <c r="P3799" s="1">
        <v>1</v>
      </c>
    </row>
    <row r="3800" spans="1:16" x14ac:dyDescent="0.25">
      <c r="A3800" s="3">
        <v>46104</v>
      </c>
      <c r="B3800" s="4">
        <v>1228</v>
      </c>
      <c r="C3800" s="5">
        <v>225</v>
      </c>
      <c r="D3800" s="1" t="s">
        <v>1074</v>
      </c>
      <c r="E3800" s="1" t="s">
        <v>1075</v>
      </c>
      <c r="F3800" s="1" t="s">
        <v>339</v>
      </c>
      <c r="G3800" s="1" t="s">
        <v>981</v>
      </c>
      <c r="H3800" s="3">
        <v>46117</v>
      </c>
      <c r="I3800" s="1" t="s">
        <v>933</v>
      </c>
      <c r="J3800" s="1" t="s">
        <v>66</v>
      </c>
      <c r="K3800" s="1" t="s">
        <v>340</v>
      </c>
      <c r="L3800" s="1" t="s">
        <v>5199</v>
      </c>
      <c r="M3800" s="3">
        <v>46108</v>
      </c>
      <c r="N3800" s="1" t="s">
        <v>57</v>
      </c>
      <c r="O3800" s="1" t="s">
        <v>936</v>
      </c>
      <c r="P3800" s="1">
        <v>1</v>
      </c>
    </row>
    <row r="3801" spans="1:16" x14ac:dyDescent="0.25">
      <c r="A3801" s="3">
        <v>46104</v>
      </c>
      <c r="B3801" s="4">
        <v>1228</v>
      </c>
      <c r="C3801" s="5">
        <v>4080</v>
      </c>
      <c r="D3801" s="1" t="s">
        <v>1074</v>
      </c>
      <c r="E3801" s="1" t="s">
        <v>1075</v>
      </c>
      <c r="F3801" s="1" t="s">
        <v>66</v>
      </c>
      <c r="G3801" s="1" t="s">
        <v>981</v>
      </c>
      <c r="H3801" s="3">
        <v>46117</v>
      </c>
      <c r="I3801" s="1" t="s">
        <v>933</v>
      </c>
      <c r="J3801" s="1" t="s">
        <v>66</v>
      </c>
      <c r="K3801" s="1" t="s">
        <v>308</v>
      </c>
      <c r="L3801" s="1" t="s">
        <v>5200</v>
      </c>
      <c r="M3801" s="3">
        <v>46108</v>
      </c>
      <c r="N3801" s="1" t="s">
        <v>821</v>
      </c>
      <c r="O3801" s="1" t="s">
        <v>936</v>
      </c>
      <c r="P3801" s="1">
        <v>1</v>
      </c>
    </row>
    <row r="3802" spans="1:16" x14ac:dyDescent="0.25">
      <c r="A3802" s="3">
        <v>46104</v>
      </c>
      <c r="B3802" s="4">
        <v>1228</v>
      </c>
      <c r="C3802" s="5">
        <v>1250</v>
      </c>
      <c r="D3802" s="1" t="s">
        <v>1074</v>
      </c>
      <c r="E3802" s="1" t="s">
        <v>1075</v>
      </c>
      <c r="F3802" s="1" t="s">
        <v>670</v>
      </c>
      <c r="G3802" s="1" t="s">
        <v>981</v>
      </c>
      <c r="H3802" s="3">
        <v>46117</v>
      </c>
      <c r="I3802" s="1" t="s">
        <v>933</v>
      </c>
      <c r="J3802" s="1" t="s">
        <v>66</v>
      </c>
      <c r="K3802" s="1" t="s">
        <v>659</v>
      </c>
      <c r="L3802" s="1" t="s">
        <v>5201</v>
      </c>
      <c r="M3802" s="3">
        <v>46108</v>
      </c>
      <c r="N3802" s="1" t="s">
        <v>57</v>
      </c>
      <c r="O3802" s="1" t="s">
        <v>936</v>
      </c>
      <c r="P3802" s="1">
        <v>1</v>
      </c>
    </row>
    <row r="3803" spans="1:16" x14ac:dyDescent="0.25">
      <c r="A3803" s="3">
        <v>46104</v>
      </c>
      <c r="B3803" s="4">
        <v>1228</v>
      </c>
      <c r="C3803" s="5">
        <v>150</v>
      </c>
      <c r="D3803" s="1" t="s">
        <v>1074</v>
      </c>
      <c r="E3803" s="1" t="s">
        <v>1075</v>
      </c>
      <c r="F3803" s="1" t="s">
        <v>245</v>
      </c>
      <c r="G3803" s="1" t="s">
        <v>981</v>
      </c>
      <c r="H3803" s="3">
        <v>46117</v>
      </c>
      <c r="I3803" s="1" t="s">
        <v>933</v>
      </c>
      <c r="J3803" s="1" t="s">
        <v>66</v>
      </c>
      <c r="K3803" s="1" t="s">
        <v>308</v>
      </c>
      <c r="L3803" s="1" t="s">
        <v>5202</v>
      </c>
      <c r="M3803" s="3">
        <v>46108</v>
      </c>
      <c r="N3803" s="1" t="s">
        <v>57</v>
      </c>
      <c r="O3803" s="1" t="s">
        <v>936</v>
      </c>
      <c r="P3803" s="1">
        <v>1</v>
      </c>
    </row>
    <row r="3804" spans="1:16" x14ac:dyDescent="0.25">
      <c r="A3804" s="3">
        <v>46104</v>
      </c>
      <c r="B3804" s="4">
        <v>1228</v>
      </c>
      <c r="C3804" s="5">
        <v>35</v>
      </c>
      <c r="D3804" s="1" t="s">
        <v>1074</v>
      </c>
      <c r="E3804" s="1" t="s">
        <v>1075</v>
      </c>
      <c r="F3804" s="1" t="s">
        <v>654</v>
      </c>
      <c r="G3804" s="1" t="s">
        <v>981</v>
      </c>
      <c r="H3804" s="3">
        <v>46117</v>
      </c>
      <c r="I3804" s="1" t="s">
        <v>933</v>
      </c>
      <c r="J3804" s="1" t="s">
        <v>66</v>
      </c>
      <c r="K3804" s="1" t="s">
        <v>640</v>
      </c>
      <c r="L3804" s="1" t="s">
        <v>5203</v>
      </c>
      <c r="M3804" s="3">
        <v>46108</v>
      </c>
      <c r="N3804" s="1" t="s">
        <v>657</v>
      </c>
      <c r="O3804" s="1" t="s">
        <v>936</v>
      </c>
      <c r="P3804" s="1">
        <v>1</v>
      </c>
    </row>
    <row r="3805" spans="1:16" x14ac:dyDescent="0.25">
      <c r="A3805" s="3">
        <v>46104</v>
      </c>
      <c r="B3805" s="1">
        <v>178</v>
      </c>
      <c r="C3805" s="5">
        <v>15800</v>
      </c>
      <c r="D3805" s="1" t="s">
        <v>1034</v>
      </c>
      <c r="E3805" s="1" t="s">
        <v>1035</v>
      </c>
      <c r="F3805" s="1" t="s">
        <v>66</v>
      </c>
      <c r="G3805" s="1" t="s">
        <v>1029</v>
      </c>
      <c r="H3805" s="3">
        <v>46127</v>
      </c>
      <c r="I3805" s="1" t="s">
        <v>933</v>
      </c>
      <c r="J3805" s="1" t="s">
        <v>66</v>
      </c>
      <c r="K3805" s="1" t="s">
        <v>340</v>
      </c>
      <c r="L3805" s="1" t="s">
        <v>5227</v>
      </c>
      <c r="M3805" s="3">
        <v>46109</v>
      </c>
      <c r="N3805" s="1" t="s">
        <v>57</v>
      </c>
      <c r="O3805" s="1" t="s">
        <v>932</v>
      </c>
      <c r="P3805" s="1">
        <v>1</v>
      </c>
    </row>
    <row r="3806" spans="1:16" x14ac:dyDescent="0.25">
      <c r="A3806" s="3">
        <v>46104</v>
      </c>
      <c r="B3806" s="1">
        <v>8</v>
      </c>
      <c r="C3806" s="5">
        <v>1663</v>
      </c>
      <c r="D3806" s="1" t="s">
        <v>5253</v>
      </c>
      <c r="E3806" s="1" t="s">
        <v>5254</v>
      </c>
      <c r="F3806" s="1" t="s">
        <v>65</v>
      </c>
      <c r="G3806" s="1" t="s">
        <v>1029</v>
      </c>
      <c r="H3806" s="3">
        <v>46121</v>
      </c>
      <c r="I3806" s="1" t="s">
        <v>933</v>
      </c>
      <c r="J3806" s="1" t="s">
        <v>66</v>
      </c>
      <c r="K3806" s="1" t="s">
        <v>315</v>
      </c>
      <c r="L3806" s="1" t="s">
        <v>5255</v>
      </c>
      <c r="M3806" s="3">
        <v>46113</v>
      </c>
      <c r="N3806" s="1" t="s">
        <v>57</v>
      </c>
      <c r="O3806" s="1" t="s">
        <v>1031</v>
      </c>
      <c r="P3806" s="1">
        <v>1</v>
      </c>
    </row>
    <row r="3807" spans="1:16" x14ac:dyDescent="0.25">
      <c r="A3807" s="3">
        <v>46105</v>
      </c>
      <c r="B3807" s="4">
        <v>10769</v>
      </c>
      <c r="C3807" s="5">
        <v>11404.97</v>
      </c>
      <c r="D3807" s="1" t="s">
        <v>973</v>
      </c>
      <c r="E3807" s="1" t="s">
        <v>1068</v>
      </c>
      <c r="F3807" s="1" t="s">
        <v>66</v>
      </c>
      <c r="G3807" s="1" t="s">
        <v>998</v>
      </c>
      <c r="H3807" s="3">
        <v>46112</v>
      </c>
      <c r="I3807" s="1" t="s">
        <v>933</v>
      </c>
      <c r="J3807" s="1" t="s">
        <v>66</v>
      </c>
      <c r="K3807" s="1" t="s">
        <v>66</v>
      </c>
      <c r="L3807" s="1" t="s">
        <v>5106</v>
      </c>
      <c r="M3807" s="3">
        <v>46106</v>
      </c>
      <c r="N3807" s="1" t="s">
        <v>57</v>
      </c>
      <c r="O3807" s="1" t="s">
        <v>998</v>
      </c>
      <c r="P3807" s="1">
        <v>1</v>
      </c>
    </row>
    <row r="3808" spans="1:16" x14ac:dyDescent="0.25">
      <c r="A3808" s="3">
        <v>46105</v>
      </c>
      <c r="B3808" s="4">
        <v>2536</v>
      </c>
      <c r="C3808" s="5">
        <v>650</v>
      </c>
      <c r="D3808" s="1" t="s">
        <v>1182</v>
      </c>
      <c r="E3808" s="1" t="s">
        <v>1183</v>
      </c>
      <c r="F3808" s="1" t="s">
        <v>66</v>
      </c>
      <c r="G3808" s="1" t="s">
        <v>940</v>
      </c>
      <c r="H3808" s="3">
        <v>46135</v>
      </c>
      <c r="I3808" s="1" t="s">
        <v>933</v>
      </c>
      <c r="J3808" s="1" t="s">
        <v>66</v>
      </c>
      <c r="K3808" s="1" t="s">
        <v>66</v>
      </c>
      <c r="L3808" s="1" t="s">
        <v>5109</v>
      </c>
      <c r="M3808" s="3">
        <v>46106</v>
      </c>
      <c r="N3808" s="1" t="s">
        <v>57</v>
      </c>
      <c r="O3808" s="1" t="s">
        <v>936</v>
      </c>
      <c r="P3808" s="1">
        <v>1</v>
      </c>
    </row>
    <row r="3809" spans="1:16" x14ac:dyDescent="0.25">
      <c r="A3809" s="3">
        <v>46105</v>
      </c>
      <c r="B3809" s="4">
        <v>10781</v>
      </c>
      <c r="C3809" s="5">
        <v>45207.83</v>
      </c>
      <c r="D3809" s="1" t="s">
        <v>973</v>
      </c>
      <c r="E3809" s="1" t="s">
        <v>1068</v>
      </c>
      <c r="F3809" s="1" t="s">
        <v>1814</v>
      </c>
      <c r="G3809" s="1" t="s">
        <v>998</v>
      </c>
      <c r="H3809" s="3">
        <v>46120</v>
      </c>
      <c r="I3809" s="1" t="s">
        <v>933</v>
      </c>
      <c r="J3809" s="1" t="s">
        <v>66</v>
      </c>
      <c r="K3809" s="1" t="s">
        <v>66</v>
      </c>
      <c r="L3809" s="1" t="s">
        <v>5167</v>
      </c>
      <c r="M3809" s="3">
        <v>46107</v>
      </c>
      <c r="N3809" s="1" t="s">
        <v>1814</v>
      </c>
      <c r="O3809" s="1" t="s">
        <v>998</v>
      </c>
      <c r="P3809" s="1">
        <v>1</v>
      </c>
    </row>
    <row r="3810" spans="1:16" x14ac:dyDescent="0.25">
      <c r="A3810" s="3">
        <v>46105</v>
      </c>
      <c r="B3810" s="4">
        <v>10782</v>
      </c>
      <c r="C3810" s="5">
        <v>29160</v>
      </c>
      <c r="D3810" s="1" t="s">
        <v>973</v>
      </c>
      <c r="E3810" s="1" t="s">
        <v>1068</v>
      </c>
      <c r="F3810" s="1" t="s">
        <v>66</v>
      </c>
      <c r="G3810" s="1" t="s">
        <v>998</v>
      </c>
      <c r="H3810" s="3">
        <v>46112</v>
      </c>
      <c r="I3810" s="1" t="s">
        <v>933</v>
      </c>
      <c r="J3810" s="1" t="s">
        <v>66</v>
      </c>
      <c r="K3810" s="1" t="s">
        <v>66</v>
      </c>
      <c r="L3810" s="1" t="s">
        <v>5168</v>
      </c>
      <c r="M3810" s="3">
        <v>46107</v>
      </c>
      <c r="N3810" s="1" t="s">
        <v>57</v>
      </c>
      <c r="O3810" s="1" t="s">
        <v>998</v>
      </c>
      <c r="P3810" s="1">
        <v>1</v>
      </c>
    </row>
    <row r="3811" spans="1:16" x14ac:dyDescent="0.25">
      <c r="A3811" s="3">
        <v>46105</v>
      </c>
      <c r="B3811" s="4">
        <v>3462</v>
      </c>
      <c r="C3811" s="5">
        <v>4990</v>
      </c>
      <c r="D3811" s="1" t="s">
        <v>5191</v>
      </c>
      <c r="E3811" s="1" t="s">
        <v>5192</v>
      </c>
      <c r="F3811" s="1" t="s">
        <v>949</v>
      </c>
      <c r="G3811" s="1" t="s">
        <v>940</v>
      </c>
      <c r="H3811" s="3">
        <v>46132</v>
      </c>
      <c r="I3811" s="1" t="s">
        <v>933</v>
      </c>
      <c r="J3811" s="1" t="s">
        <v>951</v>
      </c>
      <c r="K3811" s="1" t="s">
        <v>308</v>
      </c>
      <c r="L3811" s="1" t="s">
        <v>5193</v>
      </c>
      <c r="M3811" s="3">
        <v>46113</v>
      </c>
      <c r="N3811" s="1" t="s">
        <v>57</v>
      </c>
      <c r="O3811" s="1" t="s">
        <v>936</v>
      </c>
      <c r="P3811" s="1">
        <v>1</v>
      </c>
    </row>
    <row r="3812" spans="1:16" x14ac:dyDescent="0.25">
      <c r="A3812" s="3">
        <v>46105</v>
      </c>
      <c r="B3812" s="1">
        <v>182</v>
      </c>
      <c r="C3812" s="5">
        <v>2895</v>
      </c>
      <c r="D3812" s="1" t="s">
        <v>1229</v>
      </c>
      <c r="E3812" s="1" t="s">
        <v>1230</v>
      </c>
      <c r="F3812" s="1" t="s">
        <v>66</v>
      </c>
      <c r="G3812" s="1" t="s">
        <v>940</v>
      </c>
      <c r="H3812" s="3">
        <v>46118</v>
      </c>
      <c r="I3812" s="1" t="s">
        <v>933</v>
      </c>
      <c r="J3812" s="1" t="s">
        <v>66</v>
      </c>
      <c r="K3812" s="1" t="s">
        <v>934</v>
      </c>
      <c r="L3812" s="1" t="s">
        <v>5194</v>
      </c>
      <c r="M3812" s="3">
        <v>46109</v>
      </c>
      <c r="N3812" s="1" t="s">
        <v>57</v>
      </c>
      <c r="O3812" s="1" t="s">
        <v>990</v>
      </c>
      <c r="P3812" s="1">
        <v>1</v>
      </c>
    </row>
    <row r="3813" spans="1:16" x14ac:dyDescent="0.25">
      <c r="A3813" s="3">
        <v>46105</v>
      </c>
      <c r="B3813" s="4">
        <v>1065</v>
      </c>
      <c r="C3813" s="5">
        <v>1266.75</v>
      </c>
      <c r="D3813" s="1" t="s">
        <v>1080</v>
      </c>
      <c r="E3813" s="1" t="s">
        <v>3046</v>
      </c>
      <c r="F3813" s="1" t="s">
        <v>66</v>
      </c>
      <c r="G3813" s="1" t="s">
        <v>940</v>
      </c>
      <c r="H3813" s="3">
        <v>46134</v>
      </c>
      <c r="I3813" s="1" t="s">
        <v>933</v>
      </c>
      <c r="J3813" s="1" t="s">
        <v>66</v>
      </c>
      <c r="K3813" s="1" t="s">
        <v>934</v>
      </c>
      <c r="L3813" s="1" t="s">
        <v>5205</v>
      </c>
      <c r="M3813" s="3">
        <v>46106</v>
      </c>
      <c r="N3813" s="1" t="s">
        <v>57</v>
      </c>
      <c r="O3813" s="1" t="s">
        <v>936</v>
      </c>
      <c r="P3813" s="1">
        <v>1</v>
      </c>
    </row>
    <row r="3814" spans="1:16" x14ac:dyDescent="0.25">
      <c r="A3814" s="3">
        <v>46105</v>
      </c>
      <c r="B3814" s="4">
        <v>1063</v>
      </c>
      <c r="C3814" s="5">
        <v>32100</v>
      </c>
      <c r="D3814" s="1" t="s">
        <v>1080</v>
      </c>
      <c r="E3814" s="1" t="s">
        <v>3046</v>
      </c>
      <c r="F3814" s="1" t="s">
        <v>66</v>
      </c>
      <c r="G3814" s="1" t="s">
        <v>940</v>
      </c>
      <c r="H3814" s="3">
        <v>46134</v>
      </c>
      <c r="I3814" s="1" t="s">
        <v>933</v>
      </c>
      <c r="J3814" s="1" t="s">
        <v>66</v>
      </c>
      <c r="K3814" s="1" t="s">
        <v>934</v>
      </c>
      <c r="L3814" s="1" t="s">
        <v>5206</v>
      </c>
      <c r="M3814" s="3">
        <v>46106</v>
      </c>
      <c r="N3814" s="1" t="s">
        <v>57</v>
      </c>
      <c r="O3814" s="1" t="s">
        <v>936</v>
      </c>
      <c r="P3814" s="1">
        <v>1</v>
      </c>
    </row>
    <row r="3815" spans="1:16" x14ac:dyDescent="0.25">
      <c r="A3815" s="3">
        <v>46105</v>
      </c>
      <c r="B3815" s="4">
        <v>73399</v>
      </c>
      <c r="C3815" s="5">
        <v>466.2</v>
      </c>
      <c r="D3815" s="1" t="s">
        <v>1253</v>
      </c>
      <c r="E3815" s="1" t="s">
        <v>1487</v>
      </c>
      <c r="F3815" s="1" t="s">
        <v>222</v>
      </c>
      <c r="G3815" s="1" t="s">
        <v>940</v>
      </c>
      <c r="H3815" s="3">
        <v>46135</v>
      </c>
      <c r="I3815" s="1" t="s">
        <v>933</v>
      </c>
      <c r="J3815" s="1" t="s">
        <v>66</v>
      </c>
      <c r="K3815" s="1" t="s">
        <v>52</v>
      </c>
      <c r="L3815" s="1" t="s">
        <v>5213</v>
      </c>
      <c r="M3815" s="3">
        <v>46108</v>
      </c>
      <c r="N3815" s="1" t="s">
        <v>93</v>
      </c>
      <c r="O3815" s="1" t="s">
        <v>936</v>
      </c>
      <c r="P3815" s="1">
        <v>1</v>
      </c>
    </row>
    <row r="3816" spans="1:16" x14ac:dyDescent="0.25">
      <c r="A3816" s="3">
        <v>46105</v>
      </c>
      <c r="B3816" s="4">
        <v>73397</v>
      </c>
      <c r="C3816" s="5">
        <v>3392.34</v>
      </c>
      <c r="D3816" s="1" t="s">
        <v>1253</v>
      </c>
      <c r="E3816" s="1" t="s">
        <v>1487</v>
      </c>
      <c r="F3816" s="1" t="s">
        <v>599</v>
      </c>
      <c r="G3816" s="1" t="s">
        <v>940</v>
      </c>
      <c r="H3816" s="3">
        <v>46135</v>
      </c>
      <c r="I3816" s="1" t="s">
        <v>933</v>
      </c>
      <c r="J3816" s="1" t="s">
        <v>66</v>
      </c>
      <c r="K3816" s="1" t="s">
        <v>148</v>
      </c>
      <c r="L3816" s="1" t="s">
        <v>5214</v>
      </c>
      <c r="M3816" s="3">
        <v>46108</v>
      </c>
      <c r="N3816" s="1" t="s">
        <v>57</v>
      </c>
      <c r="O3816" s="1" t="s">
        <v>936</v>
      </c>
      <c r="P3816" s="1">
        <v>1</v>
      </c>
    </row>
    <row r="3817" spans="1:16" x14ac:dyDescent="0.25">
      <c r="A3817" s="3">
        <v>46105</v>
      </c>
      <c r="B3817" s="4">
        <v>73398</v>
      </c>
      <c r="C3817" s="5">
        <v>394</v>
      </c>
      <c r="D3817" s="1" t="s">
        <v>1253</v>
      </c>
      <c r="E3817" s="1" t="s">
        <v>1487</v>
      </c>
      <c r="F3817" s="1" t="s">
        <v>66</v>
      </c>
      <c r="G3817" s="1" t="s">
        <v>940</v>
      </c>
      <c r="H3817" s="3">
        <v>46135</v>
      </c>
      <c r="I3817" s="1" t="s">
        <v>933</v>
      </c>
      <c r="J3817" s="1" t="s">
        <v>66</v>
      </c>
      <c r="K3817" s="1" t="s">
        <v>340</v>
      </c>
      <c r="L3817" s="1" t="s">
        <v>5215</v>
      </c>
      <c r="M3817" s="3">
        <v>46109</v>
      </c>
      <c r="N3817" s="1" t="s">
        <v>57</v>
      </c>
      <c r="O3817" s="1" t="s">
        <v>936</v>
      </c>
      <c r="P3817" s="1">
        <v>1</v>
      </c>
    </row>
    <row r="3818" spans="1:16" x14ac:dyDescent="0.25">
      <c r="A3818" s="3">
        <v>46105</v>
      </c>
      <c r="B3818" s="4">
        <v>73432</v>
      </c>
      <c r="C3818" s="5">
        <v>2139.12</v>
      </c>
      <c r="D3818" s="1" t="s">
        <v>1253</v>
      </c>
      <c r="E3818" s="1" t="s">
        <v>1487</v>
      </c>
      <c r="F3818" s="1" t="s">
        <v>599</v>
      </c>
      <c r="G3818" s="1" t="s">
        <v>940</v>
      </c>
      <c r="H3818" s="3">
        <v>46139</v>
      </c>
      <c r="I3818" s="1" t="s">
        <v>933</v>
      </c>
      <c r="J3818" s="1" t="s">
        <v>66</v>
      </c>
      <c r="K3818" s="1" t="s">
        <v>308</v>
      </c>
      <c r="L3818" s="1" t="s">
        <v>5216</v>
      </c>
      <c r="M3818" s="3">
        <v>46109</v>
      </c>
      <c r="N3818" s="1" t="s">
        <v>57</v>
      </c>
      <c r="O3818" s="1" t="s">
        <v>936</v>
      </c>
      <c r="P3818" s="1">
        <v>1</v>
      </c>
    </row>
    <row r="3819" spans="1:16" x14ac:dyDescent="0.25">
      <c r="A3819" s="3">
        <v>46105</v>
      </c>
      <c r="B3819" s="4">
        <v>73433</v>
      </c>
      <c r="C3819" s="5">
        <v>933.8</v>
      </c>
      <c r="D3819" s="1" t="s">
        <v>1253</v>
      </c>
      <c r="E3819" s="1" t="s">
        <v>1487</v>
      </c>
      <c r="F3819" s="1" t="s">
        <v>66</v>
      </c>
      <c r="G3819" s="1" t="s">
        <v>940</v>
      </c>
      <c r="H3819" s="3">
        <v>46139</v>
      </c>
      <c r="I3819" s="1" t="s">
        <v>933</v>
      </c>
      <c r="J3819" s="1" t="s">
        <v>66</v>
      </c>
      <c r="K3819" s="1" t="s">
        <v>308</v>
      </c>
      <c r="L3819" s="1" t="s">
        <v>5217</v>
      </c>
      <c r="M3819" s="3">
        <v>46109</v>
      </c>
      <c r="N3819" s="1" t="s">
        <v>57</v>
      </c>
      <c r="O3819" s="1" t="s">
        <v>936</v>
      </c>
      <c r="P3819" s="1">
        <v>1</v>
      </c>
    </row>
    <row r="3820" spans="1:16" x14ac:dyDescent="0.25">
      <c r="A3820" s="3">
        <v>46105</v>
      </c>
      <c r="B3820" s="4">
        <v>53068</v>
      </c>
      <c r="C3820" s="5">
        <v>1975</v>
      </c>
      <c r="D3820" s="1" t="s">
        <v>1489</v>
      </c>
      <c r="E3820" s="1" t="s">
        <v>1490</v>
      </c>
      <c r="F3820" s="1" t="s">
        <v>949</v>
      </c>
      <c r="G3820" s="1" t="s">
        <v>2508</v>
      </c>
      <c r="H3820" s="3">
        <v>46135</v>
      </c>
      <c r="I3820" s="1" t="s">
        <v>933</v>
      </c>
      <c r="J3820" s="1" t="s">
        <v>951</v>
      </c>
      <c r="K3820" s="1" t="s">
        <v>934</v>
      </c>
      <c r="L3820" s="1" t="s">
        <v>5249</v>
      </c>
      <c r="M3820" s="3">
        <v>46108</v>
      </c>
      <c r="N3820" s="1" t="s">
        <v>57</v>
      </c>
      <c r="O3820" s="1" t="s">
        <v>936</v>
      </c>
      <c r="P3820" s="1">
        <v>1</v>
      </c>
    </row>
    <row r="3821" spans="1:16" x14ac:dyDescent="0.25">
      <c r="A3821" s="3">
        <v>46105</v>
      </c>
      <c r="B3821" s="4">
        <v>17266</v>
      </c>
      <c r="C3821" s="5">
        <v>8218.2000000000007</v>
      </c>
      <c r="D3821" s="1" t="s">
        <v>3933</v>
      </c>
      <c r="E3821" s="1" t="s">
        <v>3934</v>
      </c>
      <c r="F3821" s="1" t="s">
        <v>558</v>
      </c>
      <c r="G3821" s="1" t="s">
        <v>940</v>
      </c>
      <c r="H3821" s="3">
        <v>46135</v>
      </c>
      <c r="I3821" s="1" t="s">
        <v>933</v>
      </c>
      <c r="J3821" s="1" t="s">
        <v>66</v>
      </c>
      <c r="K3821" s="1" t="s">
        <v>308</v>
      </c>
      <c r="L3821" s="1" t="s">
        <v>5270</v>
      </c>
      <c r="M3821" s="3">
        <v>46106</v>
      </c>
      <c r="N3821" s="1" t="s">
        <v>563</v>
      </c>
      <c r="O3821" s="1" t="s">
        <v>936</v>
      </c>
      <c r="P3821" s="1">
        <v>1</v>
      </c>
    </row>
    <row r="3822" spans="1:16" x14ac:dyDescent="0.25">
      <c r="A3822" s="3">
        <v>46105</v>
      </c>
      <c r="B3822" s="4">
        <v>2096</v>
      </c>
      <c r="C3822" s="5">
        <v>3160</v>
      </c>
      <c r="D3822" s="1" t="s">
        <v>4045</v>
      </c>
      <c r="E3822" s="1" t="s">
        <v>4046</v>
      </c>
      <c r="F3822" s="1" t="s">
        <v>558</v>
      </c>
      <c r="G3822" s="1" t="s">
        <v>940</v>
      </c>
      <c r="H3822" s="3">
        <v>46107</v>
      </c>
      <c r="I3822" s="1" t="s">
        <v>933</v>
      </c>
      <c r="J3822" s="1" t="s">
        <v>66</v>
      </c>
      <c r="K3822" s="1" t="s">
        <v>308</v>
      </c>
      <c r="L3822" s="1" t="s">
        <v>5272</v>
      </c>
      <c r="M3822" s="3">
        <v>46106</v>
      </c>
      <c r="N3822" s="1" t="s">
        <v>563</v>
      </c>
      <c r="O3822" s="1" t="s">
        <v>936</v>
      </c>
      <c r="P3822" s="1">
        <v>1</v>
      </c>
    </row>
    <row r="3823" spans="1:16" x14ac:dyDescent="0.25">
      <c r="A3823" s="3">
        <v>46105</v>
      </c>
      <c r="B3823" s="4">
        <v>19553</v>
      </c>
      <c r="C3823" s="5">
        <v>1121.8900000000001</v>
      </c>
      <c r="D3823" s="1" t="s">
        <v>3950</v>
      </c>
      <c r="E3823" s="1" t="s">
        <v>3951</v>
      </c>
      <c r="F3823" s="1" t="s">
        <v>66</v>
      </c>
      <c r="G3823" s="1" t="s">
        <v>940</v>
      </c>
      <c r="H3823" s="3">
        <v>46136</v>
      </c>
      <c r="I3823" s="1" t="s">
        <v>933</v>
      </c>
      <c r="J3823" s="1" t="s">
        <v>66</v>
      </c>
      <c r="K3823" s="1" t="s">
        <v>340</v>
      </c>
      <c r="L3823" s="1" t="s">
        <v>5274</v>
      </c>
      <c r="M3823" s="3">
        <v>46106</v>
      </c>
      <c r="N3823" s="1" t="s">
        <v>57</v>
      </c>
      <c r="O3823" s="1" t="s">
        <v>936</v>
      </c>
      <c r="P3823" s="1" t="s">
        <v>937</v>
      </c>
    </row>
    <row r="3824" spans="1:16" x14ac:dyDescent="0.25">
      <c r="A3824" s="3">
        <v>46105</v>
      </c>
      <c r="B3824" s="4">
        <v>3591</v>
      </c>
      <c r="C3824" s="5">
        <v>2417.1799999999998</v>
      </c>
      <c r="D3824" s="1" t="s">
        <v>5281</v>
      </c>
      <c r="E3824" s="1" t="s">
        <v>5282</v>
      </c>
      <c r="F3824" s="1" t="s">
        <v>66</v>
      </c>
      <c r="G3824" s="1" t="s">
        <v>940</v>
      </c>
      <c r="H3824" s="3">
        <v>46134</v>
      </c>
      <c r="I3824" s="1" t="s">
        <v>933</v>
      </c>
      <c r="J3824" s="1" t="s">
        <v>66</v>
      </c>
      <c r="K3824" s="1" t="s">
        <v>308</v>
      </c>
      <c r="L3824" s="1" t="s">
        <v>5283</v>
      </c>
      <c r="M3824" s="3">
        <v>46106</v>
      </c>
      <c r="N3824" s="1" t="s">
        <v>57</v>
      </c>
      <c r="O3824" s="1" t="s">
        <v>936</v>
      </c>
      <c r="P3824" s="1">
        <v>1</v>
      </c>
    </row>
    <row r="3825" spans="1:16" x14ac:dyDescent="0.25">
      <c r="A3825" s="3">
        <v>46106</v>
      </c>
      <c r="B3825" s="4">
        <v>2360</v>
      </c>
      <c r="C3825" s="5">
        <v>38313</v>
      </c>
      <c r="D3825" s="1" t="s">
        <v>3372</v>
      </c>
      <c r="E3825" s="1" t="s">
        <v>3373</v>
      </c>
      <c r="F3825" s="1" t="s">
        <v>259</v>
      </c>
      <c r="G3825" s="1" t="s">
        <v>940</v>
      </c>
      <c r="H3825" s="3">
        <v>46135</v>
      </c>
      <c r="I3825" s="1" t="s">
        <v>933</v>
      </c>
      <c r="J3825" s="1" t="s">
        <v>66</v>
      </c>
      <c r="K3825" s="1" t="s">
        <v>340</v>
      </c>
      <c r="L3825" s="1" t="s">
        <v>3374</v>
      </c>
      <c r="M3825" s="3">
        <v>46108</v>
      </c>
      <c r="N3825" s="1" t="s">
        <v>264</v>
      </c>
      <c r="O3825" s="1" t="s">
        <v>936</v>
      </c>
      <c r="P3825" s="1">
        <v>1</v>
      </c>
    </row>
    <row r="3826" spans="1:16" x14ac:dyDescent="0.25">
      <c r="A3826" s="3">
        <v>46106</v>
      </c>
      <c r="B3826" s="4">
        <v>2361</v>
      </c>
      <c r="C3826" s="5">
        <v>10400</v>
      </c>
      <c r="D3826" s="1" t="s">
        <v>3372</v>
      </c>
      <c r="E3826" s="1" t="s">
        <v>3373</v>
      </c>
      <c r="F3826" s="1" t="s">
        <v>259</v>
      </c>
      <c r="G3826" s="1" t="s">
        <v>940</v>
      </c>
      <c r="H3826" s="3">
        <v>46135</v>
      </c>
      <c r="I3826" s="1" t="s">
        <v>933</v>
      </c>
      <c r="J3826" s="1" t="s">
        <v>66</v>
      </c>
      <c r="K3826" s="1" t="s">
        <v>340</v>
      </c>
      <c r="L3826" s="1" t="s">
        <v>3374</v>
      </c>
      <c r="M3826" s="3">
        <v>46108</v>
      </c>
      <c r="N3826" s="1" t="s">
        <v>264</v>
      </c>
      <c r="O3826" s="1" t="s">
        <v>936</v>
      </c>
      <c r="P3826" s="1">
        <v>1</v>
      </c>
    </row>
    <row r="3827" spans="1:16" x14ac:dyDescent="0.25">
      <c r="A3827" s="3">
        <v>46106</v>
      </c>
      <c r="B3827" s="1">
        <v>104</v>
      </c>
      <c r="C3827" s="5">
        <v>465</v>
      </c>
      <c r="D3827" s="1" t="s">
        <v>2158</v>
      </c>
      <c r="E3827" s="1" t="s">
        <v>2159</v>
      </c>
      <c r="F3827" s="1" t="s">
        <v>283</v>
      </c>
      <c r="G3827" s="1" t="s">
        <v>940</v>
      </c>
      <c r="H3827" s="3">
        <v>46122</v>
      </c>
      <c r="I3827" s="1" t="s">
        <v>933</v>
      </c>
      <c r="J3827" s="1" t="s">
        <v>66</v>
      </c>
      <c r="K3827" s="1" t="s">
        <v>340</v>
      </c>
      <c r="L3827" s="1" t="s">
        <v>4848</v>
      </c>
      <c r="M3827" s="3">
        <v>46108</v>
      </c>
      <c r="N3827" s="1" t="s">
        <v>264</v>
      </c>
      <c r="O3827" s="1" t="s">
        <v>936</v>
      </c>
      <c r="P3827" s="1" t="s">
        <v>937</v>
      </c>
    </row>
    <row r="3828" spans="1:16" x14ac:dyDescent="0.25">
      <c r="A3828" s="3">
        <v>46106</v>
      </c>
      <c r="B3828" s="4">
        <v>2537</v>
      </c>
      <c r="C3828" s="5">
        <v>900</v>
      </c>
      <c r="D3828" s="1" t="s">
        <v>1182</v>
      </c>
      <c r="E3828" s="1" t="s">
        <v>1183</v>
      </c>
      <c r="F3828" s="1" t="s">
        <v>553</v>
      </c>
      <c r="G3828" s="1" t="s">
        <v>940</v>
      </c>
      <c r="H3828" s="3">
        <v>46137</v>
      </c>
      <c r="I3828" s="1" t="s">
        <v>933</v>
      </c>
      <c r="J3828" s="1" t="s">
        <v>66</v>
      </c>
      <c r="K3828" s="1" t="s">
        <v>340</v>
      </c>
      <c r="L3828" s="1" t="s">
        <v>5111</v>
      </c>
      <c r="M3828" s="3">
        <v>46108</v>
      </c>
      <c r="N3828" s="1" t="s">
        <v>57</v>
      </c>
      <c r="O3828" s="1" t="s">
        <v>936</v>
      </c>
      <c r="P3828" s="1">
        <v>1</v>
      </c>
    </row>
    <row r="3829" spans="1:16" x14ac:dyDescent="0.25">
      <c r="A3829" s="3">
        <v>46106</v>
      </c>
      <c r="B3829" s="4">
        <v>157357</v>
      </c>
      <c r="C3829" s="5">
        <v>291.39999999999998</v>
      </c>
      <c r="D3829" s="1" t="s">
        <v>1492</v>
      </c>
      <c r="E3829" s="1" t="s">
        <v>1493</v>
      </c>
      <c r="F3829" s="1" t="s">
        <v>66</v>
      </c>
      <c r="G3829" s="1" t="s">
        <v>940</v>
      </c>
      <c r="H3829" s="3">
        <v>46136</v>
      </c>
      <c r="I3829" s="1" t="s">
        <v>933</v>
      </c>
      <c r="J3829" s="1" t="s">
        <v>66</v>
      </c>
      <c r="K3829" s="1" t="s">
        <v>340</v>
      </c>
      <c r="L3829" s="1" t="s">
        <v>5112</v>
      </c>
      <c r="M3829" s="3">
        <v>46108</v>
      </c>
      <c r="N3829" s="1" t="s">
        <v>57</v>
      </c>
      <c r="O3829" s="1" t="s">
        <v>936</v>
      </c>
      <c r="P3829" s="1">
        <v>1</v>
      </c>
    </row>
    <row r="3830" spans="1:16" x14ac:dyDescent="0.25">
      <c r="A3830" s="3">
        <v>46106</v>
      </c>
      <c r="B3830" s="4">
        <v>15413</v>
      </c>
      <c r="C3830" s="5">
        <v>11200</v>
      </c>
      <c r="D3830" s="1" t="s">
        <v>2349</v>
      </c>
      <c r="E3830" s="1" t="s">
        <v>2350</v>
      </c>
      <c r="F3830" s="1" t="s">
        <v>66</v>
      </c>
      <c r="G3830" s="1" t="s">
        <v>2351</v>
      </c>
      <c r="H3830" s="3">
        <v>46134</v>
      </c>
      <c r="I3830" s="1" t="s">
        <v>933</v>
      </c>
      <c r="J3830" s="1" t="s">
        <v>66</v>
      </c>
      <c r="K3830" s="1" t="s">
        <v>340</v>
      </c>
      <c r="L3830" s="1" t="s">
        <v>5208</v>
      </c>
      <c r="M3830" s="3">
        <v>46113</v>
      </c>
      <c r="N3830" s="1" t="s">
        <v>57</v>
      </c>
      <c r="O3830" s="1" t="s">
        <v>2101</v>
      </c>
      <c r="P3830" s="1">
        <v>1</v>
      </c>
    </row>
    <row r="3831" spans="1:16" x14ac:dyDescent="0.25">
      <c r="A3831" s="3">
        <v>46106</v>
      </c>
      <c r="B3831" s="4">
        <v>2097</v>
      </c>
      <c r="C3831" s="5">
        <v>450</v>
      </c>
      <c r="D3831" s="1" t="s">
        <v>4045</v>
      </c>
      <c r="E3831" s="1" t="s">
        <v>4046</v>
      </c>
      <c r="F3831" s="1" t="s">
        <v>65</v>
      </c>
      <c r="G3831" s="1" t="s">
        <v>940</v>
      </c>
      <c r="H3831" s="3">
        <v>46136</v>
      </c>
      <c r="I3831" s="1" t="s">
        <v>1100</v>
      </c>
      <c r="J3831" s="1" t="s">
        <v>66</v>
      </c>
      <c r="K3831" s="1" t="s">
        <v>308</v>
      </c>
      <c r="L3831" s="1" t="s">
        <v>5209</v>
      </c>
      <c r="M3831" s="3">
        <v>46108</v>
      </c>
      <c r="N3831" s="1" t="s">
        <v>57</v>
      </c>
      <c r="O3831" s="1" t="s">
        <v>936</v>
      </c>
      <c r="P3831" s="1">
        <v>1</v>
      </c>
    </row>
    <row r="3832" spans="1:16" x14ac:dyDescent="0.25">
      <c r="A3832" s="3">
        <v>46106</v>
      </c>
      <c r="B3832" s="4">
        <v>17278</v>
      </c>
      <c r="C3832" s="5">
        <v>1951.99</v>
      </c>
      <c r="D3832" s="1" t="s">
        <v>3933</v>
      </c>
      <c r="E3832" s="1" t="s">
        <v>3934</v>
      </c>
      <c r="F3832" s="1" t="s">
        <v>65</v>
      </c>
      <c r="G3832" s="1" t="s">
        <v>940</v>
      </c>
      <c r="H3832" s="3">
        <v>46136</v>
      </c>
      <c r="I3832" s="1" t="s">
        <v>1100</v>
      </c>
      <c r="J3832" s="1" t="s">
        <v>66</v>
      </c>
      <c r="K3832" s="1" t="s">
        <v>308</v>
      </c>
      <c r="L3832" s="1" t="s">
        <v>5210</v>
      </c>
      <c r="M3832" s="3">
        <v>46108</v>
      </c>
      <c r="N3832" s="1" t="s">
        <v>57</v>
      </c>
      <c r="O3832" s="1" t="s">
        <v>936</v>
      </c>
      <c r="P3832" s="1">
        <v>1</v>
      </c>
    </row>
    <row r="3833" spans="1:16" x14ac:dyDescent="0.25">
      <c r="A3833" s="3">
        <v>46106</v>
      </c>
      <c r="B3833" s="4">
        <v>1931</v>
      </c>
      <c r="C3833" s="5">
        <v>9073.52</v>
      </c>
      <c r="D3833" s="1" t="s">
        <v>3971</v>
      </c>
      <c r="E3833" s="1" t="s">
        <v>3972</v>
      </c>
      <c r="F3833" s="1" t="s">
        <v>906</v>
      </c>
      <c r="G3833" s="1" t="s">
        <v>940</v>
      </c>
      <c r="H3833" s="3">
        <v>46136</v>
      </c>
      <c r="I3833" s="1" t="s">
        <v>1100</v>
      </c>
      <c r="J3833" s="1" t="s">
        <v>66</v>
      </c>
      <c r="K3833" s="1" t="s">
        <v>308</v>
      </c>
      <c r="L3833" s="1" t="s">
        <v>5211</v>
      </c>
      <c r="M3833" s="3">
        <v>46108</v>
      </c>
      <c r="N3833" s="1" t="s">
        <v>57</v>
      </c>
      <c r="O3833" s="1" t="s">
        <v>936</v>
      </c>
      <c r="P3833" s="1">
        <v>1</v>
      </c>
    </row>
    <row r="3834" spans="1:16" x14ac:dyDescent="0.25">
      <c r="A3834" s="3">
        <v>46106</v>
      </c>
      <c r="B3834" s="4">
        <v>1932</v>
      </c>
      <c r="C3834" s="5">
        <v>1035.47</v>
      </c>
      <c r="D3834" s="1" t="s">
        <v>3971</v>
      </c>
      <c r="E3834" s="1" t="s">
        <v>3972</v>
      </c>
      <c r="F3834" s="1" t="s">
        <v>906</v>
      </c>
      <c r="G3834" s="1" t="s">
        <v>940</v>
      </c>
      <c r="H3834" s="3">
        <v>46136</v>
      </c>
      <c r="I3834" s="1" t="s">
        <v>1100</v>
      </c>
      <c r="J3834" s="1" t="s">
        <v>66</v>
      </c>
      <c r="K3834" s="1" t="s">
        <v>308</v>
      </c>
      <c r="L3834" s="1" t="s">
        <v>5212</v>
      </c>
      <c r="M3834" s="3">
        <v>46108</v>
      </c>
      <c r="N3834" s="1" t="s">
        <v>57</v>
      </c>
      <c r="O3834" s="1" t="s">
        <v>936</v>
      </c>
      <c r="P3834" s="1">
        <v>1</v>
      </c>
    </row>
    <row r="3835" spans="1:16" x14ac:dyDescent="0.25">
      <c r="A3835" s="3">
        <v>46106</v>
      </c>
      <c r="B3835" s="1">
        <v>16</v>
      </c>
      <c r="C3835" s="5">
        <v>6066.67</v>
      </c>
      <c r="D3835" s="1" t="s">
        <v>4324</v>
      </c>
      <c r="E3835" s="1" t="s">
        <v>4325</v>
      </c>
      <c r="F3835" s="1" t="s">
        <v>625</v>
      </c>
      <c r="G3835" s="1" t="s">
        <v>932</v>
      </c>
      <c r="H3835" s="3">
        <v>46136</v>
      </c>
      <c r="I3835" s="1" t="s">
        <v>933</v>
      </c>
      <c r="J3835" s="1" t="s">
        <v>66</v>
      </c>
      <c r="K3835" s="1" t="s">
        <v>308</v>
      </c>
      <c r="L3835" s="1" t="s">
        <v>5218</v>
      </c>
      <c r="M3835" s="3">
        <v>46108</v>
      </c>
      <c r="N3835" s="1" t="s">
        <v>628</v>
      </c>
      <c r="O3835" s="1" t="s">
        <v>936</v>
      </c>
      <c r="P3835" s="1">
        <v>1</v>
      </c>
    </row>
    <row r="3836" spans="1:16" x14ac:dyDescent="0.25">
      <c r="A3836" s="3">
        <v>46106</v>
      </c>
      <c r="B3836" s="4">
        <v>97094</v>
      </c>
      <c r="C3836" s="5">
        <v>26880</v>
      </c>
      <c r="D3836" s="1" t="s">
        <v>1094</v>
      </c>
      <c r="E3836" s="1" t="s">
        <v>1095</v>
      </c>
      <c r="F3836" s="1" t="s">
        <v>304</v>
      </c>
      <c r="G3836" s="1" t="s">
        <v>998</v>
      </c>
      <c r="H3836" s="3">
        <v>46127</v>
      </c>
      <c r="I3836" s="1" t="s">
        <v>933</v>
      </c>
      <c r="J3836" s="1" t="s">
        <v>66</v>
      </c>
      <c r="K3836" s="1" t="s">
        <v>66</v>
      </c>
      <c r="L3836" s="1" t="s">
        <v>5220</v>
      </c>
      <c r="M3836" s="3">
        <v>46109</v>
      </c>
      <c r="N3836" s="1" t="s">
        <v>57</v>
      </c>
      <c r="O3836" s="1" t="s">
        <v>998</v>
      </c>
      <c r="P3836" s="1">
        <v>1</v>
      </c>
    </row>
    <row r="3837" spans="1:16" x14ac:dyDescent="0.25">
      <c r="A3837" s="3">
        <v>46106</v>
      </c>
      <c r="B3837" s="4">
        <v>97117</v>
      </c>
      <c r="C3837" s="5">
        <v>2720</v>
      </c>
      <c r="D3837" s="1" t="s">
        <v>1094</v>
      </c>
      <c r="E3837" s="1" t="s">
        <v>1095</v>
      </c>
      <c r="F3837" s="1" t="s">
        <v>66</v>
      </c>
      <c r="G3837" s="1" t="s">
        <v>1010</v>
      </c>
      <c r="H3837" s="3">
        <v>46128</v>
      </c>
      <c r="I3837" s="1" t="s">
        <v>933</v>
      </c>
      <c r="J3837" s="1" t="s">
        <v>66</v>
      </c>
      <c r="K3837" s="1" t="s">
        <v>66</v>
      </c>
      <c r="L3837" s="1" t="s">
        <v>5220</v>
      </c>
      <c r="M3837" s="3">
        <v>46109</v>
      </c>
      <c r="N3837" s="1" t="s">
        <v>57</v>
      </c>
      <c r="O3837" s="1" t="s">
        <v>998</v>
      </c>
      <c r="P3837" s="1">
        <v>1</v>
      </c>
    </row>
    <row r="3838" spans="1:16" x14ac:dyDescent="0.25">
      <c r="A3838" s="3">
        <v>46106</v>
      </c>
      <c r="B3838" s="4">
        <v>97095</v>
      </c>
      <c r="C3838" s="5">
        <v>158</v>
      </c>
      <c r="D3838" s="1" t="s">
        <v>1094</v>
      </c>
      <c r="E3838" s="1" t="s">
        <v>1095</v>
      </c>
      <c r="F3838" s="1" t="s">
        <v>66</v>
      </c>
      <c r="G3838" s="1" t="s">
        <v>1010</v>
      </c>
      <c r="H3838" s="3">
        <v>46136</v>
      </c>
      <c r="I3838" s="1" t="s">
        <v>933</v>
      </c>
      <c r="J3838" s="1" t="s">
        <v>66</v>
      </c>
      <c r="K3838" s="1" t="s">
        <v>66</v>
      </c>
      <c r="L3838" s="1" t="s">
        <v>5220</v>
      </c>
      <c r="M3838" s="3">
        <v>46109</v>
      </c>
      <c r="N3838" s="1" t="s">
        <v>57</v>
      </c>
      <c r="O3838" s="1" t="s">
        <v>998</v>
      </c>
      <c r="P3838" s="1">
        <v>1</v>
      </c>
    </row>
    <row r="3839" spans="1:16" x14ac:dyDescent="0.25">
      <c r="A3839" s="3">
        <v>46106</v>
      </c>
      <c r="B3839" s="4">
        <v>30278</v>
      </c>
      <c r="C3839" s="5">
        <v>646.52</v>
      </c>
      <c r="D3839" s="1" t="s">
        <v>4666</v>
      </c>
      <c r="E3839" s="1" t="s">
        <v>4667</v>
      </c>
      <c r="F3839" s="1" t="s">
        <v>453</v>
      </c>
      <c r="G3839" s="1" t="s">
        <v>940</v>
      </c>
      <c r="H3839" s="3">
        <v>46137</v>
      </c>
      <c r="I3839" s="1" t="s">
        <v>933</v>
      </c>
      <c r="J3839" s="1" t="s">
        <v>66</v>
      </c>
      <c r="K3839" s="1" t="s">
        <v>308</v>
      </c>
      <c r="L3839" s="1" t="s">
        <v>5234</v>
      </c>
      <c r="M3839" s="3">
        <v>46108</v>
      </c>
      <c r="N3839" s="1" t="s">
        <v>455</v>
      </c>
      <c r="O3839" s="1" t="s">
        <v>936</v>
      </c>
      <c r="P3839" s="1">
        <v>1</v>
      </c>
    </row>
    <row r="3840" spans="1:16" x14ac:dyDescent="0.25">
      <c r="A3840" s="3">
        <v>46106</v>
      </c>
      <c r="B3840" s="1">
        <v>739</v>
      </c>
      <c r="C3840" s="5">
        <v>180</v>
      </c>
      <c r="D3840" s="1" t="s">
        <v>4666</v>
      </c>
      <c r="E3840" s="1" t="s">
        <v>4667</v>
      </c>
      <c r="F3840" s="1" t="s">
        <v>453</v>
      </c>
      <c r="G3840" s="1" t="s">
        <v>940</v>
      </c>
      <c r="H3840" s="3">
        <v>46137</v>
      </c>
      <c r="I3840" s="1" t="s">
        <v>933</v>
      </c>
      <c r="J3840" s="1" t="s">
        <v>66</v>
      </c>
      <c r="K3840" s="1" t="s">
        <v>308</v>
      </c>
      <c r="L3840" s="1" t="s">
        <v>5235</v>
      </c>
      <c r="M3840" s="3">
        <v>46108</v>
      </c>
      <c r="N3840" s="1" t="s">
        <v>455</v>
      </c>
      <c r="O3840" s="1" t="s">
        <v>936</v>
      </c>
      <c r="P3840" s="1">
        <v>1</v>
      </c>
    </row>
    <row r="3841" spans="1:16" x14ac:dyDescent="0.25">
      <c r="A3841" s="3">
        <v>46106</v>
      </c>
      <c r="B3841" s="1">
        <v>105</v>
      </c>
      <c r="C3841" s="5">
        <v>1135</v>
      </c>
      <c r="D3841" s="1" t="s">
        <v>2158</v>
      </c>
      <c r="E3841" s="1" t="s">
        <v>2159</v>
      </c>
      <c r="F3841" s="1" t="s">
        <v>392</v>
      </c>
      <c r="G3841" s="1" t="s">
        <v>940</v>
      </c>
      <c r="H3841" s="3">
        <v>46122</v>
      </c>
      <c r="I3841" s="1" t="s">
        <v>933</v>
      </c>
      <c r="J3841" s="1" t="s">
        <v>66</v>
      </c>
      <c r="K3841" s="1" t="s">
        <v>308</v>
      </c>
      <c r="L3841" s="1" t="s">
        <v>4848</v>
      </c>
      <c r="M3841" s="3">
        <v>46108</v>
      </c>
      <c r="N3841" s="1" t="s">
        <v>93</v>
      </c>
      <c r="O3841" s="1" t="s">
        <v>936</v>
      </c>
      <c r="P3841" s="1" t="s">
        <v>937</v>
      </c>
    </row>
    <row r="3842" spans="1:16" x14ac:dyDescent="0.25">
      <c r="A3842" s="3">
        <v>46106</v>
      </c>
      <c r="B3842" s="4">
        <v>53132</v>
      </c>
      <c r="C3842" s="5">
        <v>980</v>
      </c>
      <c r="D3842" s="1" t="s">
        <v>1489</v>
      </c>
      <c r="E3842" s="1" t="s">
        <v>1490</v>
      </c>
      <c r="F3842" s="1" t="s">
        <v>949</v>
      </c>
      <c r="G3842" s="1" t="s">
        <v>2508</v>
      </c>
      <c r="H3842" s="3">
        <v>46136</v>
      </c>
      <c r="I3842" s="1" t="s">
        <v>933</v>
      </c>
      <c r="J3842" s="1" t="s">
        <v>951</v>
      </c>
      <c r="K3842" s="1" t="s">
        <v>934</v>
      </c>
      <c r="L3842" s="1" t="s">
        <v>5244</v>
      </c>
      <c r="M3842" s="3">
        <v>46108</v>
      </c>
      <c r="N3842" s="1" t="s">
        <v>57</v>
      </c>
      <c r="O3842" s="1" t="s">
        <v>936</v>
      </c>
      <c r="P3842" s="1">
        <v>1</v>
      </c>
    </row>
    <row r="3843" spans="1:16" x14ac:dyDescent="0.25">
      <c r="A3843" s="3">
        <v>46106</v>
      </c>
      <c r="B3843" s="4">
        <v>1307713</v>
      </c>
      <c r="C3843" s="5">
        <v>511.96</v>
      </c>
      <c r="D3843" s="1" t="s">
        <v>2345</v>
      </c>
      <c r="E3843" s="1" t="s">
        <v>2346</v>
      </c>
      <c r="F3843" s="1" t="s">
        <v>609</v>
      </c>
      <c r="G3843" s="1" t="s">
        <v>940</v>
      </c>
      <c r="H3843" s="3">
        <v>46136</v>
      </c>
      <c r="I3843" s="1" t="s">
        <v>1100</v>
      </c>
      <c r="J3843" s="1" t="s">
        <v>66</v>
      </c>
      <c r="K3843" s="1" t="s">
        <v>340</v>
      </c>
      <c r="L3843" s="1" t="s">
        <v>5248</v>
      </c>
      <c r="M3843" s="3">
        <v>46113</v>
      </c>
      <c r="N3843" s="1" t="s">
        <v>57</v>
      </c>
      <c r="O3843" s="1" t="s">
        <v>936</v>
      </c>
      <c r="P3843" s="1" t="s">
        <v>937</v>
      </c>
    </row>
    <row r="3844" spans="1:16" x14ac:dyDescent="0.25">
      <c r="A3844" s="3">
        <v>46106</v>
      </c>
      <c r="B3844" s="4">
        <v>74042</v>
      </c>
      <c r="C3844" s="5">
        <v>1526</v>
      </c>
      <c r="D3844" s="1" t="s">
        <v>1994</v>
      </c>
      <c r="E3844" s="1" t="s">
        <v>1995</v>
      </c>
      <c r="F3844" s="1" t="s">
        <v>736</v>
      </c>
      <c r="G3844" s="1" t="s">
        <v>940</v>
      </c>
      <c r="H3844" s="3">
        <v>46134</v>
      </c>
      <c r="I3844" s="1" t="s">
        <v>1100</v>
      </c>
      <c r="J3844" s="1" t="s">
        <v>66</v>
      </c>
      <c r="K3844" s="1" t="s">
        <v>308</v>
      </c>
      <c r="L3844" s="1" t="s">
        <v>5271</v>
      </c>
      <c r="M3844" s="3">
        <v>46113</v>
      </c>
      <c r="N3844" s="1" t="s">
        <v>57</v>
      </c>
      <c r="O3844" s="1" t="s">
        <v>936</v>
      </c>
      <c r="P3844" s="1">
        <v>1</v>
      </c>
    </row>
    <row r="3845" spans="1:16" x14ac:dyDescent="0.25">
      <c r="A3845" s="3">
        <v>46106</v>
      </c>
      <c r="B3845" s="4">
        <v>17289</v>
      </c>
      <c r="C3845" s="5">
        <v>611.44000000000005</v>
      </c>
      <c r="D3845" s="1" t="s">
        <v>3933</v>
      </c>
      <c r="E3845" s="1" t="s">
        <v>3934</v>
      </c>
      <c r="F3845" s="1" t="s">
        <v>732</v>
      </c>
      <c r="G3845" s="1" t="s">
        <v>940</v>
      </c>
      <c r="H3845" s="3">
        <v>46136</v>
      </c>
      <c r="I3845" s="1" t="s">
        <v>933</v>
      </c>
      <c r="J3845" s="1" t="s">
        <v>66</v>
      </c>
      <c r="K3845" s="1" t="s">
        <v>340</v>
      </c>
      <c r="L3845" s="1" t="s">
        <v>4058</v>
      </c>
      <c r="M3845" s="3">
        <v>46108</v>
      </c>
      <c r="N3845" s="1" t="s">
        <v>115</v>
      </c>
      <c r="O3845" s="1" t="s">
        <v>936</v>
      </c>
      <c r="P3845" s="1">
        <v>1</v>
      </c>
    </row>
    <row r="3846" spans="1:16" x14ac:dyDescent="0.25">
      <c r="A3846" s="3">
        <v>46106</v>
      </c>
      <c r="B3846" s="4">
        <v>2098</v>
      </c>
      <c r="C3846" s="5">
        <v>1570</v>
      </c>
      <c r="D3846" s="1" t="s">
        <v>4045</v>
      </c>
      <c r="E3846" s="1" t="s">
        <v>4046</v>
      </c>
      <c r="F3846" s="1" t="s">
        <v>732</v>
      </c>
      <c r="G3846" s="1" t="s">
        <v>940</v>
      </c>
      <c r="H3846" s="3">
        <v>46137</v>
      </c>
      <c r="I3846" s="1" t="s">
        <v>933</v>
      </c>
      <c r="J3846" s="1" t="s">
        <v>66</v>
      </c>
      <c r="K3846" s="1" t="s">
        <v>340</v>
      </c>
      <c r="L3846" s="1" t="s">
        <v>5273</v>
      </c>
      <c r="M3846" s="3">
        <v>46108</v>
      </c>
      <c r="N3846" s="1" t="s">
        <v>115</v>
      </c>
      <c r="O3846" s="1" t="s">
        <v>936</v>
      </c>
      <c r="P3846" s="1">
        <v>1</v>
      </c>
    </row>
    <row r="3847" spans="1:16" x14ac:dyDescent="0.25">
      <c r="A3847" s="3">
        <v>46106</v>
      </c>
      <c r="B3847" s="1">
        <v>42</v>
      </c>
      <c r="C3847" s="5">
        <v>480</v>
      </c>
      <c r="D3847" s="1" t="s">
        <v>1471</v>
      </c>
      <c r="E3847" s="1" t="s">
        <v>1870</v>
      </c>
      <c r="F3847" s="1" t="s">
        <v>949</v>
      </c>
      <c r="G3847" s="1" t="s">
        <v>932</v>
      </c>
      <c r="H3847" s="3">
        <v>46118</v>
      </c>
      <c r="I3847" s="1" t="s">
        <v>933</v>
      </c>
      <c r="J3847" s="1" t="s">
        <v>951</v>
      </c>
      <c r="K3847" s="1" t="s">
        <v>934</v>
      </c>
      <c r="L3847" s="1" t="s">
        <v>5278</v>
      </c>
      <c r="M3847" s="3">
        <v>46113</v>
      </c>
      <c r="N3847" s="1" t="s">
        <v>57</v>
      </c>
      <c r="O3847" s="1" t="s">
        <v>936</v>
      </c>
      <c r="P3847" s="1">
        <v>1</v>
      </c>
    </row>
    <row r="3848" spans="1:16" x14ac:dyDescent="0.25">
      <c r="A3848" s="3">
        <v>46107</v>
      </c>
      <c r="B3848" s="4">
        <v>19592</v>
      </c>
      <c r="C3848" s="5">
        <v>1015.02</v>
      </c>
      <c r="D3848" s="1" t="s">
        <v>3950</v>
      </c>
      <c r="E3848" s="1" t="s">
        <v>3951</v>
      </c>
      <c r="F3848" s="1" t="s">
        <v>268</v>
      </c>
      <c r="G3848" s="1" t="s">
        <v>940</v>
      </c>
      <c r="H3848" s="3">
        <v>46138</v>
      </c>
      <c r="I3848" s="1" t="s">
        <v>933</v>
      </c>
      <c r="J3848" s="1" t="s">
        <v>66</v>
      </c>
      <c r="K3848" s="1" t="s">
        <v>340</v>
      </c>
      <c r="L3848" s="1" t="s">
        <v>4058</v>
      </c>
      <c r="M3848" s="3">
        <v>46109</v>
      </c>
      <c r="N3848" s="1" t="s">
        <v>264</v>
      </c>
      <c r="O3848" s="1" t="s">
        <v>936</v>
      </c>
      <c r="P3848" s="1" t="s">
        <v>937</v>
      </c>
    </row>
    <row r="3849" spans="1:16" x14ac:dyDescent="0.25">
      <c r="A3849" s="3">
        <v>46107</v>
      </c>
      <c r="B3849" s="4">
        <v>10792</v>
      </c>
      <c r="C3849" s="5">
        <v>10391.040000000001</v>
      </c>
      <c r="D3849" s="1" t="s">
        <v>973</v>
      </c>
      <c r="E3849" s="1" t="s">
        <v>1068</v>
      </c>
      <c r="F3849" s="1" t="s">
        <v>66</v>
      </c>
      <c r="G3849" s="1" t="s">
        <v>998</v>
      </c>
      <c r="H3849" s="3">
        <v>46122</v>
      </c>
      <c r="I3849" s="1" t="s">
        <v>933</v>
      </c>
      <c r="J3849" s="1" t="s">
        <v>66</v>
      </c>
      <c r="K3849" s="1" t="s">
        <v>1814</v>
      </c>
      <c r="L3849" s="1" t="s">
        <v>5219</v>
      </c>
      <c r="M3849" s="3">
        <v>46109</v>
      </c>
      <c r="N3849" s="1" t="s">
        <v>57</v>
      </c>
      <c r="O3849" s="1" t="s">
        <v>998</v>
      </c>
      <c r="P3849" s="1">
        <v>1</v>
      </c>
    </row>
    <row r="3850" spans="1:16" x14ac:dyDescent="0.25">
      <c r="A3850" s="3">
        <v>46107</v>
      </c>
      <c r="B3850" s="1">
        <v>228</v>
      </c>
      <c r="C3850" s="5">
        <v>4000</v>
      </c>
      <c r="D3850" s="1" t="s">
        <v>5231</v>
      </c>
      <c r="E3850" s="1" t="s">
        <v>5232</v>
      </c>
      <c r="F3850" s="1" t="s">
        <v>849</v>
      </c>
      <c r="G3850" s="1" t="s">
        <v>1667</v>
      </c>
      <c r="H3850" s="3">
        <v>46137</v>
      </c>
      <c r="I3850" s="1" t="s">
        <v>1100</v>
      </c>
      <c r="J3850" s="1" t="s">
        <v>66</v>
      </c>
      <c r="K3850" s="1" t="s">
        <v>340</v>
      </c>
      <c r="L3850" s="1" t="s">
        <v>5233</v>
      </c>
      <c r="M3850" s="3">
        <v>46109</v>
      </c>
      <c r="N3850" s="1" t="s">
        <v>57</v>
      </c>
      <c r="O3850" s="1" t="s">
        <v>936</v>
      </c>
      <c r="P3850" s="1">
        <v>1</v>
      </c>
    </row>
    <row r="3851" spans="1:16" x14ac:dyDescent="0.25">
      <c r="A3851" s="3">
        <v>46107</v>
      </c>
      <c r="B3851" s="4">
        <v>1432</v>
      </c>
      <c r="C3851" s="5">
        <v>998.44</v>
      </c>
      <c r="D3851" s="1" t="s">
        <v>5231</v>
      </c>
      <c r="E3851" s="1" t="s">
        <v>5232</v>
      </c>
      <c r="F3851" s="1" t="s">
        <v>849</v>
      </c>
      <c r="G3851" s="1" t="s">
        <v>1667</v>
      </c>
      <c r="H3851" s="3">
        <v>46137</v>
      </c>
      <c r="I3851" s="1" t="s">
        <v>1100</v>
      </c>
      <c r="J3851" s="1" t="s">
        <v>66</v>
      </c>
      <c r="K3851" s="1" t="s">
        <v>340</v>
      </c>
      <c r="L3851" s="1" t="s">
        <v>5233</v>
      </c>
      <c r="M3851" s="3">
        <v>46109</v>
      </c>
      <c r="N3851" s="1" t="s">
        <v>57</v>
      </c>
      <c r="O3851" s="1" t="s">
        <v>936</v>
      </c>
      <c r="P3851" s="1">
        <v>1</v>
      </c>
    </row>
    <row r="3852" spans="1:16" x14ac:dyDescent="0.25">
      <c r="A3852" s="3">
        <v>46107</v>
      </c>
      <c r="B3852" s="4">
        <v>12959</v>
      </c>
      <c r="C3852" s="5">
        <v>9010</v>
      </c>
      <c r="D3852" s="1" t="s">
        <v>3812</v>
      </c>
      <c r="E3852" s="1" t="s">
        <v>3907</v>
      </c>
      <c r="F3852" s="1" t="s">
        <v>1131</v>
      </c>
      <c r="G3852" s="1" t="s">
        <v>940</v>
      </c>
      <c r="H3852" s="3">
        <v>46167</v>
      </c>
      <c r="I3852" s="1" t="s">
        <v>933</v>
      </c>
      <c r="J3852" s="1" t="s">
        <v>1131</v>
      </c>
      <c r="K3852" s="1" t="s">
        <v>308</v>
      </c>
      <c r="L3852" s="1" t="s">
        <v>5243</v>
      </c>
      <c r="M3852" s="3">
        <v>46109</v>
      </c>
      <c r="N3852" s="1" t="s">
        <v>57</v>
      </c>
      <c r="O3852" s="1" t="s">
        <v>936</v>
      </c>
      <c r="P3852" s="1">
        <v>1</v>
      </c>
    </row>
    <row r="3853" spans="1:16" x14ac:dyDescent="0.25">
      <c r="A3853" s="3">
        <v>46107</v>
      </c>
      <c r="B3853" s="4">
        <v>5320</v>
      </c>
      <c r="C3853" s="5">
        <v>168.45</v>
      </c>
      <c r="D3853" s="1" t="s">
        <v>938</v>
      </c>
      <c r="E3853" s="1" t="s">
        <v>939</v>
      </c>
      <c r="F3853" s="1" t="s">
        <v>66</v>
      </c>
      <c r="G3853" s="1" t="s">
        <v>950</v>
      </c>
      <c r="H3853" s="3">
        <v>46133</v>
      </c>
      <c r="I3853" s="1" t="s">
        <v>933</v>
      </c>
      <c r="J3853" s="1" t="s">
        <v>66</v>
      </c>
      <c r="K3853" s="1" t="s">
        <v>308</v>
      </c>
      <c r="L3853" s="1" t="s">
        <v>5260</v>
      </c>
      <c r="M3853" s="3">
        <v>46109</v>
      </c>
      <c r="N3853" s="1" t="s">
        <v>57</v>
      </c>
      <c r="O3853" s="1" t="s">
        <v>936</v>
      </c>
      <c r="P3853" s="1">
        <v>1</v>
      </c>
    </row>
    <row r="3854" spans="1:16" x14ac:dyDescent="0.25">
      <c r="A3854" s="3">
        <v>46107</v>
      </c>
      <c r="B3854" s="4">
        <v>5319</v>
      </c>
      <c r="C3854" s="5">
        <v>1225.74</v>
      </c>
      <c r="D3854" s="1" t="s">
        <v>938</v>
      </c>
      <c r="E3854" s="1" t="s">
        <v>939</v>
      </c>
      <c r="F3854" s="1" t="s">
        <v>255</v>
      </c>
      <c r="G3854" s="1" t="s">
        <v>940</v>
      </c>
      <c r="H3854" s="3">
        <v>46138</v>
      </c>
      <c r="I3854" s="1" t="s">
        <v>933</v>
      </c>
      <c r="J3854" s="1" t="s">
        <v>66</v>
      </c>
      <c r="K3854" s="1" t="s">
        <v>659</v>
      </c>
      <c r="L3854" s="1" t="s">
        <v>5261</v>
      </c>
      <c r="M3854" s="3">
        <v>46109</v>
      </c>
      <c r="N3854" s="1" t="s">
        <v>57</v>
      </c>
      <c r="O3854" s="1" t="s">
        <v>936</v>
      </c>
      <c r="P3854" s="1">
        <v>1</v>
      </c>
    </row>
    <row r="3855" spans="1:16" x14ac:dyDescent="0.25">
      <c r="A3855" s="3">
        <v>46108</v>
      </c>
      <c r="B3855" s="4">
        <v>10818</v>
      </c>
      <c r="C3855" s="5">
        <v>14188.91</v>
      </c>
      <c r="D3855" s="1" t="s">
        <v>973</v>
      </c>
      <c r="E3855" s="1" t="s">
        <v>1068</v>
      </c>
      <c r="F3855" s="1" t="s">
        <v>1814</v>
      </c>
      <c r="G3855" s="1" t="s">
        <v>998</v>
      </c>
      <c r="H3855" s="3">
        <v>46123</v>
      </c>
      <c r="I3855" s="1" t="s">
        <v>933</v>
      </c>
      <c r="J3855" s="1" t="s">
        <v>66</v>
      </c>
      <c r="K3855" s="1" t="s">
        <v>1814</v>
      </c>
      <c r="L3855" s="1" t="s">
        <v>5219</v>
      </c>
      <c r="M3855" s="3">
        <v>46109</v>
      </c>
      <c r="N3855" s="1" t="s">
        <v>57</v>
      </c>
      <c r="O3855" s="1" t="s">
        <v>998</v>
      </c>
      <c r="P3855" s="1">
        <v>1</v>
      </c>
    </row>
    <row r="3856" spans="1:16" x14ac:dyDescent="0.25">
      <c r="A3856" s="3">
        <v>46108</v>
      </c>
      <c r="B3856" s="4">
        <v>6447</v>
      </c>
      <c r="C3856" s="5">
        <v>13000</v>
      </c>
      <c r="D3856" s="1" t="s">
        <v>5240</v>
      </c>
      <c r="E3856" s="1" t="s">
        <v>2481</v>
      </c>
      <c r="F3856" s="1" t="s">
        <v>199</v>
      </c>
      <c r="G3856" s="1" t="s">
        <v>932</v>
      </c>
      <c r="H3856" s="3">
        <v>46133</v>
      </c>
      <c r="I3856" s="1" t="s">
        <v>933</v>
      </c>
      <c r="J3856" s="1" t="s">
        <v>66</v>
      </c>
      <c r="K3856" s="1" t="s">
        <v>308</v>
      </c>
      <c r="L3856" s="1" t="s">
        <v>5241</v>
      </c>
      <c r="M3856" s="3">
        <v>46109</v>
      </c>
      <c r="N3856" s="1" t="s">
        <v>175</v>
      </c>
      <c r="O3856" s="1" t="s">
        <v>936</v>
      </c>
      <c r="P3856" s="1">
        <v>1</v>
      </c>
    </row>
    <row r="3857" spans="1:16" x14ac:dyDescent="0.25">
      <c r="A3857" s="3">
        <v>46108</v>
      </c>
      <c r="B3857" s="4">
        <v>6457</v>
      </c>
      <c r="C3857" s="5">
        <v>13066.67</v>
      </c>
      <c r="D3857" s="1" t="s">
        <v>5240</v>
      </c>
      <c r="E3857" s="1" t="s">
        <v>2481</v>
      </c>
      <c r="F3857" s="1" t="s">
        <v>171</v>
      </c>
      <c r="G3857" s="1" t="s">
        <v>932</v>
      </c>
      <c r="H3857" s="3">
        <v>46133</v>
      </c>
      <c r="I3857" s="1" t="s">
        <v>933</v>
      </c>
      <c r="J3857" s="1" t="s">
        <v>66</v>
      </c>
      <c r="K3857" s="1" t="s">
        <v>308</v>
      </c>
      <c r="L3857" s="1" t="s">
        <v>5242</v>
      </c>
      <c r="M3857" s="3">
        <v>46109</v>
      </c>
      <c r="N3857" s="1" t="s">
        <v>175</v>
      </c>
      <c r="O3857" s="1" t="s">
        <v>936</v>
      </c>
      <c r="P3857" s="1">
        <v>1</v>
      </c>
    </row>
    <row r="3858" spans="1:16" x14ac:dyDescent="0.25">
      <c r="A3858" s="3">
        <v>46108</v>
      </c>
      <c r="B3858" s="4">
        <v>97135</v>
      </c>
      <c r="C3858" s="5">
        <v>23040</v>
      </c>
      <c r="D3858" s="1" t="s">
        <v>1094</v>
      </c>
      <c r="E3858" s="1" t="s">
        <v>1095</v>
      </c>
      <c r="F3858" s="1" t="s">
        <v>304</v>
      </c>
      <c r="G3858" s="1" t="s">
        <v>998</v>
      </c>
      <c r="H3858" s="3">
        <v>46129</v>
      </c>
      <c r="I3858" s="1" t="s">
        <v>933</v>
      </c>
      <c r="J3858" s="1" t="s">
        <v>66</v>
      </c>
      <c r="K3858" s="1" t="s">
        <v>340</v>
      </c>
      <c r="L3858" s="1" t="s">
        <v>5266</v>
      </c>
      <c r="M3858" s="3">
        <v>46113</v>
      </c>
      <c r="N3858" s="1" t="s">
        <v>57</v>
      </c>
      <c r="O3858" s="1" t="s">
        <v>998</v>
      </c>
      <c r="P3858" s="1">
        <v>1</v>
      </c>
    </row>
    <row r="3859" spans="1:16" x14ac:dyDescent="0.25">
      <c r="A3859" s="3">
        <v>46108</v>
      </c>
      <c r="B3859" s="1">
        <v>3</v>
      </c>
      <c r="C3859" s="5">
        <v>27200</v>
      </c>
      <c r="D3859" s="1" t="s">
        <v>5267</v>
      </c>
      <c r="E3859" s="1" t="s">
        <v>5268</v>
      </c>
      <c r="F3859" s="1" t="s">
        <v>775</v>
      </c>
      <c r="G3859" s="1" t="s">
        <v>932</v>
      </c>
      <c r="H3859" s="3">
        <v>46132</v>
      </c>
      <c r="I3859" s="1" t="s">
        <v>933</v>
      </c>
      <c r="J3859" s="1" t="s">
        <v>66</v>
      </c>
      <c r="K3859" s="1" t="s">
        <v>2963</v>
      </c>
      <c r="L3859" s="1" t="s">
        <v>5269</v>
      </c>
      <c r="M3859" s="3">
        <v>46113</v>
      </c>
      <c r="N3859" s="1" t="s">
        <v>580</v>
      </c>
      <c r="O3859" s="1" t="s">
        <v>936</v>
      </c>
      <c r="P3859" s="1">
        <v>1</v>
      </c>
    </row>
    <row r="3860" spans="1:16" x14ac:dyDescent="0.25">
      <c r="A3860" s="3">
        <v>46108</v>
      </c>
      <c r="B3860" s="4">
        <v>1308188</v>
      </c>
      <c r="C3860" s="5">
        <v>29391.46</v>
      </c>
      <c r="D3860" s="1" t="s">
        <v>2345</v>
      </c>
      <c r="E3860" s="1" t="s">
        <v>2346</v>
      </c>
      <c r="F3860" s="1" t="s">
        <v>609</v>
      </c>
      <c r="G3860" s="1" t="s">
        <v>940</v>
      </c>
      <c r="H3860" s="3">
        <v>46138</v>
      </c>
      <c r="I3860" s="1" t="s">
        <v>1100</v>
      </c>
      <c r="J3860" s="1" t="s">
        <v>66</v>
      </c>
      <c r="K3860" s="1" t="s">
        <v>340</v>
      </c>
      <c r="L3860" s="1" t="s">
        <v>5285</v>
      </c>
      <c r="M3860" s="3">
        <v>46113</v>
      </c>
      <c r="N3860" s="1" t="s">
        <v>57</v>
      </c>
      <c r="O3860" s="1" t="s">
        <v>936</v>
      </c>
      <c r="P3860" s="1">
        <v>1</v>
      </c>
    </row>
    <row r="3861" spans="1:16" x14ac:dyDescent="0.25">
      <c r="A3861" s="3">
        <v>46108</v>
      </c>
      <c r="B3861" s="1">
        <v>56</v>
      </c>
      <c r="C3861" s="5">
        <v>35000</v>
      </c>
      <c r="D3861" s="1" t="s">
        <v>5286</v>
      </c>
      <c r="E3861" s="1" t="s">
        <v>5287</v>
      </c>
      <c r="F3861" s="1" t="s">
        <v>66</v>
      </c>
      <c r="G3861" s="1" t="s">
        <v>932</v>
      </c>
      <c r="H3861" s="3">
        <v>46118</v>
      </c>
      <c r="I3861" s="1" t="s">
        <v>933</v>
      </c>
      <c r="J3861" s="1" t="s">
        <v>66</v>
      </c>
      <c r="K3861" s="1" t="s">
        <v>105</v>
      </c>
      <c r="L3861" s="1" t="s">
        <v>5288</v>
      </c>
      <c r="M3861" s="3">
        <v>46113</v>
      </c>
      <c r="N3861" s="1" t="s">
        <v>57</v>
      </c>
      <c r="O3861" s="1" t="s">
        <v>936</v>
      </c>
      <c r="P3861" s="1">
        <v>1</v>
      </c>
    </row>
    <row r="3862" spans="1:16" x14ac:dyDescent="0.25">
      <c r="A3862" s="3">
        <v>46109</v>
      </c>
      <c r="B3862" s="4">
        <v>7203</v>
      </c>
      <c r="C3862" s="5">
        <v>7398.65</v>
      </c>
      <c r="D3862" s="1" t="s">
        <v>2001</v>
      </c>
      <c r="E3862" s="1" t="s">
        <v>2002</v>
      </c>
      <c r="F3862" s="1" t="s">
        <v>66</v>
      </c>
      <c r="G3862" s="1" t="s">
        <v>940</v>
      </c>
      <c r="H3862" s="3">
        <v>46139</v>
      </c>
      <c r="I3862" s="1" t="s">
        <v>933</v>
      </c>
      <c r="J3862" s="1" t="s">
        <v>66</v>
      </c>
      <c r="K3862" s="1" t="s">
        <v>308</v>
      </c>
      <c r="L3862" s="1" t="s">
        <v>5115</v>
      </c>
      <c r="M3862" s="3">
        <v>46113</v>
      </c>
      <c r="N3862" s="1" t="s">
        <v>57</v>
      </c>
      <c r="O3862" s="1" t="s">
        <v>936</v>
      </c>
      <c r="P3862" s="1">
        <v>1</v>
      </c>
    </row>
    <row r="3863" spans="1:16" x14ac:dyDescent="0.25">
      <c r="A3863" s="3">
        <v>46109</v>
      </c>
      <c r="B3863" s="4">
        <v>7177</v>
      </c>
      <c r="C3863" s="5">
        <v>696.76</v>
      </c>
      <c r="D3863" s="1" t="s">
        <v>2001</v>
      </c>
      <c r="E3863" s="1" t="s">
        <v>2002</v>
      </c>
      <c r="F3863" s="1" t="s">
        <v>426</v>
      </c>
      <c r="G3863" s="1" t="s">
        <v>940</v>
      </c>
      <c r="H3863" s="3">
        <v>46139</v>
      </c>
      <c r="I3863" s="1" t="s">
        <v>933</v>
      </c>
      <c r="J3863" s="1" t="s">
        <v>66</v>
      </c>
      <c r="K3863" s="1" t="s">
        <v>308</v>
      </c>
      <c r="L3863" s="1" t="s">
        <v>5116</v>
      </c>
      <c r="M3863" s="3">
        <v>46113</v>
      </c>
      <c r="N3863" s="1" t="s">
        <v>57</v>
      </c>
      <c r="O3863" s="1" t="s">
        <v>936</v>
      </c>
      <c r="P3863" s="1">
        <v>1</v>
      </c>
    </row>
    <row r="3864" spans="1:16" x14ac:dyDescent="0.25">
      <c r="A3864" s="3">
        <v>46109</v>
      </c>
      <c r="B3864" s="4">
        <v>7200</v>
      </c>
      <c r="C3864" s="5">
        <v>3461.17</v>
      </c>
      <c r="D3864" s="1" t="s">
        <v>2001</v>
      </c>
      <c r="E3864" s="1" t="s">
        <v>2002</v>
      </c>
      <c r="F3864" s="1" t="s">
        <v>304</v>
      </c>
      <c r="G3864" s="1" t="s">
        <v>940</v>
      </c>
      <c r="H3864" s="3">
        <v>46139</v>
      </c>
      <c r="I3864" s="1" t="s">
        <v>933</v>
      </c>
      <c r="J3864" s="1" t="s">
        <v>66</v>
      </c>
      <c r="K3864" s="1" t="s">
        <v>934</v>
      </c>
      <c r="L3864" s="1" t="s">
        <v>5115</v>
      </c>
      <c r="M3864" s="3">
        <v>46113</v>
      </c>
      <c r="N3864" s="1" t="s">
        <v>57</v>
      </c>
      <c r="O3864" s="1" t="s">
        <v>936</v>
      </c>
      <c r="P3864" s="1">
        <v>1</v>
      </c>
    </row>
    <row r="3865" spans="1:16" x14ac:dyDescent="0.25">
      <c r="A3865" s="3">
        <v>46109</v>
      </c>
      <c r="B3865" s="4">
        <v>10827</v>
      </c>
      <c r="C3865" s="5">
        <v>8050.43</v>
      </c>
      <c r="D3865" s="1" t="s">
        <v>973</v>
      </c>
      <c r="E3865" s="1" t="s">
        <v>1068</v>
      </c>
      <c r="F3865" s="1" t="s">
        <v>1814</v>
      </c>
      <c r="G3865" s="1" t="s">
        <v>998</v>
      </c>
      <c r="H3865" s="3">
        <v>46124</v>
      </c>
      <c r="I3865" s="1" t="s">
        <v>933</v>
      </c>
      <c r="J3865" s="1" t="s">
        <v>66</v>
      </c>
      <c r="K3865" s="1" t="s">
        <v>1814</v>
      </c>
      <c r="L3865" s="1" t="s">
        <v>5219</v>
      </c>
      <c r="M3865" s="3">
        <v>46113</v>
      </c>
      <c r="N3865" s="1" t="s">
        <v>57</v>
      </c>
      <c r="O3865" s="1" t="s">
        <v>998</v>
      </c>
      <c r="P3865" s="1">
        <v>1</v>
      </c>
    </row>
    <row r="3866" spans="1:16" x14ac:dyDescent="0.25">
      <c r="A3866" s="3">
        <v>46109</v>
      </c>
      <c r="B3866" s="4">
        <v>1715</v>
      </c>
      <c r="C3866" s="5">
        <v>11268.46</v>
      </c>
      <c r="D3866" s="1" t="s">
        <v>1901</v>
      </c>
      <c r="E3866" s="1" t="s">
        <v>1902</v>
      </c>
      <c r="F3866" s="1" t="s">
        <v>659</v>
      </c>
      <c r="G3866" s="1" t="s">
        <v>20</v>
      </c>
      <c r="H3866" s="3">
        <v>46137</v>
      </c>
      <c r="I3866" s="1" t="s">
        <v>933</v>
      </c>
      <c r="J3866" s="1" t="s">
        <v>951</v>
      </c>
      <c r="K3866" s="1" t="s">
        <v>934</v>
      </c>
      <c r="L3866" s="1" t="s">
        <v>5279</v>
      </c>
      <c r="M3866" s="3">
        <v>46113</v>
      </c>
      <c r="N3866" s="1" t="s">
        <v>57</v>
      </c>
      <c r="O3866" s="1" t="s">
        <v>936</v>
      </c>
      <c r="P3866" s="1">
        <v>1</v>
      </c>
    </row>
    <row r="3867" spans="1:16" x14ac:dyDescent="0.25">
      <c r="A3867" s="3">
        <v>46111</v>
      </c>
      <c r="B3867" s="4">
        <v>8591</v>
      </c>
      <c r="C3867" s="5">
        <v>5120</v>
      </c>
      <c r="D3867" s="1" t="s">
        <v>2990</v>
      </c>
      <c r="E3867" s="1" t="s">
        <v>3808</v>
      </c>
      <c r="F3867" s="1" t="s">
        <v>588</v>
      </c>
      <c r="G3867" s="1" t="s">
        <v>940</v>
      </c>
      <c r="H3867" s="3">
        <v>46131</v>
      </c>
      <c r="I3867" s="1" t="s">
        <v>933</v>
      </c>
      <c r="J3867" s="1" t="s">
        <v>66</v>
      </c>
      <c r="K3867" s="1" t="s">
        <v>315</v>
      </c>
      <c r="L3867" s="1" t="s">
        <v>5114</v>
      </c>
      <c r="M3867" s="3">
        <v>46113</v>
      </c>
      <c r="N3867" s="1" t="s">
        <v>93</v>
      </c>
      <c r="O3867" s="1" t="s">
        <v>936</v>
      </c>
      <c r="P3867" s="1" t="s">
        <v>937</v>
      </c>
    </row>
    <row r="3868" spans="1:16" x14ac:dyDescent="0.25">
      <c r="A3868" s="3">
        <v>46111</v>
      </c>
      <c r="B3868" s="4">
        <v>1537</v>
      </c>
      <c r="C3868" s="5">
        <v>2240</v>
      </c>
      <c r="D3868" s="1" t="s">
        <v>3954</v>
      </c>
      <c r="E3868" s="1" t="s">
        <v>3955</v>
      </c>
      <c r="F3868" s="1" t="s">
        <v>66</v>
      </c>
      <c r="G3868" s="1" t="s">
        <v>940</v>
      </c>
      <c r="H3868" s="3">
        <v>46142</v>
      </c>
      <c r="I3868" s="1" t="s">
        <v>933</v>
      </c>
      <c r="J3868" s="1" t="s">
        <v>66</v>
      </c>
      <c r="K3868" s="1" t="s">
        <v>340</v>
      </c>
      <c r="L3868" s="1" t="s">
        <v>5195</v>
      </c>
      <c r="M3868" s="3">
        <v>46113</v>
      </c>
      <c r="N3868" s="1" t="s">
        <v>57</v>
      </c>
      <c r="O3868" s="1" t="s">
        <v>936</v>
      </c>
      <c r="P3868" s="1" t="s">
        <v>937</v>
      </c>
    </row>
    <row r="3869" spans="1:16" x14ac:dyDescent="0.25">
      <c r="A3869" s="3">
        <v>46111</v>
      </c>
      <c r="B3869" s="4">
        <v>1234</v>
      </c>
      <c r="C3869" s="5">
        <v>20523</v>
      </c>
      <c r="D3869" s="1" t="s">
        <v>1074</v>
      </c>
      <c r="E3869" s="1" t="s">
        <v>1075</v>
      </c>
      <c r="F3869" s="1" t="s">
        <v>66</v>
      </c>
      <c r="G3869" s="1" t="s">
        <v>981</v>
      </c>
      <c r="H3869" s="3">
        <v>46136</v>
      </c>
      <c r="I3869" s="1" t="s">
        <v>933</v>
      </c>
      <c r="J3869" s="1" t="s">
        <v>66</v>
      </c>
      <c r="K3869" s="1" t="s">
        <v>66</v>
      </c>
      <c r="L3869" s="1" t="s">
        <v>5204</v>
      </c>
      <c r="M3869" s="3">
        <v>46113</v>
      </c>
      <c r="N3869" s="1" t="s">
        <v>57</v>
      </c>
      <c r="O3869" s="1" t="s">
        <v>936</v>
      </c>
      <c r="P3869" s="1">
        <v>1</v>
      </c>
    </row>
    <row r="3870" spans="1:16" x14ac:dyDescent="0.25">
      <c r="A3870" s="3">
        <v>46111</v>
      </c>
      <c r="B3870" s="4">
        <v>1067</v>
      </c>
      <c r="C3870" s="5">
        <v>40700</v>
      </c>
      <c r="D3870" s="1" t="s">
        <v>1080</v>
      </c>
      <c r="E3870" s="1" t="s">
        <v>3046</v>
      </c>
      <c r="F3870" s="1" t="s">
        <v>66</v>
      </c>
      <c r="G3870" s="1" t="s">
        <v>940</v>
      </c>
      <c r="H3870" s="3">
        <v>46127</v>
      </c>
      <c r="I3870" s="1" t="s">
        <v>933</v>
      </c>
      <c r="J3870" s="1" t="s">
        <v>66</v>
      </c>
      <c r="K3870" s="1" t="s">
        <v>308</v>
      </c>
      <c r="L3870" s="1" t="s">
        <v>5207</v>
      </c>
      <c r="M3870" s="3">
        <v>46113</v>
      </c>
      <c r="N3870" s="1" t="s">
        <v>57</v>
      </c>
      <c r="O3870" s="1" t="s">
        <v>936</v>
      </c>
      <c r="P3870" s="1">
        <v>1</v>
      </c>
    </row>
    <row r="3871" spans="1:16" x14ac:dyDescent="0.25">
      <c r="A3871" s="3">
        <v>46111</v>
      </c>
      <c r="B3871" s="1">
        <v>201</v>
      </c>
      <c r="C3871" s="5">
        <v>225</v>
      </c>
      <c r="D3871" s="1" t="s">
        <v>1370</v>
      </c>
      <c r="E3871" s="1" t="s">
        <v>1371</v>
      </c>
      <c r="F3871" s="1" t="s">
        <v>66</v>
      </c>
      <c r="G3871" s="1" t="s">
        <v>940</v>
      </c>
      <c r="H3871" s="3">
        <v>46133</v>
      </c>
      <c r="I3871" s="1" t="s">
        <v>933</v>
      </c>
      <c r="J3871" s="1" t="s">
        <v>66</v>
      </c>
      <c r="K3871" s="1" t="s">
        <v>308</v>
      </c>
      <c r="L3871" s="1" t="s">
        <v>5229</v>
      </c>
      <c r="M3871" s="3">
        <v>46113</v>
      </c>
      <c r="N3871" s="1" t="s">
        <v>57</v>
      </c>
      <c r="O3871" s="1" t="s">
        <v>936</v>
      </c>
      <c r="P3871" s="1">
        <v>1</v>
      </c>
    </row>
    <row r="3872" spans="1:16" x14ac:dyDescent="0.25">
      <c r="A3872" s="3">
        <v>46111</v>
      </c>
      <c r="B3872" s="4">
        <v>19245</v>
      </c>
      <c r="C3872" s="5">
        <v>4436.71</v>
      </c>
      <c r="D3872" s="1" t="s">
        <v>5245</v>
      </c>
      <c r="E3872" s="1" t="s">
        <v>5246</v>
      </c>
      <c r="F3872" s="1" t="s">
        <v>553</v>
      </c>
      <c r="G3872" s="1" t="s">
        <v>1667</v>
      </c>
      <c r="H3872" s="3">
        <v>46139</v>
      </c>
      <c r="I3872" s="1" t="s">
        <v>1100</v>
      </c>
      <c r="J3872" s="1" t="s">
        <v>66</v>
      </c>
      <c r="K3872" s="1" t="s">
        <v>340</v>
      </c>
      <c r="L3872" s="1" t="s">
        <v>5247</v>
      </c>
      <c r="M3872" s="3">
        <v>46113</v>
      </c>
      <c r="N3872" s="1" t="s">
        <v>57</v>
      </c>
      <c r="O3872" s="1" t="s">
        <v>936</v>
      </c>
      <c r="P3872" s="1" t="s">
        <v>937</v>
      </c>
    </row>
    <row r="3873" spans="1:16" x14ac:dyDescent="0.25">
      <c r="A3873" s="3">
        <v>46111</v>
      </c>
      <c r="B3873" s="4">
        <v>10860</v>
      </c>
      <c r="C3873" s="5">
        <v>62760.57</v>
      </c>
      <c r="D3873" s="1" t="s">
        <v>973</v>
      </c>
      <c r="E3873" s="1" t="s">
        <v>1068</v>
      </c>
      <c r="F3873" s="1" t="s">
        <v>1814</v>
      </c>
      <c r="G3873" s="1" t="s">
        <v>998</v>
      </c>
      <c r="H3873" s="3">
        <v>46126</v>
      </c>
      <c r="I3873" s="1" t="s">
        <v>933</v>
      </c>
      <c r="J3873" s="1" t="s">
        <v>66</v>
      </c>
      <c r="K3873" s="1" t="s">
        <v>1814</v>
      </c>
      <c r="L3873" s="1" t="s">
        <v>5219</v>
      </c>
      <c r="M3873" s="3">
        <v>46113</v>
      </c>
      <c r="N3873" s="1" t="s">
        <v>57</v>
      </c>
      <c r="O3873" s="1" t="s">
        <v>998</v>
      </c>
      <c r="P3873" s="1">
        <v>1</v>
      </c>
    </row>
    <row r="3874" spans="1:16" x14ac:dyDescent="0.25">
      <c r="A3874" s="3">
        <v>46111</v>
      </c>
      <c r="B3874" s="4">
        <v>10848</v>
      </c>
      <c r="C3874" s="5">
        <v>56720</v>
      </c>
      <c r="D3874" s="1" t="s">
        <v>973</v>
      </c>
      <c r="E3874" s="1" t="s">
        <v>1068</v>
      </c>
      <c r="F3874" s="1" t="s">
        <v>250</v>
      </c>
      <c r="G3874" s="1" t="s">
        <v>998</v>
      </c>
      <c r="H3874" s="3">
        <v>46118</v>
      </c>
      <c r="I3874" s="1" t="s">
        <v>933</v>
      </c>
      <c r="J3874" s="1" t="s">
        <v>66</v>
      </c>
      <c r="K3874" s="1" t="s">
        <v>1814</v>
      </c>
      <c r="L3874" s="1" t="s">
        <v>5250</v>
      </c>
      <c r="M3874" s="3">
        <v>46113</v>
      </c>
      <c r="N3874" s="1" t="s">
        <v>57</v>
      </c>
      <c r="O3874" s="1" t="s">
        <v>998</v>
      </c>
      <c r="P3874" s="1">
        <v>1</v>
      </c>
    </row>
    <row r="3875" spans="1:16" x14ac:dyDescent="0.25">
      <c r="A3875" s="3">
        <v>46111</v>
      </c>
      <c r="B3875" s="4">
        <v>5759</v>
      </c>
      <c r="C3875" s="5">
        <v>3800</v>
      </c>
      <c r="D3875" s="1" t="s">
        <v>1027</v>
      </c>
      <c r="E3875" s="1" t="s">
        <v>1028</v>
      </c>
      <c r="F3875" s="1" t="s">
        <v>66</v>
      </c>
      <c r="G3875" s="1" t="s">
        <v>1029</v>
      </c>
      <c r="H3875" s="3">
        <v>46132</v>
      </c>
      <c r="I3875" s="1" t="s">
        <v>933</v>
      </c>
      <c r="J3875" s="1" t="s">
        <v>66</v>
      </c>
      <c r="K3875" s="1" t="s">
        <v>315</v>
      </c>
      <c r="L3875" s="1" t="s">
        <v>5256</v>
      </c>
      <c r="M3875" s="3">
        <v>46113</v>
      </c>
      <c r="N3875" s="1" t="s">
        <v>57</v>
      </c>
      <c r="O3875" s="1" t="s">
        <v>1031</v>
      </c>
      <c r="P3875" s="1">
        <v>1</v>
      </c>
    </row>
    <row r="3876" spans="1:16" x14ac:dyDescent="0.25">
      <c r="A3876" s="3">
        <v>46111</v>
      </c>
      <c r="B3876" s="4">
        <v>5758</v>
      </c>
      <c r="C3876" s="5">
        <v>16500</v>
      </c>
      <c r="D3876" s="1" t="s">
        <v>1027</v>
      </c>
      <c r="E3876" s="1" t="s">
        <v>1028</v>
      </c>
      <c r="F3876" s="1" t="s">
        <v>66</v>
      </c>
      <c r="G3876" s="1" t="s">
        <v>1029</v>
      </c>
      <c r="H3876" s="3">
        <v>46129</v>
      </c>
      <c r="I3876" s="1" t="s">
        <v>933</v>
      </c>
      <c r="J3876" s="1" t="s">
        <v>66</v>
      </c>
      <c r="K3876" s="1" t="s">
        <v>340</v>
      </c>
      <c r="L3876" s="1" t="s">
        <v>5257</v>
      </c>
      <c r="M3876" s="3">
        <v>46113</v>
      </c>
      <c r="N3876" s="1" t="s">
        <v>57</v>
      </c>
      <c r="O3876" s="1" t="s">
        <v>1031</v>
      </c>
      <c r="P3876" s="1">
        <v>1</v>
      </c>
    </row>
    <row r="3877" spans="1:16" x14ac:dyDescent="0.25">
      <c r="A3877" s="3">
        <v>46111</v>
      </c>
      <c r="B3877" s="4">
        <v>130940</v>
      </c>
      <c r="C3877" s="5">
        <v>4800</v>
      </c>
      <c r="D3877" s="1" t="s">
        <v>1964</v>
      </c>
      <c r="E3877" s="1" t="s">
        <v>1965</v>
      </c>
      <c r="F3877" s="1" t="s">
        <v>862</v>
      </c>
      <c r="G3877" s="1" t="s">
        <v>932</v>
      </c>
      <c r="H3877" s="3">
        <v>46136</v>
      </c>
      <c r="I3877" s="1" t="s">
        <v>933</v>
      </c>
      <c r="J3877" s="1" t="s">
        <v>66</v>
      </c>
      <c r="K3877" s="1" t="s">
        <v>340</v>
      </c>
      <c r="L3877" s="1" t="s">
        <v>5258</v>
      </c>
      <c r="M3877" s="3">
        <v>46113</v>
      </c>
      <c r="N3877" s="1" t="s">
        <v>338</v>
      </c>
      <c r="O3877" s="1" t="s">
        <v>932</v>
      </c>
      <c r="P3877" s="1">
        <v>1</v>
      </c>
    </row>
    <row r="3878" spans="1:16" x14ac:dyDescent="0.25">
      <c r="A3878" s="3">
        <v>46111</v>
      </c>
      <c r="B3878" s="4">
        <v>130939</v>
      </c>
      <c r="C3878" s="5">
        <v>7100</v>
      </c>
      <c r="D3878" s="1" t="s">
        <v>1964</v>
      </c>
      <c r="E3878" s="1" t="s">
        <v>1965</v>
      </c>
      <c r="F3878" s="1" t="s">
        <v>445</v>
      </c>
      <c r="G3878" s="1" t="s">
        <v>932</v>
      </c>
      <c r="H3878" s="3">
        <v>46136</v>
      </c>
      <c r="I3878" s="1" t="s">
        <v>933</v>
      </c>
      <c r="J3878" s="1" t="s">
        <v>66</v>
      </c>
      <c r="K3878" s="1" t="s">
        <v>308</v>
      </c>
      <c r="L3878" s="1" t="s">
        <v>5259</v>
      </c>
      <c r="M3878" s="3">
        <v>46113</v>
      </c>
      <c r="N3878" s="1" t="s">
        <v>338</v>
      </c>
      <c r="O3878" s="1" t="s">
        <v>932</v>
      </c>
      <c r="P3878" s="1">
        <v>1</v>
      </c>
    </row>
    <row r="3879" spans="1:16" x14ac:dyDescent="0.25">
      <c r="A3879" s="3">
        <v>46111</v>
      </c>
      <c r="B3879" s="4">
        <v>5339</v>
      </c>
      <c r="C3879" s="5">
        <v>379.1</v>
      </c>
      <c r="D3879" s="1" t="s">
        <v>938</v>
      </c>
      <c r="E3879" s="1" t="s">
        <v>939</v>
      </c>
      <c r="F3879" s="1" t="s">
        <v>949</v>
      </c>
      <c r="G3879" s="1" t="s">
        <v>940</v>
      </c>
      <c r="H3879" s="3">
        <v>46142</v>
      </c>
      <c r="I3879" s="1" t="s">
        <v>933</v>
      </c>
      <c r="J3879" s="1" t="s">
        <v>951</v>
      </c>
      <c r="K3879" s="1" t="s">
        <v>340</v>
      </c>
      <c r="L3879" s="1" t="s">
        <v>5262</v>
      </c>
      <c r="M3879" s="3">
        <v>46113</v>
      </c>
      <c r="N3879" s="1" t="s">
        <v>57</v>
      </c>
      <c r="O3879" s="1" t="s">
        <v>936</v>
      </c>
      <c r="P3879" s="1">
        <v>1</v>
      </c>
    </row>
    <row r="3880" spans="1:16" x14ac:dyDescent="0.25">
      <c r="A3880" s="3">
        <v>46111</v>
      </c>
      <c r="B3880" s="1">
        <v>20</v>
      </c>
      <c r="C3880" s="5">
        <v>6000</v>
      </c>
      <c r="D3880" s="1" t="s">
        <v>4106</v>
      </c>
      <c r="E3880" s="1" t="s">
        <v>4107</v>
      </c>
      <c r="F3880" s="1" t="s">
        <v>66</v>
      </c>
      <c r="G3880" s="1" t="s">
        <v>1029</v>
      </c>
      <c r="H3880" s="3">
        <v>46119</v>
      </c>
      <c r="I3880" s="1" t="s">
        <v>933</v>
      </c>
      <c r="J3880" s="1" t="s">
        <v>66</v>
      </c>
      <c r="K3880" s="1" t="s">
        <v>340</v>
      </c>
      <c r="L3880" s="1" t="s">
        <v>5263</v>
      </c>
      <c r="M3880" s="3">
        <v>46113</v>
      </c>
      <c r="N3880" s="1" t="s">
        <v>57</v>
      </c>
      <c r="O3880" s="1" t="s">
        <v>936</v>
      </c>
      <c r="P3880" s="1">
        <v>1</v>
      </c>
    </row>
    <row r="3881" spans="1:16" x14ac:dyDescent="0.25">
      <c r="A3881" s="3">
        <v>46111</v>
      </c>
      <c r="B3881" s="4">
        <v>97152</v>
      </c>
      <c r="C3881" s="5">
        <v>23040</v>
      </c>
      <c r="D3881" s="1" t="s">
        <v>1094</v>
      </c>
      <c r="E3881" s="1" t="s">
        <v>1095</v>
      </c>
      <c r="F3881" s="1" t="s">
        <v>304</v>
      </c>
      <c r="G3881" s="1" t="s">
        <v>998</v>
      </c>
      <c r="H3881" s="3">
        <v>46132</v>
      </c>
      <c r="I3881" s="1" t="s">
        <v>933</v>
      </c>
      <c r="J3881" s="1" t="s">
        <v>66</v>
      </c>
      <c r="K3881" s="1" t="s">
        <v>308</v>
      </c>
      <c r="L3881" s="1" t="s">
        <v>5266</v>
      </c>
      <c r="M3881" s="3">
        <v>46113</v>
      </c>
      <c r="N3881" s="1" t="s">
        <v>57</v>
      </c>
      <c r="O3881" s="1" t="s">
        <v>998</v>
      </c>
      <c r="P3881" s="1">
        <v>1</v>
      </c>
    </row>
    <row r="3882" spans="1:16" x14ac:dyDescent="0.25">
      <c r="A3882" s="3">
        <v>46111</v>
      </c>
      <c r="B3882" s="4">
        <v>19663</v>
      </c>
      <c r="C3882" s="5">
        <v>787.51</v>
      </c>
      <c r="D3882" s="1" t="s">
        <v>3950</v>
      </c>
      <c r="E3882" s="1" t="s">
        <v>3951</v>
      </c>
      <c r="F3882" s="1" t="s">
        <v>784</v>
      </c>
      <c r="G3882" s="1" t="s">
        <v>940</v>
      </c>
      <c r="H3882" s="3">
        <v>46142</v>
      </c>
      <c r="I3882" s="1" t="s">
        <v>933</v>
      </c>
      <c r="J3882" s="1" t="s">
        <v>66</v>
      </c>
      <c r="K3882" s="1" t="s">
        <v>308</v>
      </c>
      <c r="L3882" s="1" t="s">
        <v>5277</v>
      </c>
      <c r="M3882" s="3">
        <v>46113</v>
      </c>
      <c r="N3882" s="1" t="s">
        <v>237</v>
      </c>
      <c r="O3882" s="1" t="s">
        <v>936</v>
      </c>
      <c r="P3882" s="1">
        <v>1</v>
      </c>
    </row>
    <row r="3883" spans="1:16" x14ac:dyDescent="0.25">
      <c r="A3883" s="3">
        <v>46111</v>
      </c>
      <c r="B3883" s="4">
        <v>1233</v>
      </c>
      <c r="C3883" s="5">
        <v>280</v>
      </c>
      <c r="D3883" s="1" t="s">
        <v>1074</v>
      </c>
      <c r="E3883" s="1" t="s">
        <v>1075</v>
      </c>
      <c r="F3883" s="1" t="s">
        <v>121</v>
      </c>
      <c r="G3883" s="1" t="s">
        <v>1058</v>
      </c>
      <c r="H3883" s="3">
        <v>46136</v>
      </c>
      <c r="I3883" s="1" t="s">
        <v>933</v>
      </c>
      <c r="J3883" s="1" t="s">
        <v>66</v>
      </c>
      <c r="K3883" s="1" t="s">
        <v>640</v>
      </c>
      <c r="L3883" s="1" t="s">
        <v>3378</v>
      </c>
      <c r="M3883" s="3">
        <v>46113</v>
      </c>
      <c r="N3883" s="1" t="s">
        <v>57</v>
      </c>
      <c r="O3883" s="1" t="s">
        <v>936</v>
      </c>
      <c r="P3883" s="1">
        <v>2</v>
      </c>
    </row>
    <row r="3884" spans="1:16" x14ac:dyDescent="0.25">
      <c r="A3884" s="3">
        <v>46112</v>
      </c>
      <c r="B3884" s="4">
        <v>7390</v>
      </c>
      <c r="C3884" s="5">
        <v>990</v>
      </c>
      <c r="D3884" s="1" t="s">
        <v>2001</v>
      </c>
      <c r="E3884" s="1" t="s">
        <v>2002</v>
      </c>
      <c r="F3884" s="1" t="s">
        <v>66</v>
      </c>
      <c r="G3884" s="1" t="s">
        <v>940</v>
      </c>
      <c r="H3884" s="3">
        <v>46142</v>
      </c>
      <c r="I3884" s="1" t="s">
        <v>933</v>
      </c>
      <c r="J3884" s="1" t="s">
        <v>66</v>
      </c>
      <c r="K3884" s="1" t="s">
        <v>308</v>
      </c>
      <c r="L3884" s="1" t="s">
        <v>5190</v>
      </c>
      <c r="M3884" s="3">
        <v>46113</v>
      </c>
      <c r="N3884" s="1" t="s">
        <v>57</v>
      </c>
      <c r="O3884" s="1" t="s">
        <v>936</v>
      </c>
      <c r="P3884" s="1">
        <v>1</v>
      </c>
    </row>
    <row r="3885" spans="1:16" x14ac:dyDescent="0.25">
      <c r="A3885" s="3">
        <v>46112</v>
      </c>
      <c r="B3885" s="4">
        <v>73485</v>
      </c>
      <c r="C3885" s="5">
        <v>3266.92</v>
      </c>
      <c r="D3885" s="1" t="s">
        <v>1253</v>
      </c>
      <c r="E3885" s="1" t="s">
        <v>1487</v>
      </c>
      <c r="F3885" s="1" t="s">
        <v>1131</v>
      </c>
      <c r="G3885" s="1" t="s">
        <v>1254</v>
      </c>
      <c r="H3885" s="3">
        <v>46142</v>
      </c>
      <c r="I3885" s="1" t="s">
        <v>933</v>
      </c>
      <c r="J3885" s="1" t="s">
        <v>1131</v>
      </c>
      <c r="K3885" s="1" t="s">
        <v>66</v>
      </c>
      <c r="L3885" s="1" t="s">
        <v>5226</v>
      </c>
      <c r="M3885" s="3">
        <v>46113</v>
      </c>
      <c r="N3885" s="1" t="s">
        <v>57</v>
      </c>
      <c r="O3885" s="1" t="s">
        <v>936</v>
      </c>
      <c r="P3885" s="1">
        <v>1</v>
      </c>
    </row>
    <row r="3886" spans="1:16" x14ac:dyDescent="0.25">
      <c r="A3886" s="3">
        <v>46112</v>
      </c>
      <c r="B3886" s="4">
        <v>73486</v>
      </c>
      <c r="C3886" s="5">
        <v>1646.74</v>
      </c>
      <c r="D3886" s="1" t="s">
        <v>1253</v>
      </c>
      <c r="E3886" s="1" t="s">
        <v>1487</v>
      </c>
      <c r="F3886" s="1" t="s">
        <v>1131</v>
      </c>
      <c r="G3886" s="1" t="s">
        <v>1254</v>
      </c>
      <c r="H3886" s="3">
        <v>46142</v>
      </c>
      <c r="I3886" s="1" t="s">
        <v>933</v>
      </c>
      <c r="J3886" s="1" t="s">
        <v>1131</v>
      </c>
      <c r="K3886" s="1" t="s">
        <v>66</v>
      </c>
      <c r="L3886" s="1" t="s">
        <v>5228</v>
      </c>
      <c r="M3886" s="3">
        <v>46113</v>
      </c>
      <c r="N3886" s="1" t="s">
        <v>57</v>
      </c>
      <c r="O3886" s="1" t="s">
        <v>936</v>
      </c>
      <c r="P3886" s="1">
        <v>1</v>
      </c>
    </row>
    <row r="3887" spans="1:16" x14ac:dyDescent="0.25">
      <c r="A3887" s="3">
        <v>46112</v>
      </c>
      <c r="B3887" s="1">
        <v>206</v>
      </c>
      <c r="C3887" s="5">
        <v>1688</v>
      </c>
      <c r="D3887" s="1" t="s">
        <v>1370</v>
      </c>
      <c r="E3887" s="1" t="s">
        <v>1371</v>
      </c>
      <c r="F3887" s="1" t="s">
        <v>426</v>
      </c>
      <c r="G3887" s="1" t="s">
        <v>940</v>
      </c>
      <c r="H3887" s="3">
        <v>46133</v>
      </c>
      <c r="I3887" s="1" t="s">
        <v>933</v>
      </c>
      <c r="J3887" s="1" t="s">
        <v>66</v>
      </c>
      <c r="K3887" s="1" t="s">
        <v>340</v>
      </c>
      <c r="L3887" s="1" t="s">
        <v>5230</v>
      </c>
      <c r="M3887" s="3">
        <v>46113</v>
      </c>
      <c r="N3887" s="1" t="s">
        <v>429</v>
      </c>
      <c r="O3887" s="1" t="s">
        <v>936</v>
      </c>
      <c r="P3887" s="1">
        <v>1</v>
      </c>
    </row>
    <row r="3888" spans="1:16" x14ac:dyDescent="0.25">
      <c r="A3888" s="3">
        <v>46112</v>
      </c>
      <c r="B3888" s="4">
        <v>5343</v>
      </c>
      <c r="C3888" s="5">
        <v>589.37</v>
      </c>
      <c r="D3888" s="1" t="s">
        <v>938</v>
      </c>
      <c r="E3888" s="1" t="s">
        <v>939</v>
      </c>
      <c r="F3888" s="1" t="s">
        <v>5264</v>
      </c>
      <c r="G3888" s="1" t="s">
        <v>940</v>
      </c>
      <c r="H3888" s="3">
        <v>46142</v>
      </c>
      <c r="I3888" s="1" t="s">
        <v>933</v>
      </c>
      <c r="J3888" s="1" t="s">
        <v>937</v>
      </c>
      <c r="K3888" s="1" t="s">
        <v>308</v>
      </c>
      <c r="L3888" s="1" t="s">
        <v>5265</v>
      </c>
      <c r="M3888" s="3">
        <v>46113</v>
      </c>
      <c r="N3888" s="1" t="s">
        <v>57</v>
      </c>
      <c r="O3888" s="1" t="s">
        <v>936</v>
      </c>
      <c r="P3888" s="1">
        <v>1</v>
      </c>
    </row>
    <row r="3889" spans="1:16" x14ac:dyDescent="0.25">
      <c r="A3889" s="3">
        <v>46112</v>
      </c>
      <c r="B3889" s="4">
        <v>47161</v>
      </c>
      <c r="C3889" s="5">
        <v>13808</v>
      </c>
      <c r="D3889" s="1" t="s">
        <v>4682</v>
      </c>
      <c r="E3889" s="1" t="s">
        <v>4683</v>
      </c>
      <c r="F3889" s="1" t="s">
        <v>1131</v>
      </c>
      <c r="G3889" s="1" t="s">
        <v>2351</v>
      </c>
      <c r="H3889" s="3">
        <v>46142</v>
      </c>
      <c r="I3889" s="1" t="s">
        <v>933</v>
      </c>
      <c r="J3889" s="1" t="s">
        <v>1131</v>
      </c>
      <c r="K3889" s="1" t="s">
        <v>308</v>
      </c>
      <c r="L3889" s="1" t="s">
        <v>5280</v>
      </c>
      <c r="M3889" s="3">
        <v>46113</v>
      </c>
      <c r="N3889" s="1" t="s">
        <v>57</v>
      </c>
      <c r="O3889" s="1" t="s">
        <v>936</v>
      </c>
      <c r="P3889" s="1">
        <v>1</v>
      </c>
    </row>
    <row r="3890" spans="1:16" x14ac:dyDescent="0.25">
      <c r="A3890" s="3">
        <v>46112</v>
      </c>
      <c r="B3890" s="1">
        <v>233</v>
      </c>
      <c r="C3890" s="5">
        <v>2078.5300000000002</v>
      </c>
      <c r="D3890" s="1" t="s">
        <v>3409</v>
      </c>
      <c r="E3890" s="1" t="s">
        <v>772</v>
      </c>
      <c r="F3890" s="1" t="s">
        <v>727</v>
      </c>
      <c r="G3890" s="1" t="s">
        <v>1667</v>
      </c>
      <c r="H3890" s="3">
        <v>46142</v>
      </c>
      <c r="I3890" s="1" t="s">
        <v>1100</v>
      </c>
      <c r="J3890" s="1" t="s">
        <v>66</v>
      </c>
      <c r="K3890" s="1" t="s">
        <v>308</v>
      </c>
      <c r="L3890" s="1" t="s">
        <v>4851</v>
      </c>
      <c r="M3890" s="3">
        <v>46113</v>
      </c>
      <c r="N3890" s="1" t="s">
        <v>57</v>
      </c>
      <c r="O3890" s="1" t="s">
        <v>936</v>
      </c>
      <c r="P3890" s="1">
        <v>1</v>
      </c>
    </row>
    <row r="3891" spans="1:16" x14ac:dyDescent="0.25">
      <c r="A3891" s="3">
        <v>46112</v>
      </c>
      <c r="B3891" s="1">
        <v>45</v>
      </c>
      <c r="C3891" s="5">
        <v>3966</v>
      </c>
      <c r="D3891" s="1" t="s">
        <v>3409</v>
      </c>
      <c r="E3891" s="1" t="s">
        <v>772</v>
      </c>
      <c r="F3891" s="1" t="s">
        <v>727</v>
      </c>
      <c r="G3891" s="1" t="s">
        <v>1667</v>
      </c>
      <c r="H3891" s="3">
        <v>46142</v>
      </c>
      <c r="I3891" s="1" t="s">
        <v>1100</v>
      </c>
      <c r="J3891" s="1" t="s">
        <v>66</v>
      </c>
      <c r="K3891" s="1" t="s">
        <v>308</v>
      </c>
      <c r="L3891" s="1" t="s">
        <v>5012</v>
      </c>
      <c r="M3891" s="3">
        <v>46113</v>
      </c>
      <c r="N3891" s="1" t="s">
        <v>57</v>
      </c>
      <c r="O3891" s="1" t="s">
        <v>936</v>
      </c>
      <c r="P3891" s="1">
        <v>1</v>
      </c>
    </row>
    <row r="3892" spans="1:16" x14ac:dyDescent="0.25">
      <c r="A3892" s="3">
        <v>46112</v>
      </c>
      <c r="B3892" s="4">
        <v>97177</v>
      </c>
      <c r="C3892" s="5">
        <v>158</v>
      </c>
      <c r="D3892" s="1" t="s">
        <v>1094</v>
      </c>
      <c r="E3892" s="1" t="s">
        <v>1095</v>
      </c>
      <c r="F3892" s="1" t="s">
        <v>66</v>
      </c>
      <c r="G3892" s="1" t="s">
        <v>1010</v>
      </c>
      <c r="H3892" s="3">
        <v>46134</v>
      </c>
      <c r="I3892" s="1" t="s">
        <v>933</v>
      </c>
      <c r="J3892" s="1" t="s">
        <v>66</v>
      </c>
      <c r="K3892" s="1" t="s">
        <v>308</v>
      </c>
      <c r="L3892" s="1" t="s">
        <v>5284</v>
      </c>
      <c r="M3892" s="3">
        <v>46113</v>
      </c>
      <c r="N3892" s="1" t="s">
        <v>57</v>
      </c>
      <c r="O3892" s="1" t="s">
        <v>998</v>
      </c>
      <c r="P3892" s="1">
        <v>1</v>
      </c>
    </row>
    <row r="3893" spans="1:16" x14ac:dyDescent="0.25">
      <c r="A3893" s="3">
        <v>46113</v>
      </c>
      <c r="B3893" s="1">
        <v>13</v>
      </c>
      <c r="C3893" s="5">
        <v>300</v>
      </c>
      <c r="D3893" s="1" t="s">
        <v>4876</v>
      </c>
      <c r="E3893" s="1" t="s">
        <v>4877</v>
      </c>
      <c r="F3893" s="1" t="s">
        <v>283</v>
      </c>
      <c r="G3893" s="1" t="s">
        <v>981</v>
      </c>
      <c r="H3893" s="3">
        <v>46126</v>
      </c>
      <c r="I3893" s="1" t="s">
        <v>933</v>
      </c>
      <c r="J3893" s="1" t="s">
        <v>66</v>
      </c>
      <c r="K3893" s="1" t="s">
        <v>308</v>
      </c>
      <c r="L3893" s="1" t="s">
        <v>4878</v>
      </c>
      <c r="M3893" s="3">
        <v>46118</v>
      </c>
      <c r="N3893" s="1" t="s">
        <v>57</v>
      </c>
      <c r="O3893" s="1" t="s">
        <v>936</v>
      </c>
      <c r="P3893" s="1" t="s">
        <v>937</v>
      </c>
    </row>
    <row r="3894" spans="1:16" x14ac:dyDescent="0.25">
      <c r="A3894" s="3">
        <v>46113</v>
      </c>
      <c r="B3894" s="4">
        <v>17368</v>
      </c>
      <c r="C3894" s="5">
        <v>3019.99</v>
      </c>
      <c r="D3894" s="1" t="s">
        <v>3933</v>
      </c>
      <c r="E3894" s="1" t="s">
        <v>3934</v>
      </c>
      <c r="F3894" s="1" t="s">
        <v>286</v>
      </c>
      <c r="G3894" s="1" t="s">
        <v>940</v>
      </c>
      <c r="H3894" s="3">
        <v>46143</v>
      </c>
      <c r="I3894" s="1" t="s">
        <v>933</v>
      </c>
      <c r="J3894" s="1" t="s">
        <v>66</v>
      </c>
      <c r="K3894" s="1" t="s">
        <v>340</v>
      </c>
      <c r="L3894" s="1" t="s">
        <v>5027</v>
      </c>
      <c r="M3894" s="3">
        <v>46114</v>
      </c>
      <c r="N3894" s="1" t="s">
        <v>264</v>
      </c>
      <c r="O3894" s="1" t="s">
        <v>936</v>
      </c>
      <c r="P3894" s="1">
        <v>1</v>
      </c>
    </row>
    <row r="3895" spans="1:16" x14ac:dyDescent="0.25">
      <c r="A3895" s="3">
        <v>46113</v>
      </c>
      <c r="B3895" s="4">
        <v>2105</v>
      </c>
      <c r="C3895" s="5">
        <v>3180</v>
      </c>
      <c r="D3895" s="1" t="s">
        <v>4045</v>
      </c>
      <c r="E3895" s="1" t="s">
        <v>4046</v>
      </c>
      <c r="F3895" s="1" t="s">
        <v>286</v>
      </c>
      <c r="G3895" s="1" t="s">
        <v>940</v>
      </c>
      <c r="H3895" s="3">
        <v>46143</v>
      </c>
      <c r="I3895" s="1" t="s">
        <v>933</v>
      </c>
      <c r="J3895" s="1" t="s">
        <v>66</v>
      </c>
      <c r="K3895" s="1" t="s">
        <v>340</v>
      </c>
      <c r="L3895" s="1" t="s">
        <v>5029</v>
      </c>
      <c r="M3895" s="3">
        <v>46114</v>
      </c>
      <c r="N3895" s="1" t="s">
        <v>264</v>
      </c>
      <c r="O3895" s="1" t="s">
        <v>936</v>
      </c>
      <c r="P3895" s="1">
        <v>1</v>
      </c>
    </row>
    <row r="3896" spans="1:16" x14ac:dyDescent="0.25">
      <c r="A3896" s="3">
        <v>46113</v>
      </c>
      <c r="B3896" s="4">
        <v>10881</v>
      </c>
      <c r="C3896" s="5">
        <v>62503.9</v>
      </c>
      <c r="D3896" s="1" t="s">
        <v>973</v>
      </c>
      <c r="E3896" s="1" t="s">
        <v>1068</v>
      </c>
      <c r="F3896" s="1" t="s">
        <v>66</v>
      </c>
      <c r="G3896" s="1" t="s">
        <v>1814</v>
      </c>
      <c r="H3896" s="3">
        <v>46128</v>
      </c>
      <c r="I3896" s="1" t="s">
        <v>933</v>
      </c>
      <c r="J3896" s="1" t="s">
        <v>66</v>
      </c>
      <c r="K3896" s="1" t="s">
        <v>308</v>
      </c>
      <c r="L3896" s="1" t="s">
        <v>5290</v>
      </c>
      <c r="M3896" s="3">
        <v>46114</v>
      </c>
      <c r="N3896" s="1" t="s">
        <v>57</v>
      </c>
      <c r="O3896" s="1" t="s">
        <v>998</v>
      </c>
      <c r="P3896" s="1">
        <v>1</v>
      </c>
    </row>
    <row r="3897" spans="1:16" x14ac:dyDescent="0.25">
      <c r="A3897" s="3">
        <v>46113</v>
      </c>
      <c r="B3897" s="4">
        <v>2098</v>
      </c>
      <c r="C3897" s="5">
        <v>37300</v>
      </c>
      <c r="D3897" s="1" t="s">
        <v>1596</v>
      </c>
      <c r="E3897" s="1" t="s">
        <v>1597</v>
      </c>
      <c r="F3897" s="1" t="s">
        <v>66</v>
      </c>
      <c r="G3897" s="1" t="s">
        <v>932</v>
      </c>
      <c r="H3897" s="3">
        <v>46143</v>
      </c>
      <c r="I3897" s="1" t="s">
        <v>933</v>
      </c>
      <c r="J3897" s="1" t="s">
        <v>66</v>
      </c>
      <c r="K3897" s="1" t="s">
        <v>308</v>
      </c>
      <c r="L3897" s="1" t="s">
        <v>5291</v>
      </c>
      <c r="M3897" s="3">
        <v>46114</v>
      </c>
      <c r="N3897" s="1" t="s">
        <v>57</v>
      </c>
      <c r="O3897" s="1" t="s">
        <v>1031</v>
      </c>
      <c r="P3897" s="1">
        <v>1</v>
      </c>
    </row>
    <row r="3898" spans="1:16" x14ac:dyDescent="0.25">
      <c r="A3898" s="3">
        <v>46113</v>
      </c>
      <c r="B3898" s="1" t="s">
        <v>5292</v>
      </c>
      <c r="C3898" s="5">
        <v>671.68</v>
      </c>
      <c r="D3898" s="1" t="s">
        <v>1855</v>
      </c>
      <c r="E3898" s="1" t="s">
        <v>2116</v>
      </c>
      <c r="F3898" s="1" t="s">
        <v>66</v>
      </c>
      <c r="G3898" s="1" t="s">
        <v>1029</v>
      </c>
      <c r="H3898" s="3">
        <v>46122</v>
      </c>
      <c r="I3898" s="1" t="s">
        <v>933</v>
      </c>
      <c r="J3898" s="1" t="s">
        <v>66</v>
      </c>
      <c r="K3898" s="1" t="s">
        <v>1025</v>
      </c>
      <c r="L3898" s="1" t="s">
        <v>5293</v>
      </c>
      <c r="M3898" s="3">
        <v>46114</v>
      </c>
      <c r="N3898" s="1" t="s">
        <v>57</v>
      </c>
      <c r="O3898" s="1" t="s">
        <v>1031</v>
      </c>
      <c r="P3898" s="1">
        <v>1</v>
      </c>
    </row>
    <row r="3899" spans="1:16" x14ac:dyDescent="0.25">
      <c r="A3899" s="3">
        <v>46113</v>
      </c>
      <c r="B3899" s="1">
        <v>274</v>
      </c>
      <c r="C3899" s="5">
        <v>22500</v>
      </c>
      <c r="D3899" s="1" t="s">
        <v>2615</v>
      </c>
      <c r="E3899" s="1" t="s">
        <v>2616</v>
      </c>
      <c r="F3899" s="1" t="s">
        <v>949</v>
      </c>
      <c r="G3899" s="1" t="s">
        <v>932</v>
      </c>
      <c r="H3899" s="3">
        <v>46134</v>
      </c>
      <c r="I3899" s="1" t="s">
        <v>933</v>
      </c>
      <c r="J3899" s="1" t="s">
        <v>951</v>
      </c>
      <c r="K3899" s="1" t="s">
        <v>340</v>
      </c>
      <c r="L3899" s="1" t="s">
        <v>4361</v>
      </c>
      <c r="M3899" s="3">
        <v>46114</v>
      </c>
      <c r="N3899" s="1" t="s">
        <v>57</v>
      </c>
      <c r="O3899" s="1" t="s">
        <v>1031</v>
      </c>
      <c r="P3899" s="1" t="s">
        <v>937</v>
      </c>
    </row>
    <row r="3900" spans="1:16" x14ac:dyDescent="0.25">
      <c r="A3900" s="3">
        <v>46118</v>
      </c>
      <c r="B3900" s="4">
        <v>3930</v>
      </c>
      <c r="C3900" s="5">
        <v>229</v>
      </c>
      <c r="D3900" s="1" t="s">
        <v>1179</v>
      </c>
      <c r="E3900" s="1" t="s">
        <v>1180</v>
      </c>
      <c r="F3900" s="1" t="s">
        <v>277</v>
      </c>
      <c r="G3900" s="1" t="s">
        <v>940</v>
      </c>
      <c r="H3900" s="3">
        <v>46138</v>
      </c>
      <c r="I3900" s="1" t="s">
        <v>933</v>
      </c>
      <c r="J3900" s="1" t="s">
        <v>66</v>
      </c>
      <c r="K3900" s="1" t="s">
        <v>340</v>
      </c>
      <c r="L3900" s="1" t="s">
        <v>4708</v>
      </c>
      <c r="M3900" s="3">
        <v>46122</v>
      </c>
      <c r="N3900" s="1" t="s">
        <v>57</v>
      </c>
      <c r="O3900" s="1" t="s">
        <v>936</v>
      </c>
      <c r="P3900" s="1">
        <v>1</v>
      </c>
    </row>
    <row r="3901" spans="1:16" x14ac:dyDescent="0.25">
      <c r="A3901" s="3">
        <v>46119</v>
      </c>
      <c r="B3901" s="4">
        <v>1233</v>
      </c>
      <c r="C3901" s="5">
        <v>280</v>
      </c>
      <c r="D3901" s="1" t="s">
        <v>1074</v>
      </c>
      <c r="E3901" s="1" t="s">
        <v>1075</v>
      </c>
      <c r="F3901" s="1" t="s">
        <v>259</v>
      </c>
      <c r="G3901" s="1" t="s">
        <v>1058</v>
      </c>
      <c r="H3901" s="3">
        <v>46136</v>
      </c>
      <c r="I3901" s="1" t="s">
        <v>933</v>
      </c>
      <c r="J3901" s="1" t="s">
        <v>66</v>
      </c>
      <c r="K3901" s="1" t="s">
        <v>340</v>
      </c>
      <c r="L3901" s="1" t="s">
        <v>3378</v>
      </c>
      <c r="M3901" s="3">
        <v>46119</v>
      </c>
      <c r="N3901" s="1" t="s">
        <v>57</v>
      </c>
      <c r="O3901" s="1" t="s">
        <v>936</v>
      </c>
      <c r="P3901" s="1">
        <v>2</v>
      </c>
    </row>
    <row r="3902" spans="1:16" x14ac:dyDescent="0.25">
      <c r="A3902" s="3">
        <v>46119</v>
      </c>
      <c r="B3902" s="4">
        <v>1240</v>
      </c>
      <c r="C3902" s="5">
        <v>280</v>
      </c>
      <c r="D3902" s="1" t="s">
        <v>1074</v>
      </c>
      <c r="E3902" s="1" t="s">
        <v>1075</v>
      </c>
      <c r="F3902" s="1" t="s">
        <v>259</v>
      </c>
      <c r="G3902" s="1" t="s">
        <v>1058</v>
      </c>
      <c r="H3902" s="3">
        <v>46136</v>
      </c>
      <c r="I3902" s="1" t="s">
        <v>933</v>
      </c>
      <c r="J3902" s="1" t="s">
        <v>66</v>
      </c>
      <c r="K3902" s="1" t="s">
        <v>340</v>
      </c>
      <c r="L3902" s="1" t="s">
        <v>3378</v>
      </c>
      <c r="M3902" s="3">
        <v>46120</v>
      </c>
      <c r="N3902" s="1" t="s">
        <v>57</v>
      </c>
      <c r="O3902" s="1" t="s">
        <v>936</v>
      </c>
      <c r="P3902" s="1">
        <v>1</v>
      </c>
    </row>
    <row r="3903" spans="1:16" x14ac:dyDescent="0.25">
      <c r="A3903" s="3">
        <v>46119</v>
      </c>
      <c r="B3903" s="1">
        <v>544</v>
      </c>
      <c r="C3903" s="5">
        <v>70</v>
      </c>
      <c r="D3903" s="1" t="s">
        <v>1953</v>
      </c>
      <c r="E3903" s="1" t="s">
        <v>3326</v>
      </c>
      <c r="F3903" s="1" t="s">
        <v>259</v>
      </c>
      <c r="G3903" s="1" t="s">
        <v>940</v>
      </c>
      <c r="H3903" s="3">
        <v>46133</v>
      </c>
      <c r="I3903" s="1" t="s">
        <v>933</v>
      </c>
      <c r="J3903" s="1" t="s">
        <v>66</v>
      </c>
      <c r="K3903" s="1" t="s">
        <v>340</v>
      </c>
      <c r="L3903" s="1" t="s">
        <v>3510</v>
      </c>
      <c r="M3903" s="3">
        <v>46123</v>
      </c>
      <c r="N3903" s="1" t="s">
        <v>57</v>
      </c>
      <c r="O3903" s="1" t="s">
        <v>936</v>
      </c>
      <c r="P3903" s="1">
        <v>1</v>
      </c>
    </row>
    <row r="3904" spans="1:16" x14ac:dyDescent="0.25">
      <c r="A3904" s="3">
        <v>46119</v>
      </c>
      <c r="B3904" s="4">
        <v>1233</v>
      </c>
      <c r="C3904" s="5">
        <v>280</v>
      </c>
      <c r="D3904" s="1" t="s">
        <v>1074</v>
      </c>
      <c r="E3904" s="1" t="s">
        <v>1075</v>
      </c>
      <c r="F3904" s="1" t="s">
        <v>268</v>
      </c>
      <c r="G3904" s="1" t="s">
        <v>1058</v>
      </c>
      <c r="H3904" s="3">
        <v>46136</v>
      </c>
      <c r="I3904" s="1" t="s">
        <v>933</v>
      </c>
      <c r="J3904" s="1" t="s">
        <v>66</v>
      </c>
      <c r="K3904" s="1" t="s">
        <v>340</v>
      </c>
      <c r="L3904" s="1" t="s">
        <v>3378</v>
      </c>
      <c r="M3904" s="3">
        <v>46119</v>
      </c>
      <c r="N3904" s="1" t="s">
        <v>57</v>
      </c>
      <c r="O3904" s="1" t="s">
        <v>936</v>
      </c>
      <c r="P3904" s="1">
        <v>2</v>
      </c>
    </row>
    <row r="3905" spans="1:16" x14ac:dyDescent="0.25">
      <c r="A3905" s="3">
        <v>46119</v>
      </c>
      <c r="B3905" s="4">
        <v>1240</v>
      </c>
      <c r="C3905" s="5">
        <v>280</v>
      </c>
      <c r="D3905" s="1" t="s">
        <v>1074</v>
      </c>
      <c r="E3905" s="1" t="s">
        <v>1075</v>
      </c>
      <c r="F3905" s="1" t="s">
        <v>268</v>
      </c>
      <c r="G3905" s="1" t="s">
        <v>1058</v>
      </c>
      <c r="H3905" s="3">
        <v>46136</v>
      </c>
      <c r="I3905" s="1" t="s">
        <v>933</v>
      </c>
      <c r="J3905" s="1" t="s">
        <v>66</v>
      </c>
      <c r="K3905" s="1" t="s">
        <v>340</v>
      </c>
      <c r="L3905" s="1" t="s">
        <v>3378</v>
      </c>
      <c r="M3905" s="3">
        <v>46120</v>
      </c>
      <c r="N3905" s="1" t="s">
        <v>57</v>
      </c>
      <c r="O3905" s="1" t="s">
        <v>936</v>
      </c>
      <c r="P3905" s="1">
        <v>1</v>
      </c>
    </row>
    <row r="3906" spans="1:16" x14ac:dyDescent="0.25">
      <c r="A3906" s="3">
        <v>46119</v>
      </c>
      <c r="B3906" s="1">
        <v>544</v>
      </c>
      <c r="C3906" s="5">
        <v>40</v>
      </c>
      <c r="D3906" s="1" t="s">
        <v>1953</v>
      </c>
      <c r="E3906" s="1" t="s">
        <v>3326</v>
      </c>
      <c r="F3906" s="1" t="s">
        <v>268</v>
      </c>
      <c r="G3906" s="1" t="s">
        <v>940</v>
      </c>
      <c r="H3906" s="3">
        <v>46133</v>
      </c>
      <c r="I3906" s="1" t="s">
        <v>933</v>
      </c>
      <c r="J3906" s="1" t="s">
        <v>66</v>
      </c>
      <c r="K3906" s="1" t="s">
        <v>340</v>
      </c>
      <c r="L3906" s="1" t="s">
        <v>4065</v>
      </c>
      <c r="M3906" s="3">
        <v>46123</v>
      </c>
      <c r="N3906" s="1" t="s">
        <v>57</v>
      </c>
      <c r="O3906" s="1" t="s">
        <v>936</v>
      </c>
      <c r="P3906" s="1">
        <v>1</v>
      </c>
    </row>
    <row r="3907" spans="1:16" x14ac:dyDescent="0.25">
      <c r="A3907" s="3">
        <v>46119</v>
      </c>
      <c r="B3907" s="1">
        <v>544</v>
      </c>
      <c r="C3907" s="5">
        <v>90</v>
      </c>
      <c r="D3907" s="1" t="s">
        <v>1953</v>
      </c>
      <c r="E3907" s="1" t="s">
        <v>3326</v>
      </c>
      <c r="F3907" s="1" t="s">
        <v>271</v>
      </c>
      <c r="G3907" s="1" t="s">
        <v>940</v>
      </c>
      <c r="H3907" s="3">
        <v>46133</v>
      </c>
      <c r="I3907" s="1" t="s">
        <v>933</v>
      </c>
      <c r="J3907" s="1" t="s">
        <v>66</v>
      </c>
      <c r="K3907" s="1" t="s">
        <v>340</v>
      </c>
      <c r="L3907" s="1" t="s">
        <v>4221</v>
      </c>
      <c r="M3907" s="3">
        <v>46123</v>
      </c>
      <c r="N3907" s="1" t="s">
        <v>57</v>
      </c>
      <c r="O3907" s="1" t="s">
        <v>936</v>
      </c>
      <c r="P3907" s="1">
        <v>1</v>
      </c>
    </row>
    <row r="3908" spans="1:16" x14ac:dyDescent="0.25">
      <c r="A3908" s="3">
        <v>46119</v>
      </c>
      <c r="B3908" s="4">
        <v>1233</v>
      </c>
      <c r="C3908" s="5">
        <v>280</v>
      </c>
      <c r="D3908" s="1" t="s">
        <v>1074</v>
      </c>
      <c r="E3908" s="1" t="s">
        <v>1075</v>
      </c>
      <c r="F3908" s="1" t="s">
        <v>274</v>
      </c>
      <c r="G3908" s="1" t="s">
        <v>1058</v>
      </c>
      <c r="H3908" s="3">
        <v>46136</v>
      </c>
      <c r="I3908" s="1" t="s">
        <v>933</v>
      </c>
      <c r="J3908" s="1" t="s">
        <v>66</v>
      </c>
      <c r="K3908" s="1" t="s">
        <v>340</v>
      </c>
      <c r="L3908" s="1" t="s">
        <v>3378</v>
      </c>
      <c r="M3908" s="3">
        <v>46119</v>
      </c>
      <c r="N3908" s="1" t="s">
        <v>57</v>
      </c>
      <c r="O3908" s="1" t="s">
        <v>936</v>
      </c>
      <c r="P3908" s="1">
        <v>2</v>
      </c>
    </row>
    <row r="3909" spans="1:16" x14ac:dyDescent="0.25">
      <c r="A3909" s="3">
        <v>46119</v>
      </c>
      <c r="B3909" s="4">
        <v>1240</v>
      </c>
      <c r="C3909" s="5">
        <v>280</v>
      </c>
      <c r="D3909" s="1" t="s">
        <v>1074</v>
      </c>
      <c r="E3909" s="1" t="s">
        <v>1075</v>
      </c>
      <c r="F3909" s="1" t="s">
        <v>274</v>
      </c>
      <c r="G3909" s="1" t="s">
        <v>1058</v>
      </c>
      <c r="H3909" s="3">
        <v>46136</v>
      </c>
      <c r="I3909" s="1" t="s">
        <v>933</v>
      </c>
      <c r="J3909" s="1" t="s">
        <v>66</v>
      </c>
      <c r="K3909" s="1" t="s">
        <v>340</v>
      </c>
      <c r="L3909" s="1" t="s">
        <v>3378</v>
      </c>
      <c r="M3909" s="3">
        <v>46120</v>
      </c>
      <c r="N3909" s="1" t="s">
        <v>57</v>
      </c>
      <c r="O3909" s="1" t="s">
        <v>936</v>
      </c>
      <c r="P3909" s="1">
        <v>1</v>
      </c>
    </row>
    <row r="3910" spans="1:16" x14ac:dyDescent="0.25">
      <c r="A3910" s="3">
        <v>46119</v>
      </c>
      <c r="B3910" s="1">
        <v>543</v>
      </c>
      <c r="C3910" s="5">
        <v>180</v>
      </c>
      <c r="D3910" s="1" t="s">
        <v>1953</v>
      </c>
      <c r="E3910" s="1" t="s">
        <v>3326</v>
      </c>
      <c r="F3910" s="1" t="s">
        <v>274</v>
      </c>
      <c r="G3910" s="1" t="s">
        <v>940</v>
      </c>
      <c r="H3910" s="3">
        <v>46132</v>
      </c>
      <c r="I3910" s="1" t="s">
        <v>933</v>
      </c>
      <c r="J3910" s="1" t="s">
        <v>66</v>
      </c>
      <c r="K3910" s="1" t="s">
        <v>340</v>
      </c>
      <c r="L3910" s="1" t="s">
        <v>4391</v>
      </c>
      <c r="M3910" s="3">
        <v>46123</v>
      </c>
      <c r="N3910" s="1" t="s">
        <v>57</v>
      </c>
      <c r="O3910" s="1" t="s">
        <v>936</v>
      </c>
      <c r="P3910" s="1">
        <v>1</v>
      </c>
    </row>
    <row r="3911" spans="1:16" x14ac:dyDescent="0.25">
      <c r="A3911" s="3">
        <v>46119</v>
      </c>
      <c r="B3911" s="4">
        <v>1233</v>
      </c>
      <c r="C3911" s="5">
        <v>280</v>
      </c>
      <c r="D3911" s="1" t="s">
        <v>1074</v>
      </c>
      <c r="E3911" s="1" t="s">
        <v>1075</v>
      </c>
      <c r="F3911" s="1" t="s">
        <v>277</v>
      </c>
      <c r="G3911" s="1" t="s">
        <v>1058</v>
      </c>
      <c r="H3911" s="3">
        <v>46136</v>
      </c>
      <c r="I3911" s="1" t="s">
        <v>933</v>
      </c>
      <c r="J3911" s="1" t="s">
        <v>66</v>
      </c>
      <c r="K3911" s="1" t="s">
        <v>340</v>
      </c>
      <c r="L3911" s="1" t="s">
        <v>3378</v>
      </c>
      <c r="M3911" s="3">
        <v>46119</v>
      </c>
      <c r="N3911" s="1" t="s">
        <v>57</v>
      </c>
      <c r="O3911" s="1" t="s">
        <v>936</v>
      </c>
      <c r="P3911" s="1">
        <v>2</v>
      </c>
    </row>
    <row r="3912" spans="1:16" x14ac:dyDescent="0.25">
      <c r="A3912" s="3">
        <v>46119</v>
      </c>
      <c r="B3912" s="4">
        <v>1240</v>
      </c>
      <c r="C3912" s="5">
        <v>280</v>
      </c>
      <c r="D3912" s="1" t="s">
        <v>1074</v>
      </c>
      <c r="E3912" s="1" t="s">
        <v>1075</v>
      </c>
      <c r="F3912" s="1" t="s">
        <v>277</v>
      </c>
      <c r="G3912" s="1" t="s">
        <v>1058</v>
      </c>
      <c r="H3912" s="3">
        <v>46136</v>
      </c>
      <c r="I3912" s="1" t="s">
        <v>933</v>
      </c>
      <c r="J3912" s="1" t="s">
        <v>66</v>
      </c>
      <c r="K3912" s="1" t="s">
        <v>340</v>
      </c>
      <c r="L3912" s="1" t="s">
        <v>3378</v>
      </c>
      <c r="M3912" s="3">
        <v>46120</v>
      </c>
      <c r="N3912" s="1" t="s">
        <v>57</v>
      </c>
      <c r="O3912" s="1" t="s">
        <v>936</v>
      </c>
      <c r="P3912" s="1">
        <v>1</v>
      </c>
    </row>
    <row r="3913" spans="1:16" x14ac:dyDescent="0.25">
      <c r="A3913" s="3">
        <v>46119</v>
      </c>
      <c r="B3913" s="1">
        <v>543</v>
      </c>
      <c r="C3913" s="5">
        <v>180</v>
      </c>
      <c r="D3913" s="1" t="s">
        <v>1953</v>
      </c>
      <c r="E3913" s="1" t="s">
        <v>3326</v>
      </c>
      <c r="F3913" s="1" t="s">
        <v>277</v>
      </c>
      <c r="G3913" s="1" t="s">
        <v>940</v>
      </c>
      <c r="H3913" s="3">
        <v>46132</v>
      </c>
      <c r="I3913" s="1" t="s">
        <v>933</v>
      </c>
      <c r="J3913" s="1" t="s">
        <v>66</v>
      </c>
      <c r="K3913" s="1" t="s">
        <v>340</v>
      </c>
      <c r="L3913" s="1" t="s">
        <v>4709</v>
      </c>
      <c r="M3913" s="3">
        <v>46123</v>
      </c>
      <c r="N3913" s="1" t="s">
        <v>57</v>
      </c>
      <c r="O3913" s="1" t="s">
        <v>936</v>
      </c>
      <c r="P3913" s="1">
        <v>1</v>
      </c>
    </row>
    <row r="3914" spans="1:16" x14ac:dyDescent="0.25">
      <c r="A3914" s="3">
        <v>46119</v>
      </c>
      <c r="B3914" s="1">
        <v>544</v>
      </c>
      <c r="C3914" s="5">
        <v>120</v>
      </c>
      <c r="D3914" s="1" t="s">
        <v>1953</v>
      </c>
      <c r="E3914" s="1" t="s">
        <v>3326</v>
      </c>
      <c r="F3914" s="1" t="s">
        <v>277</v>
      </c>
      <c r="G3914" s="1" t="s">
        <v>940</v>
      </c>
      <c r="H3914" s="3">
        <v>46133</v>
      </c>
      <c r="I3914" s="1" t="s">
        <v>933</v>
      </c>
      <c r="J3914" s="1" t="s">
        <v>66</v>
      </c>
      <c r="K3914" s="1" t="s">
        <v>340</v>
      </c>
      <c r="L3914" s="1" t="s">
        <v>4710</v>
      </c>
      <c r="M3914" s="3">
        <v>46123</v>
      </c>
      <c r="N3914" s="1" t="s">
        <v>57</v>
      </c>
      <c r="O3914" s="1" t="s">
        <v>936</v>
      </c>
      <c r="P3914" s="1">
        <v>1</v>
      </c>
    </row>
    <row r="3915" spans="1:16" x14ac:dyDescent="0.25">
      <c r="A3915" s="3">
        <v>46119</v>
      </c>
      <c r="B3915" s="4">
        <v>1233</v>
      </c>
      <c r="C3915" s="5">
        <v>280</v>
      </c>
      <c r="D3915" s="1" t="s">
        <v>1074</v>
      </c>
      <c r="E3915" s="1" t="s">
        <v>1075</v>
      </c>
      <c r="F3915" s="1" t="s">
        <v>283</v>
      </c>
      <c r="G3915" s="1" t="s">
        <v>1058</v>
      </c>
      <c r="H3915" s="3">
        <v>46136</v>
      </c>
      <c r="I3915" s="1" t="s">
        <v>933</v>
      </c>
      <c r="J3915" s="1" t="s">
        <v>66</v>
      </c>
      <c r="K3915" s="1" t="s">
        <v>340</v>
      </c>
      <c r="L3915" s="1" t="s">
        <v>3378</v>
      </c>
      <c r="M3915" s="3">
        <v>46119</v>
      </c>
      <c r="N3915" s="1" t="s">
        <v>57</v>
      </c>
      <c r="O3915" s="1" t="s">
        <v>936</v>
      </c>
      <c r="P3915" s="1">
        <v>2</v>
      </c>
    </row>
    <row r="3916" spans="1:16" x14ac:dyDescent="0.25">
      <c r="A3916" s="3">
        <v>46119</v>
      </c>
      <c r="B3916" s="4">
        <v>1240</v>
      </c>
      <c r="C3916" s="5">
        <v>280</v>
      </c>
      <c r="D3916" s="1" t="s">
        <v>1074</v>
      </c>
      <c r="E3916" s="1" t="s">
        <v>1075</v>
      </c>
      <c r="F3916" s="1" t="s">
        <v>283</v>
      </c>
      <c r="G3916" s="1" t="s">
        <v>1058</v>
      </c>
      <c r="H3916" s="3">
        <v>46136</v>
      </c>
      <c r="I3916" s="1" t="s">
        <v>933</v>
      </c>
      <c r="J3916" s="1" t="s">
        <v>66</v>
      </c>
      <c r="K3916" s="1" t="s">
        <v>340</v>
      </c>
      <c r="L3916" s="1" t="s">
        <v>3378</v>
      </c>
      <c r="M3916" s="3">
        <v>46120</v>
      </c>
      <c r="N3916" s="1" t="s">
        <v>57</v>
      </c>
      <c r="O3916" s="1" t="s">
        <v>936</v>
      </c>
      <c r="P3916" s="1">
        <v>1</v>
      </c>
    </row>
    <row r="3917" spans="1:16" x14ac:dyDescent="0.25">
      <c r="A3917" s="3">
        <v>46119</v>
      </c>
      <c r="B3917" s="4">
        <v>1233</v>
      </c>
      <c r="C3917" s="5">
        <v>280</v>
      </c>
      <c r="D3917" s="1" t="s">
        <v>1074</v>
      </c>
      <c r="E3917" s="1" t="s">
        <v>1075</v>
      </c>
      <c r="F3917" s="1" t="s">
        <v>286</v>
      </c>
      <c r="G3917" s="1" t="s">
        <v>1058</v>
      </c>
      <c r="H3917" s="3">
        <v>46136</v>
      </c>
      <c r="I3917" s="1" t="s">
        <v>933</v>
      </c>
      <c r="J3917" s="1" t="s">
        <v>66</v>
      </c>
      <c r="K3917" s="1" t="s">
        <v>340</v>
      </c>
      <c r="L3917" s="1" t="s">
        <v>3378</v>
      </c>
      <c r="M3917" s="3">
        <v>46119</v>
      </c>
      <c r="N3917" s="1" t="s">
        <v>57</v>
      </c>
      <c r="O3917" s="1" t="s">
        <v>936</v>
      </c>
      <c r="P3917" s="1">
        <v>2</v>
      </c>
    </row>
    <row r="3918" spans="1:16" x14ac:dyDescent="0.25">
      <c r="A3918" s="3">
        <v>46119</v>
      </c>
      <c r="B3918" s="4">
        <v>1240</v>
      </c>
      <c r="C3918" s="5">
        <v>280</v>
      </c>
      <c r="D3918" s="1" t="s">
        <v>1074</v>
      </c>
      <c r="E3918" s="1" t="s">
        <v>1075</v>
      </c>
      <c r="F3918" s="1" t="s">
        <v>286</v>
      </c>
      <c r="G3918" s="1" t="s">
        <v>1058</v>
      </c>
      <c r="H3918" s="3">
        <v>46136</v>
      </c>
      <c r="I3918" s="1" t="s">
        <v>933</v>
      </c>
      <c r="J3918" s="1" t="s">
        <v>66</v>
      </c>
      <c r="K3918" s="1" t="s">
        <v>340</v>
      </c>
      <c r="L3918" s="1" t="s">
        <v>3378</v>
      </c>
      <c r="M3918" s="3">
        <v>46120</v>
      </c>
      <c r="N3918" s="1" t="s">
        <v>57</v>
      </c>
      <c r="O3918" s="1" t="s">
        <v>936</v>
      </c>
      <c r="P3918" s="1">
        <v>1</v>
      </c>
    </row>
    <row r="3919" spans="1:16" x14ac:dyDescent="0.25">
      <c r="A3919" s="3">
        <v>46120</v>
      </c>
      <c r="B3919" s="4">
        <v>2561</v>
      </c>
      <c r="C3919" s="5">
        <v>350</v>
      </c>
      <c r="D3919" s="1" t="s">
        <v>1182</v>
      </c>
      <c r="E3919" s="1" t="s">
        <v>1183</v>
      </c>
      <c r="F3919" s="1" t="s">
        <v>268</v>
      </c>
      <c r="G3919" s="1" t="s">
        <v>940</v>
      </c>
      <c r="H3919" s="3">
        <v>46150</v>
      </c>
      <c r="I3919" s="1" t="s">
        <v>933</v>
      </c>
      <c r="J3919" s="1" t="s">
        <v>66</v>
      </c>
      <c r="K3919" s="1" t="s">
        <v>340</v>
      </c>
      <c r="L3919" s="1" t="s">
        <v>4062</v>
      </c>
      <c r="M3919" s="3">
        <v>46122</v>
      </c>
      <c r="N3919" s="1" t="s">
        <v>264</v>
      </c>
      <c r="O3919" s="1" t="s">
        <v>936</v>
      </c>
      <c r="P3919" s="1">
        <v>1</v>
      </c>
    </row>
    <row r="3920" spans="1:16" x14ac:dyDescent="0.25">
      <c r="A3920" s="3">
        <v>46120</v>
      </c>
      <c r="B3920" s="1">
        <v>546</v>
      </c>
      <c r="C3920" s="5">
        <v>40</v>
      </c>
      <c r="D3920" s="1" t="s">
        <v>1953</v>
      </c>
      <c r="E3920" s="1" t="s">
        <v>3326</v>
      </c>
      <c r="F3920" s="1" t="s">
        <v>274</v>
      </c>
      <c r="G3920" s="1" t="s">
        <v>940</v>
      </c>
      <c r="H3920" s="3">
        <v>46133</v>
      </c>
      <c r="I3920" s="1" t="s">
        <v>933</v>
      </c>
      <c r="J3920" s="1" t="s">
        <v>66</v>
      </c>
      <c r="K3920" s="1" t="s">
        <v>340</v>
      </c>
      <c r="L3920" s="1" t="s">
        <v>4400</v>
      </c>
      <c r="M3920" s="3">
        <v>46123</v>
      </c>
      <c r="N3920" s="1" t="s">
        <v>57</v>
      </c>
      <c r="O3920" s="1" t="s">
        <v>936</v>
      </c>
      <c r="P3920" s="1">
        <v>1</v>
      </c>
    </row>
    <row r="3921" spans="1:16" x14ac:dyDescent="0.25">
      <c r="A3921" s="3">
        <v>46120</v>
      </c>
      <c r="B3921" s="1">
        <v>546</v>
      </c>
      <c r="C3921" s="5">
        <v>40</v>
      </c>
      <c r="D3921" s="1" t="s">
        <v>1953</v>
      </c>
      <c r="E3921" s="1" t="s">
        <v>3326</v>
      </c>
      <c r="F3921" s="1" t="s">
        <v>286</v>
      </c>
      <c r="G3921" s="1" t="s">
        <v>940</v>
      </c>
      <c r="H3921" s="3">
        <v>46133</v>
      </c>
      <c r="I3921" s="1" t="s">
        <v>933</v>
      </c>
      <c r="J3921" s="1" t="s">
        <v>66</v>
      </c>
      <c r="K3921" s="1" t="s">
        <v>340</v>
      </c>
      <c r="L3921" s="1" t="s">
        <v>5062</v>
      </c>
      <c r="M3921" s="3">
        <v>46123</v>
      </c>
      <c r="N3921" s="1" t="s">
        <v>57</v>
      </c>
      <c r="O3921" s="1" t="s">
        <v>936</v>
      </c>
      <c r="P3921" s="1">
        <v>1</v>
      </c>
    </row>
    <row r="3922" spans="1:16" x14ac:dyDescent="0.25">
      <c r="A3922" s="3">
        <v>46126</v>
      </c>
      <c r="B3922" s="4">
        <v>1243</v>
      </c>
      <c r="C3922" s="5">
        <v>150</v>
      </c>
      <c r="D3922" s="1" t="s">
        <v>1074</v>
      </c>
      <c r="E3922" s="1" t="s">
        <v>1075</v>
      </c>
      <c r="F3922" s="1" t="s">
        <v>259</v>
      </c>
      <c r="G3922" s="1" t="s">
        <v>981</v>
      </c>
      <c r="H3922" s="3">
        <v>46143</v>
      </c>
      <c r="I3922" s="1" t="s">
        <v>933</v>
      </c>
      <c r="J3922" s="1" t="s">
        <v>66</v>
      </c>
      <c r="K3922" s="1" t="s">
        <v>340</v>
      </c>
      <c r="L3922" s="1" t="s">
        <v>3526</v>
      </c>
      <c r="M3922" s="3">
        <v>46130</v>
      </c>
      <c r="N3922" s="1" t="s">
        <v>57</v>
      </c>
      <c r="O3922" s="1" t="s">
        <v>936</v>
      </c>
      <c r="P3922" s="1">
        <v>1</v>
      </c>
    </row>
    <row r="3923" spans="1:16" x14ac:dyDescent="0.25">
      <c r="A3923" s="3">
        <v>46126</v>
      </c>
      <c r="B3923" s="4">
        <v>1243</v>
      </c>
      <c r="C3923" s="5">
        <v>90</v>
      </c>
      <c r="D3923" s="1" t="s">
        <v>1074</v>
      </c>
      <c r="E3923" s="1" t="s">
        <v>1075</v>
      </c>
      <c r="F3923" s="1" t="s">
        <v>268</v>
      </c>
      <c r="G3923" s="1" t="s">
        <v>981</v>
      </c>
      <c r="H3923" s="3">
        <v>46143</v>
      </c>
      <c r="I3923" s="1" t="s">
        <v>933</v>
      </c>
      <c r="J3923" s="1" t="s">
        <v>66</v>
      </c>
      <c r="K3923" s="1" t="s">
        <v>340</v>
      </c>
      <c r="L3923" s="1" t="s">
        <v>4066</v>
      </c>
      <c r="M3923" s="3">
        <v>46130</v>
      </c>
      <c r="N3923" s="1" t="s">
        <v>57</v>
      </c>
      <c r="O3923" s="1" t="s">
        <v>936</v>
      </c>
      <c r="P3923" s="1">
        <v>1</v>
      </c>
    </row>
    <row r="3924" spans="1:16" x14ac:dyDescent="0.25">
      <c r="A3924" s="3">
        <v>46127</v>
      </c>
      <c r="B3924" s="4">
        <v>17537</v>
      </c>
      <c r="C3924" s="5">
        <v>1758.89</v>
      </c>
      <c r="D3924" s="1" t="s">
        <v>3933</v>
      </c>
      <c r="E3924" s="1" t="s">
        <v>3934</v>
      </c>
      <c r="F3924" s="1" t="s">
        <v>274</v>
      </c>
      <c r="G3924" s="1" t="s">
        <v>940</v>
      </c>
      <c r="H3924" s="3">
        <v>46157</v>
      </c>
      <c r="I3924" s="1" t="s">
        <v>933</v>
      </c>
      <c r="J3924" s="1" t="s">
        <v>66</v>
      </c>
      <c r="K3924" s="1" t="s">
        <v>340</v>
      </c>
      <c r="L3924" s="1" t="s">
        <v>4401</v>
      </c>
      <c r="M3924" s="3">
        <v>46130</v>
      </c>
      <c r="N3924" s="1" t="s">
        <v>264</v>
      </c>
      <c r="O3924" s="1" t="s">
        <v>936</v>
      </c>
      <c r="P3924" s="1">
        <v>1</v>
      </c>
    </row>
    <row r="3925" spans="1:16" x14ac:dyDescent="0.25">
      <c r="A3925" s="3">
        <v>46127</v>
      </c>
      <c r="B3925" s="4">
        <v>2118</v>
      </c>
      <c r="C3925" s="5">
        <v>960</v>
      </c>
      <c r="D3925" s="1" t="s">
        <v>4045</v>
      </c>
      <c r="E3925" s="1" t="s">
        <v>4046</v>
      </c>
      <c r="F3925" s="1" t="s">
        <v>274</v>
      </c>
      <c r="G3925" s="1" t="s">
        <v>940</v>
      </c>
      <c r="H3925" s="3">
        <v>46157</v>
      </c>
      <c r="I3925" s="1" t="s">
        <v>933</v>
      </c>
      <c r="J3925" s="1" t="s">
        <v>66</v>
      </c>
      <c r="K3925" s="1" t="s">
        <v>340</v>
      </c>
      <c r="L3925" s="1" t="s">
        <v>4430</v>
      </c>
      <c r="M3925" s="3">
        <v>46130</v>
      </c>
      <c r="N3925" s="1" t="s">
        <v>264</v>
      </c>
      <c r="O3925" s="1" t="s">
        <v>936</v>
      </c>
      <c r="P3925" s="1">
        <v>1</v>
      </c>
    </row>
    <row r="3926" spans="1:16" x14ac:dyDescent="0.25">
      <c r="A3926" s="3">
        <v>46127</v>
      </c>
      <c r="B3926" s="4">
        <v>2119</v>
      </c>
      <c r="C3926" s="5">
        <v>1880</v>
      </c>
      <c r="D3926" s="1" t="s">
        <v>4045</v>
      </c>
      <c r="E3926" s="1" t="s">
        <v>4046</v>
      </c>
      <c r="F3926" s="1" t="s">
        <v>280</v>
      </c>
      <c r="G3926" s="1" t="s">
        <v>940</v>
      </c>
      <c r="H3926" s="3">
        <v>46157</v>
      </c>
      <c r="I3926" s="1" t="s">
        <v>933</v>
      </c>
      <c r="J3926" s="1" t="s">
        <v>66</v>
      </c>
      <c r="K3926" s="1" t="s">
        <v>340</v>
      </c>
      <c r="L3926" s="1" t="s">
        <v>4733</v>
      </c>
      <c r="M3926" s="3">
        <v>46130</v>
      </c>
      <c r="N3926" s="1" t="s">
        <v>264</v>
      </c>
      <c r="O3926" s="1" t="s">
        <v>936</v>
      </c>
      <c r="P3926" s="1">
        <v>1</v>
      </c>
    </row>
    <row r="3927" spans="1:16" x14ac:dyDescent="0.25">
      <c r="A3927" s="3">
        <v>46127</v>
      </c>
      <c r="B3927" s="4">
        <v>17538</v>
      </c>
      <c r="C3927" s="5">
        <v>744.36</v>
      </c>
      <c r="D3927" s="1" t="s">
        <v>3933</v>
      </c>
      <c r="E3927" s="1" t="s">
        <v>3934</v>
      </c>
      <c r="F3927" s="1" t="s">
        <v>280</v>
      </c>
      <c r="G3927" s="1" t="s">
        <v>940</v>
      </c>
      <c r="H3927" s="3">
        <v>46157</v>
      </c>
      <c r="I3927" s="1" t="s">
        <v>933</v>
      </c>
      <c r="J3927" s="1" t="s">
        <v>66</v>
      </c>
      <c r="K3927" s="1" t="s">
        <v>340</v>
      </c>
      <c r="L3927" s="1" t="s">
        <v>4736</v>
      </c>
      <c r="M3927" s="3">
        <v>46130</v>
      </c>
      <c r="N3927" s="1" t="s">
        <v>264</v>
      </c>
      <c r="O3927" s="1" t="s">
        <v>936</v>
      </c>
      <c r="P3927" s="1">
        <v>1</v>
      </c>
    </row>
    <row r="3928" spans="1:16" x14ac:dyDescent="0.25">
      <c r="A3928" s="3">
        <v>46132</v>
      </c>
      <c r="B3928" s="4">
        <v>4612</v>
      </c>
      <c r="C3928" s="5">
        <v>2706.83</v>
      </c>
      <c r="D3928" s="1" t="s">
        <v>3830</v>
      </c>
      <c r="E3928" s="1" t="s">
        <v>3831</v>
      </c>
      <c r="F3928" s="1" t="s">
        <v>265</v>
      </c>
      <c r="G3928" s="1" t="s">
        <v>940</v>
      </c>
      <c r="H3928" s="3">
        <v>46155</v>
      </c>
      <c r="I3928" s="1" t="s">
        <v>933</v>
      </c>
      <c r="J3928" s="1" t="s">
        <v>66</v>
      </c>
      <c r="K3928" s="1" t="s">
        <v>340</v>
      </c>
      <c r="L3928" s="1" t="s">
        <v>3832</v>
      </c>
      <c r="M3928" s="3">
        <v>46133</v>
      </c>
      <c r="N3928" s="1" t="s">
        <v>57</v>
      </c>
      <c r="O3928" s="1" t="s">
        <v>936</v>
      </c>
      <c r="P3928" s="1">
        <v>1</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C0EE-0C32-4D59-BF33-CFDB72F15F16}">
  <dimension ref="A1:AO708"/>
  <sheetViews>
    <sheetView topLeftCell="H1" workbookViewId="0">
      <selection activeCell="N2" sqref="N2:N707"/>
    </sheetView>
  </sheetViews>
  <sheetFormatPr defaultRowHeight="15" x14ac:dyDescent="0.25"/>
  <cols>
    <col min="1" max="1" width="21.28515625" customWidth="1"/>
    <col min="2" max="2" width="23.7109375" customWidth="1"/>
    <col min="3" max="3" width="17.7109375" customWidth="1"/>
    <col min="4" max="4" width="18" customWidth="1"/>
    <col min="5" max="5" width="18.7109375" customWidth="1"/>
    <col min="7" max="7" width="13.42578125" customWidth="1"/>
    <col min="8" max="8" width="18.5703125" customWidth="1"/>
    <col min="9" max="9" width="17.140625" customWidth="1"/>
    <col min="11" max="11" width="13" customWidth="1"/>
    <col min="12" max="12" width="19.28515625" customWidth="1"/>
    <col min="13" max="13" width="10.5703125" customWidth="1"/>
    <col min="14" max="14" width="19.85546875" customWidth="1"/>
    <col min="15" max="15" width="13.42578125" bestFit="1" customWidth="1"/>
    <col min="16" max="16" width="10.85546875" customWidth="1"/>
    <col min="17" max="17" width="28.85546875" customWidth="1"/>
    <col min="18" max="18" width="37.28515625" customWidth="1"/>
    <col min="19" max="19" width="26.85546875" customWidth="1"/>
    <col min="20" max="20" width="17" customWidth="1"/>
    <col min="21" max="21" width="27" customWidth="1"/>
    <col min="22" max="22" width="25.28515625" customWidth="1"/>
    <col min="23" max="23" width="24" customWidth="1"/>
    <col min="24" max="24" width="12.5703125" customWidth="1"/>
    <col min="25" max="25" width="9.7109375" customWidth="1"/>
    <col min="26" max="26" width="9.5703125" customWidth="1"/>
    <col min="28" max="32" width="26.7109375" customWidth="1"/>
    <col min="33" max="33" width="20.42578125" customWidth="1"/>
    <col min="34" max="34" width="30.28515625" customWidth="1"/>
    <col min="35" max="35" width="11.85546875" customWidth="1"/>
    <col min="36" max="36" width="18.42578125" customWidth="1"/>
    <col min="37" max="37" width="17.85546875" customWidth="1"/>
    <col min="38" max="38" width="19.42578125" customWidth="1"/>
    <col min="39" max="39" width="19.5703125" customWidth="1"/>
    <col min="40" max="40" width="15.42578125" customWidth="1"/>
    <col min="41" max="41" width="27.85546875" customWidth="1"/>
  </cols>
  <sheetData>
    <row r="1" spans="1:41" x14ac:dyDescent="0.25">
      <c r="A1" t="s">
        <v>5360</v>
      </c>
      <c r="B1" t="s">
        <v>5361</v>
      </c>
      <c r="C1" t="s">
        <v>5362</v>
      </c>
      <c r="D1" t="s">
        <v>5363</v>
      </c>
      <c r="E1" t="s">
        <v>5364</v>
      </c>
      <c r="F1" t="s">
        <v>9</v>
      </c>
      <c r="G1" t="s">
        <v>5365</v>
      </c>
      <c r="H1" t="s">
        <v>5366</v>
      </c>
      <c r="I1" t="s">
        <v>5367</v>
      </c>
      <c r="J1" t="s">
        <v>7</v>
      </c>
      <c r="K1" t="s">
        <v>5368</v>
      </c>
      <c r="L1" t="s">
        <v>5369</v>
      </c>
      <c r="M1" t="s">
        <v>5370</v>
      </c>
      <c r="N1" t="s">
        <v>5371</v>
      </c>
      <c r="O1" t="s">
        <v>5372</v>
      </c>
      <c r="P1" t="s">
        <v>5373</v>
      </c>
      <c r="Q1" t="s">
        <v>5374</v>
      </c>
      <c r="R1" t="s">
        <v>5375</v>
      </c>
      <c r="S1" t="s">
        <v>5376</v>
      </c>
      <c r="T1" t="s">
        <v>5377</v>
      </c>
      <c r="U1" t="s">
        <v>5378</v>
      </c>
      <c r="V1" t="s">
        <v>5379</v>
      </c>
      <c r="W1" t="s">
        <v>5380</v>
      </c>
      <c r="X1" t="s">
        <v>5381</v>
      </c>
      <c r="Y1" t="s">
        <v>5382</v>
      </c>
      <c r="Z1" t="s">
        <v>5383</v>
      </c>
      <c r="AA1" t="s">
        <v>5384</v>
      </c>
      <c r="AB1" t="s">
        <v>5385</v>
      </c>
      <c r="AC1" t="s">
        <v>5386</v>
      </c>
      <c r="AD1" t="s">
        <v>5387</v>
      </c>
      <c r="AE1" t="s">
        <v>5388</v>
      </c>
      <c r="AF1" t="s">
        <v>5389</v>
      </c>
      <c r="AG1" t="s">
        <v>5390</v>
      </c>
      <c r="AH1" t="s">
        <v>5391</v>
      </c>
      <c r="AI1" t="s">
        <v>5392</v>
      </c>
      <c r="AJ1" t="s">
        <v>5393</v>
      </c>
      <c r="AK1" t="s">
        <v>5394</v>
      </c>
      <c r="AL1" t="s">
        <v>5395</v>
      </c>
      <c r="AM1" t="s">
        <v>5396</v>
      </c>
      <c r="AN1" t="s">
        <v>5397</v>
      </c>
      <c r="AO1" t="s">
        <v>5398</v>
      </c>
    </row>
    <row r="2" spans="1:41" x14ac:dyDescent="0.25">
      <c r="A2">
        <v>1083747719</v>
      </c>
      <c r="B2" t="s">
        <v>5399</v>
      </c>
      <c r="C2">
        <v>252406</v>
      </c>
      <c r="D2" t="s">
        <v>5400</v>
      </c>
      <c r="E2">
        <v>46204.185543981483</v>
      </c>
      <c r="F2" t="s">
        <v>5401</v>
      </c>
      <c r="G2" t="s">
        <v>3668</v>
      </c>
      <c r="H2" t="s">
        <v>5402</v>
      </c>
      <c r="I2" t="s">
        <v>5403</v>
      </c>
      <c r="J2">
        <v>2026</v>
      </c>
      <c r="K2" t="s">
        <v>5404</v>
      </c>
      <c r="L2" t="s">
        <v>5405</v>
      </c>
      <c r="M2" t="s">
        <v>5406</v>
      </c>
      <c r="N2" s="1" t="s">
        <v>5407</v>
      </c>
      <c r="O2">
        <v>22.61</v>
      </c>
      <c r="P2">
        <v>4.1890000000000001</v>
      </c>
      <c r="Q2">
        <v>31178</v>
      </c>
      <c r="R2">
        <v>200</v>
      </c>
      <c r="S2">
        <v>8.85</v>
      </c>
      <c r="T2" s="8">
        <v>94.73</v>
      </c>
      <c r="U2">
        <v>11040306</v>
      </c>
      <c r="V2" t="s">
        <v>5408</v>
      </c>
      <c r="W2" t="s">
        <v>5409</v>
      </c>
      <c r="X2" t="s">
        <v>5410</v>
      </c>
      <c r="Y2" t="s">
        <v>5411</v>
      </c>
      <c r="Z2" t="s">
        <v>5412</v>
      </c>
      <c r="AA2" t="s">
        <v>5413</v>
      </c>
      <c r="AB2" t="s">
        <v>5414</v>
      </c>
      <c r="AC2" t="s">
        <v>5414</v>
      </c>
      <c r="AD2" t="s">
        <v>5414</v>
      </c>
      <c r="AG2" t="s">
        <v>5415</v>
      </c>
      <c r="AI2" t="s">
        <v>5416</v>
      </c>
      <c r="AJ2" t="s">
        <v>5417</v>
      </c>
      <c r="AL2" t="s">
        <v>5418</v>
      </c>
      <c r="AN2" t="s">
        <v>5419</v>
      </c>
    </row>
    <row r="3" spans="1:41" x14ac:dyDescent="0.25">
      <c r="A3">
        <v>1083786213</v>
      </c>
      <c r="B3" t="s">
        <v>5399</v>
      </c>
      <c r="C3">
        <v>252406</v>
      </c>
      <c r="D3" t="s">
        <v>5400</v>
      </c>
      <c r="E3">
        <v>46204.303263888891</v>
      </c>
      <c r="F3" t="s">
        <v>5420</v>
      </c>
      <c r="G3" t="s">
        <v>3668</v>
      </c>
      <c r="H3" t="s">
        <v>5421</v>
      </c>
      <c r="I3" t="s">
        <v>5403</v>
      </c>
      <c r="J3">
        <v>2025</v>
      </c>
      <c r="K3" t="s">
        <v>5422</v>
      </c>
      <c r="L3" t="s">
        <v>5423</v>
      </c>
      <c r="M3" t="s">
        <v>5406</v>
      </c>
      <c r="N3" s="1" t="s">
        <v>4565</v>
      </c>
      <c r="O3">
        <v>32.65</v>
      </c>
      <c r="P3">
        <v>4.29</v>
      </c>
      <c r="Q3">
        <v>67688</v>
      </c>
      <c r="R3">
        <v>331</v>
      </c>
      <c r="S3">
        <v>10.14</v>
      </c>
      <c r="T3" s="8">
        <v>140.07</v>
      </c>
      <c r="U3">
        <v>11198252</v>
      </c>
      <c r="V3" t="s">
        <v>5424</v>
      </c>
      <c r="W3" t="s">
        <v>5409</v>
      </c>
      <c r="X3" t="s">
        <v>5425</v>
      </c>
      <c r="Y3" t="s">
        <v>5411</v>
      </c>
      <c r="Z3" t="s">
        <v>5426</v>
      </c>
      <c r="AA3" t="s">
        <v>5413</v>
      </c>
      <c r="AB3" t="s">
        <v>5414</v>
      </c>
      <c r="AC3" t="s">
        <v>5414</v>
      </c>
      <c r="AD3" t="s">
        <v>5414</v>
      </c>
      <c r="AG3" t="s">
        <v>5427</v>
      </c>
      <c r="AI3" t="s">
        <v>5428</v>
      </c>
      <c r="AJ3" t="s">
        <v>5429</v>
      </c>
      <c r="AL3" t="s">
        <v>5418</v>
      </c>
      <c r="AN3" t="s">
        <v>5419</v>
      </c>
    </row>
    <row r="4" spans="1:41" x14ac:dyDescent="0.25">
      <c r="A4">
        <v>1083791007</v>
      </c>
      <c r="B4" t="s">
        <v>5399</v>
      </c>
      <c r="C4">
        <v>252406</v>
      </c>
      <c r="D4" t="s">
        <v>5400</v>
      </c>
      <c r="E4">
        <v>46204.311701388891</v>
      </c>
      <c r="F4" t="s">
        <v>5430</v>
      </c>
      <c r="G4" t="s">
        <v>3668</v>
      </c>
      <c r="H4" t="s">
        <v>5431</v>
      </c>
      <c r="I4" t="s">
        <v>5403</v>
      </c>
      <c r="J4">
        <v>2025</v>
      </c>
      <c r="K4" t="s">
        <v>5432</v>
      </c>
      <c r="L4" t="s">
        <v>5433</v>
      </c>
      <c r="M4" t="s">
        <v>5406</v>
      </c>
      <c r="N4" s="1" t="s">
        <v>4565</v>
      </c>
      <c r="O4">
        <v>29.97</v>
      </c>
      <c r="P4">
        <v>4.2889999999999997</v>
      </c>
      <c r="Q4">
        <v>63228</v>
      </c>
      <c r="R4">
        <v>294</v>
      </c>
      <c r="S4">
        <v>9.81</v>
      </c>
      <c r="T4" s="8">
        <v>128.57</v>
      </c>
      <c r="U4">
        <v>11198252</v>
      </c>
      <c r="V4" t="s">
        <v>5424</v>
      </c>
      <c r="W4" t="s">
        <v>5409</v>
      </c>
      <c r="X4" t="s">
        <v>5425</v>
      </c>
      <c r="Y4" t="s">
        <v>5411</v>
      </c>
      <c r="Z4" t="s">
        <v>5426</v>
      </c>
      <c r="AA4" t="s">
        <v>5413</v>
      </c>
      <c r="AB4" t="s">
        <v>5414</v>
      </c>
      <c r="AC4" t="s">
        <v>5414</v>
      </c>
      <c r="AD4" t="s">
        <v>5414</v>
      </c>
      <c r="AG4" t="s">
        <v>5427</v>
      </c>
      <c r="AI4" t="s">
        <v>5428</v>
      </c>
      <c r="AJ4" t="s">
        <v>5434</v>
      </c>
      <c r="AL4" t="s">
        <v>5418</v>
      </c>
      <c r="AN4" t="s">
        <v>5419</v>
      </c>
    </row>
    <row r="5" spans="1:41" x14ac:dyDescent="0.25">
      <c r="A5">
        <v>1083792457</v>
      </c>
      <c r="B5" t="s">
        <v>5399</v>
      </c>
      <c r="C5">
        <v>252406</v>
      </c>
      <c r="D5" t="s">
        <v>5400</v>
      </c>
      <c r="E5">
        <v>46204.314479166664</v>
      </c>
      <c r="F5" t="s">
        <v>5435</v>
      </c>
      <c r="G5" t="s">
        <v>3668</v>
      </c>
      <c r="H5" t="s">
        <v>5421</v>
      </c>
      <c r="I5" t="s">
        <v>5403</v>
      </c>
      <c r="J5">
        <v>2026</v>
      </c>
      <c r="K5" t="s">
        <v>5436</v>
      </c>
      <c r="L5" t="s">
        <v>5437</v>
      </c>
      <c r="M5" t="s">
        <v>5406</v>
      </c>
      <c r="N5" s="1" t="s">
        <v>4565</v>
      </c>
      <c r="O5">
        <v>24.14</v>
      </c>
      <c r="P5">
        <v>4.2889999999999997</v>
      </c>
      <c r="Q5">
        <v>45615</v>
      </c>
      <c r="R5">
        <v>114</v>
      </c>
      <c r="S5">
        <v>4.72</v>
      </c>
      <c r="T5" s="8">
        <v>103.56</v>
      </c>
      <c r="U5">
        <v>491721</v>
      </c>
      <c r="V5" t="s">
        <v>5438</v>
      </c>
      <c r="W5" t="s">
        <v>5409</v>
      </c>
      <c r="X5" t="s">
        <v>5439</v>
      </c>
      <c r="Y5" t="s">
        <v>5440</v>
      </c>
      <c r="Z5" t="s">
        <v>5441</v>
      </c>
      <c r="AA5" t="s">
        <v>5413</v>
      </c>
      <c r="AB5" t="s">
        <v>5414</v>
      </c>
      <c r="AC5" t="s">
        <v>5414</v>
      </c>
      <c r="AD5" t="s">
        <v>5414</v>
      </c>
      <c r="AG5" t="s">
        <v>5427</v>
      </c>
      <c r="AI5" t="s">
        <v>5442</v>
      </c>
      <c r="AJ5" t="s">
        <v>5443</v>
      </c>
      <c r="AL5" t="s">
        <v>5418</v>
      </c>
      <c r="AN5" t="s">
        <v>5419</v>
      </c>
    </row>
    <row r="6" spans="1:41" x14ac:dyDescent="0.25">
      <c r="A6">
        <v>1083795542</v>
      </c>
      <c r="B6" t="s">
        <v>5399</v>
      </c>
      <c r="C6">
        <v>252406</v>
      </c>
      <c r="D6" t="s">
        <v>5400</v>
      </c>
      <c r="E6">
        <v>46204.318344907406</v>
      </c>
      <c r="F6" t="s">
        <v>5444</v>
      </c>
      <c r="G6" t="s">
        <v>3668</v>
      </c>
      <c r="H6" t="s">
        <v>5431</v>
      </c>
      <c r="I6" t="s">
        <v>5403</v>
      </c>
      <c r="J6">
        <v>2026</v>
      </c>
      <c r="K6" t="s">
        <v>5445</v>
      </c>
      <c r="L6" t="s">
        <v>5446</v>
      </c>
      <c r="M6" t="s">
        <v>5406</v>
      </c>
      <c r="N6" s="1" t="s">
        <v>4565</v>
      </c>
      <c r="O6">
        <v>43.24</v>
      </c>
      <c r="P6">
        <v>4.29</v>
      </c>
      <c r="Q6">
        <v>17581</v>
      </c>
      <c r="R6">
        <v>334</v>
      </c>
      <c r="S6">
        <v>7.72</v>
      </c>
      <c r="T6" s="8">
        <v>185.5</v>
      </c>
      <c r="U6">
        <v>11198252</v>
      </c>
      <c r="V6" t="s">
        <v>5424</v>
      </c>
      <c r="W6" t="s">
        <v>5409</v>
      </c>
      <c r="X6" t="s">
        <v>5425</v>
      </c>
      <c r="Y6" t="s">
        <v>5411</v>
      </c>
      <c r="Z6" t="s">
        <v>5426</v>
      </c>
      <c r="AA6" t="s">
        <v>5413</v>
      </c>
      <c r="AB6" t="s">
        <v>5414</v>
      </c>
      <c r="AC6" t="s">
        <v>5414</v>
      </c>
      <c r="AD6" t="s">
        <v>5414</v>
      </c>
      <c r="AG6" t="s">
        <v>5427</v>
      </c>
      <c r="AI6" t="s">
        <v>5428</v>
      </c>
      <c r="AJ6" t="s">
        <v>5447</v>
      </c>
      <c r="AL6" t="s">
        <v>5418</v>
      </c>
      <c r="AN6" t="s">
        <v>5419</v>
      </c>
    </row>
    <row r="7" spans="1:41" x14ac:dyDescent="0.25">
      <c r="A7">
        <v>1083797667</v>
      </c>
      <c r="B7" t="s">
        <v>5399</v>
      </c>
      <c r="C7">
        <v>252406</v>
      </c>
      <c r="D7" t="s">
        <v>5400</v>
      </c>
      <c r="E7">
        <v>46204.322233796294</v>
      </c>
      <c r="F7" t="s">
        <v>5401</v>
      </c>
      <c r="G7" t="s">
        <v>3668</v>
      </c>
      <c r="H7" t="s">
        <v>5402</v>
      </c>
      <c r="I7" t="s">
        <v>5403</v>
      </c>
      <c r="J7">
        <v>2026</v>
      </c>
      <c r="K7" t="s">
        <v>5404</v>
      </c>
      <c r="L7" t="s">
        <v>5405</v>
      </c>
      <c r="M7" t="s">
        <v>5406</v>
      </c>
      <c r="N7" s="1" t="s">
        <v>4565</v>
      </c>
      <c r="O7">
        <v>30.69</v>
      </c>
      <c r="P7">
        <v>3.59</v>
      </c>
      <c r="Q7">
        <v>31447</v>
      </c>
      <c r="R7">
        <v>269</v>
      </c>
      <c r="S7">
        <v>8.77</v>
      </c>
      <c r="T7" s="8">
        <v>110.18</v>
      </c>
      <c r="U7">
        <v>12815000</v>
      </c>
      <c r="V7" t="s">
        <v>5448</v>
      </c>
      <c r="W7" t="s">
        <v>5409</v>
      </c>
      <c r="X7" t="s">
        <v>5449</v>
      </c>
      <c r="Y7" t="s">
        <v>5450</v>
      </c>
      <c r="Z7" t="s">
        <v>5426</v>
      </c>
      <c r="AA7" t="s">
        <v>5413</v>
      </c>
      <c r="AB7" t="s">
        <v>5414</v>
      </c>
      <c r="AC7" t="s">
        <v>5414</v>
      </c>
      <c r="AD7" t="s">
        <v>5414</v>
      </c>
      <c r="AG7" t="s">
        <v>5427</v>
      </c>
      <c r="AI7" t="s">
        <v>5451</v>
      </c>
      <c r="AJ7" t="s">
        <v>5417</v>
      </c>
      <c r="AL7" t="s">
        <v>5418</v>
      </c>
      <c r="AN7" t="s">
        <v>5419</v>
      </c>
    </row>
    <row r="8" spans="1:41" x14ac:dyDescent="0.25">
      <c r="A8">
        <v>1083773564</v>
      </c>
      <c r="B8" t="s">
        <v>5399</v>
      </c>
      <c r="C8">
        <v>252406</v>
      </c>
      <c r="D8" t="s">
        <v>5400</v>
      </c>
      <c r="E8">
        <v>46204.323171296295</v>
      </c>
      <c r="F8" t="s">
        <v>5452</v>
      </c>
      <c r="G8" t="s">
        <v>3668</v>
      </c>
      <c r="H8" t="s">
        <v>5453</v>
      </c>
      <c r="I8" t="s">
        <v>5403</v>
      </c>
      <c r="J8">
        <v>2026</v>
      </c>
      <c r="K8" t="s">
        <v>5454</v>
      </c>
      <c r="L8" t="s">
        <v>5455</v>
      </c>
      <c r="M8" t="s">
        <v>5406</v>
      </c>
      <c r="N8" s="1" t="s">
        <v>4565</v>
      </c>
      <c r="O8">
        <v>36.450000000000003</v>
      </c>
      <c r="P8">
        <v>4.6500000000000004</v>
      </c>
      <c r="Q8">
        <v>38082</v>
      </c>
      <c r="R8">
        <v>315</v>
      </c>
      <c r="S8">
        <v>8.64</v>
      </c>
      <c r="T8" s="8">
        <v>169.5</v>
      </c>
      <c r="U8">
        <v>11040292</v>
      </c>
      <c r="V8" t="s">
        <v>5456</v>
      </c>
      <c r="W8" t="s">
        <v>5409</v>
      </c>
      <c r="X8" t="s">
        <v>5457</v>
      </c>
      <c r="Y8" t="s">
        <v>5458</v>
      </c>
      <c r="Z8" t="s">
        <v>5459</v>
      </c>
      <c r="AA8" t="s">
        <v>5413</v>
      </c>
      <c r="AB8" t="s">
        <v>5414</v>
      </c>
      <c r="AC8" t="s">
        <v>5414</v>
      </c>
      <c r="AD8" t="s">
        <v>5414</v>
      </c>
      <c r="AG8" t="s">
        <v>5415</v>
      </c>
      <c r="AI8" t="s">
        <v>5460</v>
      </c>
      <c r="AJ8" t="s">
        <v>5461</v>
      </c>
      <c r="AL8" t="s">
        <v>5418</v>
      </c>
      <c r="AN8" t="s">
        <v>5419</v>
      </c>
    </row>
    <row r="9" spans="1:41" x14ac:dyDescent="0.25">
      <c r="A9">
        <v>1083798484</v>
      </c>
      <c r="B9" t="s">
        <v>5399</v>
      </c>
      <c r="C9">
        <v>252406</v>
      </c>
      <c r="D9" t="s">
        <v>5400</v>
      </c>
      <c r="E9">
        <v>46204.32366898148</v>
      </c>
      <c r="F9" t="s">
        <v>5462</v>
      </c>
      <c r="G9" t="s">
        <v>3668</v>
      </c>
      <c r="H9" t="s">
        <v>5402</v>
      </c>
      <c r="I9" t="s">
        <v>5403</v>
      </c>
      <c r="J9">
        <v>2026</v>
      </c>
      <c r="K9" t="s">
        <v>5463</v>
      </c>
      <c r="L9" t="s">
        <v>5464</v>
      </c>
      <c r="M9" t="s">
        <v>5406</v>
      </c>
      <c r="N9" s="1" t="s">
        <v>4565</v>
      </c>
      <c r="O9">
        <v>30.78</v>
      </c>
      <c r="P9">
        <v>3.589</v>
      </c>
      <c r="Q9">
        <v>24373</v>
      </c>
      <c r="R9">
        <v>132</v>
      </c>
      <c r="S9">
        <v>4.29</v>
      </c>
      <c r="T9" s="8">
        <v>110.5</v>
      </c>
      <c r="U9">
        <v>12815000</v>
      </c>
      <c r="V9" t="s">
        <v>5448</v>
      </c>
      <c r="W9" t="s">
        <v>5409</v>
      </c>
      <c r="X9" t="s">
        <v>5449</v>
      </c>
      <c r="Y9" t="s">
        <v>5450</v>
      </c>
      <c r="Z9" t="s">
        <v>5426</v>
      </c>
      <c r="AA9" t="s">
        <v>5413</v>
      </c>
      <c r="AB9" t="s">
        <v>5414</v>
      </c>
      <c r="AC9" t="s">
        <v>5414</v>
      </c>
      <c r="AD9" t="s">
        <v>5414</v>
      </c>
      <c r="AG9" t="s">
        <v>5427</v>
      </c>
      <c r="AI9" t="s">
        <v>5451</v>
      </c>
      <c r="AJ9" t="s">
        <v>5465</v>
      </c>
      <c r="AL9" t="s">
        <v>5418</v>
      </c>
      <c r="AN9" t="s">
        <v>5419</v>
      </c>
    </row>
    <row r="10" spans="1:41" x14ac:dyDescent="0.25">
      <c r="A10">
        <v>1083801582</v>
      </c>
      <c r="B10" t="s">
        <v>5399</v>
      </c>
      <c r="C10">
        <v>252406</v>
      </c>
      <c r="D10" t="s">
        <v>5400</v>
      </c>
      <c r="E10">
        <v>46204.329733796294</v>
      </c>
      <c r="F10" t="s">
        <v>5466</v>
      </c>
      <c r="G10" t="s">
        <v>3668</v>
      </c>
      <c r="H10" t="s">
        <v>5467</v>
      </c>
      <c r="I10" t="s">
        <v>5403</v>
      </c>
      <c r="J10">
        <v>2025</v>
      </c>
      <c r="K10" t="s">
        <v>5468</v>
      </c>
      <c r="L10" t="s">
        <v>5469</v>
      </c>
      <c r="M10" t="s">
        <v>5406</v>
      </c>
      <c r="N10" s="1" t="s">
        <v>4565</v>
      </c>
      <c r="O10">
        <v>46</v>
      </c>
      <c r="P10">
        <v>4.55</v>
      </c>
      <c r="Q10">
        <v>61175</v>
      </c>
      <c r="R10">
        <v>240</v>
      </c>
      <c r="S10">
        <v>5.22</v>
      </c>
      <c r="T10" s="8">
        <v>209.3</v>
      </c>
      <c r="U10">
        <v>108758</v>
      </c>
      <c r="V10" t="s">
        <v>5470</v>
      </c>
      <c r="W10" t="s">
        <v>5409</v>
      </c>
      <c r="X10" t="s">
        <v>5471</v>
      </c>
      <c r="Y10" t="s">
        <v>5411</v>
      </c>
      <c r="Z10" t="s">
        <v>5472</v>
      </c>
      <c r="AA10" t="s">
        <v>5413</v>
      </c>
      <c r="AB10" t="s">
        <v>5414</v>
      </c>
      <c r="AC10" t="s">
        <v>5414</v>
      </c>
      <c r="AD10" t="s">
        <v>5414</v>
      </c>
      <c r="AG10" t="s">
        <v>5427</v>
      </c>
      <c r="AI10" t="s">
        <v>5473</v>
      </c>
      <c r="AJ10" t="s">
        <v>5474</v>
      </c>
      <c r="AL10" t="s">
        <v>5418</v>
      </c>
      <c r="AN10" t="s">
        <v>5419</v>
      </c>
    </row>
    <row r="11" spans="1:41" x14ac:dyDescent="0.25">
      <c r="A11">
        <v>1083811240</v>
      </c>
      <c r="B11" t="s">
        <v>5399</v>
      </c>
      <c r="C11">
        <v>252406</v>
      </c>
      <c r="D11" t="s">
        <v>5400</v>
      </c>
      <c r="E11">
        <v>46204.345555555556</v>
      </c>
      <c r="F11" t="s">
        <v>5475</v>
      </c>
      <c r="G11" t="s">
        <v>3668</v>
      </c>
      <c r="H11" t="s">
        <v>5467</v>
      </c>
      <c r="I11" t="s">
        <v>5403</v>
      </c>
      <c r="J11">
        <v>2026</v>
      </c>
      <c r="K11" t="s">
        <v>5468</v>
      </c>
      <c r="L11" t="s">
        <v>5469</v>
      </c>
      <c r="M11" t="s">
        <v>5406</v>
      </c>
      <c r="N11" s="1" t="s">
        <v>4565</v>
      </c>
      <c r="O11">
        <v>38.56</v>
      </c>
      <c r="P11">
        <v>4.55</v>
      </c>
      <c r="Q11">
        <v>32108</v>
      </c>
      <c r="R11">
        <v>153</v>
      </c>
      <c r="S11">
        <v>3.97</v>
      </c>
      <c r="T11" s="8">
        <v>175.45</v>
      </c>
      <c r="U11">
        <v>108758</v>
      </c>
      <c r="V11" t="s">
        <v>5470</v>
      </c>
      <c r="W11" t="s">
        <v>5409</v>
      </c>
      <c r="X11" t="s">
        <v>5471</v>
      </c>
      <c r="Y11" t="s">
        <v>5411</v>
      </c>
      <c r="Z11" t="s">
        <v>5472</v>
      </c>
      <c r="AA11" t="s">
        <v>5413</v>
      </c>
      <c r="AB11" t="s">
        <v>5414</v>
      </c>
      <c r="AC11" t="s">
        <v>5414</v>
      </c>
      <c r="AD11" t="s">
        <v>5414</v>
      </c>
      <c r="AG11" t="s">
        <v>5427</v>
      </c>
      <c r="AI11" t="s">
        <v>5473</v>
      </c>
      <c r="AJ11" t="s">
        <v>5476</v>
      </c>
      <c r="AL11" t="s">
        <v>5418</v>
      </c>
      <c r="AN11" t="s">
        <v>5419</v>
      </c>
    </row>
    <row r="12" spans="1:41" x14ac:dyDescent="0.25">
      <c r="A12">
        <v>1083788214</v>
      </c>
      <c r="B12" t="s">
        <v>5399</v>
      </c>
      <c r="C12">
        <v>252406</v>
      </c>
      <c r="D12" t="s">
        <v>5400</v>
      </c>
      <c r="E12">
        <v>46204.348634259259</v>
      </c>
      <c r="F12" t="s">
        <v>5477</v>
      </c>
      <c r="G12" t="s">
        <v>3668</v>
      </c>
      <c r="H12" t="s">
        <v>5478</v>
      </c>
      <c r="I12" t="s">
        <v>5403</v>
      </c>
      <c r="J12">
        <v>2015</v>
      </c>
      <c r="K12" t="s">
        <v>5479</v>
      </c>
      <c r="L12" t="s">
        <v>5480</v>
      </c>
      <c r="M12" t="s">
        <v>5406</v>
      </c>
      <c r="N12" s="1" t="s">
        <v>4565</v>
      </c>
      <c r="O12">
        <v>45</v>
      </c>
      <c r="P12">
        <v>4.49</v>
      </c>
      <c r="Q12">
        <v>243721</v>
      </c>
      <c r="R12">
        <v>349</v>
      </c>
      <c r="S12">
        <v>7.76</v>
      </c>
      <c r="T12" s="8">
        <v>202.05</v>
      </c>
      <c r="U12">
        <v>578355</v>
      </c>
      <c r="V12" t="s">
        <v>5481</v>
      </c>
      <c r="W12" t="s">
        <v>5409</v>
      </c>
      <c r="X12" t="s">
        <v>5482</v>
      </c>
      <c r="Y12" t="s">
        <v>5411</v>
      </c>
      <c r="Z12" t="s">
        <v>5483</v>
      </c>
      <c r="AA12" t="s">
        <v>5413</v>
      </c>
      <c r="AB12" t="s">
        <v>5414</v>
      </c>
      <c r="AC12" t="s">
        <v>5414</v>
      </c>
      <c r="AD12" t="s">
        <v>5414</v>
      </c>
      <c r="AG12" t="s">
        <v>5415</v>
      </c>
      <c r="AI12" t="s">
        <v>5484</v>
      </c>
      <c r="AJ12" t="s">
        <v>5485</v>
      </c>
      <c r="AL12" t="s">
        <v>5418</v>
      </c>
      <c r="AN12" t="s">
        <v>5419</v>
      </c>
    </row>
    <row r="13" spans="1:41" x14ac:dyDescent="0.25">
      <c r="A13">
        <v>1083794974</v>
      </c>
      <c r="B13" t="s">
        <v>5399</v>
      </c>
      <c r="C13">
        <v>252406</v>
      </c>
      <c r="D13" t="s">
        <v>5400</v>
      </c>
      <c r="E13">
        <v>46204.35833333333</v>
      </c>
      <c r="F13" t="s">
        <v>5486</v>
      </c>
      <c r="G13" t="s">
        <v>3668</v>
      </c>
      <c r="H13" t="s">
        <v>5487</v>
      </c>
      <c r="I13" t="s">
        <v>5403</v>
      </c>
      <c r="J13">
        <v>2025</v>
      </c>
      <c r="K13" t="s">
        <v>5488</v>
      </c>
      <c r="L13" t="s">
        <v>5489</v>
      </c>
      <c r="M13" t="s">
        <v>5406</v>
      </c>
      <c r="N13" s="1" t="s">
        <v>4565</v>
      </c>
      <c r="O13">
        <v>38.729999999999997</v>
      </c>
      <c r="P13">
        <v>4.38</v>
      </c>
      <c r="Q13">
        <v>52232</v>
      </c>
      <c r="R13">
        <v>323</v>
      </c>
      <c r="S13">
        <v>8.34</v>
      </c>
      <c r="T13" s="8">
        <v>169.64</v>
      </c>
      <c r="U13">
        <v>11153887</v>
      </c>
      <c r="V13" t="s">
        <v>5490</v>
      </c>
      <c r="W13" t="s">
        <v>5409</v>
      </c>
      <c r="X13" t="s">
        <v>5491</v>
      </c>
      <c r="Y13" t="s">
        <v>5492</v>
      </c>
      <c r="Z13" t="s">
        <v>5426</v>
      </c>
      <c r="AA13" t="s">
        <v>5413</v>
      </c>
      <c r="AB13" t="s">
        <v>5414</v>
      </c>
      <c r="AC13" t="s">
        <v>5414</v>
      </c>
      <c r="AD13" t="s">
        <v>5414</v>
      </c>
      <c r="AG13" t="s">
        <v>5415</v>
      </c>
      <c r="AI13" t="s">
        <v>5460</v>
      </c>
      <c r="AJ13" t="s">
        <v>5493</v>
      </c>
      <c r="AL13" t="s">
        <v>5418</v>
      </c>
      <c r="AN13" t="s">
        <v>5419</v>
      </c>
    </row>
    <row r="14" spans="1:41" x14ac:dyDescent="0.25">
      <c r="A14">
        <v>1083796990</v>
      </c>
      <c r="B14" t="s">
        <v>5399</v>
      </c>
      <c r="C14">
        <v>252406</v>
      </c>
      <c r="D14" t="s">
        <v>5400</v>
      </c>
      <c r="E14">
        <v>46204.362326388888</v>
      </c>
      <c r="F14" t="s">
        <v>5494</v>
      </c>
      <c r="G14" t="s">
        <v>3668</v>
      </c>
      <c r="H14" t="s">
        <v>5495</v>
      </c>
      <c r="I14" t="s">
        <v>5403</v>
      </c>
      <c r="J14">
        <v>2026</v>
      </c>
      <c r="K14" t="s">
        <v>5496</v>
      </c>
      <c r="L14" t="s">
        <v>5497</v>
      </c>
      <c r="M14" t="s">
        <v>5406</v>
      </c>
      <c r="N14" s="1" t="s">
        <v>4565</v>
      </c>
      <c r="O14">
        <v>30.69</v>
      </c>
      <c r="P14">
        <v>3.94</v>
      </c>
      <c r="Q14">
        <v>55427</v>
      </c>
      <c r="R14">
        <v>283</v>
      </c>
      <c r="S14">
        <v>9.2200000000000006</v>
      </c>
      <c r="T14" s="8">
        <v>120.93</v>
      </c>
      <c r="U14">
        <v>11685072</v>
      </c>
      <c r="V14" t="s">
        <v>5498</v>
      </c>
      <c r="W14" t="s">
        <v>5409</v>
      </c>
      <c r="X14" t="s">
        <v>5499</v>
      </c>
      <c r="Y14" t="s">
        <v>5500</v>
      </c>
      <c r="Z14" t="s">
        <v>5501</v>
      </c>
      <c r="AA14" t="s">
        <v>5502</v>
      </c>
      <c r="AB14" t="s">
        <v>5414</v>
      </c>
      <c r="AC14" t="s">
        <v>5414</v>
      </c>
      <c r="AD14" t="s">
        <v>5414</v>
      </c>
      <c r="AG14" t="s">
        <v>5415</v>
      </c>
      <c r="AI14" t="s">
        <v>5503</v>
      </c>
      <c r="AJ14" t="s">
        <v>5504</v>
      </c>
      <c r="AL14" t="s">
        <v>5418</v>
      </c>
      <c r="AN14" t="s">
        <v>5419</v>
      </c>
    </row>
    <row r="15" spans="1:41" x14ac:dyDescent="0.25">
      <c r="A15">
        <v>1083822924</v>
      </c>
      <c r="B15" t="s">
        <v>5399</v>
      </c>
      <c r="C15">
        <v>252406</v>
      </c>
      <c r="D15" t="s">
        <v>5400</v>
      </c>
      <c r="E15">
        <v>46204.406284722223</v>
      </c>
      <c r="F15" t="s">
        <v>5505</v>
      </c>
      <c r="G15" t="s">
        <v>3668</v>
      </c>
      <c r="H15" t="s">
        <v>5506</v>
      </c>
      <c r="I15" t="s">
        <v>5403</v>
      </c>
      <c r="J15">
        <v>2026</v>
      </c>
      <c r="K15" t="s">
        <v>5507</v>
      </c>
      <c r="L15" t="s">
        <v>5508</v>
      </c>
      <c r="M15" t="s">
        <v>5406</v>
      </c>
      <c r="N15" s="1" t="s">
        <v>4565</v>
      </c>
      <c r="O15">
        <v>35.67</v>
      </c>
      <c r="P15">
        <v>4.2889999999999997</v>
      </c>
      <c r="Q15">
        <v>3246</v>
      </c>
      <c r="R15">
        <v>244</v>
      </c>
      <c r="S15">
        <v>6.84</v>
      </c>
      <c r="T15" s="8">
        <v>153.02000000000001</v>
      </c>
      <c r="U15">
        <v>491721</v>
      </c>
      <c r="V15" t="s">
        <v>5438</v>
      </c>
      <c r="W15" t="s">
        <v>5409</v>
      </c>
      <c r="X15" t="s">
        <v>5439</v>
      </c>
      <c r="Y15" t="s">
        <v>5440</v>
      </c>
      <c r="Z15" t="s">
        <v>5441</v>
      </c>
      <c r="AA15" t="s">
        <v>5413</v>
      </c>
      <c r="AB15" t="s">
        <v>5414</v>
      </c>
      <c r="AC15" t="s">
        <v>5414</v>
      </c>
      <c r="AD15" t="s">
        <v>5414</v>
      </c>
      <c r="AG15" t="s">
        <v>5415</v>
      </c>
      <c r="AI15" t="s">
        <v>5460</v>
      </c>
      <c r="AJ15" t="s">
        <v>5509</v>
      </c>
      <c r="AL15" t="s">
        <v>5418</v>
      </c>
      <c r="AN15" t="s">
        <v>5419</v>
      </c>
    </row>
    <row r="16" spans="1:41" x14ac:dyDescent="0.25">
      <c r="A16">
        <v>1083849394</v>
      </c>
      <c r="B16" t="s">
        <v>5399</v>
      </c>
      <c r="C16">
        <v>252406</v>
      </c>
      <c r="D16" t="s">
        <v>5400</v>
      </c>
      <c r="E16">
        <v>46204.427569444444</v>
      </c>
      <c r="F16" t="s">
        <v>5510</v>
      </c>
      <c r="G16" t="s">
        <v>3668</v>
      </c>
      <c r="H16" t="s">
        <v>5511</v>
      </c>
      <c r="I16" t="s">
        <v>5403</v>
      </c>
      <c r="J16">
        <v>2025</v>
      </c>
      <c r="K16" t="s">
        <v>5512</v>
      </c>
      <c r="L16" t="s">
        <v>5513</v>
      </c>
      <c r="M16" t="s">
        <v>5406</v>
      </c>
      <c r="N16" s="1" t="s">
        <v>4565</v>
      </c>
      <c r="O16">
        <v>35.74</v>
      </c>
      <c r="P16">
        <v>4.3499999999999996</v>
      </c>
      <c r="Q16">
        <v>80311</v>
      </c>
      <c r="R16">
        <v>228</v>
      </c>
      <c r="S16">
        <v>6.38</v>
      </c>
      <c r="T16" s="8">
        <v>155.47</v>
      </c>
      <c r="U16">
        <v>12573782</v>
      </c>
      <c r="V16" t="s">
        <v>5514</v>
      </c>
      <c r="W16" t="s">
        <v>5409</v>
      </c>
      <c r="X16" t="s">
        <v>5515</v>
      </c>
      <c r="Y16" t="s">
        <v>5516</v>
      </c>
      <c r="Z16" t="s">
        <v>5426</v>
      </c>
      <c r="AA16" t="s">
        <v>5413</v>
      </c>
      <c r="AB16" t="s">
        <v>5414</v>
      </c>
      <c r="AC16" t="s">
        <v>5414</v>
      </c>
      <c r="AD16" t="s">
        <v>5414</v>
      </c>
      <c r="AG16" t="s">
        <v>5427</v>
      </c>
      <c r="AI16" t="s">
        <v>5517</v>
      </c>
      <c r="AJ16" t="s">
        <v>5518</v>
      </c>
      <c r="AL16" t="s">
        <v>5418</v>
      </c>
      <c r="AN16" t="s">
        <v>5419</v>
      </c>
    </row>
    <row r="17" spans="1:40" x14ac:dyDescent="0.25">
      <c r="A17">
        <v>1083843238</v>
      </c>
      <c r="B17" t="s">
        <v>5399</v>
      </c>
      <c r="C17">
        <v>252406</v>
      </c>
      <c r="D17" t="s">
        <v>5400</v>
      </c>
      <c r="E17">
        <v>46204.453043981484</v>
      </c>
      <c r="F17" t="s">
        <v>5519</v>
      </c>
      <c r="G17" t="s">
        <v>3668</v>
      </c>
      <c r="H17" t="s">
        <v>5467</v>
      </c>
      <c r="I17" t="s">
        <v>5403</v>
      </c>
      <c r="J17">
        <v>2027</v>
      </c>
      <c r="K17" t="s">
        <v>5520</v>
      </c>
      <c r="L17" t="s">
        <v>5521</v>
      </c>
      <c r="M17" t="s">
        <v>5406</v>
      </c>
      <c r="N17" s="1" t="s">
        <v>4565</v>
      </c>
      <c r="O17">
        <v>39.11</v>
      </c>
      <c r="P17">
        <v>4.1890000000000001</v>
      </c>
      <c r="Q17">
        <v>10774</v>
      </c>
      <c r="R17">
        <v>314</v>
      </c>
      <c r="S17">
        <v>8.0299999999999994</v>
      </c>
      <c r="T17" s="8">
        <v>163.87</v>
      </c>
      <c r="U17">
        <v>11040306</v>
      </c>
      <c r="V17" t="s">
        <v>5408</v>
      </c>
      <c r="W17" t="s">
        <v>5409</v>
      </c>
      <c r="X17" t="s">
        <v>5410</v>
      </c>
      <c r="Y17" t="s">
        <v>5411</v>
      </c>
      <c r="Z17" t="s">
        <v>5412</v>
      </c>
      <c r="AA17" t="s">
        <v>5413</v>
      </c>
      <c r="AB17" t="s">
        <v>5414</v>
      </c>
      <c r="AC17" t="s">
        <v>5414</v>
      </c>
      <c r="AD17" t="s">
        <v>5414</v>
      </c>
      <c r="AG17" t="s">
        <v>5415</v>
      </c>
      <c r="AI17" t="s">
        <v>5522</v>
      </c>
      <c r="AJ17" t="s">
        <v>5523</v>
      </c>
      <c r="AL17" t="s">
        <v>5418</v>
      </c>
      <c r="AN17" t="s">
        <v>5419</v>
      </c>
    </row>
    <row r="18" spans="1:40" x14ac:dyDescent="0.25">
      <c r="A18">
        <v>1083866352</v>
      </c>
      <c r="B18" t="s">
        <v>5399</v>
      </c>
      <c r="C18">
        <v>252406</v>
      </c>
      <c r="D18" t="s">
        <v>5400</v>
      </c>
      <c r="E18">
        <v>46204.515462962961</v>
      </c>
      <c r="F18" t="s">
        <v>5524</v>
      </c>
      <c r="G18" t="s">
        <v>3668</v>
      </c>
      <c r="H18" t="s">
        <v>5421</v>
      </c>
      <c r="I18" t="s">
        <v>5524</v>
      </c>
      <c r="J18">
        <v>2025</v>
      </c>
      <c r="K18" t="s">
        <v>5525</v>
      </c>
      <c r="L18" t="s">
        <v>5526</v>
      </c>
      <c r="M18" t="s">
        <v>5406</v>
      </c>
      <c r="N18" s="1" t="s">
        <v>4565</v>
      </c>
      <c r="O18">
        <v>36</v>
      </c>
      <c r="P18">
        <v>4.49</v>
      </c>
      <c r="Q18">
        <v>62777</v>
      </c>
      <c r="R18">
        <v>344</v>
      </c>
      <c r="S18">
        <v>9.56</v>
      </c>
      <c r="T18" s="8">
        <v>161.63999999999999</v>
      </c>
      <c r="U18">
        <v>578355</v>
      </c>
      <c r="V18" t="s">
        <v>5481</v>
      </c>
      <c r="W18" t="s">
        <v>5409</v>
      </c>
      <c r="X18" t="s">
        <v>5482</v>
      </c>
      <c r="Y18" t="s">
        <v>5411</v>
      </c>
      <c r="Z18" t="s">
        <v>5483</v>
      </c>
      <c r="AA18" t="s">
        <v>5413</v>
      </c>
      <c r="AB18" t="s">
        <v>5414</v>
      </c>
      <c r="AC18" t="s">
        <v>5414</v>
      </c>
      <c r="AD18" t="s">
        <v>5414</v>
      </c>
      <c r="AG18" t="s">
        <v>5415</v>
      </c>
      <c r="AI18" t="s">
        <v>5484</v>
      </c>
      <c r="AJ18" t="s">
        <v>5527</v>
      </c>
      <c r="AK18" t="s">
        <v>5528</v>
      </c>
      <c r="AL18" t="s">
        <v>5418</v>
      </c>
      <c r="AN18" t="s">
        <v>5529</v>
      </c>
    </row>
    <row r="19" spans="1:40" x14ac:dyDescent="0.25">
      <c r="A19">
        <v>1083889762</v>
      </c>
      <c r="B19" t="s">
        <v>5399</v>
      </c>
      <c r="C19">
        <v>252406</v>
      </c>
      <c r="D19" t="s">
        <v>5400</v>
      </c>
      <c r="E19">
        <v>46204.540937500002</v>
      </c>
      <c r="F19" t="s">
        <v>5530</v>
      </c>
      <c r="G19" t="s">
        <v>3668</v>
      </c>
      <c r="H19" t="s">
        <v>5431</v>
      </c>
      <c r="I19" t="s">
        <v>5403</v>
      </c>
      <c r="J19">
        <v>2025</v>
      </c>
      <c r="K19" t="s">
        <v>5531</v>
      </c>
      <c r="L19" t="s">
        <v>5532</v>
      </c>
      <c r="M19" t="s">
        <v>5406</v>
      </c>
      <c r="N19" s="1" t="s">
        <v>4565</v>
      </c>
      <c r="O19">
        <v>43.72</v>
      </c>
      <c r="P19">
        <v>4.29</v>
      </c>
      <c r="Q19">
        <v>104894</v>
      </c>
      <c r="R19">
        <v>474</v>
      </c>
      <c r="S19">
        <v>10.84</v>
      </c>
      <c r="T19" s="8">
        <v>187.56</v>
      </c>
      <c r="U19">
        <v>11198252</v>
      </c>
      <c r="V19" t="s">
        <v>5424</v>
      </c>
      <c r="W19" t="s">
        <v>5409</v>
      </c>
      <c r="X19" t="s">
        <v>5425</v>
      </c>
      <c r="Y19" t="s">
        <v>5411</v>
      </c>
      <c r="Z19" t="s">
        <v>5426</v>
      </c>
      <c r="AA19" t="s">
        <v>5413</v>
      </c>
      <c r="AB19" t="s">
        <v>5414</v>
      </c>
      <c r="AC19" t="s">
        <v>5414</v>
      </c>
      <c r="AD19" t="s">
        <v>5414</v>
      </c>
      <c r="AG19" t="s">
        <v>5427</v>
      </c>
      <c r="AI19" t="s">
        <v>5428</v>
      </c>
      <c r="AJ19" t="s">
        <v>5533</v>
      </c>
      <c r="AL19" t="s">
        <v>5418</v>
      </c>
      <c r="AN19" t="s">
        <v>5419</v>
      </c>
    </row>
    <row r="20" spans="1:40" x14ac:dyDescent="0.25">
      <c r="A20">
        <v>1083923585</v>
      </c>
      <c r="B20" t="s">
        <v>5399</v>
      </c>
      <c r="C20">
        <v>252406</v>
      </c>
      <c r="D20" t="s">
        <v>5400</v>
      </c>
      <c r="E20">
        <v>46204.633194444446</v>
      </c>
      <c r="F20" t="s">
        <v>5534</v>
      </c>
      <c r="G20" t="s">
        <v>3668</v>
      </c>
      <c r="H20" t="s">
        <v>5421</v>
      </c>
      <c r="I20" t="s">
        <v>5403</v>
      </c>
      <c r="J20">
        <v>2027</v>
      </c>
      <c r="K20" t="s">
        <v>5535</v>
      </c>
      <c r="L20" t="s">
        <v>5536</v>
      </c>
      <c r="M20" t="s">
        <v>5406</v>
      </c>
      <c r="N20" s="1" t="s">
        <v>4565</v>
      </c>
      <c r="O20">
        <v>28.86</v>
      </c>
      <c r="P20">
        <v>4.6500000000000004</v>
      </c>
      <c r="Q20">
        <v>1369</v>
      </c>
      <c r="R20">
        <v>268</v>
      </c>
      <c r="S20">
        <v>9.2899999999999991</v>
      </c>
      <c r="T20" s="8">
        <v>134.21</v>
      </c>
      <c r="U20">
        <v>11040292</v>
      </c>
      <c r="V20" t="s">
        <v>5456</v>
      </c>
      <c r="W20" t="s">
        <v>5409</v>
      </c>
      <c r="X20" t="s">
        <v>5457</v>
      </c>
      <c r="Y20" t="s">
        <v>5458</v>
      </c>
      <c r="Z20" t="s">
        <v>5459</v>
      </c>
      <c r="AA20" t="s">
        <v>5413</v>
      </c>
      <c r="AB20" t="s">
        <v>5414</v>
      </c>
      <c r="AC20" t="s">
        <v>5414</v>
      </c>
      <c r="AD20" t="s">
        <v>5414</v>
      </c>
      <c r="AG20" t="s">
        <v>5415</v>
      </c>
      <c r="AI20" t="s">
        <v>5460</v>
      </c>
      <c r="AJ20" t="s">
        <v>5537</v>
      </c>
      <c r="AL20" t="s">
        <v>5418</v>
      </c>
      <c r="AN20" t="s">
        <v>5419</v>
      </c>
    </row>
    <row r="21" spans="1:40" x14ac:dyDescent="0.25">
      <c r="A21">
        <v>1083919091</v>
      </c>
      <c r="B21" t="s">
        <v>5399</v>
      </c>
      <c r="C21">
        <v>252406</v>
      </c>
      <c r="D21" t="s">
        <v>5400</v>
      </c>
      <c r="E21">
        <v>46204.659884259258</v>
      </c>
      <c r="F21" t="s">
        <v>5538</v>
      </c>
      <c r="G21" t="s">
        <v>3668</v>
      </c>
      <c r="H21" t="s">
        <v>5539</v>
      </c>
      <c r="I21" t="s">
        <v>5403</v>
      </c>
      <c r="J21">
        <v>2026</v>
      </c>
      <c r="K21" t="s">
        <v>5540</v>
      </c>
      <c r="L21" t="s">
        <v>5541</v>
      </c>
      <c r="M21" t="s">
        <v>5406</v>
      </c>
      <c r="N21" s="1" t="s">
        <v>5407</v>
      </c>
      <c r="O21">
        <v>10</v>
      </c>
      <c r="P21">
        <v>6.29</v>
      </c>
      <c r="Q21">
        <v>23946</v>
      </c>
      <c r="R21">
        <v>585</v>
      </c>
      <c r="S21">
        <v>58.5</v>
      </c>
      <c r="T21" s="8">
        <v>62.9</v>
      </c>
      <c r="U21">
        <v>11617867</v>
      </c>
      <c r="V21" t="s">
        <v>5542</v>
      </c>
      <c r="W21" t="s">
        <v>5409</v>
      </c>
      <c r="X21" t="s">
        <v>5543</v>
      </c>
      <c r="Y21" t="s">
        <v>5544</v>
      </c>
      <c r="Z21" t="s">
        <v>5545</v>
      </c>
      <c r="AA21" t="s">
        <v>5502</v>
      </c>
      <c r="AB21" t="s">
        <v>5414</v>
      </c>
      <c r="AC21" t="s">
        <v>5414</v>
      </c>
      <c r="AD21" t="s">
        <v>5414</v>
      </c>
      <c r="AG21" t="s">
        <v>5427</v>
      </c>
      <c r="AI21" t="s">
        <v>5546</v>
      </c>
      <c r="AJ21" t="s">
        <v>5547</v>
      </c>
      <c r="AL21" t="s">
        <v>5418</v>
      </c>
      <c r="AN21" t="s">
        <v>5419</v>
      </c>
    </row>
    <row r="22" spans="1:40" x14ac:dyDescent="0.25">
      <c r="A22">
        <v>1083932117</v>
      </c>
      <c r="B22" t="s">
        <v>5399</v>
      </c>
      <c r="C22">
        <v>252406</v>
      </c>
      <c r="D22" t="s">
        <v>5400</v>
      </c>
      <c r="E22">
        <v>46204.687592592592</v>
      </c>
      <c r="F22" t="s">
        <v>5548</v>
      </c>
      <c r="G22" t="s">
        <v>3668</v>
      </c>
      <c r="H22" t="s">
        <v>5549</v>
      </c>
      <c r="I22" t="s">
        <v>5403</v>
      </c>
      <c r="J22">
        <v>2025</v>
      </c>
      <c r="K22" t="s">
        <v>5432</v>
      </c>
      <c r="L22" t="s">
        <v>5433</v>
      </c>
      <c r="M22" t="s">
        <v>5406</v>
      </c>
      <c r="N22" s="1" t="s">
        <v>4565</v>
      </c>
      <c r="O22">
        <v>45.89</v>
      </c>
      <c r="P22">
        <v>4.1890000000000001</v>
      </c>
      <c r="Q22">
        <v>41077</v>
      </c>
      <c r="R22">
        <v>429</v>
      </c>
      <c r="S22">
        <v>9.35</v>
      </c>
      <c r="T22" s="8">
        <v>192.27</v>
      </c>
      <c r="U22">
        <v>11040306</v>
      </c>
      <c r="V22" t="s">
        <v>5408</v>
      </c>
      <c r="W22" t="s">
        <v>5409</v>
      </c>
      <c r="X22" t="s">
        <v>5410</v>
      </c>
      <c r="Y22" t="s">
        <v>5411</v>
      </c>
      <c r="Z22" t="s">
        <v>5412</v>
      </c>
      <c r="AA22" t="s">
        <v>5413</v>
      </c>
      <c r="AB22" t="s">
        <v>5414</v>
      </c>
      <c r="AC22" t="s">
        <v>5414</v>
      </c>
      <c r="AD22" t="s">
        <v>5414</v>
      </c>
      <c r="AG22" t="s">
        <v>5415</v>
      </c>
      <c r="AI22" t="s">
        <v>5416</v>
      </c>
      <c r="AJ22" t="s">
        <v>5550</v>
      </c>
      <c r="AL22" t="s">
        <v>5418</v>
      </c>
      <c r="AN22" t="s">
        <v>5419</v>
      </c>
    </row>
    <row r="23" spans="1:40" x14ac:dyDescent="0.25">
      <c r="A23">
        <v>1083937692</v>
      </c>
      <c r="B23" t="s">
        <v>5399</v>
      </c>
      <c r="C23">
        <v>252406</v>
      </c>
      <c r="D23" t="s">
        <v>5400</v>
      </c>
      <c r="E23">
        <v>46204.701851851853</v>
      </c>
      <c r="F23" t="s">
        <v>5551</v>
      </c>
      <c r="G23" t="s">
        <v>3668</v>
      </c>
      <c r="H23" t="s">
        <v>5552</v>
      </c>
      <c r="I23" t="s">
        <v>5403</v>
      </c>
      <c r="J23">
        <v>2026</v>
      </c>
      <c r="K23" t="s">
        <v>5553</v>
      </c>
      <c r="L23" t="s">
        <v>5554</v>
      </c>
      <c r="M23" t="s">
        <v>5406</v>
      </c>
      <c r="N23" s="1" t="s">
        <v>4565</v>
      </c>
      <c r="O23">
        <v>49</v>
      </c>
      <c r="P23">
        <v>4.1900000000000004</v>
      </c>
      <c r="Q23">
        <v>24111</v>
      </c>
      <c r="R23">
        <v>170</v>
      </c>
      <c r="S23">
        <v>3.47</v>
      </c>
      <c r="T23" s="8">
        <v>205.31</v>
      </c>
      <c r="U23">
        <v>11040306</v>
      </c>
      <c r="V23" t="s">
        <v>5408</v>
      </c>
      <c r="W23" t="s">
        <v>5409</v>
      </c>
      <c r="X23" t="s">
        <v>5410</v>
      </c>
      <c r="Y23" t="s">
        <v>5411</v>
      </c>
      <c r="Z23" t="s">
        <v>5412</v>
      </c>
      <c r="AA23" t="s">
        <v>5413</v>
      </c>
      <c r="AB23" t="s">
        <v>5414</v>
      </c>
      <c r="AC23" t="s">
        <v>5414</v>
      </c>
      <c r="AD23" t="s">
        <v>5414</v>
      </c>
      <c r="AG23" t="s">
        <v>5415</v>
      </c>
      <c r="AI23" t="s">
        <v>5522</v>
      </c>
      <c r="AJ23" t="s">
        <v>5555</v>
      </c>
      <c r="AL23" t="s">
        <v>5418</v>
      </c>
      <c r="AN23" t="s">
        <v>5419</v>
      </c>
    </row>
    <row r="24" spans="1:40" x14ac:dyDescent="0.25">
      <c r="A24">
        <v>1083946404</v>
      </c>
      <c r="B24" t="s">
        <v>5399</v>
      </c>
      <c r="C24">
        <v>252406</v>
      </c>
      <c r="D24" t="s">
        <v>5400</v>
      </c>
      <c r="E24">
        <v>46204.719247685185</v>
      </c>
      <c r="F24" t="s">
        <v>5556</v>
      </c>
      <c r="G24" t="s">
        <v>3668</v>
      </c>
      <c r="H24" t="s">
        <v>5431</v>
      </c>
      <c r="I24" t="s">
        <v>5403</v>
      </c>
      <c r="J24">
        <v>2026</v>
      </c>
      <c r="K24" t="s">
        <v>5557</v>
      </c>
      <c r="L24" t="s">
        <v>5558</v>
      </c>
      <c r="M24" t="s">
        <v>5406</v>
      </c>
      <c r="N24" s="1" t="s">
        <v>4565</v>
      </c>
      <c r="O24">
        <v>35.909999999999997</v>
      </c>
      <c r="P24">
        <v>4.1890000000000001</v>
      </c>
      <c r="Q24">
        <v>10374</v>
      </c>
      <c r="R24">
        <v>177</v>
      </c>
      <c r="S24">
        <v>4.93</v>
      </c>
      <c r="T24" s="8">
        <v>150.46</v>
      </c>
      <c r="U24">
        <v>11040306</v>
      </c>
      <c r="V24" t="s">
        <v>5408</v>
      </c>
      <c r="W24" t="s">
        <v>5409</v>
      </c>
      <c r="X24" t="s">
        <v>5410</v>
      </c>
      <c r="Y24" t="s">
        <v>5411</v>
      </c>
      <c r="Z24" t="s">
        <v>5412</v>
      </c>
      <c r="AA24" t="s">
        <v>5413</v>
      </c>
      <c r="AB24" t="s">
        <v>5414</v>
      </c>
      <c r="AC24" t="s">
        <v>5414</v>
      </c>
      <c r="AD24" t="s">
        <v>5414</v>
      </c>
      <c r="AG24" t="s">
        <v>5415</v>
      </c>
      <c r="AI24" t="s">
        <v>5416</v>
      </c>
      <c r="AJ24" t="s">
        <v>5559</v>
      </c>
      <c r="AL24" t="s">
        <v>5418</v>
      </c>
      <c r="AN24" t="s">
        <v>5419</v>
      </c>
    </row>
    <row r="25" spans="1:40" x14ac:dyDescent="0.25">
      <c r="A25">
        <v>1083950863</v>
      </c>
      <c r="B25" t="s">
        <v>5399</v>
      </c>
      <c r="C25">
        <v>252406</v>
      </c>
      <c r="D25" t="s">
        <v>5400</v>
      </c>
      <c r="E25">
        <v>46204.726712962962</v>
      </c>
      <c r="F25" t="s">
        <v>5560</v>
      </c>
      <c r="G25" t="s">
        <v>3668</v>
      </c>
      <c r="H25" t="s">
        <v>5561</v>
      </c>
      <c r="I25" t="s">
        <v>5403</v>
      </c>
      <c r="J25">
        <v>2026</v>
      </c>
      <c r="K25" t="s">
        <v>5562</v>
      </c>
      <c r="L25" t="s">
        <v>5563</v>
      </c>
      <c r="M25" t="s">
        <v>5406</v>
      </c>
      <c r="N25" s="1" t="s">
        <v>4565</v>
      </c>
      <c r="O25">
        <v>39.340000000000003</v>
      </c>
      <c r="P25">
        <v>4.29</v>
      </c>
      <c r="Q25">
        <v>17454</v>
      </c>
      <c r="R25">
        <v>708</v>
      </c>
      <c r="S25">
        <v>18</v>
      </c>
      <c r="T25" s="8">
        <v>168.77</v>
      </c>
      <c r="U25">
        <v>491721</v>
      </c>
      <c r="V25" t="s">
        <v>5438</v>
      </c>
      <c r="W25" t="s">
        <v>5409</v>
      </c>
      <c r="X25" t="s">
        <v>5439</v>
      </c>
      <c r="Y25" t="s">
        <v>5440</v>
      </c>
      <c r="Z25" t="s">
        <v>5441</v>
      </c>
      <c r="AA25" t="s">
        <v>5413</v>
      </c>
      <c r="AB25" t="s">
        <v>5414</v>
      </c>
      <c r="AC25" t="s">
        <v>5414</v>
      </c>
      <c r="AD25" t="s">
        <v>5414</v>
      </c>
      <c r="AG25" t="s">
        <v>5415</v>
      </c>
      <c r="AI25" t="s">
        <v>5522</v>
      </c>
      <c r="AJ25" t="s">
        <v>5564</v>
      </c>
      <c r="AL25" t="s">
        <v>5418</v>
      </c>
      <c r="AN25" t="s">
        <v>5419</v>
      </c>
    </row>
    <row r="26" spans="1:40" x14ac:dyDescent="0.25">
      <c r="A26">
        <v>1083975580</v>
      </c>
      <c r="B26" t="s">
        <v>5399</v>
      </c>
      <c r="C26">
        <v>252406</v>
      </c>
      <c r="D26" t="s">
        <v>5400</v>
      </c>
      <c r="E26">
        <v>46204.797106481485</v>
      </c>
      <c r="F26" t="s">
        <v>5462</v>
      </c>
      <c r="G26" t="s">
        <v>3668</v>
      </c>
      <c r="H26" t="s">
        <v>5402</v>
      </c>
      <c r="I26" t="s">
        <v>5403</v>
      </c>
      <c r="J26">
        <v>2026</v>
      </c>
      <c r="K26" t="s">
        <v>5463</v>
      </c>
      <c r="L26" t="s">
        <v>5464</v>
      </c>
      <c r="M26" t="s">
        <v>5406</v>
      </c>
      <c r="N26" s="1" t="s">
        <v>4565</v>
      </c>
      <c r="O26">
        <v>26.44</v>
      </c>
      <c r="P26">
        <v>4.59</v>
      </c>
      <c r="Q26">
        <v>24461</v>
      </c>
      <c r="R26">
        <v>88</v>
      </c>
      <c r="S26">
        <v>3.33</v>
      </c>
      <c r="T26" s="8">
        <v>121.36</v>
      </c>
      <c r="U26">
        <v>11289550</v>
      </c>
      <c r="V26" t="s">
        <v>5565</v>
      </c>
      <c r="W26" t="s">
        <v>5409</v>
      </c>
      <c r="X26" t="s">
        <v>5566</v>
      </c>
      <c r="Y26" t="s">
        <v>5458</v>
      </c>
      <c r="Z26" t="s">
        <v>5426</v>
      </c>
      <c r="AA26" t="s">
        <v>5413</v>
      </c>
      <c r="AB26" t="s">
        <v>5414</v>
      </c>
      <c r="AC26" t="s">
        <v>5414</v>
      </c>
      <c r="AD26" t="s">
        <v>5414</v>
      </c>
      <c r="AG26" t="s">
        <v>5415</v>
      </c>
      <c r="AI26" t="s">
        <v>5522</v>
      </c>
      <c r="AJ26" t="s">
        <v>5465</v>
      </c>
      <c r="AL26" t="s">
        <v>5418</v>
      </c>
      <c r="AN26" t="s">
        <v>5419</v>
      </c>
    </row>
    <row r="27" spans="1:40" x14ac:dyDescent="0.25">
      <c r="A27">
        <v>1083991399</v>
      </c>
      <c r="B27" t="s">
        <v>5399</v>
      </c>
      <c r="C27">
        <v>252406</v>
      </c>
      <c r="D27" t="s">
        <v>5400</v>
      </c>
      <c r="E27">
        <v>46204.825266203705</v>
      </c>
      <c r="F27" t="s">
        <v>5477</v>
      </c>
      <c r="G27" t="s">
        <v>3668</v>
      </c>
      <c r="H27" t="s">
        <v>5478</v>
      </c>
      <c r="I27" t="s">
        <v>5403</v>
      </c>
      <c r="J27">
        <v>2015</v>
      </c>
      <c r="K27" t="s">
        <v>5479</v>
      </c>
      <c r="L27" t="s">
        <v>5480</v>
      </c>
      <c r="M27" t="s">
        <v>5406</v>
      </c>
      <c r="N27" s="1" t="s">
        <v>4565</v>
      </c>
      <c r="O27">
        <v>26.73</v>
      </c>
      <c r="P27">
        <v>3.589</v>
      </c>
      <c r="Q27">
        <v>243939</v>
      </c>
      <c r="R27">
        <v>218</v>
      </c>
      <c r="S27">
        <v>8.16</v>
      </c>
      <c r="T27" s="8">
        <v>95.96</v>
      </c>
      <c r="U27">
        <v>12815000</v>
      </c>
      <c r="V27" t="s">
        <v>5448</v>
      </c>
      <c r="W27" t="s">
        <v>5409</v>
      </c>
      <c r="X27" t="s">
        <v>5449</v>
      </c>
      <c r="Y27" t="s">
        <v>5450</v>
      </c>
      <c r="Z27" t="s">
        <v>5426</v>
      </c>
      <c r="AA27" t="s">
        <v>5413</v>
      </c>
      <c r="AB27" t="s">
        <v>5414</v>
      </c>
      <c r="AC27" t="s">
        <v>5414</v>
      </c>
      <c r="AD27" t="s">
        <v>5414</v>
      </c>
      <c r="AG27" t="s">
        <v>5427</v>
      </c>
      <c r="AI27" t="s">
        <v>5451</v>
      </c>
      <c r="AJ27" t="s">
        <v>5485</v>
      </c>
      <c r="AL27" t="s">
        <v>5418</v>
      </c>
      <c r="AN27" t="s">
        <v>5419</v>
      </c>
    </row>
    <row r="28" spans="1:40" x14ac:dyDescent="0.25">
      <c r="A28">
        <v>1084023231</v>
      </c>
      <c r="B28" t="s">
        <v>5399</v>
      </c>
      <c r="C28">
        <v>252406</v>
      </c>
      <c r="D28" t="s">
        <v>5400</v>
      </c>
      <c r="E28">
        <v>46205.264270833337</v>
      </c>
      <c r="F28" t="s">
        <v>5401</v>
      </c>
      <c r="G28" t="s">
        <v>3668</v>
      </c>
      <c r="H28" t="s">
        <v>5402</v>
      </c>
      <c r="I28" t="s">
        <v>5403</v>
      </c>
      <c r="J28">
        <v>2026</v>
      </c>
      <c r="K28" t="s">
        <v>5404</v>
      </c>
      <c r="L28" t="s">
        <v>5405</v>
      </c>
      <c r="M28" t="s">
        <v>5406</v>
      </c>
      <c r="N28" s="1" t="s">
        <v>4565</v>
      </c>
      <c r="O28">
        <v>38.33</v>
      </c>
      <c r="P28">
        <v>4.29</v>
      </c>
      <c r="Q28">
        <v>31722</v>
      </c>
      <c r="R28">
        <v>275</v>
      </c>
      <c r="S28">
        <v>7.17</v>
      </c>
      <c r="T28" s="8">
        <v>164.44</v>
      </c>
      <c r="U28">
        <v>11198252</v>
      </c>
      <c r="V28" t="s">
        <v>5424</v>
      </c>
      <c r="W28" t="s">
        <v>5409</v>
      </c>
      <c r="X28" t="s">
        <v>5425</v>
      </c>
      <c r="Y28" t="s">
        <v>5411</v>
      </c>
      <c r="Z28" t="s">
        <v>5426</v>
      </c>
      <c r="AA28" t="s">
        <v>5413</v>
      </c>
      <c r="AB28" t="s">
        <v>5414</v>
      </c>
      <c r="AC28" t="s">
        <v>5414</v>
      </c>
      <c r="AD28" t="s">
        <v>5414</v>
      </c>
      <c r="AG28" t="s">
        <v>5427</v>
      </c>
      <c r="AI28" t="s">
        <v>5428</v>
      </c>
      <c r="AJ28" t="s">
        <v>5417</v>
      </c>
      <c r="AL28" t="s">
        <v>5418</v>
      </c>
      <c r="AN28" t="s">
        <v>5419</v>
      </c>
    </row>
    <row r="29" spans="1:40" x14ac:dyDescent="0.25">
      <c r="A29">
        <v>1084025537</v>
      </c>
      <c r="B29" t="s">
        <v>5399</v>
      </c>
      <c r="C29">
        <v>252406</v>
      </c>
      <c r="D29" t="s">
        <v>5400</v>
      </c>
      <c r="E29">
        <v>46205.27065972222</v>
      </c>
      <c r="F29" t="s">
        <v>5435</v>
      </c>
      <c r="G29" t="s">
        <v>3668</v>
      </c>
      <c r="H29" t="s">
        <v>5421</v>
      </c>
      <c r="I29" t="s">
        <v>5403</v>
      </c>
      <c r="J29">
        <v>2026</v>
      </c>
      <c r="K29" t="s">
        <v>5436</v>
      </c>
      <c r="L29" t="s">
        <v>5437</v>
      </c>
      <c r="M29" t="s">
        <v>5406</v>
      </c>
      <c r="N29" s="1" t="s">
        <v>4565</v>
      </c>
      <c r="O29">
        <v>29.45</v>
      </c>
      <c r="P29">
        <v>4.3499999999999996</v>
      </c>
      <c r="Q29">
        <v>45771</v>
      </c>
      <c r="R29">
        <v>156</v>
      </c>
      <c r="S29">
        <v>5.3</v>
      </c>
      <c r="T29" s="8">
        <v>128.11000000000001</v>
      </c>
      <c r="U29">
        <v>12573782</v>
      </c>
      <c r="V29" t="s">
        <v>5514</v>
      </c>
      <c r="W29" t="s">
        <v>5409</v>
      </c>
      <c r="X29" t="s">
        <v>5515</v>
      </c>
      <c r="Y29" t="s">
        <v>5516</v>
      </c>
      <c r="Z29" t="s">
        <v>5426</v>
      </c>
      <c r="AA29" t="s">
        <v>5413</v>
      </c>
      <c r="AB29" t="s">
        <v>5414</v>
      </c>
      <c r="AC29" t="s">
        <v>5414</v>
      </c>
      <c r="AD29" t="s">
        <v>5414</v>
      </c>
      <c r="AG29" t="s">
        <v>5427</v>
      </c>
      <c r="AI29" t="s">
        <v>5517</v>
      </c>
      <c r="AJ29" t="s">
        <v>5443</v>
      </c>
      <c r="AL29" t="s">
        <v>5418</v>
      </c>
      <c r="AN29" t="s">
        <v>5419</v>
      </c>
    </row>
    <row r="30" spans="1:40" x14ac:dyDescent="0.25">
      <c r="A30">
        <v>1084033643</v>
      </c>
      <c r="B30" t="s">
        <v>5399</v>
      </c>
      <c r="C30">
        <v>252406</v>
      </c>
      <c r="D30" t="s">
        <v>5400</v>
      </c>
      <c r="E30">
        <v>46205.285775462966</v>
      </c>
      <c r="F30" t="s">
        <v>5567</v>
      </c>
      <c r="G30" t="s">
        <v>3668</v>
      </c>
      <c r="H30" t="s">
        <v>5568</v>
      </c>
      <c r="I30" t="s">
        <v>5403</v>
      </c>
      <c r="J30">
        <v>2026</v>
      </c>
      <c r="K30" t="s">
        <v>5436</v>
      </c>
      <c r="L30" t="s">
        <v>5437</v>
      </c>
      <c r="M30" t="s">
        <v>5406</v>
      </c>
      <c r="N30" s="1" t="s">
        <v>4565</v>
      </c>
      <c r="O30">
        <v>39.99</v>
      </c>
      <c r="P30">
        <v>4.5890000000000004</v>
      </c>
      <c r="Q30">
        <v>817</v>
      </c>
      <c r="R30">
        <v>0</v>
      </c>
      <c r="S30">
        <v>0</v>
      </c>
      <c r="T30" s="8">
        <v>183.55</v>
      </c>
      <c r="U30">
        <v>11032621</v>
      </c>
      <c r="V30" t="s">
        <v>5569</v>
      </c>
      <c r="W30" t="s">
        <v>5409</v>
      </c>
      <c r="X30" t="s">
        <v>5570</v>
      </c>
      <c r="Y30" t="s">
        <v>5458</v>
      </c>
      <c r="Z30" t="s">
        <v>5571</v>
      </c>
      <c r="AA30" t="s">
        <v>5413</v>
      </c>
      <c r="AB30" t="s">
        <v>5414</v>
      </c>
      <c r="AC30" t="s">
        <v>5414</v>
      </c>
      <c r="AD30" t="s">
        <v>5414</v>
      </c>
      <c r="AG30" t="s">
        <v>5427</v>
      </c>
      <c r="AI30" t="s">
        <v>5572</v>
      </c>
      <c r="AJ30" t="s">
        <v>5573</v>
      </c>
      <c r="AL30" t="s">
        <v>5418</v>
      </c>
      <c r="AN30" t="s">
        <v>5419</v>
      </c>
    </row>
    <row r="31" spans="1:40" x14ac:dyDescent="0.25">
      <c r="A31">
        <v>1084066831</v>
      </c>
      <c r="B31" t="s">
        <v>5399</v>
      </c>
      <c r="C31">
        <v>252406</v>
      </c>
      <c r="D31" t="s">
        <v>5400</v>
      </c>
      <c r="E31">
        <v>46205.342037037037</v>
      </c>
      <c r="F31" t="s">
        <v>5475</v>
      </c>
      <c r="G31" t="s">
        <v>3668</v>
      </c>
      <c r="H31" t="s">
        <v>5467</v>
      </c>
      <c r="I31" t="s">
        <v>5403</v>
      </c>
      <c r="J31">
        <v>2026</v>
      </c>
      <c r="K31" t="s">
        <v>5468</v>
      </c>
      <c r="L31" t="s">
        <v>5469</v>
      </c>
      <c r="M31" t="s">
        <v>5406</v>
      </c>
      <c r="N31" s="1" t="s">
        <v>4565</v>
      </c>
      <c r="O31">
        <v>42.68</v>
      </c>
      <c r="P31">
        <v>4.29</v>
      </c>
      <c r="Q31">
        <v>32371</v>
      </c>
      <c r="R31">
        <v>263</v>
      </c>
      <c r="S31">
        <v>6.16</v>
      </c>
      <c r="T31" s="8">
        <v>183.1</v>
      </c>
      <c r="U31">
        <v>11198252</v>
      </c>
      <c r="V31" t="s">
        <v>5424</v>
      </c>
      <c r="W31" t="s">
        <v>5409</v>
      </c>
      <c r="X31" t="s">
        <v>5425</v>
      </c>
      <c r="Y31" t="s">
        <v>5411</v>
      </c>
      <c r="Z31" t="s">
        <v>5426</v>
      </c>
      <c r="AA31" t="s">
        <v>5413</v>
      </c>
      <c r="AB31" t="s">
        <v>5414</v>
      </c>
      <c r="AC31" t="s">
        <v>5414</v>
      </c>
      <c r="AD31" t="s">
        <v>5414</v>
      </c>
      <c r="AG31" t="s">
        <v>5427</v>
      </c>
      <c r="AI31" t="s">
        <v>5428</v>
      </c>
      <c r="AJ31" t="s">
        <v>5476</v>
      </c>
      <c r="AL31" t="s">
        <v>5418</v>
      </c>
      <c r="AN31" t="s">
        <v>5419</v>
      </c>
    </row>
    <row r="32" spans="1:40" x14ac:dyDescent="0.25">
      <c r="A32">
        <v>1084069416</v>
      </c>
      <c r="B32" t="s">
        <v>5399</v>
      </c>
      <c r="C32">
        <v>252406</v>
      </c>
      <c r="D32" t="s">
        <v>5400</v>
      </c>
      <c r="E32">
        <v>46205.345555555556</v>
      </c>
      <c r="F32" t="s">
        <v>5486</v>
      </c>
      <c r="G32" t="s">
        <v>3668</v>
      </c>
      <c r="H32" t="s">
        <v>5487</v>
      </c>
      <c r="I32" t="s">
        <v>5403</v>
      </c>
      <c r="J32">
        <v>2025</v>
      </c>
      <c r="K32" t="s">
        <v>5488</v>
      </c>
      <c r="L32" t="s">
        <v>5489</v>
      </c>
      <c r="M32" t="s">
        <v>5406</v>
      </c>
      <c r="N32" s="1" t="s">
        <v>4565</v>
      </c>
      <c r="O32">
        <v>29.38</v>
      </c>
      <c r="P32">
        <v>4.2889999999999997</v>
      </c>
      <c r="Q32">
        <v>52500</v>
      </c>
      <c r="R32">
        <v>268</v>
      </c>
      <c r="S32">
        <v>9.1199999999999992</v>
      </c>
      <c r="T32" s="8">
        <v>126.04</v>
      </c>
      <c r="U32">
        <v>12193017</v>
      </c>
      <c r="V32" t="s">
        <v>5574</v>
      </c>
      <c r="W32" t="s">
        <v>5409</v>
      </c>
      <c r="X32" t="s">
        <v>5575</v>
      </c>
      <c r="Y32" t="s">
        <v>5576</v>
      </c>
      <c r="Z32" t="s">
        <v>5472</v>
      </c>
      <c r="AA32" t="s">
        <v>5413</v>
      </c>
      <c r="AB32" t="s">
        <v>5414</v>
      </c>
      <c r="AC32" t="s">
        <v>5414</v>
      </c>
      <c r="AD32" t="s">
        <v>5414</v>
      </c>
      <c r="AG32" t="s">
        <v>5427</v>
      </c>
      <c r="AI32" t="s">
        <v>5577</v>
      </c>
      <c r="AJ32" t="s">
        <v>5493</v>
      </c>
      <c r="AL32" t="s">
        <v>5418</v>
      </c>
      <c r="AN32" t="s">
        <v>5419</v>
      </c>
    </row>
    <row r="33" spans="1:40" x14ac:dyDescent="0.25">
      <c r="A33">
        <v>1084056622</v>
      </c>
      <c r="B33" t="s">
        <v>5399</v>
      </c>
      <c r="C33">
        <v>252406</v>
      </c>
      <c r="D33" t="s">
        <v>5400</v>
      </c>
      <c r="E33">
        <v>46205.36650462963</v>
      </c>
      <c r="F33" t="s">
        <v>5519</v>
      </c>
      <c r="G33" t="s">
        <v>3668</v>
      </c>
      <c r="H33" t="s">
        <v>5467</v>
      </c>
      <c r="I33" t="s">
        <v>5403</v>
      </c>
      <c r="J33">
        <v>2027</v>
      </c>
      <c r="K33" t="s">
        <v>5520</v>
      </c>
      <c r="L33" t="s">
        <v>5521</v>
      </c>
      <c r="M33" t="s">
        <v>5406</v>
      </c>
      <c r="N33" s="1" t="s">
        <v>4565</v>
      </c>
      <c r="O33">
        <v>30.08</v>
      </c>
      <c r="P33">
        <v>4.1890000000000001</v>
      </c>
      <c r="Q33">
        <v>11010</v>
      </c>
      <c r="R33">
        <v>236</v>
      </c>
      <c r="S33">
        <v>7.85</v>
      </c>
      <c r="T33" s="8">
        <v>126.03</v>
      </c>
      <c r="U33">
        <v>11040306</v>
      </c>
      <c r="V33" t="s">
        <v>5408</v>
      </c>
      <c r="W33" t="s">
        <v>5409</v>
      </c>
      <c r="X33" t="s">
        <v>5410</v>
      </c>
      <c r="Y33" t="s">
        <v>5411</v>
      </c>
      <c r="Z33" t="s">
        <v>5412</v>
      </c>
      <c r="AA33" t="s">
        <v>5413</v>
      </c>
      <c r="AB33" t="s">
        <v>5414</v>
      </c>
      <c r="AC33" t="s">
        <v>5414</v>
      </c>
      <c r="AD33" t="s">
        <v>5414</v>
      </c>
      <c r="AG33" t="s">
        <v>5415</v>
      </c>
      <c r="AI33" t="s">
        <v>5522</v>
      </c>
      <c r="AJ33" t="s">
        <v>5523</v>
      </c>
      <c r="AL33" t="s">
        <v>5418</v>
      </c>
      <c r="AN33" t="s">
        <v>5419</v>
      </c>
    </row>
    <row r="34" spans="1:40" x14ac:dyDescent="0.25">
      <c r="A34">
        <v>1084067246</v>
      </c>
      <c r="B34" t="s">
        <v>5399</v>
      </c>
      <c r="C34">
        <v>252406</v>
      </c>
      <c r="D34" t="s">
        <v>5400</v>
      </c>
      <c r="E34">
        <v>46205.384606481479</v>
      </c>
      <c r="F34" t="s">
        <v>5524</v>
      </c>
      <c r="G34" t="s">
        <v>3668</v>
      </c>
      <c r="H34" t="s">
        <v>5421</v>
      </c>
      <c r="I34" t="s">
        <v>5524</v>
      </c>
      <c r="J34">
        <v>2025</v>
      </c>
      <c r="K34" t="s">
        <v>5525</v>
      </c>
      <c r="L34" t="s">
        <v>5526</v>
      </c>
      <c r="M34" t="s">
        <v>5406</v>
      </c>
      <c r="N34" s="1" t="s">
        <v>4565</v>
      </c>
      <c r="O34">
        <v>28.58</v>
      </c>
      <c r="P34">
        <v>3.919</v>
      </c>
      <c r="Q34">
        <v>63066</v>
      </c>
      <c r="R34">
        <v>289</v>
      </c>
      <c r="S34">
        <v>10.11</v>
      </c>
      <c r="T34" s="8">
        <v>112.03</v>
      </c>
      <c r="U34">
        <v>490156</v>
      </c>
      <c r="V34" t="s">
        <v>5578</v>
      </c>
      <c r="W34" t="s">
        <v>5409</v>
      </c>
      <c r="X34" t="s">
        <v>5579</v>
      </c>
      <c r="Y34" t="s">
        <v>5458</v>
      </c>
      <c r="Z34" t="s">
        <v>5412</v>
      </c>
      <c r="AA34" t="s">
        <v>5413</v>
      </c>
      <c r="AB34" t="s">
        <v>5414</v>
      </c>
      <c r="AC34" t="s">
        <v>5414</v>
      </c>
      <c r="AD34" t="s">
        <v>5414</v>
      </c>
      <c r="AG34" t="s">
        <v>5415</v>
      </c>
      <c r="AI34" t="s">
        <v>5580</v>
      </c>
      <c r="AJ34" t="s">
        <v>5527</v>
      </c>
      <c r="AK34" t="s">
        <v>5528</v>
      </c>
      <c r="AL34" t="s">
        <v>5418</v>
      </c>
      <c r="AN34" t="s">
        <v>5529</v>
      </c>
    </row>
    <row r="35" spans="1:40" x14ac:dyDescent="0.25">
      <c r="A35">
        <v>1084071574</v>
      </c>
      <c r="B35" t="s">
        <v>5399</v>
      </c>
      <c r="C35">
        <v>252406</v>
      </c>
      <c r="D35" t="s">
        <v>5400</v>
      </c>
      <c r="E35">
        <v>46205.392581018517</v>
      </c>
      <c r="F35" t="s">
        <v>5581</v>
      </c>
      <c r="G35" t="s">
        <v>3668</v>
      </c>
      <c r="H35" t="s">
        <v>5467</v>
      </c>
      <c r="I35" t="s">
        <v>5403</v>
      </c>
      <c r="J35">
        <v>2026</v>
      </c>
      <c r="K35" t="s">
        <v>5582</v>
      </c>
      <c r="L35" t="s">
        <v>5583</v>
      </c>
      <c r="M35" t="s">
        <v>5406</v>
      </c>
      <c r="N35" s="1" t="s">
        <v>4565</v>
      </c>
      <c r="O35">
        <v>43.02</v>
      </c>
      <c r="P35">
        <v>4.29</v>
      </c>
      <c r="Q35">
        <v>29173</v>
      </c>
      <c r="R35">
        <v>242</v>
      </c>
      <c r="S35">
        <v>5.63</v>
      </c>
      <c r="T35" s="8">
        <v>184.56</v>
      </c>
      <c r="U35">
        <v>491721</v>
      </c>
      <c r="V35" t="s">
        <v>5438</v>
      </c>
      <c r="W35" t="s">
        <v>5409</v>
      </c>
      <c r="X35" t="s">
        <v>5439</v>
      </c>
      <c r="Y35" t="s">
        <v>5440</v>
      </c>
      <c r="Z35" t="s">
        <v>5441</v>
      </c>
      <c r="AA35" t="s">
        <v>5413</v>
      </c>
      <c r="AB35" t="s">
        <v>5414</v>
      </c>
      <c r="AC35" t="s">
        <v>5414</v>
      </c>
      <c r="AD35" t="s">
        <v>5414</v>
      </c>
      <c r="AG35" t="s">
        <v>5415</v>
      </c>
      <c r="AI35" t="s">
        <v>5460</v>
      </c>
      <c r="AJ35" t="s">
        <v>5584</v>
      </c>
      <c r="AL35" t="s">
        <v>5418</v>
      </c>
      <c r="AN35" t="s">
        <v>5419</v>
      </c>
    </row>
    <row r="36" spans="1:40" x14ac:dyDescent="0.25">
      <c r="A36">
        <v>1084103327</v>
      </c>
      <c r="B36" t="s">
        <v>5399</v>
      </c>
      <c r="C36">
        <v>252406</v>
      </c>
      <c r="D36" t="s">
        <v>5400</v>
      </c>
      <c r="E36">
        <v>46205.421168981484</v>
      </c>
      <c r="F36" t="s">
        <v>5534</v>
      </c>
      <c r="G36" t="s">
        <v>3668</v>
      </c>
      <c r="H36" t="s">
        <v>5421</v>
      </c>
      <c r="I36" t="s">
        <v>5403</v>
      </c>
      <c r="J36">
        <v>2027</v>
      </c>
      <c r="K36" t="s">
        <v>5535</v>
      </c>
      <c r="L36" t="s">
        <v>5536</v>
      </c>
      <c r="M36" t="s">
        <v>5406</v>
      </c>
      <c r="N36" s="1" t="s">
        <v>4565</v>
      </c>
      <c r="O36">
        <v>24.95</v>
      </c>
      <c r="P36">
        <v>4.29</v>
      </c>
      <c r="Q36">
        <v>1587</v>
      </c>
      <c r="R36">
        <v>218</v>
      </c>
      <c r="S36">
        <v>8.74</v>
      </c>
      <c r="T36" s="8">
        <v>107.04</v>
      </c>
      <c r="U36">
        <v>11198252</v>
      </c>
      <c r="V36" t="s">
        <v>5424</v>
      </c>
      <c r="W36" t="s">
        <v>5409</v>
      </c>
      <c r="X36" t="s">
        <v>5425</v>
      </c>
      <c r="Y36" t="s">
        <v>5411</v>
      </c>
      <c r="Z36" t="s">
        <v>5426</v>
      </c>
      <c r="AA36" t="s">
        <v>5413</v>
      </c>
      <c r="AB36" t="s">
        <v>5414</v>
      </c>
      <c r="AC36" t="s">
        <v>5414</v>
      </c>
      <c r="AD36" t="s">
        <v>5414</v>
      </c>
      <c r="AG36" t="s">
        <v>5427</v>
      </c>
      <c r="AI36" t="s">
        <v>5428</v>
      </c>
      <c r="AJ36" t="s">
        <v>5537</v>
      </c>
      <c r="AL36" t="s">
        <v>5418</v>
      </c>
      <c r="AN36" t="s">
        <v>5419</v>
      </c>
    </row>
    <row r="37" spans="1:40" x14ac:dyDescent="0.25">
      <c r="A37">
        <v>1084106565</v>
      </c>
      <c r="B37" t="s">
        <v>5399</v>
      </c>
      <c r="C37">
        <v>252406</v>
      </c>
      <c r="D37" t="s">
        <v>5400</v>
      </c>
      <c r="E37">
        <v>46205.428993055553</v>
      </c>
      <c r="F37" t="s">
        <v>5585</v>
      </c>
      <c r="G37" t="s">
        <v>3668</v>
      </c>
      <c r="H37" t="s">
        <v>5506</v>
      </c>
      <c r="I37" t="s">
        <v>5403</v>
      </c>
      <c r="J37">
        <v>2026</v>
      </c>
      <c r="K37" t="s">
        <v>5586</v>
      </c>
      <c r="L37" t="s">
        <v>5587</v>
      </c>
      <c r="M37" t="s">
        <v>5406</v>
      </c>
      <c r="N37" s="1" t="s">
        <v>4565</v>
      </c>
      <c r="O37">
        <v>28.45</v>
      </c>
      <c r="P37">
        <v>4.2889999999999997</v>
      </c>
      <c r="Q37">
        <v>2745</v>
      </c>
      <c r="R37">
        <v>423</v>
      </c>
      <c r="S37">
        <v>14.87</v>
      </c>
      <c r="T37" s="8">
        <v>122.05</v>
      </c>
      <c r="U37">
        <v>11198252</v>
      </c>
      <c r="V37" t="s">
        <v>5424</v>
      </c>
      <c r="W37" t="s">
        <v>5409</v>
      </c>
      <c r="X37" t="s">
        <v>5425</v>
      </c>
      <c r="Y37" t="s">
        <v>5411</v>
      </c>
      <c r="Z37" t="s">
        <v>5426</v>
      </c>
      <c r="AA37" t="s">
        <v>5413</v>
      </c>
      <c r="AB37" t="s">
        <v>5414</v>
      </c>
      <c r="AC37" t="s">
        <v>5414</v>
      </c>
      <c r="AD37" t="s">
        <v>5414</v>
      </c>
      <c r="AG37" t="s">
        <v>5427</v>
      </c>
      <c r="AI37" t="s">
        <v>5428</v>
      </c>
      <c r="AJ37" t="s">
        <v>5588</v>
      </c>
      <c r="AL37" t="s">
        <v>5418</v>
      </c>
      <c r="AN37" t="s">
        <v>5419</v>
      </c>
    </row>
    <row r="38" spans="1:40" x14ac:dyDescent="0.25">
      <c r="A38">
        <v>1084112016</v>
      </c>
      <c r="B38" t="s">
        <v>5399</v>
      </c>
      <c r="C38">
        <v>252406</v>
      </c>
      <c r="D38" t="s">
        <v>5400</v>
      </c>
      <c r="E38">
        <v>46205.440740740742</v>
      </c>
      <c r="F38" t="s">
        <v>5466</v>
      </c>
      <c r="G38" t="s">
        <v>3668</v>
      </c>
      <c r="H38" t="s">
        <v>5467</v>
      </c>
      <c r="I38" t="s">
        <v>5403</v>
      </c>
      <c r="J38">
        <v>2025</v>
      </c>
      <c r="K38" t="s">
        <v>5468</v>
      </c>
      <c r="L38" t="s">
        <v>5469</v>
      </c>
      <c r="M38" t="s">
        <v>5406</v>
      </c>
      <c r="N38" s="1" t="s">
        <v>4565</v>
      </c>
      <c r="O38">
        <v>47.33</v>
      </c>
      <c r="P38">
        <v>4.29</v>
      </c>
      <c r="Q38">
        <v>61369</v>
      </c>
      <c r="R38">
        <v>194</v>
      </c>
      <c r="S38">
        <v>4.0999999999999996</v>
      </c>
      <c r="T38" s="8">
        <v>203.05</v>
      </c>
      <c r="U38">
        <v>11198252</v>
      </c>
      <c r="V38" t="s">
        <v>5424</v>
      </c>
      <c r="W38" t="s">
        <v>5409</v>
      </c>
      <c r="X38" t="s">
        <v>5425</v>
      </c>
      <c r="Y38" t="s">
        <v>5411</v>
      </c>
      <c r="Z38" t="s">
        <v>5426</v>
      </c>
      <c r="AA38" t="s">
        <v>5413</v>
      </c>
      <c r="AB38" t="s">
        <v>5414</v>
      </c>
      <c r="AC38" t="s">
        <v>5414</v>
      </c>
      <c r="AD38" t="s">
        <v>5414</v>
      </c>
      <c r="AG38" t="s">
        <v>5427</v>
      </c>
      <c r="AI38" t="s">
        <v>5428</v>
      </c>
      <c r="AJ38" t="s">
        <v>5474</v>
      </c>
      <c r="AL38" t="s">
        <v>5418</v>
      </c>
      <c r="AN38" t="s">
        <v>5419</v>
      </c>
    </row>
    <row r="39" spans="1:40" x14ac:dyDescent="0.25">
      <c r="A39">
        <v>1084112613</v>
      </c>
      <c r="B39" t="s">
        <v>5399</v>
      </c>
      <c r="C39">
        <v>252406</v>
      </c>
      <c r="D39" t="s">
        <v>5400</v>
      </c>
      <c r="E39">
        <v>46205.443055555559</v>
      </c>
      <c r="F39" t="s">
        <v>5589</v>
      </c>
      <c r="G39" t="s">
        <v>3668</v>
      </c>
      <c r="H39" t="s">
        <v>5431</v>
      </c>
      <c r="I39" t="s">
        <v>5403</v>
      </c>
      <c r="J39">
        <v>2026</v>
      </c>
      <c r="K39" t="s">
        <v>5590</v>
      </c>
      <c r="L39" t="s">
        <v>5591</v>
      </c>
      <c r="M39" t="s">
        <v>5406</v>
      </c>
      <c r="N39" s="1" t="s">
        <v>4565</v>
      </c>
      <c r="O39">
        <v>34.979999999999997</v>
      </c>
      <c r="P39">
        <v>4.2889999999999997</v>
      </c>
      <c r="Q39">
        <v>3887</v>
      </c>
      <c r="R39">
        <v>983</v>
      </c>
      <c r="S39">
        <v>28.1</v>
      </c>
      <c r="T39" s="8">
        <v>150.04</v>
      </c>
      <c r="U39">
        <v>12193017</v>
      </c>
      <c r="V39" t="s">
        <v>5574</v>
      </c>
      <c r="W39" t="s">
        <v>5409</v>
      </c>
      <c r="X39" t="s">
        <v>5575</v>
      </c>
      <c r="Y39" t="s">
        <v>5576</v>
      </c>
      <c r="Z39" t="s">
        <v>5472</v>
      </c>
      <c r="AA39" t="s">
        <v>5413</v>
      </c>
      <c r="AB39" t="s">
        <v>5414</v>
      </c>
      <c r="AC39" t="s">
        <v>5414</v>
      </c>
      <c r="AD39" t="s">
        <v>5414</v>
      </c>
      <c r="AG39" t="s">
        <v>5427</v>
      </c>
      <c r="AI39" t="s">
        <v>5577</v>
      </c>
      <c r="AJ39" t="s">
        <v>5592</v>
      </c>
      <c r="AL39" t="s">
        <v>5418</v>
      </c>
      <c r="AN39" t="s">
        <v>5419</v>
      </c>
    </row>
    <row r="40" spans="1:40" x14ac:dyDescent="0.25">
      <c r="A40">
        <v>1084127716</v>
      </c>
      <c r="B40" t="s">
        <v>5399</v>
      </c>
      <c r="C40">
        <v>252406</v>
      </c>
      <c r="D40" t="s">
        <v>5400</v>
      </c>
      <c r="E40">
        <v>46205.483495370368</v>
      </c>
      <c r="F40" t="s">
        <v>5593</v>
      </c>
      <c r="G40" t="s">
        <v>3668</v>
      </c>
      <c r="H40" t="s">
        <v>5431</v>
      </c>
      <c r="I40" t="s">
        <v>5593</v>
      </c>
      <c r="J40">
        <v>2025</v>
      </c>
      <c r="K40" t="s">
        <v>5586</v>
      </c>
      <c r="L40" t="s">
        <v>5587</v>
      </c>
      <c r="M40" t="s">
        <v>5406</v>
      </c>
      <c r="N40" s="1" t="s">
        <v>4565</v>
      </c>
      <c r="O40">
        <v>40.57</v>
      </c>
      <c r="P40">
        <v>4.29</v>
      </c>
      <c r="Q40">
        <v>53213</v>
      </c>
      <c r="R40">
        <v>314</v>
      </c>
      <c r="S40">
        <v>7.74</v>
      </c>
      <c r="T40" s="8">
        <v>174.05</v>
      </c>
      <c r="U40">
        <v>11198252</v>
      </c>
      <c r="V40" t="s">
        <v>5424</v>
      </c>
      <c r="W40" t="s">
        <v>5409</v>
      </c>
      <c r="X40" t="s">
        <v>5425</v>
      </c>
      <c r="Y40" t="s">
        <v>5411</v>
      </c>
      <c r="Z40" t="s">
        <v>5426</v>
      </c>
      <c r="AA40" t="s">
        <v>5413</v>
      </c>
      <c r="AB40" t="s">
        <v>5414</v>
      </c>
      <c r="AC40" t="s">
        <v>5414</v>
      </c>
      <c r="AD40" t="s">
        <v>5414</v>
      </c>
      <c r="AG40" t="s">
        <v>5427</v>
      </c>
      <c r="AI40" t="s">
        <v>5428</v>
      </c>
      <c r="AJ40" t="s">
        <v>5594</v>
      </c>
      <c r="AK40" t="s">
        <v>5528</v>
      </c>
      <c r="AL40" t="s">
        <v>5418</v>
      </c>
      <c r="AN40" t="s">
        <v>5595</v>
      </c>
    </row>
    <row r="41" spans="1:40" x14ac:dyDescent="0.25">
      <c r="A41">
        <v>1084146971</v>
      </c>
      <c r="B41" t="s">
        <v>5399</v>
      </c>
      <c r="C41">
        <v>252406</v>
      </c>
      <c r="D41" t="s">
        <v>5400</v>
      </c>
      <c r="E41">
        <v>46205.538564814815</v>
      </c>
      <c r="F41" t="s">
        <v>5435</v>
      </c>
      <c r="G41" t="s">
        <v>3668</v>
      </c>
      <c r="H41" t="s">
        <v>5421</v>
      </c>
      <c r="I41" t="s">
        <v>5403</v>
      </c>
      <c r="J41">
        <v>2026</v>
      </c>
      <c r="K41" t="s">
        <v>5436</v>
      </c>
      <c r="L41" t="s">
        <v>5437</v>
      </c>
      <c r="M41" t="s">
        <v>5406</v>
      </c>
      <c r="N41" s="1" t="s">
        <v>4565</v>
      </c>
      <c r="O41">
        <v>17.41</v>
      </c>
      <c r="P41">
        <v>4.6589999999999998</v>
      </c>
      <c r="Q41">
        <v>45874</v>
      </c>
      <c r="R41">
        <v>103</v>
      </c>
      <c r="S41">
        <v>5.92</v>
      </c>
      <c r="T41" s="8">
        <v>81.13</v>
      </c>
      <c r="U41">
        <v>11120083</v>
      </c>
      <c r="V41" t="s">
        <v>5596</v>
      </c>
      <c r="W41" t="s">
        <v>5409</v>
      </c>
      <c r="X41" t="s">
        <v>5597</v>
      </c>
      <c r="Y41" t="s">
        <v>5458</v>
      </c>
      <c r="Z41" t="s">
        <v>5598</v>
      </c>
      <c r="AA41" t="s">
        <v>5413</v>
      </c>
      <c r="AB41" t="s">
        <v>5414</v>
      </c>
      <c r="AC41" t="s">
        <v>5414</v>
      </c>
      <c r="AD41" t="s">
        <v>5414</v>
      </c>
      <c r="AG41" t="s">
        <v>5427</v>
      </c>
      <c r="AI41" t="s">
        <v>5599</v>
      </c>
      <c r="AJ41" t="s">
        <v>5443</v>
      </c>
      <c r="AL41" t="s">
        <v>5418</v>
      </c>
      <c r="AN41" t="s">
        <v>5419</v>
      </c>
    </row>
    <row r="42" spans="1:40" x14ac:dyDescent="0.25">
      <c r="A42">
        <v>1084147793</v>
      </c>
      <c r="B42" t="s">
        <v>5399</v>
      </c>
      <c r="C42">
        <v>252406</v>
      </c>
      <c r="D42" t="s">
        <v>5400</v>
      </c>
      <c r="E42">
        <v>46205.541631944441</v>
      </c>
      <c r="F42" t="s">
        <v>5505</v>
      </c>
      <c r="G42" t="s">
        <v>3668</v>
      </c>
      <c r="H42" t="s">
        <v>5506</v>
      </c>
      <c r="I42" t="s">
        <v>5403</v>
      </c>
      <c r="J42">
        <v>2026</v>
      </c>
      <c r="K42" t="s">
        <v>5507</v>
      </c>
      <c r="L42" t="s">
        <v>5508</v>
      </c>
      <c r="M42" t="s">
        <v>5406</v>
      </c>
      <c r="N42" s="1" t="s">
        <v>4565</v>
      </c>
      <c r="O42">
        <v>38</v>
      </c>
      <c r="P42">
        <v>4.29</v>
      </c>
      <c r="Q42">
        <v>3547</v>
      </c>
      <c r="R42">
        <v>301</v>
      </c>
      <c r="S42">
        <v>7.92</v>
      </c>
      <c r="T42" s="8">
        <v>163.02000000000001</v>
      </c>
      <c r="U42">
        <v>11198252</v>
      </c>
      <c r="V42" t="s">
        <v>5424</v>
      </c>
      <c r="W42" t="s">
        <v>5409</v>
      </c>
      <c r="X42" t="s">
        <v>5425</v>
      </c>
      <c r="Y42" t="s">
        <v>5411</v>
      </c>
      <c r="Z42" t="s">
        <v>5426</v>
      </c>
      <c r="AA42" t="s">
        <v>5413</v>
      </c>
      <c r="AB42" t="s">
        <v>5414</v>
      </c>
      <c r="AC42" t="s">
        <v>5414</v>
      </c>
      <c r="AD42" t="s">
        <v>5414</v>
      </c>
      <c r="AG42" t="s">
        <v>5427</v>
      </c>
      <c r="AI42" t="s">
        <v>5428</v>
      </c>
      <c r="AJ42" t="s">
        <v>5509</v>
      </c>
      <c r="AL42" t="s">
        <v>5418</v>
      </c>
      <c r="AN42" t="s">
        <v>5419</v>
      </c>
    </row>
    <row r="43" spans="1:40" x14ac:dyDescent="0.25">
      <c r="A43">
        <v>1084158746</v>
      </c>
      <c r="B43" t="s">
        <v>5399</v>
      </c>
      <c r="C43">
        <v>252406</v>
      </c>
      <c r="D43" t="s">
        <v>5400</v>
      </c>
      <c r="E43">
        <v>46205.569884259261</v>
      </c>
      <c r="F43" t="s">
        <v>5420</v>
      </c>
      <c r="G43" t="s">
        <v>3668</v>
      </c>
      <c r="H43" t="s">
        <v>5421</v>
      </c>
      <c r="I43" t="s">
        <v>5403</v>
      </c>
      <c r="J43">
        <v>2025</v>
      </c>
      <c r="K43" t="s">
        <v>5422</v>
      </c>
      <c r="L43" t="s">
        <v>5423</v>
      </c>
      <c r="M43" t="s">
        <v>5406</v>
      </c>
      <c r="N43" s="1" t="s">
        <v>4565</v>
      </c>
      <c r="O43">
        <v>28.56</v>
      </c>
      <c r="P43">
        <v>4.399</v>
      </c>
      <c r="Q43">
        <v>67919</v>
      </c>
      <c r="R43">
        <v>231</v>
      </c>
      <c r="S43">
        <v>8.09</v>
      </c>
      <c r="T43" s="8">
        <v>125.66</v>
      </c>
      <c r="U43">
        <v>2691388</v>
      </c>
      <c r="V43" t="s">
        <v>5600</v>
      </c>
      <c r="W43" t="s">
        <v>5409</v>
      </c>
      <c r="X43" t="s">
        <v>5601</v>
      </c>
      <c r="Y43" t="s">
        <v>5602</v>
      </c>
      <c r="Z43" t="s">
        <v>5441</v>
      </c>
      <c r="AA43" t="s">
        <v>5413</v>
      </c>
      <c r="AB43" t="s">
        <v>5414</v>
      </c>
      <c r="AC43" t="s">
        <v>5414</v>
      </c>
      <c r="AD43" t="s">
        <v>5414</v>
      </c>
      <c r="AG43" t="s">
        <v>5427</v>
      </c>
      <c r="AI43" t="s">
        <v>5603</v>
      </c>
      <c r="AJ43" t="s">
        <v>5429</v>
      </c>
      <c r="AL43" t="s">
        <v>5418</v>
      </c>
      <c r="AN43" t="s">
        <v>5419</v>
      </c>
    </row>
    <row r="44" spans="1:40" x14ac:dyDescent="0.25">
      <c r="A44">
        <v>1084143110</v>
      </c>
      <c r="B44" t="s">
        <v>5399</v>
      </c>
      <c r="C44">
        <v>252406</v>
      </c>
      <c r="D44" t="s">
        <v>5400</v>
      </c>
      <c r="E44">
        <v>46205.571064814816</v>
      </c>
      <c r="F44" t="s">
        <v>5462</v>
      </c>
      <c r="G44" t="s">
        <v>3668</v>
      </c>
      <c r="H44" t="s">
        <v>5402</v>
      </c>
      <c r="I44" t="s">
        <v>5403</v>
      </c>
      <c r="J44">
        <v>2026</v>
      </c>
      <c r="K44" t="s">
        <v>5604</v>
      </c>
      <c r="L44" t="s">
        <v>5605</v>
      </c>
      <c r="M44" t="s">
        <v>5406</v>
      </c>
      <c r="N44" s="1" t="s">
        <v>4565</v>
      </c>
      <c r="O44">
        <v>33.92</v>
      </c>
      <c r="P44">
        <v>4.29</v>
      </c>
      <c r="Q44">
        <v>24687</v>
      </c>
      <c r="R44">
        <v>226</v>
      </c>
      <c r="S44">
        <v>6.66</v>
      </c>
      <c r="T44" s="8">
        <v>145.52000000000001</v>
      </c>
      <c r="U44">
        <v>491721</v>
      </c>
      <c r="V44" t="s">
        <v>5438</v>
      </c>
      <c r="W44" t="s">
        <v>5409</v>
      </c>
      <c r="X44" t="s">
        <v>5439</v>
      </c>
      <c r="Y44" t="s">
        <v>5440</v>
      </c>
      <c r="Z44" t="s">
        <v>5441</v>
      </c>
      <c r="AA44" t="s">
        <v>5413</v>
      </c>
      <c r="AB44" t="s">
        <v>5414</v>
      </c>
      <c r="AC44" t="s">
        <v>5414</v>
      </c>
      <c r="AD44" t="s">
        <v>5414</v>
      </c>
      <c r="AG44" t="s">
        <v>5415</v>
      </c>
      <c r="AI44" t="s">
        <v>5460</v>
      </c>
      <c r="AJ44" t="s">
        <v>5465</v>
      </c>
      <c r="AL44" t="s">
        <v>5418</v>
      </c>
      <c r="AN44" t="s">
        <v>5419</v>
      </c>
    </row>
    <row r="45" spans="1:40" x14ac:dyDescent="0.25">
      <c r="A45">
        <v>1084175150</v>
      </c>
      <c r="B45" t="s">
        <v>5399</v>
      </c>
      <c r="C45">
        <v>252406</v>
      </c>
      <c r="D45" t="s">
        <v>5400</v>
      </c>
      <c r="E45">
        <v>46205.609212962961</v>
      </c>
      <c r="F45" t="s">
        <v>5606</v>
      </c>
      <c r="G45" t="s">
        <v>3668</v>
      </c>
      <c r="H45" t="s">
        <v>5607</v>
      </c>
      <c r="I45" t="s">
        <v>5403</v>
      </c>
      <c r="J45">
        <v>2025</v>
      </c>
      <c r="K45" t="s">
        <v>5608</v>
      </c>
      <c r="L45" t="s">
        <v>5609</v>
      </c>
      <c r="M45" t="s">
        <v>5406</v>
      </c>
      <c r="N45" s="1" t="s">
        <v>998</v>
      </c>
      <c r="O45">
        <v>60.03</v>
      </c>
      <c r="P45">
        <v>5.9690000000000003</v>
      </c>
      <c r="Q45">
        <v>10</v>
      </c>
      <c r="R45">
        <v>0</v>
      </c>
      <c r="S45">
        <v>0</v>
      </c>
      <c r="T45" s="8">
        <v>358.37</v>
      </c>
      <c r="U45">
        <v>11040306</v>
      </c>
      <c r="V45" t="s">
        <v>5408</v>
      </c>
      <c r="W45" t="s">
        <v>5409</v>
      </c>
      <c r="X45" t="s">
        <v>5410</v>
      </c>
      <c r="Y45" t="s">
        <v>5411</v>
      </c>
      <c r="Z45" t="s">
        <v>5412</v>
      </c>
      <c r="AA45" t="s">
        <v>5413</v>
      </c>
      <c r="AB45" t="s">
        <v>5414</v>
      </c>
      <c r="AC45" t="s">
        <v>5414</v>
      </c>
      <c r="AD45" t="s">
        <v>5414</v>
      </c>
      <c r="AG45" t="s">
        <v>5427</v>
      </c>
      <c r="AI45" t="s">
        <v>5610</v>
      </c>
      <c r="AJ45" t="s">
        <v>5611</v>
      </c>
      <c r="AL45" t="s">
        <v>5418</v>
      </c>
      <c r="AN45" t="s">
        <v>5612</v>
      </c>
    </row>
    <row r="46" spans="1:40" x14ac:dyDescent="0.25">
      <c r="A46">
        <v>1084172268</v>
      </c>
      <c r="B46" t="s">
        <v>5399</v>
      </c>
      <c r="C46">
        <v>252406</v>
      </c>
      <c r="D46" t="s">
        <v>5400</v>
      </c>
      <c r="E46">
        <v>46205.646770833337</v>
      </c>
      <c r="F46" t="s">
        <v>5613</v>
      </c>
      <c r="G46" t="s">
        <v>3668</v>
      </c>
      <c r="H46" t="s">
        <v>5467</v>
      </c>
      <c r="I46" t="s">
        <v>5403</v>
      </c>
      <c r="J46">
        <v>2025</v>
      </c>
      <c r="K46" t="s">
        <v>5614</v>
      </c>
      <c r="L46" t="s">
        <v>5615</v>
      </c>
      <c r="M46" t="s">
        <v>5406</v>
      </c>
      <c r="N46" s="1" t="s">
        <v>4565</v>
      </c>
      <c r="O46">
        <v>45.6</v>
      </c>
      <c r="P46">
        <v>4.1890000000000001</v>
      </c>
      <c r="Q46">
        <v>70278</v>
      </c>
      <c r="R46">
        <v>252</v>
      </c>
      <c r="S46">
        <v>5.53</v>
      </c>
      <c r="T46" s="8">
        <v>191.06</v>
      </c>
      <c r="U46">
        <v>11040306</v>
      </c>
      <c r="V46" t="s">
        <v>5408</v>
      </c>
      <c r="W46" t="s">
        <v>5409</v>
      </c>
      <c r="X46" t="s">
        <v>5410</v>
      </c>
      <c r="Y46" t="s">
        <v>5411</v>
      </c>
      <c r="Z46" t="s">
        <v>5412</v>
      </c>
      <c r="AA46" t="s">
        <v>5413</v>
      </c>
      <c r="AB46" t="s">
        <v>5414</v>
      </c>
      <c r="AC46" t="s">
        <v>5414</v>
      </c>
      <c r="AD46" t="s">
        <v>5414</v>
      </c>
      <c r="AG46" t="s">
        <v>5415</v>
      </c>
      <c r="AI46" t="s">
        <v>5522</v>
      </c>
      <c r="AJ46" t="s">
        <v>5616</v>
      </c>
      <c r="AL46" t="s">
        <v>5418</v>
      </c>
      <c r="AN46" t="s">
        <v>5419</v>
      </c>
    </row>
    <row r="47" spans="1:40" x14ac:dyDescent="0.25">
      <c r="A47">
        <v>1084194118</v>
      </c>
      <c r="B47" t="s">
        <v>5399</v>
      </c>
      <c r="C47">
        <v>252406</v>
      </c>
      <c r="D47" t="s">
        <v>5400</v>
      </c>
      <c r="E47">
        <v>46205.660613425927</v>
      </c>
      <c r="F47" t="s">
        <v>5617</v>
      </c>
      <c r="G47" t="s">
        <v>3668</v>
      </c>
      <c r="H47" t="s">
        <v>5467</v>
      </c>
      <c r="I47" t="s">
        <v>5403</v>
      </c>
      <c r="J47">
        <v>2026</v>
      </c>
      <c r="K47" t="s">
        <v>5618</v>
      </c>
      <c r="L47" t="s">
        <v>5619</v>
      </c>
      <c r="M47" t="s">
        <v>5406</v>
      </c>
      <c r="N47" s="1" t="s">
        <v>4565</v>
      </c>
      <c r="O47">
        <v>46.01</v>
      </c>
      <c r="P47">
        <v>3.59</v>
      </c>
      <c r="Q47">
        <v>52793</v>
      </c>
      <c r="R47">
        <v>219</v>
      </c>
      <c r="S47">
        <v>4.76</v>
      </c>
      <c r="T47" s="8">
        <v>165.18</v>
      </c>
      <c r="U47">
        <v>12815000</v>
      </c>
      <c r="V47" t="s">
        <v>5448</v>
      </c>
      <c r="W47" t="s">
        <v>5409</v>
      </c>
      <c r="X47" t="s">
        <v>5449</v>
      </c>
      <c r="Y47" t="s">
        <v>5450</v>
      </c>
      <c r="Z47" t="s">
        <v>5426</v>
      </c>
      <c r="AA47" t="s">
        <v>5413</v>
      </c>
      <c r="AB47" t="s">
        <v>5414</v>
      </c>
      <c r="AC47" t="s">
        <v>5414</v>
      </c>
      <c r="AD47" t="s">
        <v>5414</v>
      </c>
      <c r="AG47" t="s">
        <v>5427</v>
      </c>
      <c r="AI47" t="s">
        <v>5451</v>
      </c>
      <c r="AJ47" t="s">
        <v>5620</v>
      </c>
      <c r="AL47" t="s">
        <v>5418</v>
      </c>
      <c r="AN47" t="s">
        <v>5419</v>
      </c>
    </row>
    <row r="48" spans="1:40" x14ac:dyDescent="0.25">
      <c r="A48">
        <v>1084183292</v>
      </c>
      <c r="B48" t="s">
        <v>5399</v>
      </c>
      <c r="C48">
        <v>252406</v>
      </c>
      <c r="D48" t="s">
        <v>5400</v>
      </c>
      <c r="E48">
        <v>46205.675509259258</v>
      </c>
      <c r="F48" t="s">
        <v>5621</v>
      </c>
      <c r="G48" t="s">
        <v>3668</v>
      </c>
      <c r="H48" t="s">
        <v>5421</v>
      </c>
      <c r="I48" t="s">
        <v>5621</v>
      </c>
      <c r="J48">
        <v>2024</v>
      </c>
      <c r="K48" t="s">
        <v>5622</v>
      </c>
      <c r="L48" t="s">
        <v>5623</v>
      </c>
      <c r="M48" t="s">
        <v>5406</v>
      </c>
      <c r="N48" s="1" t="s">
        <v>4565</v>
      </c>
      <c r="O48">
        <v>25.47</v>
      </c>
      <c r="P48">
        <v>4.6500000000000004</v>
      </c>
      <c r="Q48">
        <v>96783</v>
      </c>
      <c r="R48">
        <v>185</v>
      </c>
      <c r="S48">
        <v>7.26</v>
      </c>
      <c r="T48" s="8">
        <v>118.44</v>
      </c>
      <c r="U48">
        <v>11040292</v>
      </c>
      <c r="V48" t="s">
        <v>5456</v>
      </c>
      <c r="W48" t="s">
        <v>5409</v>
      </c>
      <c r="X48" t="s">
        <v>5457</v>
      </c>
      <c r="Y48" t="s">
        <v>5458</v>
      </c>
      <c r="Z48" t="s">
        <v>5459</v>
      </c>
      <c r="AA48" t="s">
        <v>5413</v>
      </c>
      <c r="AB48" t="s">
        <v>5414</v>
      </c>
      <c r="AC48" t="s">
        <v>5414</v>
      </c>
      <c r="AD48" t="s">
        <v>5414</v>
      </c>
      <c r="AG48" t="s">
        <v>5415</v>
      </c>
      <c r="AI48" t="s">
        <v>5460</v>
      </c>
      <c r="AJ48" t="s">
        <v>5624</v>
      </c>
      <c r="AK48" t="s">
        <v>5528</v>
      </c>
      <c r="AL48" t="s">
        <v>5418</v>
      </c>
      <c r="AN48" t="s">
        <v>5625</v>
      </c>
    </row>
    <row r="49" spans="1:40" x14ac:dyDescent="0.25">
      <c r="A49">
        <v>1084201667</v>
      </c>
      <c r="B49" t="s">
        <v>5399</v>
      </c>
      <c r="C49">
        <v>252406</v>
      </c>
      <c r="D49" t="s">
        <v>5400</v>
      </c>
      <c r="E49">
        <v>46205.720462962963</v>
      </c>
      <c r="F49" t="s">
        <v>5626</v>
      </c>
      <c r="G49" t="s">
        <v>3668</v>
      </c>
      <c r="H49" t="s">
        <v>5552</v>
      </c>
      <c r="I49" t="s">
        <v>5403</v>
      </c>
      <c r="J49">
        <v>2026</v>
      </c>
      <c r="K49" t="s">
        <v>5627</v>
      </c>
      <c r="L49" t="s">
        <v>5628</v>
      </c>
      <c r="M49" t="s">
        <v>5406</v>
      </c>
      <c r="N49" s="1" t="s">
        <v>4565</v>
      </c>
      <c r="O49">
        <v>47.19</v>
      </c>
      <c r="P49">
        <v>4.1890000000000001</v>
      </c>
      <c r="Q49">
        <v>21123</v>
      </c>
      <c r="R49">
        <v>302</v>
      </c>
      <c r="S49">
        <v>6.4</v>
      </c>
      <c r="T49" s="8">
        <v>197.72</v>
      </c>
      <c r="U49">
        <v>11040306</v>
      </c>
      <c r="V49" t="s">
        <v>5408</v>
      </c>
      <c r="W49" t="s">
        <v>5409</v>
      </c>
      <c r="X49" t="s">
        <v>5410</v>
      </c>
      <c r="Y49" t="s">
        <v>5411</v>
      </c>
      <c r="Z49" t="s">
        <v>5412</v>
      </c>
      <c r="AA49" t="s">
        <v>5413</v>
      </c>
      <c r="AB49" t="s">
        <v>5414</v>
      </c>
      <c r="AC49" t="s">
        <v>5414</v>
      </c>
      <c r="AD49" t="s">
        <v>5414</v>
      </c>
      <c r="AG49" t="s">
        <v>5415</v>
      </c>
      <c r="AI49" t="s">
        <v>5629</v>
      </c>
      <c r="AJ49" t="s">
        <v>5630</v>
      </c>
      <c r="AL49" t="s">
        <v>5418</v>
      </c>
      <c r="AN49" t="s">
        <v>5419</v>
      </c>
    </row>
    <row r="50" spans="1:40" x14ac:dyDescent="0.25">
      <c r="A50">
        <v>1084204495</v>
      </c>
      <c r="B50" t="s">
        <v>5399</v>
      </c>
      <c r="C50">
        <v>252406</v>
      </c>
      <c r="D50" t="s">
        <v>5400</v>
      </c>
      <c r="E50">
        <v>46205.728125000001</v>
      </c>
      <c r="F50" t="s">
        <v>5631</v>
      </c>
      <c r="G50" t="s">
        <v>3668</v>
      </c>
      <c r="H50" t="s">
        <v>5511</v>
      </c>
      <c r="I50" t="s">
        <v>5403</v>
      </c>
      <c r="J50">
        <v>2025</v>
      </c>
      <c r="K50" t="s">
        <v>5632</v>
      </c>
      <c r="L50" t="s">
        <v>5633</v>
      </c>
      <c r="M50" t="s">
        <v>5406</v>
      </c>
      <c r="N50" s="1" t="s">
        <v>4565</v>
      </c>
      <c r="O50">
        <v>21.71</v>
      </c>
      <c r="P50">
        <v>3.919</v>
      </c>
      <c r="Q50">
        <v>53594</v>
      </c>
      <c r="R50">
        <v>146</v>
      </c>
      <c r="S50">
        <v>6.73</v>
      </c>
      <c r="T50" s="8">
        <v>85.1</v>
      </c>
      <c r="U50">
        <v>490156</v>
      </c>
      <c r="V50" t="s">
        <v>5578</v>
      </c>
      <c r="W50" t="s">
        <v>5409</v>
      </c>
      <c r="X50" t="s">
        <v>5579</v>
      </c>
      <c r="Y50" t="s">
        <v>5458</v>
      </c>
      <c r="Z50" t="s">
        <v>5412</v>
      </c>
      <c r="AA50" t="s">
        <v>5413</v>
      </c>
      <c r="AB50" t="s">
        <v>5414</v>
      </c>
      <c r="AC50" t="s">
        <v>5414</v>
      </c>
      <c r="AD50" t="s">
        <v>5414</v>
      </c>
      <c r="AG50" t="s">
        <v>5415</v>
      </c>
      <c r="AI50" t="s">
        <v>5580</v>
      </c>
      <c r="AJ50" t="s">
        <v>5634</v>
      </c>
      <c r="AL50" t="s">
        <v>5418</v>
      </c>
      <c r="AN50" t="s">
        <v>5612</v>
      </c>
    </row>
    <row r="51" spans="1:40" x14ac:dyDescent="0.25">
      <c r="A51">
        <v>1084221753</v>
      </c>
      <c r="B51" t="s">
        <v>5399</v>
      </c>
      <c r="C51">
        <v>252406</v>
      </c>
      <c r="D51" t="s">
        <v>5400</v>
      </c>
      <c r="E51">
        <v>46205.728483796294</v>
      </c>
      <c r="F51" t="s">
        <v>5635</v>
      </c>
      <c r="G51" t="s">
        <v>3668</v>
      </c>
      <c r="H51" t="s">
        <v>5453</v>
      </c>
      <c r="I51" t="s">
        <v>5403</v>
      </c>
      <c r="J51">
        <v>2026</v>
      </c>
      <c r="K51" t="s">
        <v>5636</v>
      </c>
      <c r="L51" t="s">
        <v>5637</v>
      </c>
      <c r="M51" t="s">
        <v>5406</v>
      </c>
      <c r="N51" s="1" t="s">
        <v>4565</v>
      </c>
      <c r="O51">
        <v>39</v>
      </c>
      <c r="P51">
        <v>4.55</v>
      </c>
      <c r="Q51">
        <v>9998</v>
      </c>
      <c r="R51">
        <v>235</v>
      </c>
      <c r="S51">
        <v>6.03</v>
      </c>
      <c r="T51" s="8">
        <v>177.45</v>
      </c>
      <c r="U51">
        <v>108758</v>
      </c>
      <c r="V51" t="s">
        <v>5470</v>
      </c>
      <c r="W51" t="s">
        <v>5409</v>
      </c>
      <c r="X51" t="s">
        <v>5471</v>
      </c>
      <c r="Y51" t="s">
        <v>5411</v>
      </c>
      <c r="Z51" t="s">
        <v>5472</v>
      </c>
      <c r="AA51" t="s">
        <v>5413</v>
      </c>
      <c r="AB51" t="s">
        <v>5414</v>
      </c>
      <c r="AC51" t="s">
        <v>5414</v>
      </c>
      <c r="AD51" t="s">
        <v>5414</v>
      </c>
      <c r="AG51" t="s">
        <v>5427</v>
      </c>
      <c r="AI51" t="s">
        <v>5473</v>
      </c>
      <c r="AJ51" t="s">
        <v>5638</v>
      </c>
      <c r="AL51" t="s">
        <v>5418</v>
      </c>
      <c r="AN51" t="s">
        <v>5419</v>
      </c>
    </row>
    <row r="52" spans="1:40" x14ac:dyDescent="0.25">
      <c r="A52">
        <v>1084209215</v>
      </c>
      <c r="B52" t="s">
        <v>5399</v>
      </c>
      <c r="C52">
        <v>252406</v>
      </c>
      <c r="D52" t="s">
        <v>5400</v>
      </c>
      <c r="E52">
        <v>46205.738067129627</v>
      </c>
      <c r="F52" t="s">
        <v>5639</v>
      </c>
      <c r="G52" t="s">
        <v>3668</v>
      </c>
      <c r="H52" t="s">
        <v>5640</v>
      </c>
      <c r="I52" t="s">
        <v>5403</v>
      </c>
      <c r="J52">
        <v>2026</v>
      </c>
      <c r="K52" t="s">
        <v>5641</v>
      </c>
      <c r="L52" t="s">
        <v>5642</v>
      </c>
      <c r="M52" t="s">
        <v>5406</v>
      </c>
      <c r="N52" s="1" t="s">
        <v>5643</v>
      </c>
      <c r="O52">
        <v>59.29</v>
      </c>
      <c r="P52">
        <v>7.4</v>
      </c>
      <c r="Q52">
        <v>15430</v>
      </c>
      <c r="R52">
        <v>7226</v>
      </c>
      <c r="S52">
        <v>121.88</v>
      </c>
      <c r="T52" s="8">
        <v>438.75</v>
      </c>
      <c r="U52">
        <v>11040292</v>
      </c>
      <c r="V52" t="s">
        <v>5456</v>
      </c>
      <c r="W52" t="s">
        <v>5409</v>
      </c>
      <c r="X52" t="s">
        <v>5457</v>
      </c>
      <c r="Y52" t="s">
        <v>5458</v>
      </c>
      <c r="Z52" t="s">
        <v>5459</v>
      </c>
      <c r="AA52" t="s">
        <v>5413</v>
      </c>
      <c r="AB52" t="s">
        <v>5414</v>
      </c>
      <c r="AC52" t="s">
        <v>5414</v>
      </c>
      <c r="AD52" t="s">
        <v>5414</v>
      </c>
      <c r="AG52" t="s">
        <v>5415</v>
      </c>
      <c r="AI52" t="s">
        <v>5460</v>
      </c>
      <c r="AJ52" t="s">
        <v>5644</v>
      </c>
      <c r="AL52" t="s">
        <v>5418</v>
      </c>
      <c r="AN52" t="s">
        <v>5419</v>
      </c>
    </row>
    <row r="53" spans="1:40" x14ac:dyDescent="0.25">
      <c r="A53">
        <v>1084216027</v>
      </c>
      <c r="B53" t="s">
        <v>5399</v>
      </c>
      <c r="C53">
        <v>252406</v>
      </c>
      <c r="D53" t="s">
        <v>5400</v>
      </c>
      <c r="E53">
        <v>46205.754918981482</v>
      </c>
      <c r="F53" t="s">
        <v>5519</v>
      </c>
      <c r="G53" t="s">
        <v>3668</v>
      </c>
      <c r="H53" t="s">
        <v>5467</v>
      </c>
      <c r="I53" t="s">
        <v>5403</v>
      </c>
      <c r="J53">
        <v>2027</v>
      </c>
      <c r="K53" t="s">
        <v>5520</v>
      </c>
      <c r="L53" t="s">
        <v>5521</v>
      </c>
      <c r="M53" t="s">
        <v>5406</v>
      </c>
      <c r="N53" s="1" t="s">
        <v>4565</v>
      </c>
      <c r="O53">
        <v>26</v>
      </c>
      <c r="P53">
        <v>4.1900000000000004</v>
      </c>
      <c r="Q53">
        <v>11240</v>
      </c>
      <c r="R53">
        <v>230</v>
      </c>
      <c r="S53">
        <v>8.85</v>
      </c>
      <c r="T53" s="8">
        <v>108.94</v>
      </c>
      <c r="U53">
        <v>11040306</v>
      </c>
      <c r="V53" t="s">
        <v>5408</v>
      </c>
      <c r="W53" t="s">
        <v>5409</v>
      </c>
      <c r="X53" t="s">
        <v>5410</v>
      </c>
      <c r="Y53" t="s">
        <v>5411</v>
      </c>
      <c r="Z53" t="s">
        <v>5412</v>
      </c>
      <c r="AA53" t="s">
        <v>5413</v>
      </c>
      <c r="AB53" t="s">
        <v>5414</v>
      </c>
      <c r="AC53" t="s">
        <v>5414</v>
      </c>
      <c r="AD53" t="s">
        <v>5414</v>
      </c>
      <c r="AG53" t="s">
        <v>5415</v>
      </c>
      <c r="AI53" t="s">
        <v>5460</v>
      </c>
      <c r="AJ53" t="s">
        <v>5523</v>
      </c>
      <c r="AL53" t="s">
        <v>5418</v>
      </c>
      <c r="AN53" t="s">
        <v>5419</v>
      </c>
    </row>
    <row r="54" spans="1:40" x14ac:dyDescent="0.25">
      <c r="A54">
        <v>1084233660</v>
      </c>
      <c r="B54" t="s">
        <v>5399</v>
      </c>
      <c r="C54">
        <v>252406</v>
      </c>
      <c r="D54" t="s">
        <v>5400</v>
      </c>
      <c r="E54">
        <v>46205.770208333335</v>
      </c>
      <c r="F54" t="s">
        <v>5401</v>
      </c>
      <c r="G54" t="s">
        <v>3668</v>
      </c>
      <c r="H54" t="s">
        <v>5402</v>
      </c>
      <c r="I54" t="s">
        <v>5403</v>
      </c>
      <c r="J54">
        <v>2026</v>
      </c>
      <c r="K54" t="s">
        <v>5404</v>
      </c>
      <c r="L54" t="s">
        <v>5405</v>
      </c>
      <c r="M54" t="s">
        <v>5406</v>
      </c>
      <c r="N54" s="1" t="s">
        <v>4565</v>
      </c>
      <c r="O54">
        <v>27.71</v>
      </c>
      <c r="P54">
        <v>4.2889999999999997</v>
      </c>
      <c r="Q54">
        <v>31897</v>
      </c>
      <c r="R54">
        <v>175</v>
      </c>
      <c r="S54">
        <v>6.32</v>
      </c>
      <c r="T54" s="8">
        <v>118.85</v>
      </c>
      <c r="U54">
        <v>12193017</v>
      </c>
      <c r="V54" t="s">
        <v>5574</v>
      </c>
      <c r="W54" t="s">
        <v>5409</v>
      </c>
      <c r="X54" t="s">
        <v>5575</v>
      </c>
      <c r="Y54" t="s">
        <v>5576</v>
      </c>
      <c r="Z54" t="s">
        <v>5472</v>
      </c>
      <c r="AA54" t="s">
        <v>5413</v>
      </c>
      <c r="AB54" t="s">
        <v>5414</v>
      </c>
      <c r="AC54" t="s">
        <v>5414</v>
      </c>
      <c r="AD54" t="s">
        <v>5414</v>
      </c>
      <c r="AG54" t="s">
        <v>5427</v>
      </c>
      <c r="AI54" t="s">
        <v>5577</v>
      </c>
      <c r="AJ54" t="s">
        <v>5417</v>
      </c>
      <c r="AL54" t="s">
        <v>5418</v>
      </c>
      <c r="AN54" t="s">
        <v>5419</v>
      </c>
    </row>
    <row r="55" spans="1:40" x14ac:dyDescent="0.25">
      <c r="A55">
        <v>1084239795</v>
      </c>
      <c r="B55" t="s">
        <v>5399</v>
      </c>
      <c r="C55">
        <v>252406</v>
      </c>
      <c r="D55" t="s">
        <v>5400</v>
      </c>
      <c r="E55">
        <v>46205.800752314812</v>
      </c>
      <c r="F55" t="s">
        <v>5530</v>
      </c>
      <c r="G55" t="s">
        <v>3668</v>
      </c>
      <c r="H55" t="s">
        <v>5431</v>
      </c>
      <c r="I55" t="s">
        <v>5403</v>
      </c>
      <c r="J55">
        <v>2025</v>
      </c>
      <c r="K55" t="s">
        <v>5531</v>
      </c>
      <c r="L55" t="s">
        <v>5532</v>
      </c>
      <c r="M55" t="s">
        <v>5406</v>
      </c>
      <c r="N55" s="1" t="s">
        <v>4565</v>
      </c>
      <c r="O55">
        <v>38.86</v>
      </c>
      <c r="P55">
        <v>4.29</v>
      </c>
      <c r="Q55">
        <v>105265</v>
      </c>
      <c r="R55">
        <v>371</v>
      </c>
      <c r="S55">
        <v>9.5500000000000007</v>
      </c>
      <c r="T55" s="8">
        <v>166.71</v>
      </c>
      <c r="U55">
        <v>11198252</v>
      </c>
      <c r="V55" t="s">
        <v>5424</v>
      </c>
      <c r="W55" t="s">
        <v>5409</v>
      </c>
      <c r="X55" t="s">
        <v>5425</v>
      </c>
      <c r="Y55" t="s">
        <v>5411</v>
      </c>
      <c r="Z55" t="s">
        <v>5426</v>
      </c>
      <c r="AA55" t="s">
        <v>5413</v>
      </c>
      <c r="AB55" t="s">
        <v>5414</v>
      </c>
      <c r="AC55" t="s">
        <v>5414</v>
      </c>
      <c r="AD55" t="s">
        <v>5414</v>
      </c>
      <c r="AG55" t="s">
        <v>5427</v>
      </c>
      <c r="AI55" t="s">
        <v>5428</v>
      </c>
      <c r="AJ55" t="s">
        <v>5533</v>
      </c>
      <c r="AL55" t="s">
        <v>5418</v>
      </c>
      <c r="AN55" t="s">
        <v>5419</v>
      </c>
    </row>
    <row r="56" spans="1:40" x14ac:dyDescent="0.25">
      <c r="A56">
        <v>1084230761</v>
      </c>
      <c r="B56" t="s">
        <v>5399</v>
      </c>
      <c r="C56">
        <v>252406</v>
      </c>
      <c r="D56" t="s">
        <v>5400</v>
      </c>
      <c r="E56">
        <v>46205.80296296296</v>
      </c>
      <c r="F56" t="s">
        <v>5452</v>
      </c>
      <c r="G56" t="s">
        <v>3668</v>
      </c>
      <c r="H56" t="s">
        <v>5453</v>
      </c>
      <c r="I56" t="s">
        <v>5403</v>
      </c>
      <c r="J56">
        <v>2026</v>
      </c>
      <c r="K56" t="s">
        <v>5645</v>
      </c>
      <c r="L56" t="s">
        <v>5646</v>
      </c>
      <c r="M56" t="s">
        <v>5406</v>
      </c>
      <c r="N56" s="1" t="s">
        <v>4565</v>
      </c>
      <c r="O56">
        <v>38.78</v>
      </c>
      <c r="P56">
        <v>3.92</v>
      </c>
      <c r="Q56">
        <v>38430</v>
      </c>
      <c r="R56">
        <v>348</v>
      </c>
      <c r="S56">
        <v>8.9700000000000006</v>
      </c>
      <c r="T56" s="8">
        <v>152.02000000000001</v>
      </c>
      <c r="U56">
        <v>490156</v>
      </c>
      <c r="V56" t="s">
        <v>5578</v>
      </c>
      <c r="W56" t="s">
        <v>5409</v>
      </c>
      <c r="X56" t="s">
        <v>5579</v>
      </c>
      <c r="Y56" t="s">
        <v>5458</v>
      </c>
      <c r="Z56" t="s">
        <v>5412</v>
      </c>
      <c r="AA56" t="s">
        <v>5413</v>
      </c>
      <c r="AB56" t="s">
        <v>5414</v>
      </c>
      <c r="AC56" t="s">
        <v>5414</v>
      </c>
      <c r="AD56" t="s">
        <v>5414</v>
      </c>
      <c r="AG56" t="s">
        <v>5415</v>
      </c>
      <c r="AI56" t="s">
        <v>5580</v>
      </c>
      <c r="AJ56" t="s">
        <v>5461</v>
      </c>
      <c r="AL56" t="s">
        <v>5418</v>
      </c>
      <c r="AN56" t="s">
        <v>5419</v>
      </c>
    </row>
    <row r="57" spans="1:40" x14ac:dyDescent="0.25">
      <c r="A57">
        <v>1084236253</v>
      </c>
      <c r="B57" t="s">
        <v>5399</v>
      </c>
      <c r="C57">
        <v>252406</v>
      </c>
      <c r="D57" t="s">
        <v>5400</v>
      </c>
      <c r="E57">
        <v>46205.825555555559</v>
      </c>
      <c r="F57" t="s">
        <v>5647</v>
      </c>
      <c r="G57" t="s">
        <v>3668</v>
      </c>
      <c r="H57" t="s">
        <v>5568</v>
      </c>
      <c r="I57" t="s">
        <v>5403</v>
      </c>
      <c r="J57">
        <v>2025</v>
      </c>
      <c r="K57" t="s">
        <v>5648</v>
      </c>
      <c r="L57" t="s">
        <v>5649</v>
      </c>
      <c r="M57" t="s">
        <v>5406</v>
      </c>
      <c r="N57" s="1" t="s">
        <v>4565</v>
      </c>
      <c r="O57">
        <v>44.01</v>
      </c>
      <c r="P57">
        <v>4.2889999999999997</v>
      </c>
      <c r="Q57">
        <v>16287</v>
      </c>
      <c r="R57">
        <v>397</v>
      </c>
      <c r="S57">
        <v>9.02</v>
      </c>
      <c r="T57" s="8">
        <v>188.8</v>
      </c>
      <c r="U57">
        <v>491721</v>
      </c>
      <c r="V57" t="s">
        <v>5438</v>
      </c>
      <c r="W57" t="s">
        <v>5409</v>
      </c>
      <c r="X57" t="s">
        <v>5439</v>
      </c>
      <c r="Y57" t="s">
        <v>5440</v>
      </c>
      <c r="Z57" t="s">
        <v>5441</v>
      </c>
      <c r="AA57" t="s">
        <v>5413</v>
      </c>
      <c r="AB57" t="s">
        <v>5414</v>
      </c>
      <c r="AC57" t="s">
        <v>5414</v>
      </c>
      <c r="AD57" t="s">
        <v>5414</v>
      </c>
      <c r="AG57" t="s">
        <v>5415</v>
      </c>
      <c r="AI57" t="s">
        <v>5522</v>
      </c>
      <c r="AJ57" t="s">
        <v>5650</v>
      </c>
      <c r="AL57" t="s">
        <v>5418</v>
      </c>
      <c r="AN57" t="s">
        <v>5419</v>
      </c>
    </row>
    <row r="58" spans="1:40" x14ac:dyDescent="0.25">
      <c r="A58">
        <v>1084236456</v>
      </c>
      <c r="B58" t="s">
        <v>5399</v>
      </c>
      <c r="C58">
        <v>252406</v>
      </c>
      <c r="D58" t="s">
        <v>5400</v>
      </c>
      <c r="E58">
        <v>46205.826840277776</v>
      </c>
      <c r="F58" t="s">
        <v>5651</v>
      </c>
      <c r="G58" t="s">
        <v>3668</v>
      </c>
      <c r="H58" t="s">
        <v>5467</v>
      </c>
      <c r="I58" t="s">
        <v>5403</v>
      </c>
      <c r="J58">
        <v>2026</v>
      </c>
      <c r="K58" t="s">
        <v>5652</v>
      </c>
      <c r="L58" t="s">
        <v>5653</v>
      </c>
      <c r="M58" t="s">
        <v>5406</v>
      </c>
      <c r="N58" s="1" t="s">
        <v>4565</v>
      </c>
      <c r="O58">
        <v>49.02</v>
      </c>
      <c r="P58">
        <v>4.1890000000000001</v>
      </c>
      <c r="Q58">
        <v>45789</v>
      </c>
      <c r="R58">
        <v>346</v>
      </c>
      <c r="S58">
        <v>7.06</v>
      </c>
      <c r="T58" s="8">
        <v>205.39</v>
      </c>
      <c r="U58">
        <v>11040306</v>
      </c>
      <c r="V58" t="s">
        <v>5408</v>
      </c>
      <c r="W58" t="s">
        <v>5409</v>
      </c>
      <c r="X58" t="s">
        <v>5410</v>
      </c>
      <c r="Y58" t="s">
        <v>5411</v>
      </c>
      <c r="Z58" t="s">
        <v>5412</v>
      </c>
      <c r="AA58" t="s">
        <v>5413</v>
      </c>
      <c r="AB58" t="s">
        <v>5414</v>
      </c>
      <c r="AC58" t="s">
        <v>5414</v>
      </c>
      <c r="AD58" t="s">
        <v>5414</v>
      </c>
      <c r="AG58" t="s">
        <v>5415</v>
      </c>
      <c r="AI58" t="s">
        <v>5416</v>
      </c>
      <c r="AJ58" t="s">
        <v>5654</v>
      </c>
      <c r="AL58" t="s">
        <v>5418</v>
      </c>
      <c r="AN58" t="s">
        <v>5419</v>
      </c>
    </row>
    <row r="59" spans="1:40" x14ac:dyDescent="0.25">
      <c r="A59">
        <v>1084237548</v>
      </c>
      <c r="B59" t="s">
        <v>5399</v>
      </c>
      <c r="C59">
        <v>252406</v>
      </c>
      <c r="D59" t="s">
        <v>5400</v>
      </c>
      <c r="E59">
        <v>46205.833437499998</v>
      </c>
      <c r="F59" t="s">
        <v>5655</v>
      </c>
      <c r="G59" t="s">
        <v>3668</v>
      </c>
      <c r="H59" t="s">
        <v>5506</v>
      </c>
      <c r="I59" t="s">
        <v>5403</v>
      </c>
      <c r="J59">
        <v>2026</v>
      </c>
      <c r="K59" t="s">
        <v>5656</v>
      </c>
      <c r="L59" t="s">
        <v>5657</v>
      </c>
      <c r="M59" t="s">
        <v>5406</v>
      </c>
      <c r="N59" s="1" t="s">
        <v>4565</v>
      </c>
      <c r="O59">
        <v>24.56</v>
      </c>
      <c r="P59">
        <v>3.92</v>
      </c>
      <c r="Q59">
        <v>3761</v>
      </c>
      <c r="R59">
        <v>159</v>
      </c>
      <c r="S59">
        <v>6.47</v>
      </c>
      <c r="T59" s="8">
        <v>96.28</v>
      </c>
      <c r="U59">
        <v>490156</v>
      </c>
      <c r="V59" t="s">
        <v>5578</v>
      </c>
      <c r="W59" t="s">
        <v>5409</v>
      </c>
      <c r="X59" t="s">
        <v>5579</v>
      </c>
      <c r="Y59" t="s">
        <v>5458</v>
      </c>
      <c r="Z59" t="s">
        <v>5412</v>
      </c>
      <c r="AA59" t="s">
        <v>5413</v>
      </c>
      <c r="AB59" t="s">
        <v>5414</v>
      </c>
      <c r="AC59" t="s">
        <v>5414</v>
      </c>
      <c r="AD59" t="s">
        <v>5414</v>
      </c>
      <c r="AG59" t="s">
        <v>5415</v>
      </c>
      <c r="AI59" t="s">
        <v>5580</v>
      </c>
      <c r="AJ59" t="s">
        <v>5658</v>
      </c>
      <c r="AL59" t="s">
        <v>5418</v>
      </c>
      <c r="AN59" t="s">
        <v>5419</v>
      </c>
    </row>
    <row r="60" spans="1:40" x14ac:dyDescent="0.25">
      <c r="A60">
        <v>1084242737</v>
      </c>
      <c r="B60" t="s">
        <v>5399</v>
      </c>
      <c r="C60">
        <v>252406</v>
      </c>
      <c r="D60" t="s">
        <v>5400</v>
      </c>
      <c r="E60">
        <v>46205.866597222222</v>
      </c>
      <c r="F60" t="s">
        <v>5494</v>
      </c>
      <c r="G60" t="s">
        <v>3668</v>
      </c>
      <c r="H60" t="s">
        <v>5495</v>
      </c>
      <c r="I60" t="s">
        <v>5403</v>
      </c>
      <c r="J60">
        <v>2026</v>
      </c>
      <c r="K60" t="s">
        <v>5496</v>
      </c>
      <c r="L60" t="s">
        <v>5497</v>
      </c>
      <c r="M60" t="s">
        <v>5406</v>
      </c>
      <c r="N60" s="1" t="s">
        <v>4565</v>
      </c>
      <c r="O60">
        <v>30.37</v>
      </c>
      <c r="P60">
        <v>3.919</v>
      </c>
      <c r="Q60">
        <v>55750</v>
      </c>
      <c r="R60">
        <v>323</v>
      </c>
      <c r="S60">
        <v>10.64</v>
      </c>
      <c r="T60" s="8">
        <v>119.05</v>
      </c>
      <c r="U60">
        <v>490156</v>
      </c>
      <c r="V60" t="s">
        <v>5578</v>
      </c>
      <c r="W60" t="s">
        <v>5409</v>
      </c>
      <c r="X60" t="s">
        <v>5579</v>
      </c>
      <c r="Y60" t="s">
        <v>5458</v>
      </c>
      <c r="Z60" t="s">
        <v>5412</v>
      </c>
      <c r="AA60" t="s">
        <v>5413</v>
      </c>
      <c r="AB60" t="s">
        <v>5414</v>
      </c>
      <c r="AC60" t="s">
        <v>5414</v>
      </c>
      <c r="AD60" t="s">
        <v>5414</v>
      </c>
      <c r="AG60" t="s">
        <v>5415</v>
      </c>
      <c r="AI60" t="s">
        <v>5580</v>
      </c>
      <c r="AJ60" t="s">
        <v>5504</v>
      </c>
      <c r="AL60" t="s">
        <v>5418</v>
      </c>
      <c r="AN60" t="s">
        <v>5419</v>
      </c>
    </row>
    <row r="61" spans="1:40" x14ac:dyDescent="0.25">
      <c r="A61">
        <v>1084259352</v>
      </c>
      <c r="B61" t="s">
        <v>5399</v>
      </c>
      <c r="C61">
        <v>252406</v>
      </c>
      <c r="D61" t="s">
        <v>5400</v>
      </c>
      <c r="E61">
        <v>46206.215717592589</v>
      </c>
      <c r="F61" t="s">
        <v>5477</v>
      </c>
      <c r="G61" t="s">
        <v>3668</v>
      </c>
      <c r="H61" t="s">
        <v>5478</v>
      </c>
      <c r="I61" t="s">
        <v>5403</v>
      </c>
      <c r="J61">
        <v>2015</v>
      </c>
      <c r="K61" t="s">
        <v>5479</v>
      </c>
      <c r="L61" t="s">
        <v>5480</v>
      </c>
      <c r="M61" t="s">
        <v>5406</v>
      </c>
      <c r="N61" s="1" t="s">
        <v>4565</v>
      </c>
      <c r="O61">
        <v>49</v>
      </c>
      <c r="P61">
        <v>4.1900000000000004</v>
      </c>
      <c r="Q61">
        <v>244322</v>
      </c>
      <c r="R61">
        <v>383</v>
      </c>
      <c r="S61">
        <v>7.82</v>
      </c>
      <c r="T61" s="8">
        <v>205.31</v>
      </c>
      <c r="U61">
        <v>11040306</v>
      </c>
      <c r="V61" t="s">
        <v>5408</v>
      </c>
      <c r="W61" t="s">
        <v>5409</v>
      </c>
      <c r="X61" t="s">
        <v>5410</v>
      </c>
      <c r="Y61" t="s">
        <v>5411</v>
      </c>
      <c r="Z61" t="s">
        <v>5412</v>
      </c>
      <c r="AA61" t="s">
        <v>5413</v>
      </c>
      <c r="AB61" t="s">
        <v>5414</v>
      </c>
      <c r="AC61" t="s">
        <v>5414</v>
      </c>
      <c r="AD61" t="s">
        <v>5414</v>
      </c>
      <c r="AG61" t="s">
        <v>5415</v>
      </c>
      <c r="AI61" t="s">
        <v>5629</v>
      </c>
      <c r="AJ61" t="s">
        <v>5485</v>
      </c>
      <c r="AL61" t="s">
        <v>5418</v>
      </c>
      <c r="AN61" t="s">
        <v>5419</v>
      </c>
    </row>
    <row r="62" spans="1:40" x14ac:dyDescent="0.25">
      <c r="A62">
        <v>1084259670</v>
      </c>
      <c r="B62" t="s">
        <v>5399</v>
      </c>
      <c r="C62">
        <v>252406</v>
      </c>
      <c r="D62" t="s">
        <v>5400</v>
      </c>
      <c r="E62">
        <v>46206.223425925928</v>
      </c>
      <c r="F62" t="s">
        <v>5659</v>
      </c>
      <c r="G62" t="s">
        <v>3668</v>
      </c>
      <c r="H62" t="s">
        <v>5431</v>
      </c>
      <c r="I62" t="s">
        <v>5403</v>
      </c>
      <c r="J62">
        <v>2026</v>
      </c>
      <c r="K62" t="s">
        <v>5660</v>
      </c>
      <c r="L62" t="s">
        <v>5661</v>
      </c>
      <c r="M62" t="s">
        <v>5406</v>
      </c>
      <c r="N62" s="1" t="s">
        <v>4565</v>
      </c>
      <c r="O62">
        <v>28.95</v>
      </c>
      <c r="P62">
        <v>4.1890000000000001</v>
      </c>
      <c r="Q62">
        <v>6093</v>
      </c>
      <c r="R62">
        <v>198</v>
      </c>
      <c r="S62">
        <v>6.84</v>
      </c>
      <c r="T62" s="8">
        <v>121.3</v>
      </c>
      <c r="U62">
        <v>11040306</v>
      </c>
      <c r="V62" t="s">
        <v>5408</v>
      </c>
      <c r="W62" t="s">
        <v>5409</v>
      </c>
      <c r="X62" t="s">
        <v>5410</v>
      </c>
      <c r="Y62" t="s">
        <v>5411</v>
      </c>
      <c r="Z62" t="s">
        <v>5412</v>
      </c>
      <c r="AA62" t="s">
        <v>5413</v>
      </c>
      <c r="AB62" t="s">
        <v>5414</v>
      </c>
      <c r="AC62" t="s">
        <v>5414</v>
      </c>
      <c r="AD62" t="s">
        <v>5414</v>
      </c>
      <c r="AG62" t="s">
        <v>5415</v>
      </c>
      <c r="AI62" t="s">
        <v>5629</v>
      </c>
      <c r="AJ62" t="s">
        <v>5662</v>
      </c>
      <c r="AL62" t="s">
        <v>5418</v>
      </c>
      <c r="AN62" t="s">
        <v>5419</v>
      </c>
    </row>
    <row r="63" spans="1:40" x14ac:dyDescent="0.25">
      <c r="A63">
        <v>1084273984</v>
      </c>
      <c r="B63" t="s">
        <v>5399</v>
      </c>
      <c r="C63">
        <v>252406</v>
      </c>
      <c r="D63" t="s">
        <v>5400</v>
      </c>
      <c r="E63">
        <v>46206.261643518519</v>
      </c>
      <c r="F63" t="s">
        <v>5444</v>
      </c>
      <c r="G63" t="s">
        <v>3668</v>
      </c>
      <c r="H63" t="s">
        <v>5431</v>
      </c>
      <c r="I63" t="s">
        <v>5403</v>
      </c>
      <c r="J63">
        <v>2026</v>
      </c>
      <c r="K63" t="s">
        <v>5445</v>
      </c>
      <c r="L63" t="s">
        <v>5446</v>
      </c>
      <c r="M63" t="s">
        <v>5406</v>
      </c>
      <c r="N63" s="1" t="s">
        <v>4565</v>
      </c>
      <c r="O63">
        <v>35.42</v>
      </c>
      <c r="P63">
        <v>4.29</v>
      </c>
      <c r="Q63">
        <v>17841</v>
      </c>
      <c r="R63">
        <v>260</v>
      </c>
      <c r="S63">
        <v>7.34</v>
      </c>
      <c r="T63" s="8">
        <v>151.96</v>
      </c>
      <c r="U63">
        <v>12193017</v>
      </c>
      <c r="V63" t="s">
        <v>5574</v>
      </c>
      <c r="W63" t="s">
        <v>5409</v>
      </c>
      <c r="X63" t="s">
        <v>5575</v>
      </c>
      <c r="Y63" t="s">
        <v>5576</v>
      </c>
      <c r="Z63" t="s">
        <v>5472</v>
      </c>
      <c r="AA63" t="s">
        <v>5413</v>
      </c>
      <c r="AB63" t="s">
        <v>5414</v>
      </c>
      <c r="AC63" t="s">
        <v>5414</v>
      </c>
      <c r="AD63" t="s">
        <v>5414</v>
      </c>
      <c r="AG63" t="s">
        <v>5427</v>
      </c>
      <c r="AI63" t="s">
        <v>5577</v>
      </c>
      <c r="AJ63" t="s">
        <v>5447</v>
      </c>
      <c r="AL63" t="s">
        <v>5418</v>
      </c>
      <c r="AN63" t="s">
        <v>5419</v>
      </c>
    </row>
    <row r="64" spans="1:40" x14ac:dyDescent="0.25">
      <c r="A64">
        <v>1084266358</v>
      </c>
      <c r="B64" t="s">
        <v>5399</v>
      </c>
      <c r="C64">
        <v>252406</v>
      </c>
      <c r="D64" t="s">
        <v>5400</v>
      </c>
      <c r="E64">
        <v>46206.277604166666</v>
      </c>
      <c r="F64" t="s">
        <v>5401</v>
      </c>
      <c r="G64" t="s">
        <v>3668</v>
      </c>
      <c r="H64" t="s">
        <v>5402</v>
      </c>
      <c r="I64" t="s">
        <v>5403</v>
      </c>
      <c r="J64">
        <v>2026</v>
      </c>
      <c r="K64" t="s">
        <v>5404</v>
      </c>
      <c r="L64" t="s">
        <v>5405</v>
      </c>
      <c r="M64" t="s">
        <v>5406</v>
      </c>
      <c r="N64" s="1" t="s">
        <v>4565</v>
      </c>
      <c r="O64">
        <v>25.45</v>
      </c>
      <c r="P64">
        <v>4.1890000000000001</v>
      </c>
      <c r="Q64">
        <v>32096</v>
      </c>
      <c r="R64">
        <v>199</v>
      </c>
      <c r="S64">
        <v>7.82</v>
      </c>
      <c r="T64" s="8">
        <v>106.63</v>
      </c>
      <c r="U64">
        <v>11040306</v>
      </c>
      <c r="V64" t="s">
        <v>5408</v>
      </c>
      <c r="W64" t="s">
        <v>5409</v>
      </c>
      <c r="X64" t="s">
        <v>5410</v>
      </c>
      <c r="Y64" t="s">
        <v>5411</v>
      </c>
      <c r="Z64" t="s">
        <v>5412</v>
      </c>
      <c r="AA64" t="s">
        <v>5413</v>
      </c>
      <c r="AB64" t="s">
        <v>5414</v>
      </c>
      <c r="AC64" t="s">
        <v>5414</v>
      </c>
      <c r="AD64" t="s">
        <v>5414</v>
      </c>
      <c r="AG64" t="s">
        <v>5415</v>
      </c>
      <c r="AI64" t="s">
        <v>5629</v>
      </c>
      <c r="AJ64" t="s">
        <v>5417</v>
      </c>
      <c r="AL64" t="s">
        <v>5418</v>
      </c>
      <c r="AN64" t="s">
        <v>5419</v>
      </c>
    </row>
    <row r="65" spans="1:40" x14ac:dyDescent="0.25">
      <c r="A65">
        <v>1084273250</v>
      </c>
      <c r="B65" t="s">
        <v>5399</v>
      </c>
      <c r="C65">
        <v>252406</v>
      </c>
      <c r="D65" t="s">
        <v>5400</v>
      </c>
      <c r="E65">
        <v>46206.301145833335</v>
      </c>
      <c r="F65" t="s">
        <v>5524</v>
      </c>
      <c r="G65" t="s">
        <v>3668</v>
      </c>
      <c r="H65" t="s">
        <v>5421</v>
      </c>
      <c r="I65" t="s">
        <v>5524</v>
      </c>
      <c r="J65">
        <v>2025</v>
      </c>
      <c r="K65" t="s">
        <v>5525</v>
      </c>
      <c r="L65" t="s">
        <v>5526</v>
      </c>
      <c r="M65" t="s">
        <v>5406</v>
      </c>
      <c r="N65" s="1" t="s">
        <v>4565</v>
      </c>
      <c r="O65">
        <v>38.82</v>
      </c>
      <c r="P65">
        <v>4.6500000000000004</v>
      </c>
      <c r="Q65">
        <v>63471</v>
      </c>
      <c r="R65">
        <v>405</v>
      </c>
      <c r="S65">
        <v>10.43</v>
      </c>
      <c r="T65" s="8">
        <v>180.52</v>
      </c>
      <c r="U65">
        <v>11040292</v>
      </c>
      <c r="V65" t="s">
        <v>5456</v>
      </c>
      <c r="W65" t="s">
        <v>5409</v>
      </c>
      <c r="X65" t="s">
        <v>5457</v>
      </c>
      <c r="Y65" t="s">
        <v>5458</v>
      </c>
      <c r="Z65" t="s">
        <v>5459</v>
      </c>
      <c r="AA65" t="s">
        <v>5413</v>
      </c>
      <c r="AB65" t="s">
        <v>5414</v>
      </c>
      <c r="AC65" t="s">
        <v>5414</v>
      </c>
      <c r="AD65" t="s">
        <v>5414</v>
      </c>
      <c r="AG65" t="s">
        <v>5415</v>
      </c>
      <c r="AI65" t="s">
        <v>5460</v>
      </c>
      <c r="AJ65" t="s">
        <v>5527</v>
      </c>
      <c r="AK65" t="s">
        <v>5528</v>
      </c>
      <c r="AL65" t="s">
        <v>5418</v>
      </c>
      <c r="AN65" t="s">
        <v>5529</v>
      </c>
    </row>
    <row r="66" spans="1:40" x14ac:dyDescent="0.25">
      <c r="A66">
        <v>1084421070</v>
      </c>
      <c r="B66" t="s">
        <v>5399</v>
      </c>
      <c r="C66">
        <v>252406</v>
      </c>
      <c r="D66" t="s">
        <v>5400</v>
      </c>
      <c r="E66">
        <v>46206.551574074074</v>
      </c>
      <c r="F66" t="s">
        <v>5435</v>
      </c>
      <c r="G66" t="s">
        <v>3668</v>
      </c>
      <c r="H66" t="s">
        <v>5421</v>
      </c>
      <c r="I66" t="s">
        <v>5403</v>
      </c>
      <c r="J66">
        <v>2026</v>
      </c>
      <c r="K66" t="s">
        <v>5436</v>
      </c>
      <c r="L66" t="s">
        <v>5437</v>
      </c>
      <c r="M66" t="s">
        <v>5406</v>
      </c>
      <c r="N66" s="1" t="s">
        <v>4565</v>
      </c>
      <c r="O66">
        <v>27.62</v>
      </c>
      <c r="P66">
        <v>4.2290000000000001</v>
      </c>
      <c r="Q66">
        <v>46064</v>
      </c>
      <c r="R66">
        <v>190</v>
      </c>
      <c r="S66">
        <v>6.88</v>
      </c>
      <c r="T66" s="8">
        <v>116.83</v>
      </c>
      <c r="U66">
        <v>12573782</v>
      </c>
      <c r="V66" t="s">
        <v>5514</v>
      </c>
      <c r="W66" t="s">
        <v>5409</v>
      </c>
      <c r="X66" t="s">
        <v>5515</v>
      </c>
      <c r="Y66" t="s">
        <v>5516</v>
      </c>
      <c r="Z66" t="s">
        <v>5426</v>
      </c>
      <c r="AA66" t="s">
        <v>5413</v>
      </c>
      <c r="AB66" t="s">
        <v>5414</v>
      </c>
      <c r="AC66" t="s">
        <v>5414</v>
      </c>
      <c r="AD66" t="s">
        <v>5414</v>
      </c>
      <c r="AG66" t="s">
        <v>5427</v>
      </c>
      <c r="AI66" t="s">
        <v>5517</v>
      </c>
      <c r="AJ66" t="s">
        <v>5443</v>
      </c>
      <c r="AL66" t="s">
        <v>5418</v>
      </c>
      <c r="AN66" t="s">
        <v>5419</v>
      </c>
    </row>
    <row r="67" spans="1:40" x14ac:dyDescent="0.25">
      <c r="A67">
        <v>1084437316</v>
      </c>
      <c r="B67" t="s">
        <v>5399</v>
      </c>
      <c r="C67">
        <v>252406</v>
      </c>
      <c r="D67" t="s">
        <v>5400</v>
      </c>
      <c r="E67">
        <v>46206.631747685184</v>
      </c>
      <c r="F67" t="s">
        <v>5435</v>
      </c>
      <c r="G67" t="s">
        <v>3668</v>
      </c>
      <c r="H67" t="s">
        <v>5421</v>
      </c>
      <c r="I67" t="s">
        <v>5403</v>
      </c>
      <c r="J67">
        <v>2026</v>
      </c>
      <c r="K67" t="s">
        <v>5436</v>
      </c>
      <c r="L67" t="s">
        <v>5437</v>
      </c>
      <c r="M67" t="s">
        <v>5406</v>
      </c>
      <c r="N67" s="1" t="s">
        <v>4565</v>
      </c>
      <c r="O67">
        <v>6.65</v>
      </c>
      <c r="P67">
        <v>4.29</v>
      </c>
      <c r="Q67">
        <v>46124</v>
      </c>
      <c r="R67">
        <v>60</v>
      </c>
      <c r="S67">
        <v>9.02</v>
      </c>
      <c r="T67" s="8">
        <v>28.53</v>
      </c>
      <c r="U67">
        <v>491721</v>
      </c>
      <c r="V67" t="s">
        <v>5438</v>
      </c>
      <c r="W67" t="s">
        <v>5409</v>
      </c>
      <c r="X67" t="s">
        <v>5439</v>
      </c>
      <c r="Y67" t="s">
        <v>5440</v>
      </c>
      <c r="Z67" t="s">
        <v>5441</v>
      </c>
      <c r="AA67" t="s">
        <v>5413</v>
      </c>
      <c r="AB67" t="s">
        <v>5414</v>
      </c>
      <c r="AC67" t="s">
        <v>5414</v>
      </c>
      <c r="AD67" t="s">
        <v>5414</v>
      </c>
      <c r="AG67" t="s">
        <v>5415</v>
      </c>
      <c r="AI67" t="s">
        <v>5460</v>
      </c>
      <c r="AJ67" t="s">
        <v>5443</v>
      </c>
      <c r="AL67" t="s">
        <v>5418</v>
      </c>
      <c r="AN67" t="s">
        <v>5419</v>
      </c>
    </row>
    <row r="68" spans="1:40" x14ac:dyDescent="0.25">
      <c r="A68">
        <v>1084467300</v>
      </c>
      <c r="B68" t="s">
        <v>5399</v>
      </c>
      <c r="C68">
        <v>252406</v>
      </c>
      <c r="D68" t="s">
        <v>5400</v>
      </c>
      <c r="E68">
        <v>46206.653946759259</v>
      </c>
      <c r="F68" t="s">
        <v>5477</v>
      </c>
      <c r="G68" t="s">
        <v>3668</v>
      </c>
      <c r="H68" t="s">
        <v>5478</v>
      </c>
      <c r="I68" t="s">
        <v>5403</v>
      </c>
      <c r="J68">
        <v>2015</v>
      </c>
      <c r="K68" t="s">
        <v>5479</v>
      </c>
      <c r="L68" t="s">
        <v>5480</v>
      </c>
      <c r="M68" t="s">
        <v>5406</v>
      </c>
      <c r="N68" s="1" t="s">
        <v>4565</v>
      </c>
      <c r="O68">
        <v>50</v>
      </c>
      <c r="P68">
        <v>4.29</v>
      </c>
      <c r="Q68">
        <v>244645</v>
      </c>
      <c r="R68">
        <v>323</v>
      </c>
      <c r="S68">
        <v>6.46</v>
      </c>
      <c r="T68" s="8">
        <v>214.5</v>
      </c>
      <c r="U68">
        <v>11198252</v>
      </c>
      <c r="V68" t="s">
        <v>5424</v>
      </c>
      <c r="W68" t="s">
        <v>5409</v>
      </c>
      <c r="X68" t="s">
        <v>5425</v>
      </c>
      <c r="Y68" t="s">
        <v>5411</v>
      </c>
      <c r="Z68" t="s">
        <v>5426</v>
      </c>
      <c r="AA68" t="s">
        <v>5413</v>
      </c>
      <c r="AB68" t="s">
        <v>5414</v>
      </c>
      <c r="AC68" t="s">
        <v>5414</v>
      </c>
      <c r="AD68" t="s">
        <v>5414</v>
      </c>
      <c r="AG68" t="s">
        <v>5427</v>
      </c>
      <c r="AI68" t="s">
        <v>5428</v>
      </c>
      <c r="AJ68" t="s">
        <v>5485</v>
      </c>
      <c r="AL68" t="s">
        <v>5418</v>
      </c>
      <c r="AN68" t="s">
        <v>5419</v>
      </c>
    </row>
    <row r="69" spans="1:40" x14ac:dyDescent="0.25">
      <c r="A69">
        <v>1084491927</v>
      </c>
      <c r="B69" t="s">
        <v>5399</v>
      </c>
      <c r="C69">
        <v>252406</v>
      </c>
      <c r="D69" t="s">
        <v>5400</v>
      </c>
      <c r="E69">
        <v>46206.703796296293</v>
      </c>
      <c r="F69" t="s">
        <v>5486</v>
      </c>
      <c r="G69" t="s">
        <v>3668</v>
      </c>
      <c r="H69" t="s">
        <v>5487</v>
      </c>
      <c r="I69" t="s">
        <v>5403</v>
      </c>
      <c r="J69">
        <v>2025</v>
      </c>
      <c r="K69" t="s">
        <v>5488</v>
      </c>
      <c r="L69" t="s">
        <v>5489</v>
      </c>
      <c r="M69" t="s">
        <v>5406</v>
      </c>
      <c r="N69" s="1" t="s">
        <v>4565</v>
      </c>
      <c r="O69">
        <v>36.880000000000003</v>
      </c>
      <c r="P69">
        <v>3.59</v>
      </c>
      <c r="Q69">
        <v>52864</v>
      </c>
      <c r="R69">
        <v>364</v>
      </c>
      <c r="S69">
        <v>9.8699999999999992</v>
      </c>
      <c r="T69" s="8">
        <v>132.4</v>
      </c>
      <c r="U69">
        <v>12815000</v>
      </c>
      <c r="V69" t="s">
        <v>5448</v>
      </c>
      <c r="W69" t="s">
        <v>5409</v>
      </c>
      <c r="X69" t="s">
        <v>5449</v>
      </c>
      <c r="Y69" t="s">
        <v>5450</v>
      </c>
      <c r="Z69" t="s">
        <v>5426</v>
      </c>
      <c r="AA69" t="s">
        <v>5413</v>
      </c>
      <c r="AB69" t="s">
        <v>5414</v>
      </c>
      <c r="AC69" t="s">
        <v>5414</v>
      </c>
      <c r="AD69" t="s">
        <v>5414</v>
      </c>
      <c r="AG69" t="s">
        <v>5427</v>
      </c>
      <c r="AI69" t="s">
        <v>5451</v>
      </c>
      <c r="AJ69" t="s">
        <v>5493</v>
      </c>
      <c r="AL69" t="s">
        <v>5418</v>
      </c>
      <c r="AN69" t="s">
        <v>5419</v>
      </c>
    </row>
    <row r="70" spans="1:40" x14ac:dyDescent="0.25">
      <c r="A70">
        <v>1084499056</v>
      </c>
      <c r="B70" t="s">
        <v>5399</v>
      </c>
      <c r="C70">
        <v>252406</v>
      </c>
      <c r="D70" t="s">
        <v>5400</v>
      </c>
      <c r="E70">
        <v>46206.721631944441</v>
      </c>
      <c r="F70" t="s">
        <v>5560</v>
      </c>
      <c r="G70" t="s">
        <v>3668</v>
      </c>
      <c r="H70" t="s">
        <v>5561</v>
      </c>
      <c r="I70" t="s">
        <v>5403</v>
      </c>
      <c r="J70">
        <v>2026</v>
      </c>
      <c r="K70" t="s">
        <v>5562</v>
      </c>
      <c r="L70" t="s">
        <v>5563</v>
      </c>
      <c r="M70" t="s">
        <v>5406</v>
      </c>
      <c r="N70" s="1" t="s">
        <v>4565</v>
      </c>
      <c r="O70">
        <v>45.01</v>
      </c>
      <c r="P70">
        <v>4.399</v>
      </c>
      <c r="Q70">
        <v>17981</v>
      </c>
      <c r="R70">
        <v>527</v>
      </c>
      <c r="S70">
        <v>11.71</v>
      </c>
      <c r="T70" s="8">
        <v>198.04</v>
      </c>
      <c r="U70">
        <v>11032621</v>
      </c>
      <c r="V70" t="s">
        <v>5569</v>
      </c>
      <c r="W70" t="s">
        <v>5409</v>
      </c>
      <c r="X70" t="s">
        <v>5570</v>
      </c>
      <c r="Y70" t="s">
        <v>5458</v>
      </c>
      <c r="Z70" t="s">
        <v>5571</v>
      </c>
      <c r="AA70" t="s">
        <v>5413</v>
      </c>
      <c r="AB70" t="s">
        <v>5414</v>
      </c>
      <c r="AC70" t="s">
        <v>5414</v>
      </c>
      <c r="AD70" t="s">
        <v>5414</v>
      </c>
      <c r="AG70" t="s">
        <v>5427</v>
      </c>
      <c r="AI70" t="s">
        <v>5572</v>
      </c>
      <c r="AJ70" t="s">
        <v>5564</v>
      </c>
      <c r="AL70" t="s">
        <v>5418</v>
      </c>
      <c r="AN70" t="s">
        <v>5419</v>
      </c>
    </row>
    <row r="71" spans="1:40" x14ac:dyDescent="0.25">
      <c r="A71">
        <v>1084497574</v>
      </c>
      <c r="B71" t="s">
        <v>5399</v>
      </c>
      <c r="C71">
        <v>252406</v>
      </c>
      <c r="D71" t="s">
        <v>5400</v>
      </c>
      <c r="E71">
        <v>46206.762372685182</v>
      </c>
      <c r="F71" t="s">
        <v>5435</v>
      </c>
      <c r="G71" t="s">
        <v>3668</v>
      </c>
      <c r="H71" t="s">
        <v>5421</v>
      </c>
      <c r="I71" t="s">
        <v>5403</v>
      </c>
      <c r="J71">
        <v>2026</v>
      </c>
      <c r="K71" t="s">
        <v>5436</v>
      </c>
      <c r="L71" t="s">
        <v>5437</v>
      </c>
      <c r="M71" t="s">
        <v>5406</v>
      </c>
      <c r="N71" s="1" t="s">
        <v>4565</v>
      </c>
      <c r="O71">
        <v>27.45</v>
      </c>
      <c r="P71">
        <v>4.3890000000000002</v>
      </c>
      <c r="Q71">
        <v>46377</v>
      </c>
      <c r="R71">
        <v>253</v>
      </c>
      <c r="S71">
        <v>9.2200000000000006</v>
      </c>
      <c r="T71" s="8">
        <v>120.5</v>
      </c>
      <c r="U71">
        <v>96261</v>
      </c>
      <c r="V71" t="s">
        <v>5663</v>
      </c>
      <c r="W71" t="s">
        <v>5409</v>
      </c>
      <c r="X71" t="s">
        <v>5664</v>
      </c>
      <c r="Y71" t="s">
        <v>5458</v>
      </c>
      <c r="Z71" t="s">
        <v>5665</v>
      </c>
      <c r="AA71" t="s">
        <v>5413</v>
      </c>
      <c r="AB71" t="s">
        <v>5414</v>
      </c>
      <c r="AC71" t="s">
        <v>5414</v>
      </c>
      <c r="AD71" t="s">
        <v>5414</v>
      </c>
      <c r="AG71" t="s">
        <v>5415</v>
      </c>
      <c r="AI71" t="s">
        <v>5522</v>
      </c>
      <c r="AJ71" t="s">
        <v>5443</v>
      </c>
      <c r="AL71" t="s">
        <v>5418</v>
      </c>
      <c r="AN71" t="s">
        <v>5419</v>
      </c>
    </row>
    <row r="72" spans="1:40" x14ac:dyDescent="0.25">
      <c r="A72">
        <v>1084517897</v>
      </c>
      <c r="B72" t="s">
        <v>5399</v>
      </c>
      <c r="C72">
        <v>252406</v>
      </c>
      <c r="D72" t="s">
        <v>5400</v>
      </c>
      <c r="E72">
        <v>46206.774664351855</v>
      </c>
      <c r="F72" t="s">
        <v>5567</v>
      </c>
      <c r="G72" t="s">
        <v>3668</v>
      </c>
      <c r="H72" t="s">
        <v>5568</v>
      </c>
      <c r="I72" t="s">
        <v>5403</v>
      </c>
      <c r="J72">
        <v>2026</v>
      </c>
      <c r="K72" t="s">
        <v>5436</v>
      </c>
      <c r="L72" t="s">
        <v>5437</v>
      </c>
      <c r="M72" t="s">
        <v>5406</v>
      </c>
      <c r="N72" s="1" t="s">
        <v>4565</v>
      </c>
      <c r="O72">
        <v>41.6</v>
      </c>
      <c r="P72">
        <v>3.589</v>
      </c>
      <c r="Q72">
        <v>1282</v>
      </c>
      <c r="R72">
        <v>465</v>
      </c>
      <c r="S72">
        <v>11.18</v>
      </c>
      <c r="T72" s="8">
        <v>149.34</v>
      </c>
      <c r="U72">
        <v>12815000</v>
      </c>
      <c r="V72" t="s">
        <v>5448</v>
      </c>
      <c r="W72" t="s">
        <v>5409</v>
      </c>
      <c r="X72" t="s">
        <v>5449</v>
      </c>
      <c r="Y72" t="s">
        <v>5450</v>
      </c>
      <c r="Z72" t="s">
        <v>5426</v>
      </c>
      <c r="AA72" t="s">
        <v>5413</v>
      </c>
      <c r="AB72" t="s">
        <v>5414</v>
      </c>
      <c r="AC72" t="s">
        <v>5414</v>
      </c>
      <c r="AD72" t="s">
        <v>5414</v>
      </c>
      <c r="AG72" t="s">
        <v>5427</v>
      </c>
      <c r="AI72" t="s">
        <v>5451</v>
      </c>
      <c r="AJ72" t="s">
        <v>5573</v>
      </c>
      <c r="AL72" t="s">
        <v>5418</v>
      </c>
      <c r="AN72" t="s">
        <v>5419</v>
      </c>
    </row>
    <row r="73" spans="1:40" x14ac:dyDescent="0.25">
      <c r="A73">
        <v>1084518686</v>
      </c>
      <c r="B73" t="s">
        <v>5399</v>
      </c>
      <c r="C73">
        <v>252406</v>
      </c>
      <c r="D73" t="s">
        <v>5400</v>
      </c>
      <c r="E73">
        <v>46206.77988425926</v>
      </c>
      <c r="F73" t="s">
        <v>5655</v>
      </c>
      <c r="G73" t="s">
        <v>3668</v>
      </c>
      <c r="H73" t="s">
        <v>5506</v>
      </c>
      <c r="I73" t="s">
        <v>5403</v>
      </c>
      <c r="J73">
        <v>2026</v>
      </c>
      <c r="K73" t="s">
        <v>5656</v>
      </c>
      <c r="L73" t="s">
        <v>5657</v>
      </c>
      <c r="M73" t="s">
        <v>5406</v>
      </c>
      <c r="N73" s="1" t="s">
        <v>4565</v>
      </c>
      <c r="O73">
        <v>35.21</v>
      </c>
      <c r="P73">
        <v>4.2889999999999997</v>
      </c>
      <c r="Q73">
        <v>4078</v>
      </c>
      <c r="R73">
        <v>317</v>
      </c>
      <c r="S73">
        <v>9</v>
      </c>
      <c r="T73" s="8">
        <v>151.05000000000001</v>
      </c>
      <c r="U73">
        <v>12193017</v>
      </c>
      <c r="V73" t="s">
        <v>5574</v>
      </c>
      <c r="W73" t="s">
        <v>5409</v>
      </c>
      <c r="X73" t="s">
        <v>5575</v>
      </c>
      <c r="Y73" t="s">
        <v>5576</v>
      </c>
      <c r="Z73" t="s">
        <v>5472</v>
      </c>
      <c r="AA73" t="s">
        <v>5413</v>
      </c>
      <c r="AB73" t="s">
        <v>5414</v>
      </c>
      <c r="AC73" t="s">
        <v>5414</v>
      </c>
      <c r="AD73" t="s">
        <v>5414</v>
      </c>
      <c r="AG73" t="s">
        <v>5427</v>
      </c>
      <c r="AI73" t="s">
        <v>5577</v>
      </c>
      <c r="AJ73" t="s">
        <v>5658</v>
      </c>
      <c r="AL73" t="s">
        <v>5418</v>
      </c>
      <c r="AN73" t="s">
        <v>5419</v>
      </c>
    </row>
    <row r="74" spans="1:40" x14ac:dyDescent="0.25">
      <c r="A74">
        <v>1084522520</v>
      </c>
      <c r="B74" t="s">
        <v>5399</v>
      </c>
      <c r="C74">
        <v>252406</v>
      </c>
      <c r="D74" t="s">
        <v>5400</v>
      </c>
      <c r="E74">
        <v>46206.795983796299</v>
      </c>
      <c r="F74" t="s">
        <v>5659</v>
      </c>
      <c r="G74" t="s">
        <v>3668</v>
      </c>
      <c r="H74" t="s">
        <v>5431</v>
      </c>
      <c r="I74" t="s">
        <v>5403</v>
      </c>
      <c r="J74">
        <v>2026</v>
      </c>
      <c r="K74" t="s">
        <v>5660</v>
      </c>
      <c r="L74" t="s">
        <v>5661</v>
      </c>
      <c r="M74" t="s">
        <v>5406</v>
      </c>
      <c r="N74" s="1" t="s">
        <v>4565</v>
      </c>
      <c r="O74">
        <v>21.68</v>
      </c>
      <c r="P74">
        <v>4.29</v>
      </c>
      <c r="Q74">
        <v>6342</v>
      </c>
      <c r="R74">
        <v>249</v>
      </c>
      <c r="S74">
        <v>11.49</v>
      </c>
      <c r="T74" s="8">
        <v>93.01</v>
      </c>
      <c r="U74">
        <v>12193017</v>
      </c>
      <c r="V74" t="s">
        <v>5574</v>
      </c>
      <c r="W74" t="s">
        <v>5409</v>
      </c>
      <c r="X74" t="s">
        <v>5575</v>
      </c>
      <c r="Y74" t="s">
        <v>5576</v>
      </c>
      <c r="Z74" t="s">
        <v>5472</v>
      </c>
      <c r="AA74" t="s">
        <v>5413</v>
      </c>
      <c r="AB74" t="s">
        <v>5414</v>
      </c>
      <c r="AC74" t="s">
        <v>5414</v>
      </c>
      <c r="AD74" t="s">
        <v>5414</v>
      </c>
      <c r="AG74" t="s">
        <v>5427</v>
      </c>
      <c r="AI74" t="s">
        <v>5577</v>
      </c>
      <c r="AJ74" t="s">
        <v>5662</v>
      </c>
      <c r="AL74" t="s">
        <v>5418</v>
      </c>
      <c r="AN74" t="s">
        <v>5419</v>
      </c>
    </row>
    <row r="75" spans="1:40" x14ac:dyDescent="0.25">
      <c r="A75">
        <v>1084524132</v>
      </c>
      <c r="B75" t="s">
        <v>5399</v>
      </c>
      <c r="C75">
        <v>252406</v>
      </c>
      <c r="D75" t="s">
        <v>5400</v>
      </c>
      <c r="E75">
        <v>46206.847997685189</v>
      </c>
      <c r="F75" t="s">
        <v>5534</v>
      </c>
      <c r="G75" t="s">
        <v>3668</v>
      </c>
      <c r="H75" t="s">
        <v>5421</v>
      </c>
      <c r="I75" t="s">
        <v>5403</v>
      </c>
      <c r="J75">
        <v>2027</v>
      </c>
      <c r="K75" t="s">
        <v>5535</v>
      </c>
      <c r="L75" t="s">
        <v>5536</v>
      </c>
      <c r="M75" t="s">
        <v>5406</v>
      </c>
      <c r="N75" s="1" t="s">
        <v>4565</v>
      </c>
      <c r="O75">
        <v>30.25</v>
      </c>
      <c r="P75">
        <v>4.6500000000000004</v>
      </c>
      <c r="Q75">
        <v>1909</v>
      </c>
      <c r="R75">
        <v>322</v>
      </c>
      <c r="S75">
        <v>10.64</v>
      </c>
      <c r="T75" s="8">
        <v>140.66999999999999</v>
      </c>
      <c r="U75">
        <v>11040292</v>
      </c>
      <c r="V75" t="s">
        <v>5456</v>
      </c>
      <c r="W75" t="s">
        <v>5409</v>
      </c>
      <c r="X75" t="s">
        <v>5457</v>
      </c>
      <c r="Y75" t="s">
        <v>5458</v>
      </c>
      <c r="Z75" t="s">
        <v>5459</v>
      </c>
      <c r="AA75" t="s">
        <v>5413</v>
      </c>
      <c r="AB75" t="s">
        <v>5414</v>
      </c>
      <c r="AC75" t="s">
        <v>5414</v>
      </c>
      <c r="AD75" t="s">
        <v>5414</v>
      </c>
      <c r="AG75" t="s">
        <v>5415</v>
      </c>
      <c r="AI75" t="s">
        <v>5460</v>
      </c>
      <c r="AJ75" t="s">
        <v>5537</v>
      </c>
      <c r="AL75" t="s">
        <v>5418</v>
      </c>
      <c r="AN75" t="s">
        <v>5419</v>
      </c>
    </row>
    <row r="76" spans="1:40" x14ac:dyDescent="0.25">
      <c r="A76">
        <v>1084526735</v>
      </c>
      <c r="B76" t="s">
        <v>5399</v>
      </c>
      <c r="C76">
        <v>252406</v>
      </c>
      <c r="D76" t="s">
        <v>5400</v>
      </c>
      <c r="E76">
        <v>46206.867615740739</v>
      </c>
      <c r="F76" t="s">
        <v>5420</v>
      </c>
      <c r="G76" t="s">
        <v>3668</v>
      </c>
      <c r="H76" t="s">
        <v>5421</v>
      </c>
      <c r="I76" t="s">
        <v>5403</v>
      </c>
      <c r="J76">
        <v>2025</v>
      </c>
      <c r="K76" t="s">
        <v>5422</v>
      </c>
      <c r="L76" t="s">
        <v>5423</v>
      </c>
      <c r="M76" t="s">
        <v>5406</v>
      </c>
      <c r="N76" s="1" t="s">
        <v>4565</v>
      </c>
      <c r="O76">
        <v>23.39</v>
      </c>
      <c r="P76">
        <v>4.4889999999999999</v>
      </c>
      <c r="Q76">
        <v>68158</v>
      </c>
      <c r="R76">
        <v>239</v>
      </c>
      <c r="S76">
        <v>10.220000000000001</v>
      </c>
      <c r="T76" s="8">
        <v>105.02</v>
      </c>
      <c r="U76">
        <v>578355</v>
      </c>
      <c r="V76" t="s">
        <v>5481</v>
      </c>
      <c r="W76" t="s">
        <v>5409</v>
      </c>
      <c r="X76" t="s">
        <v>5482</v>
      </c>
      <c r="Y76" t="s">
        <v>5411</v>
      </c>
      <c r="Z76" t="s">
        <v>5483</v>
      </c>
      <c r="AA76" t="s">
        <v>5413</v>
      </c>
      <c r="AB76" t="s">
        <v>5414</v>
      </c>
      <c r="AC76" t="s">
        <v>5414</v>
      </c>
      <c r="AD76" t="s">
        <v>5414</v>
      </c>
      <c r="AG76" t="s">
        <v>5415</v>
      </c>
      <c r="AI76" t="s">
        <v>5484</v>
      </c>
      <c r="AJ76" t="s">
        <v>5429</v>
      </c>
      <c r="AL76" t="s">
        <v>5418</v>
      </c>
      <c r="AN76" t="s">
        <v>5419</v>
      </c>
    </row>
    <row r="77" spans="1:40" x14ac:dyDescent="0.25">
      <c r="A77">
        <v>1084533799</v>
      </c>
      <c r="B77" t="s">
        <v>5399</v>
      </c>
      <c r="C77">
        <v>252406</v>
      </c>
      <c r="D77" t="s">
        <v>5400</v>
      </c>
      <c r="E77">
        <v>46206.87804398148</v>
      </c>
      <c r="F77" t="s">
        <v>5466</v>
      </c>
      <c r="G77" t="s">
        <v>3668</v>
      </c>
      <c r="H77" t="s">
        <v>5467</v>
      </c>
      <c r="I77" t="s">
        <v>5403</v>
      </c>
      <c r="J77">
        <v>2025</v>
      </c>
      <c r="K77" t="s">
        <v>5468</v>
      </c>
      <c r="L77" t="s">
        <v>5469</v>
      </c>
      <c r="M77" t="s">
        <v>5406</v>
      </c>
      <c r="N77" s="1" t="s">
        <v>4565</v>
      </c>
      <c r="O77">
        <v>35.01</v>
      </c>
      <c r="P77">
        <v>4.55</v>
      </c>
      <c r="Q77">
        <v>61549</v>
      </c>
      <c r="R77">
        <v>180</v>
      </c>
      <c r="S77">
        <v>5.14</v>
      </c>
      <c r="T77" s="8">
        <v>159.30000000000001</v>
      </c>
      <c r="U77">
        <v>108758</v>
      </c>
      <c r="V77" t="s">
        <v>5470</v>
      </c>
      <c r="W77" t="s">
        <v>5409</v>
      </c>
      <c r="X77" t="s">
        <v>5471</v>
      </c>
      <c r="Y77" t="s">
        <v>5411</v>
      </c>
      <c r="Z77" t="s">
        <v>5472</v>
      </c>
      <c r="AA77" t="s">
        <v>5413</v>
      </c>
      <c r="AB77" t="s">
        <v>5414</v>
      </c>
      <c r="AC77" t="s">
        <v>5414</v>
      </c>
      <c r="AD77" t="s">
        <v>5414</v>
      </c>
      <c r="AG77" t="s">
        <v>5427</v>
      </c>
      <c r="AI77" t="s">
        <v>5473</v>
      </c>
      <c r="AJ77" t="s">
        <v>5474</v>
      </c>
      <c r="AL77" t="s">
        <v>5418</v>
      </c>
      <c r="AN77" t="s">
        <v>5419</v>
      </c>
    </row>
    <row r="78" spans="1:40" x14ac:dyDescent="0.25">
      <c r="A78">
        <v>1084534214</v>
      </c>
      <c r="B78" t="s">
        <v>5399</v>
      </c>
      <c r="C78">
        <v>252406</v>
      </c>
      <c r="D78" t="s">
        <v>5400</v>
      </c>
      <c r="E78">
        <v>46206.924976851849</v>
      </c>
      <c r="F78" t="s">
        <v>5519</v>
      </c>
      <c r="G78" t="s">
        <v>3668</v>
      </c>
      <c r="H78" t="s">
        <v>5467</v>
      </c>
      <c r="I78" t="s">
        <v>5403</v>
      </c>
      <c r="J78">
        <v>2027</v>
      </c>
      <c r="K78" t="s">
        <v>5520</v>
      </c>
      <c r="L78" t="s">
        <v>5521</v>
      </c>
      <c r="M78" t="s">
        <v>5406</v>
      </c>
      <c r="N78" s="1" t="s">
        <v>4565</v>
      </c>
      <c r="O78">
        <v>48</v>
      </c>
      <c r="P78">
        <v>4.1900000000000004</v>
      </c>
      <c r="Q78">
        <v>11692</v>
      </c>
      <c r="R78">
        <v>452</v>
      </c>
      <c r="S78">
        <v>9.42</v>
      </c>
      <c r="T78" s="8">
        <v>201.12</v>
      </c>
      <c r="U78">
        <v>11040306</v>
      </c>
      <c r="V78" t="s">
        <v>5408</v>
      </c>
      <c r="W78" t="s">
        <v>5409</v>
      </c>
      <c r="X78" t="s">
        <v>5410</v>
      </c>
      <c r="Y78" t="s">
        <v>5411</v>
      </c>
      <c r="Z78" t="s">
        <v>5412</v>
      </c>
      <c r="AA78" t="s">
        <v>5413</v>
      </c>
      <c r="AB78" t="s">
        <v>5414</v>
      </c>
      <c r="AC78" t="s">
        <v>5414</v>
      </c>
      <c r="AD78" t="s">
        <v>5414</v>
      </c>
      <c r="AG78" t="s">
        <v>5415</v>
      </c>
      <c r="AI78" t="s">
        <v>5460</v>
      </c>
      <c r="AJ78" t="s">
        <v>5523</v>
      </c>
      <c r="AL78" t="s">
        <v>5418</v>
      </c>
      <c r="AN78" t="s">
        <v>5419</v>
      </c>
    </row>
    <row r="79" spans="1:40" x14ac:dyDescent="0.25">
      <c r="A79">
        <v>1084534955</v>
      </c>
      <c r="B79" t="s">
        <v>5399</v>
      </c>
      <c r="C79">
        <v>252406</v>
      </c>
      <c r="D79" t="s">
        <v>5400</v>
      </c>
      <c r="E79">
        <v>46206.935868055552</v>
      </c>
      <c r="F79" t="s">
        <v>5435</v>
      </c>
      <c r="G79" t="s">
        <v>3668</v>
      </c>
      <c r="H79" t="s">
        <v>5421</v>
      </c>
      <c r="I79" t="s">
        <v>5403</v>
      </c>
      <c r="J79">
        <v>2026</v>
      </c>
      <c r="K79" t="s">
        <v>5436</v>
      </c>
      <c r="L79" t="s">
        <v>5437</v>
      </c>
      <c r="M79" t="s">
        <v>5406</v>
      </c>
      <c r="N79" s="1" t="s">
        <v>4565</v>
      </c>
      <c r="O79">
        <v>32.590000000000003</v>
      </c>
      <c r="P79">
        <v>3.9889999999999999</v>
      </c>
      <c r="Q79">
        <v>46684</v>
      </c>
      <c r="R79">
        <v>307</v>
      </c>
      <c r="S79">
        <v>9.42</v>
      </c>
      <c r="T79" s="8">
        <v>130.03</v>
      </c>
      <c r="U79">
        <v>754870</v>
      </c>
      <c r="V79" t="s">
        <v>5666</v>
      </c>
      <c r="W79" t="s">
        <v>5409</v>
      </c>
      <c r="X79" t="s">
        <v>5667</v>
      </c>
      <c r="Y79" t="s">
        <v>5668</v>
      </c>
      <c r="Z79" t="s">
        <v>5669</v>
      </c>
      <c r="AA79" t="s">
        <v>5670</v>
      </c>
      <c r="AB79" t="s">
        <v>5414</v>
      </c>
      <c r="AC79" t="s">
        <v>5414</v>
      </c>
      <c r="AD79" t="s">
        <v>5414</v>
      </c>
      <c r="AG79" t="s">
        <v>5427</v>
      </c>
      <c r="AI79" t="s">
        <v>5671</v>
      </c>
      <c r="AJ79" t="s">
        <v>5443</v>
      </c>
      <c r="AL79" t="s">
        <v>5418</v>
      </c>
      <c r="AN79" t="s">
        <v>5419</v>
      </c>
    </row>
    <row r="80" spans="1:40" x14ac:dyDescent="0.25">
      <c r="A80">
        <v>1084538061</v>
      </c>
      <c r="B80" t="s">
        <v>5399</v>
      </c>
      <c r="C80">
        <v>252406</v>
      </c>
      <c r="D80" t="s">
        <v>5400</v>
      </c>
      <c r="E80">
        <v>46207.013784722221</v>
      </c>
      <c r="F80" t="s">
        <v>5466</v>
      </c>
      <c r="G80" t="s">
        <v>3668</v>
      </c>
      <c r="H80" t="s">
        <v>5467</v>
      </c>
      <c r="I80" t="s">
        <v>5403</v>
      </c>
      <c r="J80">
        <v>2025</v>
      </c>
      <c r="K80" t="s">
        <v>5468</v>
      </c>
      <c r="L80" t="s">
        <v>5469</v>
      </c>
      <c r="M80" t="s">
        <v>5406</v>
      </c>
      <c r="N80" s="1" t="s">
        <v>4565</v>
      </c>
      <c r="O80">
        <v>22.56</v>
      </c>
      <c r="P80">
        <v>4.1890000000000001</v>
      </c>
      <c r="Q80">
        <v>61733</v>
      </c>
      <c r="R80">
        <v>184</v>
      </c>
      <c r="S80">
        <v>8.16</v>
      </c>
      <c r="T80" s="8">
        <v>94.52</v>
      </c>
      <c r="U80">
        <v>11040306</v>
      </c>
      <c r="V80" t="s">
        <v>5408</v>
      </c>
      <c r="W80" t="s">
        <v>5409</v>
      </c>
      <c r="X80" t="s">
        <v>5410</v>
      </c>
      <c r="Y80" t="s">
        <v>5411</v>
      </c>
      <c r="Z80" t="s">
        <v>5412</v>
      </c>
      <c r="AA80" t="s">
        <v>5413</v>
      </c>
      <c r="AB80" t="s">
        <v>5414</v>
      </c>
      <c r="AC80" t="s">
        <v>5414</v>
      </c>
      <c r="AD80" t="s">
        <v>5414</v>
      </c>
      <c r="AG80" t="s">
        <v>5415</v>
      </c>
      <c r="AI80" t="s">
        <v>5629</v>
      </c>
      <c r="AJ80" t="s">
        <v>5474</v>
      </c>
      <c r="AL80" t="s">
        <v>5418</v>
      </c>
      <c r="AN80" t="s">
        <v>5419</v>
      </c>
    </row>
    <row r="81" spans="1:40" x14ac:dyDescent="0.25">
      <c r="A81">
        <v>1084538544</v>
      </c>
      <c r="B81" t="s">
        <v>5399</v>
      </c>
      <c r="C81">
        <v>252406</v>
      </c>
      <c r="D81" t="s">
        <v>5400</v>
      </c>
      <c r="E81">
        <v>46207.038310185184</v>
      </c>
      <c r="F81" t="s">
        <v>5560</v>
      </c>
      <c r="G81" t="s">
        <v>3668</v>
      </c>
      <c r="H81" t="s">
        <v>5561</v>
      </c>
      <c r="I81" t="s">
        <v>5403</v>
      </c>
      <c r="J81">
        <v>2026</v>
      </c>
      <c r="K81" t="s">
        <v>5562</v>
      </c>
      <c r="L81" t="s">
        <v>5563</v>
      </c>
      <c r="M81" t="s">
        <v>5406</v>
      </c>
      <c r="N81" s="1" t="s">
        <v>4565</v>
      </c>
      <c r="O81">
        <v>38.130000000000003</v>
      </c>
      <c r="P81">
        <v>4.29</v>
      </c>
      <c r="Q81">
        <v>18435</v>
      </c>
      <c r="R81">
        <v>454</v>
      </c>
      <c r="S81">
        <v>11.91</v>
      </c>
      <c r="T81" s="8">
        <v>163.59</v>
      </c>
      <c r="U81">
        <v>12007680</v>
      </c>
      <c r="V81" t="s">
        <v>5672</v>
      </c>
      <c r="W81" t="s">
        <v>5409</v>
      </c>
      <c r="X81" t="s">
        <v>5673</v>
      </c>
      <c r="Y81" t="s">
        <v>5674</v>
      </c>
      <c r="Z81" t="s">
        <v>5675</v>
      </c>
      <c r="AA81" t="s">
        <v>5502</v>
      </c>
      <c r="AB81" t="s">
        <v>5414</v>
      </c>
      <c r="AC81" t="s">
        <v>5414</v>
      </c>
      <c r="AD81" t="s">
        <v>5414</v>
      </c>
      <c r="AG81" t="s">
        <v>5415</v>
      </c>
      <c r="AI81" t="s">
        <v>5676</v>
      </c>
      <c r="AJ81" t="s">
        <v>5564</v>
      </c>
      <c r="AL81" t="s">
        <v>5418</v>
      </c>
      <c r="AN81" t="s">
        <v>5419</v>
      </c>
    </row>
    <row r="82" spans="1:40" x14ac:dyDescent="0.25">
      <c r="A82">
        <v>1084539053</v>
      </c>
      <c r="B82" t="s">
        <v>5399</v>
      </c>
      <c r="C82">
        <v>252406</v>
      </c>
      <c r="D82" t="s">
        <v>5400</v>
      </c>
      <c r="E82">
        <v>46207.065312500003</v>
      </c>
      <c r="F82" t="s">
        <v>5435</v>
      </c>
      <c r="G82" t="s">
        <v>3668</v>
      </c>
      <c r="H82" t="s">
        <v>5421</v>
      </c>
      <c r="I82" t="s">
        <v>5403</v>
      </c>
      <c r="J82">
        <v>2026</v>
      </c>
      <c r="K82" t="s">
        <v>5436</v>
      </c>
      <c r="L82" t="s">
        <v>5437</v>
      </c>
      <c r="M82" t="s">
        <v>5406</v>
      </c>
      <c r="N82" s="1" t="s">
        <v>4565</v>
      </c>
      <c r="O82">
        <v>27.97</v>
      </c>
      <c r="P82">
        <v>3.79</v>
      </c>
      <c r="Q82">
        <v>46953</v>
      </c>
      <c r="R82">
        <v>269</v>
      </c>
      <c r="S82">
        <v>9.6199999999999992</v>
      </c>
      <c r="T82" s="8">
        <v>106.01</v>
      </c>
      <c r="U82">
        <v>489220</v>
      </c>
      <c r="V82" t="s">
        <v>5677</v>
      </c>
      <c r="W82" t="s">
        <v>5409</v>
      </c>
      <c r="X82" t="s">
        <v>5678</v>
      </c>
      <c r="Y82" t="s">
        <v>5679</v>
      </c>
      <c r="Z82" t="s">
        <v>5680</v>
      </c>
      <c r="AA82" t="s">
        <v>5670</v>
      </c>
      <c r="AB82" t="s">
        <v>5414</v>
      </c>
      <c r="AC82" t="s">
        <v>5414</v>
      </c>
      <c r="AD82" t="s">
        <v>5414</v>
      </c>
      <c r="AG82" t="s">
        <v>5415</v>
      </c>
      <c r="AI82" t="s">
        <v>5681</v>
      </c>
      <c r="AJ82" t="s">
        <v>5443</v>
      </c>
      <c r="AL82" t="s">
        <v>5418</v>
      </c>
      <c r="AN82" t="s">
        <v>5419</v>
      </c>
    </row>
    <row r="83" spans="1:40" x14ac:dyDescent="0.25">
      <c r="A83">
        <v>1084542307</v>
      </c>
      <c r="B83" t="s">
        <v>5399</v>
      </c>
      <c r="C83">
        <v>252406</v>
      </c>
      <c r="D83" t="s">
        <v>5400</v>
      </c>
      <c r="E83">
        <v>46207.218981481485</v>
      </c>
      <c r="F83" t="s">
        <v>5560</v>
      </c>
      <c r="G83" t="s">
        <v>3668</v>
      </c>
      <c r="H83" t="s">
        <v>5561</v>
      </c>
      <c r="I83" t="s">
        <v>5403</v>
      </c>
      <c r="J83">
        <v>2026</v>
      </c>
      <c r="K83" t="s">
        <v>5562</v>
      </c>
      <c r="L83" t="s">
        <v>5563</v>
      </c>
      <c r="M83" t="s">
        <v>5406</v>
      </c>
      <c r="N83" s="1" t="s">
        <v>4565</v>
      </c>
      <c r="O83">
        <v>31.82</v>
      </c>
      <c r="P83">
        <v>4.79</v>
      </c>
      <c r="Q83">
        <v>18776</v>
      </c>
      <c r="R83">
        <v>341</v>
      </c>
      <c r="S83">
        <v>10.72</v>
      </c>
      <c r="T83" s="8">
        <v>152.41999999999999</v>
      </c>
      <c r="U83">
        <v>12595433</v>
      </c>
      <c r="V83" t="s">
        <v>5682</v>
      </c>
      <c r="W83" t="s">
        <v>5409</v>
      </c>
      <c r="X83" t="s">
        <v>5683</v>
      </c>
      <c r="Y83" t="s">
        <v>5684</v>
      </c>
      <c r="Z83" t="s">
        <v>5685</v>
      </c>
      <c r="AA83" t="s">
        <v>5502</v>
      </c>
      <c r="AB83" t="s">
        <v>5414</v>
      </c>
      <c r="AC83" t="s">
        <v>5414</v>
      </c>
      <c r="AD83" t="s">
        <v>5414</v>
      </c>
      <c r="AG83" t="s">
        <v>5427</v>
      </c>
      <c r="AI83" t="s">
        <v>5686</v>
      </c>
      <c r="AJ83" t="s">
        <v>5564</v>
      </c>
      <c r="AL83" t="s">
        <v>5418</v>
      </c>
      <c r="AN83" t="s">
        <v>5419</v>
      </c>
    </row>
    <row r="84" spans="1:40" x14ac:dyDescent="0.25">
      <c r="A84">
        <v>1084546298</v>
      </c>
      <c r="B84" t="s">
        <v>5399</v>
      </c>
      <c r="C84">
        <v>252406</v>
      </c>
      <c r="D84" t="s">
        <v>5400</v>
      </c>
      <c r="E84">
        <v>46207.24622685185</v>
      </c>
      <c r="F84" t="s">
        <v>5401</v>
      </c>
      <c r="G84" t="s">
        <v>3668</v>
      </c>
      <c r="H84" t="s">
        <v>5402</v>
      </c>
      <c r="I84" t="s">
        <v>5403</v>
      </c>
      <c r="J84">
        <v>2026</v>
      </c>
      <c r="K84" t="s">
        <v>5687</v>
      </c>
      <c r="L84" t="s">
        <v>5688</v>
      </c>
      <c r="M84" t="s">
        <v>5406</v>
      </c>
      <c r="N84" s="1" t="s">
        <v>4565</v>
      </c>
      <c r="O84">
        <v>27.59</v>
      </c>
      <c r="P84">
        <v>4.2889999999999997</v>
      </c>
      <c r="Q84">
        <v>32345</v>
      </c>
      <c r="R84">
        <v>249</v>
      </c>
      <c r="S84">
        <v>9.0299999999999994</v>
      </c>
      <c r="T84" s="8">
        <v>118.36</v>
      </c>
      <c r="U84">
        <v>11198252</v>
      </c>
      <c r="V84" t="s">
        <v>5424</v>
      </c>
      <c r="W84" t="s">
        <v>5409</v>
      </c>
      <c r="X84" t="s">
        <v>5425</v>
      </c>
      <c r="Y84" t="s">
        <v>5411</v>
      </c>
      <c r="Z84" t="s">
        <v>5426</v>
      </c>
      <c r="AA84" t="s">
        <v>5413</v>
      </c>
      <c r="AB84" t="s">
        <v>5414</v>
      </c>
      <c r="AC84" t="s">
        <v>5414</v>
      </c>
      <c r="AD84" t="s">
        <v>5414</v>
      </c>
      <c r="AG84" t="s">
        <v>5427</v>
      </c>
      <c r="AI84" t="s">
        <v>5428</v>
      </c>
      <c r="AJ84" t="s">
        <v>5417</v>
      </c>
      <c r="AL84" t="s">
        <v>5418</v>
      </c>
      <c r="AN84" t="s">
        <v>5419</v>
      </c>
    </row>
    <row r="85" spans="1:40" x14ac:dyDescent="0.25">
      <c r="A85">
        <v>1084557624</v>
      </c>
      <c r="B85" t="s">
        <v>5399</v>
      </c>
      <c r="C85">
        <v>252406</v>
      </c>
      <c r="D85" t="s">
        <v>5400</v>
      </c>
      <c r="E85">
        <v>46207.297488425924</v>
      </c>
      <c r="F85" t="s">
        <v>5462</v>
      </c>
      <c r="G85" t="s">
        <v>3668</v>
      </c>
      <c r="H85" t="s">
        <v>5402</v>
      </c>
      <c r="I85" t="s">
        <v>5403</v>
      </c>
      <c r="J85">
        <v>2026</v>
      </c>
      <c r="K85" t="s">
        <v>5604</v>
      </c>
      <c r="L85" t="s">
        <v>5605</v>
      </c>
      <c r="M85" t="s">
        <v>5406</v>
      </c>
      <c r="N85" s="1" t="s">
        <v>4565</v>
      </c>
      <c r="O85">
        <v>31.49</v>
      </c>
      <c r="P85">
        <v>4.2889999999999997</v>
      </c>
      <c r="Q85">
        <v>24886</v>
      </c>
      <c r="R85">
        <v>199</v>
      </c>
      <c r="S85">
        <v>6.32</v>
      </c>
      <c r="T85" s="8">
        <v>135.09</v>
      </c>
      <c r="U85">
        <v>11198252</v>
      </c>
      <c r="V85" t="s">
        <v>5424</v>
      </c>
      <c r="W85" t="s">
        <v>5409</v>
      </c>
      <c r="X85" t="s">
        <v>5425</v>
      </c>
      <c r="Y85" t="s">
        <v>5411</v>
      </c>
      <c r="Z85" t="s">
        <v>5426</v>
      </c>
      <c r="AA85" t="s">
        <v>5413</v>
      </c>
      <c r="AB85" t="s">
        <v>5414</v>
      </c>
      <c r="AC85" t="s">
        <v>5414</v>
      </c>
      <c r="AD85" t="s">
        <v>5414</v>
      </c>
      <c r="AG85" t="s">
        <v>5427</v>
      </c>
      <c r="AI85" t="s">
        <v>5428</v>
      </c>
      <c r="AJ85" t="s">
        <v>5465</v>
      </c>
      <c r="AL85" t="s">
        <v>5418</v>
      </c>
      <c r="AN85" t="s">
        <v>5419</v>
      </c>
    </row>
    <row r="86" spans="1:40" x14ac:dyDescent="0.25">
      <c r="A86">
        <v>1084556125</v>
      </c>
      <c r="B86" t="s">
        <v>5399</v>
      </c>
      <c r="C86">
        <v>252406</v>
      </c>
      <c r="D86" t="s">
        <v>5400</v>
      </c>
      <c r="E86">
        <v>46207.332349537035</v>
      </c>
      <c r="F86" t="s">
        <v>5477</v>
      </c>
      <c r="G86" t="s">
        <v>3668</v>
      </c>
      <c r="H86" t="s">
        <v>5478</v>
      </c>
      <c r="I86" t="s">
        <v>5403</v>
      </c>
      <c r="J86">
        <v>2015</v>
      </c>
      <c r="K86" t="s">
        <v>5479</v>
      </c>
      <c r="L86" t="s">
        <v>5480</v>
      </c>
      <c r="M86" t="s">
        <v>5406</v>
      </c>
      <c r="N86" s="1" t="s">
        <v>4565</v>
      </c>
      <c r="O86">
        <v>39.549999999999997</v>
      </c>
      <c r="P86">
        <v>4.1890000000000001</v>
      </c>
      <c r="Q86">
        <v>244974</v>
      </c>
      <c r="R86">
        <v>329</v>
      </c>
      <c r="S86">
        <v>8.32</v>
      </c>
      <c r="T86" s="8">
        <v>165.71</v>
      </c>
      <c r="U86">
        <v>11040306</v>
      </c>
      <c r="V86" t="s">
        <v>5408</v>
      </c>
      <c r="W86" t="s">
        <v>5409</v>
      </c>
      <c r="X86" t="s">
        <v>5410</v>
      </c>
      <c r="Y86" t="s">
        <v>5411</v>
      </c>
      <c r="Z86" t="s">
        <v>5412</v>
      </c>
      <c r="AA86" t="s">
        <v>5413</v>
      </c>
      <c r="AB86" t="s">
        <v>5414</v>
      </c>
      <c r="AC86" t="s">
        <v>5414</v>
      </c>
      <c r="AD86" t="s">
        <v>5414</v>
      </c>
      <c r="AG86" t="s">
        <v>5415</v>
      </c>
      <c r="AI86" t="s">
        <v>5460</v>
      </c>
      <c r="AJ86" t="s">
        <v>5485</v>
      </c>
      <c r="AL86" t="s">
        <v>5418</v>
      </c>
      <c r="AN86" t="s">
        <v>5419</v>
      </c>
    </row>
    <row r="87" spans="1:40" x14ac:dyDescent="0.25">
      <c r="A87">
        <v>1084558784</v>
      </c>
      <c r="B87" t="s">
        <v>5399</v>
      </c>
      <c r="C87">
        <v>252406</v>
      </c>
      <c r="D87" t="s">
        <v>5400</v>
      </c>
      <c r="E87">
        <v>46207.344375000001</v>
      </c>
      <c r="F87" t="s">
        <v>5613</v>
      </c>
      <c r="G87" t="s">
        <v>3668</v>
      </c>
      <c r="H87" t="s">
        <v>5467</v>
      </c>
      <c r="I87" t="s">
        <v>5403</v>
      </c>
      <c r="J87">
        <v>2025</v>
      </c>
      <c r="K87" t="s">
        <v>5614</v>
      </c>
      <c r="L87" t="s">
        <v>5615</v>
      </c>
      <c r="M87" t="s">
        <v>5406</v>
      </c>
      <c r="N87" s="1" t="s">
        <v>4565</v>
      </c>
      <c r="O87">
        <v>12.53</v>
      </c>
      <c r="P87">
        <v>4.1890000000000001</v>
      </c>
      <c r="Q87">
        <v>70759</v>
      </c>
      <c r="R87">
        <v>481</v>
      </c>
      <c r="S87">
        <v>38.39</v>
      </c>
      <c r="T87" s="8">
        <v>52.5</v>
      </c>
      <c r="U87">
        <v>11040306</v>
      </c>
      <c r="V87" t="s">
        <v>5408</v>
      </c>
      <c r="W87" t="s">
        <v>5409</v>
      </c>
      <c r="X87" t="s">
        <v>5410</v>
      </c>
      <c r="Y87" t="s">
        <v>5411</v>
      </c>
      <c r="Z87" t="s">
        <v>5412</v>
      </c>
      <c r="AA87" t="s">
        <v>5413</v>
      </c>
      <c r="AB87" t="s">
        <v>5414</v>
      </c>
      <c r="AC87" t="s">
        <v>5414</v>
      </c>
      <c r="AD87" t="s">
        <v>5414</v>
      </c>
      <c r="AG87" t="s">
        <v>5415</v>
      </c>
      <c r="AI87" t="s">
        <v>5460</v>
      </c>
      <c r="AJ87" t="s">
        <v>5616</v>
      </c>
      <c r="AL87" t="s">
        <v>5418</v>
      </c>
      <c r="AN87" t="s">
        <v>5419</v>
      </c>
    </row>
    <row r="88" spans="1:40" x14ac:dyDescent="0.25">
      <c r="A88">
        <v>1084591508</v>
      </c>
      <c r="B88" t="s">
        <v>5399</v>
      </c>
      <c r="C88">
        <v>252406</v>
      </c>
      <c r="D88" t="s">
        <v>5400</v>
      </c>
      <c r="E88">
        <v>46207.435439814813</v>
      </c>
      <c r="F88" t="s">
        <v>5567</v>
      </c>
      <c r="G88" t="s">
        <v>3668</v>
      </c>
      <c r="H88" t="s">
        <v>5568</v>
      </c>
      <c r="I88" t="s">
        <v>5403</v>
      </c>
      <c r="J88">
        <v>2026</v>
      </c>
      <c r="K88" t="s">
        <v>5436</v>
      </c>
      <c r="L88" t="s">
        <v>5437</v>
      </c>
      <c r="M88" t="s">
        <v>5406</v>
      </c>
      <c r="N88" s="1" t="s">
        <v>4565</v>
      </c>
      <c r="O88">
        <v>35.659999999999997</v>
      </c>
      <c r="P88">
        <v>3.59</v>
      </c>
      <c r="Q88">
        <v>1638</v>
      </c>
      <c r="R88">
        <v>356</v>
      </c>
      <c r="S88">
        <v>9.98</v>
      </c>
      <c r="T88" s="8">
        <v>128.02000000000001</v>
      </c>
      <c r="U88">
        <v>12815000</v>
      </c>
      <c r="V88" t="s">
        <v>5448</v>
      </c>
      <c r="W88" t="s">
        <v>5409</v>
      </c>
      <c r="X88" t="s">
        <v>5449</v>
      </c>
      <c r="Y88" t="s">
        <v>5450</v>
      </c>
      <c r="Z88" t="s">
        <v>5426</v>
      </c>
      <c r="AA88" t="s">
        <v>5413</v>
      </c>
      <c r="AB88" t="s">
        <v>5414</v>
      </c>
      <c r="AC88" t="s">
        <v>5414</v>
      </c>
      <c r="AD88" t="s">
        <v>5414</v>
      </c>
      <c r="AG88" t="s">
        <v>5427</v>
      </c>
      <c r="AI88" t="s">
        <v>5451</v>
      </c>
      <c r="AJ88" t="s">
        <v>5573</v>
      </c>
      <c r="AL88" t="s">
        <v>5418</v>
      </c>
      <c r="AN88" t="s">
        <v>5419</v>
      </c>
    </row>
    <row r="89" spans="1:40" x14ac:dyDescent="0.25">
      <c r="A89">
        <v>1084597716</v>
      </c>
      <c r="B89" t="s">
        <v>5399</v>
      </c>
      <c r="C89">
        <v>252406</v>
      </c>
      <c r="D89" t="s">
        <v>5400</v>
      </c>
      <c r="E89">
        <v>46207.46597222222</v>
      </c>
      <c r="F89" t="s">
        <v>5617</v>
      </c>
      <c r="G89" t="s">
        <v>3668</v>
      </c>
      <c r="H89" t="s">
        <v>5467</v>
      </c>
      <c r="I89" t="s">
        <v>5403</v>
      </c>
      <c r="J89">
        <v>2026</v>
      </c>
      <c r="K89" t="s">
        <v>5618</v>
      </c>
      <c r="L89" t="s">
        <v>5619</v>
      </c>
      <c r="M89" t="s">
        <v>5406</v>
      </c>
      <c r="N89" s="1" t="s">
        <v>4565</v>
      </c>
      <c r="O89">
        <v>37.01</v>
      </c>
      <c r="P89">
        <v>4.55</v>
      </c>
      <c r="Q89">
        <v>53102</v>
      </c>
      <c r="R89">
        <v>309</v>
      </c>
      <c r="S89">
        <v>8.35</v>
      </c>
      <c r="T89" s="8">
        <v>168.4</v>
      </c>
      <c r="U89">
        <v>108758</v>
      </c>
      <c r="V89" t="s">
        <v>5470</v>
      </c>
      <c r="W89" t="s">
        <v>5409</v>
      </c>
      <c r="X89" t="s">
        <v>5471</v>
      </c>
      <c r="Y89" t="s">
        <v>5411</v>
      </c>
      <c r="Z89" t="s">
        <v>5472</v>
      </c>
      <c r="AA89" t="s">
        <v>5413</v>
      </c>
      <c r="AB89" t="s">
        <v>5414</v>
      </c>
      <c r="AC89" t="s">
        <v>5414</v>
      </c>
      <c r="AD89" t="s">
        <v>5414</v>
      </c>
      <c r="AG89" t="s">
        <v>5427</v>
      </c>
      <c r="AI89" t="s">
        <v>5473</v>
      </c>
      <c r="AJ89" t="s">
        <v>5620</v>
      </c>
      <c r="AL89" t="s">
        <v>5418</v>
      </c>
      <c r="AN89" t="s">
        <v>5419</v>
      </c>
    </row>
    <row r="90" spans="1:40" x14ac:dyDescent="0.25">
      <c r="A90">
        <v>1084589150</v>
      </c>
      <c r="B90" t="s">
        <v>5399</v>
      </c>
      <c r="C90">
        <v>252406</v>
      </c>
      <c r="D90" t="s">
        <v>5400</v>
      </c>
      <c r="E90">
        <v>46207.469826388886</v>
      </c>
      <c r="F90" t="s">
        <v>5581</v>
      </c>
      <c r="G90" t="s">
        <v>3668</v>
      </c>
      <c r="H90" t="s">
        <v>5467</v>
      </c>
      <c r="I90" t="s">
        <v>5403</v>
      </c>
      <c r="J90">
        <v>2026</v>
      </c>
      <c r="K90" t="s">
        <v>5582</v>
      </c>
      <c r="L90" t="s">
        <v>5583</v>
      </c>
      <c r="M90" t="s">
        <v>5406</v>
      </c>
      <c r="N90" s="1" t="s">
        <v>4565</v>
      </c>
      <c r="O90">
        <v>48.02</v>
      </c>
      <c r="P90">
        <v>4.29</v>
      </c>
      <c r="Q90">
        <v>29542</v>
      </c>
      <c r="R90">
        <v>369</v>
      </c>
      <c r="S90">
        <v>7.68</v>
      </c>
      <c r="T90" s="8">
        <v>206.01</v>
      </c>
      <c r="U90">
        <v>491721</v>
      </c>
      <c r="V90" t="s">
        <v>5438</v>
      </c>
      <c r="W90" t="s">
        <v>5409</v>
      </c>
      <c r="X90" t="s">
        <v>5439</v>
      </c>
      <c r="Y90" t="s">
        <v>5440</v>
      </c>
      <c r="Z90" t="s">
        <v>5441</v>
      </c>
      <c r="AA90" t="s">
        <v>5413</v>
      </c>
      <c r="AB90" t="s">
        <v>5414</v>
      </c>
      <c r="AC90" t="s">
        <v>5414</v>
      </c>
      <c r="AD90" t="s">
        <v>5414</v>
      </c>
      <c r="AG90" t="s">
        <v>5415</v>
      </c>
      <c r="AI90" t="s">
        <v>5522</v>
      </c>
      <c r="AJ90" t="s">
        <v>5584</v>
      </c>
      <c r="AL90" t="s">
        <v>5418</v>
      </c>
      <c r="AN90" t="s">
        <v>5419</v>
      </c>
    </row>
    <row r="91" spans="1:40" x14ac:dyDescent="0.25">
      <c r="A91">
        <v>1084600331</v>
      </c>
      <c r="B91" t="s">
        <v>5399</v>
      </c>
      <c r="C91">
        <v>252406</v>
      </c>
      <c r="D91" t="s">
        <v>5400</v>
      </c>
      <c r="E91">
        <v>46207.482881944445</v>
      </c>
      <c r="F91" t="s">
        <v>5510</v>
      </c>
      <c r="G91" t="s">
        <v>3668</v>
      </c>
      <c r="H91" t="s">
        <v>5511</v>
      </c>
      <c r="I91" t="s">
        <v>5403</v>
      </c>
      <c r="J91">
        <v>2025</v>
      </c>
      <c r="K91" t="s">
        <v>5512</v>
      </c>
      <c r="L91" t="s">
        <v>5513</v>
      </c>
      <c r="M91" t="s">
        <v>5406</v>
      </c>
      <c r="N91" s="1" t="s">
        <v>4565</v>
      </c>
      <c r="O91">
        <v>35.4</v>
      </c>
      <c r="P91">
        <v>4.2290000000000001</v>
      </c>
      <c r="Q91">
        <v>80582</v>
      </c>
      <c r="R91">
        <v>271</v>
      </c>
      <c r="S91">
        <v>7.66</v>
      </c>
      <c r="T91" s="8">
        <v>149.74</v>
      </c>
      <c r="U91">
        <v>12573782</v>
      </c>
      <c r="V91" t="s">
        <v>5514</v>
      </c>
      <c r="W91" t="s">
        <v>5409</v>
      </c>
      <c r="X91" t="s">
        <v>5515</v>
      </c>
      <c r="Y91" t="s">
        <v>5516</v>
      </c>
      <c r="Z91" t="s">
        <v>5426</v>
      </c>
      <c r="AA91" t="s">
        <v>5413</v>
      </c>
      <c r="AB91" t="s">
        <v>5414</v>
      </c>
      <c r="AC91" t="s">
        <v>5414</v>
      </c>
      <c r="AD91" t="s">
        <v>5414</v>
      </c>
      <c r="AG91" t="s">
        <v>5427</v>
      </c>
      <c r="AI91" t="s">
        <v>5517</v>
      </c>
      <c r="AJ91" t="s">
        <v>5518</v>
      </c>
      <c r="AL91" t="s">
        <v>5418</v>
      </c>
      <c r="AN91" t="s">
        <v>5419</v>
      </c>
    </row>
    <row r="92" spans="1:40" x14ac:dyDescent="0.25">
      <c r="A92">
        <v>1084600819</v>
      </c>
      <c r="B92" t="s">
        <v>5399</v>
      </c>
      <c r="C92">
        <v>252406</v>
      </c>
      <c r="D92" t="s">
        <v>5400</v>
      </c>
      <c r="E92">
        <v>46207.486354166664</v>
      </c>
      <c r="F92" t="s">
        <v>5430</v>
      </c>
      <c r="G92" t="s">
        <v>3668</v>
      </c>
      <c r="H92" t="s">
        <v>5431</v>
      </c>
      <c r="I92" t="s">
        <v>5403</v>
      </c>
      <c r="J92">
        <v>2025</v>
      </c>
      <c r="K92" t="s">
        <v>5432</v>
      </c>
      <c r="L92" t="s">
        <v>5433</v>
      </c>
      <c r="M92" t="s">
        <v>5406</v>
      </c>
      <c r="N92" s="1" t="s">
        <v>4565</v>
      </c>
      <c r="O92">
        <v>32.549999999999997</v>
      </c>
      <c r="P92">
        <v>4.29</v>
      </c>
      <c r="Q92">
        <v>63483</v>
      </c>
      <c r="R92">
        <v>255</v>
      </c>
      <c r="S92">
        <v>7.83</v>
      </c>
      <c r="T92" s="8">
        <v>139.63999999999999</v>
      </c>
      <c r="U92">
        <v>11198252</v>
      </c>
      <c r="V92" t="s">
        <v>5424</v>
      </c>
      <c r="W92" t="s">
        <v>5409</v>
      </c>
      <c r="X92" t="s">
        <v>5425</v>
      </c>
      <c r="Y92" t="s">
        <v>5411</v>
      </c>
      <c r="Z92" t="s">
        <v>5426</v>
      </c>
      <c r="AA92" t="s">
        <v>5413</v>
      </c>
      <c r="AB92" t="s">
        <v>5414</v>
      </c>
      <c r="AC92" t="s">
        <v>5414</v>
      </c>
      <c r="AD92" t="s">
        <v>5414</v>
      </c>
      <c r="AG92" t="s">
        <v>5427</v>
      </c>
      <c r="AI92" t="s">
        <v>5428</v>
      </c>
      <c r="AJ92" t="s">
        <v>5434</v>
      </c>
      <c r="AL92" t="s">
        <v>5418</v>
      </c>
      <c r="AN92" t="s">
        <v>5419</v>
      </c>
    </row>
    <row r="93" spans="1:40" x14ac:dyDescent="0.25">
      <c r="A93">
        <v>1084596163</v>
      </c>
      <c r="B93" t="s">
        <v>5399</v>
      </c>
      <c r="C93">
        <v>252406</v>
      </c>
      <c r="D93" t="s">
        <v>5400</v>
      </c>
      <c r="E93">
        <v>46207.497974537036</v>
      </c>
      <c r="F93" t="s">
        <v>5689</v>
      </c>
      <c r="G93" t="s">
        <v>3668</v>
      </c>
      <c r="H93" t="s">
        <v>5511</v>
      </c>
      <c r="I93" t="s">
        <v>5403</v>
      </c>
      <c r="J93">
        <v>2026</v>
      </c>
      <c r="K93" t="s">
        <v>5690</v>
      </c>
      <c r="L93" t="s">
        <v>5691</v>
      </c>
      <c r="M93" t="s">
        <v>5406</v>
      </c>
      <c r="N93" s="1" t="s">
        <v>4565</v>
      </c>
      <c r="O93">
        <v>30.32</v>
      </c>
      <c r="P93">
        <v>4.649</v>
      </c>
      <c r="Q93">
        <v>8641</v>
      </c>
      <c r="R93">
        <v>332</v>
      </c>
      <c r="S93">
        <v>10.95</v>
      </c>
      <c r="T93" s="8">
        <v>140.97999999999999</v>
      </c>
      <c r="U93">
        <v>11040292</v>
      </c>
      <c r="V93" t="s">
        <v>5456</v>
      </c>
      <c r="W93" t="s">
        <v>5409</v>
      </c>
      <c r="X93" t="s">
        <v>5457</v>
      </c>
      <c r="Y93" t="s">
        <v>5458</v>
      </c>
      <c r="Z93" t="s">
        <v>5459</v>
      </c>
      <c r="AA93" t="s">
        <v>5413</v>
      </c>
      <c r="AB93" t="s">
        <v>5414</v>
      </c>
      <c r="AC93" t="s">
        <v>5414</v>
      </c>
      <c r="AD93" t="s">
        <v>5414</v>
      </c>
      <c r="AG93" t="s">
        <v>5415</v>
      </c>
      <c r="AI93" t="s">
        <v>5460</v>
      </c>
      <c r="AJ93" t="s">
        <v>5692</v>
      </c>
      <c r="AL93" t="s">
        <v>5418</v>
      </c>
      <c r="AN93" t="s">
        <v>5419</v>
      </c>
    </row>
    <row r="94" spans="1:40" x14ac:dyDescent="0.25">
      <c r="A94">
        <v>1084596970</v>
      </c>
      <c r="B94" t="s">
        <v>5399</v>
      </c>
      <c r="C94">
        <v>252406</v>
      </c>
      <c r="D94" t="s">
        <v>5400</v>
      </c>
      <c r="E94">
        <v>46207.502800925926</v>
      </c>
      <c r="F94" t="s">
        <v>5651</v>
      </c>
      <c r="G94" t="s">
        <v>3668</v>
      </c>
      <c r="H94" t="s">
        <v>5467</v>
      </c>
      <c r="I94" t="s">
        <v>5403</v>
      </c>
      <c r="J94">
        <v>2026</v>
      </c>
      <c r="K94" t="s">
        <v>5652</v>
      </c>
      <c r="L94" t="s">
        <v>5653</v>
      </c>
      <c r="M94" t="s">
        <v>5406</v>
      </c>
      <c r="N94" s="1" t="s">
        <v>4565</v>
      </c>
      <c r="O94">
        <v>45.87</v>
      </c>
      <c r="P94">
        <v>4.1890000000000001</v>
      </c>
      <c r="Q94">
        <v>46248</v>
      </c>
      <c r="R94">
        <v>459</v>
      </c>
      <c r="S94">
        <v>10.01</v>
      </c>
      <c r="T94" s="8">
        <v>192.19</v>
      </c>
      <c r="U94">
        <v>11040306</v>
      </c>
      <c r="V94" t="s">
        <v>5408</v>
      </c>
      <c r="W94" t="s">
        <v>5409</v>
      </c>
      <c r="X94" t="s">
        <v>5410</v>
      </c>
      <c r="Y94" t="s">
        <v>5411</v>
      </c>
      <c r="Z94" t="s">
        <v>5412</v>
      </c>
      <c r="AA94" t="s">
        <v>5413</v>
      </c>
      <c r="AB94" t="s">
        <v>5414</v>
      </c>
      <c r="AC94" t="s">
        <v>5414</v>
      </c>
      <c r="AD94" t="s">
        <v>5414</v>
      </c>
      <c r="AG94" t="s">
        <v>5415</v>
      </c>
      <c r="AI94" t="s">
        <v>5460</v>
      </c>
      <c r="AJ94" t="s">
        <v>5654</v>
      </c>
      <c r="AL94" t="s">
        <v>5418</v>
      </c>
      <c r="AN94" t="s">
        <v>5419</v>
      </c>
    </row>
    <row r="95" spans="1:40" x14ac:dyDescent="0.25">
      <c r="A95">
        <v>1084600191</v>
      </c>
      <c r="B95" t="s">
        <v>5399</v>
      </c>
      <c r="C95">
        <v>252406</v>
      </c>
      <c r="D95" t="s">
        <v>5400</v>
      </c>
      <c r="E95">
        <v>46207.523715277777</v>
      </c>
      <c r="F95" t="s">
        <v>5693</v>
      </c>
      <c r="G95" t="s">
        <v>3668</v>
      </c>
      <c r="H95" t="s">
        <v>5431</v>
      </c>
      <c r="I95" t="s">
        <v>5403</v>
      </c>
      <c r="J95">
        <v>2025</v>
      </c>
      <c r="K95" t="s">
        <v>5694</v>
      </c>
      <c r="L95" t="s">
        <v>5695</v>
      </c>
      <c r="M95" t="s">
        <v>5406</v>
      </c>
      <c r="N95" s="1" t="s">
        <v>4565</v>
      </c>
      <c r="O95">
        <v>42.52</v>
      </c>
      <c r="P95">
        <v>4.1890000000000001</v>
      </c>
      <c r="Q95">
        <v>53827</v>
      </c>
      <c r="R95">
        <v>276</v>
      </c>
      <c r="S95">
        <v>6.49</v>
      </c>
      <c r="T95" s="8">
        <v>178.15</v>
      </c>
      <c r="U95">
        <v>11040306</v>
      </c>
      <c r="V95" t="s">
        <v>5408</v>
      </c>
      <c r="W95" t="s">
        <v>5409</v>
      </c>
      <c r="X95" t="s">
        <v>5410</v>
      </c>
      <c r="Y95" t="s">
        <v>5411</v>
      </c>
      <c r="Z95" t="s">
        <v>5412</v>
      </c>
      <c r="AA95" t="s">
        <v>5413</v>
      </c>
      <c r="AB95" t="s">
        <v>5414</v>
      </c>
      <c r="AC95" t="s">
        <v>5414</v>
      </c>
      <c r="AD95" t="s">
        <v>5414</v>
      </c>
      <c r="AG95" t="s">
        <v>5415</v>
      </c>
      <c r="AI95" t="s">
        <v>5460</v>
      </c>
      <c r="AJ95" t="s">
        <v>5696</v>
      </c>
      <c r="AL95" t="s">
        <v>5418</v>
      </c>
      <c r="AN95" t="s">
        <v>5419</v>
      </c>
    </row>
    <row r="96" spans="1:40" x14ac:dyDescent="0.25">
      <c r="A96">
        <v>1084606582</v>
      </c>
      <c r="B96" t="s">
        <v>5399</v>
      </c>
      <c r="C96">
        <v>252406</v>
      </c>
      <c r="D96" t="s">
        <v>5400</v>
      </c>
      <c r="E96">
        <v>46207.562418981484</v>
      </c>
      <c r="F96" t="s">
        <v>5613</v>
      </c>
      <c r="G96" t="s">
        <v>3668</v>
      </c>
      <c r="H96" t="s">
        <v>5467</v>
      </c>
      <c r="I96" t="s">
        <v>5403</v>
      </c>
      <c r="J96">
        <v>2025</v>
      </c>
      <c r="K96" t="s">
        <v>5614</v>
      </c>
      <c r="L96" t="s">
        <v>5615</v>
      </c>
      <c r="M96" t="s">
        <v>5406</v>
      </c>
      <c r="N96" s="1" t="s">
        <v>4565</v>
      </c>
      <c r="O96">
        <v>46.75</v>
      </c>
      <c r="P96">
        <v>4.1890000000000001</v>
      </c>
      <c r="Q96">
        <v>70881</v>
      </c>
      <c r="R96">
        <v>122</v>
      </c>
      <c r="S96">
        <v>2.61</v>
      </c>
      <c r="T96" s="8">
        <v>195.88</v>
      </c>
      <c r="U96">
        <v>11040306</v>
      </c>
      <c r="V96" t="s">
        <v>5408</v>
      </c>
      <c r="W96" t="s">
        <v>5409</v>
      </c>
      <c r="X96" t="s">
        <v>5410</v>
      </c>
      <c r="Y96" t="s">
        <v>5411</v>
      </c>
      <c r="Z96" t="s">
        <v>5412</v>
      </c>
      <c r="AA96" t="s">
        <v>5413</v>
      </c>
      <c r="AB96" t="s">
        <v>5414</v>
      </c>
      <c r="AC96" t="s">
        <v>5414</v>
      </c>
      <c r="AD96" t="s">
        <v>5414</v>
      </c>
      <c r="AG96" t="s">
        <v>5415</v>
      </c>
      <c r="AI96" t="s">
        <v>5522</v>
      </c>
      <c r="AJ96" t="s">
        <v>5616</v>
      </c>
      <c r="AL96" t="s">
        <v>5418</v>
      </c>
      <c r="AN96" t="s">
        <v>5419</v>
      </c>
    </row>
    <row r="97" spans="1:40" x14ac:dyDescent="0.25">
      <c r="A97">
        <v>1084616906</v>
      </c>
      <c r="B97" t="s">
        <v>5399</v>
      </c>
      <c r="C97">
        <v>252406</v>
      </c>
      <c r="D97" t="s">
        <v>5400</v>
      </c>
      <c r="E97">
        <v>46207.575243055559</v>
      </c>
      <c r="F97" t="s">
        <v>5475</v>
      </c>
      <c r="G97" t="s">
        <v>3668</v>
      </c>
      <c r="H97" t="s">
        <v>5467</v>
      </c>
      <c r="I97" t="s">
        <v>5403</v>
      </c>
      <c r="J97">
        <v>2026</v>
      </c>
      <c r="K97" t="s">
        <v>5468</v>
      </c>
      <c r="L97" t="s">
        <v>5469</v>
      </c>
      <c r="M97" t="s">
        <v>5406</v>
      </c>
      <c r="N97" s="1" t="s">
        <v>4565</v>
      </c>
      <c r="O97">
        <v>45.47</v>
      </c>
      <c r="P97">
        <v>4.29</v>
      </c>
      <c r="Q97">
        <v>32546</v>
      </c>
      <c r="R97">
        <v>175</v>
      </c>
      <c r="S97">
        <v>3.85</v>
      </c>
      <c r="T97" s="8">
        <v>195.07</v>
      </c>
      <c r="U97">
        <v>11198252</v>
      </c>
      <c r="V97" t="s">
        <v>5424</v>
      </c>
      <c r="W97" t="s">
        <v>5409</v>
      </c>
      <c r="X97" t="s">
        <v>5425</v>
      </c>
      <c r="Y97" t="s">
        <v>5411</v>
      </c>
      <c r="Z97" t="s">
        <v>5426</v>
      </c>
      <c r="AA97" t="s">
        <v>5413</v>
      </c>
      <c r="AB97" t="s">
        <v>5414</v>
      </c>
      <c r="AC97" t="s">
        <v>5414</v>
      </c>
      <c r="AD97" t="s">
        <v>5414</v>
      </c>
      <c r="AG97" t="s">
        <v>5427</v>
      </c>
      <c r="AI97" t="s">
        <v>5428</v>
      </c>
      <c r="AJ97" t="s">
        <v>5697</v>
      </c>
      <c r="AL97" t="s">
        <v>5418</v>
      </c>
      <c r="AN97" t="s">
        <v>5419</v>
      </c>
    </row>
    <row r="98" spans="1:40" x14ac:dyDescent="0.25">
      <c r="A98">
        <v>1084617474</v>
      </c>
      <c r="B98" t="s">
        <v>5399</v>
      </c>
      <c r="C98">
        <v>252406</v>
      </c>
      <c r="D98" t="s">
        <v>5400</v>
      </c>
      <c r="E98">
        <v>46207.579756944448</v>
      </c>
      <c r="F98" t="s">
        <v>5466</v>
      </c>
      <c r="G98" t="s">
        <v>3668</v>
      </c>
      <c r="H98" t="s">
        <v>5467</v>
      </c>
      <c r="I98" t="s">
        <v>5403</v>
      </c>
      <c r="J98">
        <v>2025</v>
      </c>
      <c r="K98" t="s">
        <v>5468</v>
      </c>
      <c r="L98" t="s">
        <v>5469</v>
      </c>
      <c r="M98" t="s">
        <v>5406</v>
      </c>
      <c r="N98" s="1" t="s">
        <v>4565</v>
      </c>
      <c r="O98">
        <v>50.61</v>
      </c>
      <c r="P98">
        <v>4.29</v>
      </c>
      <c r="Q98">
        <v>62135</v>
      </c>
      <c r="R98">
        <v>402</v>
      </c>
      <c r="S98">
        <v>7.94</v>
      </c>
      <c r="T98" s="8">
        <v>217.12</v>
      </c>
      <c r="U98">
        <v>11198252</v>
      </c>
      <c r="V98" t="s">
        <v>5424</v>
      </c>
      <c r="W98" t="s">
        <v>5409</v>
      </c>
      <c r="X98" t="s">
        <v>5425</v>
      </c>
      <c r="Y98" t="s">
        <v>5411</v>
      </c>
      <c r="Z98" t="s">
        <v>5426</v>
      </c>
      <c r="AA98" t="s">
        <v>5413</v>
      </c>
      <c r="AB98" t="s">
        <v>5414</v>
      </c>
      <c r="AC98" t="s">
        <v>5414</v>
      </c>
      <c r="AD98" t="s">
        <v>5414</v>
      </c>
      <c r="AG98" t="s">
        <v>5427</v>
      </c>
      <c r="AI98" t="s">
        <v>5428</v>
      </c>
      <c r="AJ98" t="s">
        <v>5474</v>
      </c>
      <c r="AL98" t="s">
        <v>5418</v>
      </c>
      <c r="AN98" t="s">
        <v>5419</v>
      </c>
    </row>
    <row r="99" spans="1:40" x14ac:dyDescent="0.25">
      <c r="A99">
        <v>1084621234</v>
      </c>
      <c r="B99" t="s">
        <v>5399</v>
      </c>
      <c r="C99">
        <v>252406</v>
      </c>
      <c r="D99" t="s">
        <v>5400</v>
      </c>
      <c r="E99">
        <v>46207.650034722225</v>
      </c>
      <c r="F99" t="s">
        <v>5477</v>
      </c>
      <c r="G99" t="s">
        <v>3668</v>
      </c>
      <c r="H99" t="s">
        <v>5478</v>
      </c>
      <c r="I99" t="s">
        <v>5403</v>
      </c>
      <c r="J99">
        <v>2015</v>
      </c>
      <c r="K99" t="s">
        <v>5479</v>
      </c>
      <c r="L99" t="s">
        <v>5480</v>
      </c>
      <c r="M99" t="s">
        <v>5406</v>
      </c>
      <c r="N99" s="1" t="s">
        <v>4565</v>
      </c>
      <c r="O99">
        <v>50</v>
      </c>
      <c r="P99">
        <v>4.1900000000000004</v>
      </c>
      <c r="Q99">
        <v>245390</v>
      </c>
      <c r="R99">
        <v>416</v>
      </c>
      <c r="S99">
        <v>8.32</v>
      </c>
      <c r="T99" s="8">
        <v>209.5</v>
      </c>
      <c r="U99">
        <v>11040306</v>
      </c>
      <c r="V99" t="s">
        <v>5408</v>
      </c>
      <c r="W99" t="s">
        <v>5409</v>
      </c>
      <c r="X99" t="s">
        <v>5410</v>
      </c>
      <c r="Y99" t="s">
        <v>5411</v>
      </c>
      <c r="Z99" t="s">
        <v>5412</v>
      </c>
      <c r="AA99" t="s">
        <v>5413</v>
      </c>
      <c r="AB99" t="s">
        <v>5414</v>
      </c>
      <c r="AC99" t="s">
        <v>5414</v>
      </c>
      <c r="AD99" t="s">
        <v>5414</v>
      </c>
      <c r="AG99" t="s">
        <v>5415</v>
      </c>
      <c r="AI99" t="s">
        <v>5416</v>
      </c>
      <c r="AJ99" t="s">
        <v>5485</v>
      </c>
      <c r="AL99" t="s">
        <v>5418</v>
      </c>
      <c r="AN99" t="s">
        <v>5419</v>
      </c>
    </row>
    <row r="100" spans="1:40" x14ac:dyDescent="0.25">
      <c r="A100">
        <v>1084626986</v>
      </c>
      <c r="B100" t="s">
        <v>5399</v>
      </c>
      <c r="C100">
        <v>252406</v>
      </c>
      <c r="D100" t="s">
        <v>5400</v>
      </c>
      <c r="E100">
        <v>46207.686793981484</v>
      </c>
      <c r="F100" t="s">
        <v>5524</v>
      </c>
      <c r="G100" t="s">
        <v>3668</v>
      </c>
      <c r="H100" t="s">
        <v>5421</v>
      </c>
      <c r="I100" t="s">
        <v>5524</v>
      </c>
      <c r="J100">
        <v>2025</v>
      </c>
      <c r="K100" t="s">
        <v>5525</v>
      </c>
      <c r="L100" t="s">
        <v>5526</v>
      </c>
      <c r="M100" t="s">
        <v>5406</v>
      </c>
      <c r="N100" s="1" t="s">
        <v>4565</v>
      </c>
      <c r="O100">
        <v>37</v>
      </c>
      <c r="P100">
        <v>3.92</v>
      </c>
      <c r="Q100">
        <v>63830</v>
      </c>
      <c r="R100">
        <v>359</v>
      </c>
      <c r="S100">
        <v>9.6999999999999993</v>
      </c>
      <c r="T100" s="8">
        <v>145.04</v>
      </c>
      <c r="U100">
        <v>490156</v>
      </c>
      <c r="V100" t="s">
        <v>5578</v>
      </c>
      <c r="W100" t="s">
        <v>5409</v>
      </c>
      <c r="X100" t="s">
        <v>5579</v>
      </c>
      <c r="Y100" t="s">
        <v>5458</v>
      </c>
      <c r="Z100" t="s">
        <v>5412</v>
      </c>
      <c r="AA100" t="s">
        <v>5413</v>
      </c>
      <c r="AB100" t="s">
        <v>5414</v>
      </c>
      <c r="AC100" t="s">
        <v>5414</v>
      </c>
      <c r="AD100" t="s">
        <v>5414</v>
      </c>
      <c r="AG100" t="s">
        <v>5415</v>
      </c>
      <c r="AI100" t="s">
        <v>5580</v>
      </c>
      <c r="AJ100" t="s">
        <v>5527</v>
      </c>
      <c r="AK100" t="s">
        <v>5528</v>
      </c>
      <c r="AL100" t="s">
        <v>5418</v>
      </c>
      <c r="AN100" t="s">
        <v>5529</v>
      </c>
    </row>
    <row r="101" spans="1:40" x14ac:dyDescent="0.25">
      <c r="A101">
        <v>1084635085</v>
      </c>
      <c r="B101" t="s">
        <v>5399</v>
      </c>
      <c r="C101">
        <v>252406</v>
      </c>
      <c r="D101" t="s">
        <v>5400</v>
      </c>
      <c r="E101">
        <v>46207.689409722225</v>
      </c>
      <c r="F101" t="s">
        <v>5444</v>
      </c>
      <c r="G101" t="s">
        <v>3668</v>
      </c>
      <c r="H101" t="s">
        <v>5431</v>
      </c>
      <c r="I101" t="s">
        <v>5403</v>
      </c>
      <c r="J101">
        <v>2026</v>
      </c>
      <c r="K101" t="s">
        <v>5445</v>
      </c>
      <c r="L101" t="s">
        <v>5446</v>
      </c>
      <c r="M101" t="s">
        <v>5406</v>
      </c>
      <c r="N101" s="1" t="s">
        <v>4565</v>
      </c>
      <c r="O101">
        <v>44.46</v>
      </c>
      <c r="P101">
        <v>4.2889999999999997</v>
      </c>
      <c r="Q101">
        <v>18242</v>
      </c>
      <c r="R101">
        <v>401</v>
      </c>
      <c r="S101">
        <v>9.02</v>
      </c>
      <c r="T101" s="8">
        <v>190.73</v>
      </c>
      <c r="U101">
        <v>12232063</v>
      </c>
      <c r="V101" t="s">
        <v>5698</v>
      </c>
      <c r="W101" t="s">
        <v>5409</v>
      </c>
      <c r="X101" t="s">
        <v>5699</v>
      </c>
      <c r="Y101" t="s">
        <v>5602</v>
      </c>
      <c r="Z101" t="s">
        <v>5426</v>
      </c>
      <c r="AA101" t="s">
        <v>5413</v>
      </c>
      <c r="AB101" t="s">
        <v>5414</v>
      </c>
      <c r="AC101" t="s">
        <v>5414</v>
      </c>
      <c r="AD101" t="s">
        <v>5414</v>
      </c>
      <c r="AG101" t="s">
        <v>5427</v>
      </c>
      <c r="AI101" t="s">
        <v>5700</v>
      </c>
      <c r="AJ101" t="s">
        <v>5447</v>
      </c>
      <c r="AL101" t="s">
        <v>5418</v>
      </c>
      <c r="AN101" t="s">
        <v>5419</v>
      </c>
    </row>
    <row r="102" spans="1:40" x14ac:dyDescent="0.25">
      <c r="A102">
        <v>1084636166</v>
      </c>
      <c r="B102" t="s">
        <v>5399</v>
      </c>
      <c r="C102">
        <v>252406</v>
      </c>
      <c r="D102" t="s">
        <v>5400</v>
      </c>
      <c r="E102">
        <v>46207.697256944448</v>
      </c>
      <c r="F102" t="s">
        <v>5401</v>
      </c>
      <c r="G102" t="s">
        <v>3668</v>
      </c>
      <c r="H102" t="s">
        <v>5402</v>
      </c>
      <c r="I102" t="s">
        <v>5403</v>
      </c>
      <c r="J102">
        <v>2026</v>
      </c>
      <c r="K102" t="s">
        <v>5701</v>
      </c>
      <c r="L102" t="s">
        <v>5702</v>
      </c>
      <c r="M102" t="s">
        <v>5406</v>
      </c>
      <c r="N102" s="1" t="s">
        <v>4565</v>
      </c>
      <c r="O102">
        <v>39</v>
      </c>
      <c r="P102">
        <v>4.55</v>
      </c>
      <c r="Q102">
        <v>32565</v>
      </c>
      <c r="R102">
        <v>220</v>
      </c>
      <c r="S102">
        <v>5.64</v>
      </c>
      <c r="T102" s="8">
        <v>177.45</v>
      </c>
      <c r="U102">
        <v>108758</v>
      </c>
      <c r="V102" t="s">
        <v>5470</v>
      </c>
      <c r="W102" t="s">
        <v>5409</v>
      </c>
      <c r="X102" t="s">
        <v>5471</v>
      </c>
      <c r="Y102" t="s">
        <v>5411</v>
      </c>
      <c r="Z102" t="s">
        <v>5472</v>
      </c>
      <c r="AA102" t="s">
        <v>5413</v>
      </c>
      <c r="AB102" t="s">
        <v>5414</v>
      </c>
      <c r="AC102" t="s">
        <v>5414</v>
      </c>
      <c r="AD102" t="s">
        <v>5414</v>
      </c>
      <c r="AG102" t="s">
        <v>5427</v>
      </c>
      <c r="AI102" t="s">
        <v>5473</v>
      </c>
      <c r="AJ102" t="s">
        <v>5417</v>
      </c>
      <c r="AL102" t="s">
        <v>5418</v>
      </c>
      <c r="AN102" t="s">
        <v>5419</v>
      </c>
    </row>
    <row r="103" spans="1:40" x14ac:dyDescent="0.25">
      <c r="A103">
        <v>1084630095</v>
      </c>
      <c r="B103" t="s">
        <v>5399</v>
      </c>
      <c r="C103">
        <v>252406</v>
      </c>
      <c r="D103" t="s">
        <v>5400</v>
      </c>
      <c r="E103">
        <v>46207.70957175926</v>
      </c>
      <c r="F103" t="s">
        <v>5462</v>
      </c>
      <c r="G103" t="s">
        <v>3668</v>
      </c>
      <c r="H103" t="s">
        <v>5402</v>
      </c>
      <c r="I103" t="s">
        <v>5403</v>
      </c>
      <c r="J103">
        <v>2026</v>
      </c>
      <c r="K103" t="s">
        <v>5604</v>
      </c>
      <c r="L103" t="s">
        <v>5605</v>
      </c>
      <c r="M103" t="s">
        <v>5406</v>
      </c>
      <c r="N103" s="1" t="s">
        <v>4565</v>
      </c>
      <c r="O103">
        <v>33.51</v>
      </c>
      <c r="P103">
        <v>4.29</v>
      </c>
      <c r="Q103">
        <v>25054</v>
      </c>
      <c r="R103">
        <v>168</v>
      </c>
      <c r="S103">
        <v>5.01</v>
      </c>
      <c r="T103" s="8">
        <v>143.76</v>
      </c>
      <c r="U103">
        <v>491721</v>
      </c>
      <c r="V103" t="s">
        <v>5438</v>
      </c>
      <c r="W103" t="s">
        <v>5409</v>
      </c>
      <c r="X103" t="s">
        <v>5439</v>
      </c>
      <c r="Y103" t="s">
        <v>5440</v>
      </c>
      <c r="Z103" t="s">
        <v>5441</v>
      </c>
      <c r="AA103" t="s">
        <v>5413</v>
      </c>
      <c r="AB103" t="s">
        <v>5414</v>
      </c>
      <c r="AC103" t="s">
        <v>5414</v>
      </c>
      <c r="AD103" t="s">
        <v>5414</v>
      </c>
      <c r="AG103" t="s">
        <v>5415</v>
      </c>
      <c r="AI103" t="s">
        <v>5460</v>
      </c>
      <c r="AJ103" t="s">
        <v>5465</v>
      </c>
      <c r="AL103" t="s">
        <v>5418</v>
      </c>
      <c r="AN103" t="s">
        <v>5419</v>
      </c>
    </row>
    <row r="104" spans="1:40" x14ac:dyDescent="0.25">
      <c r="A104">
        <v>1084640333</v>
      </c>
      <c r="B104" t="s">
        <v>5399</v>
      </c>
      <c r="C104">
        <v>252406</v>
      </c>
      <c r="D104" t="s">
        <v>5400</v>
      </c>
      <c r="E104">
        <v>46207.723969907405</v>
      </c>
      <c r="F104" t="s">
        <v>5703</v>
      </c>
      <c r="G104" t="s">
        <v>3668</v>
      </c>
      <c r="H104" t="s">
        <v>5549</v>
      </c>
      <c r="I104" t="s">
        <v>5403</v>
      </c>
      <c r="J104">
        <v>2026</v>
      </c>
      <c r="K104" t="s">
        <v>5704</v>
      </c>
      <c r="L104" t="s">
        <v>5705</v>
      </c>
      <c r="M104" t="s">
        <v>5406</v>
      </c>
      <c r="N104" s="1" t="s">
        <v>4565</v>
      </c>
      <c r="O104">
        <v>32.4</v>
      </c>
      <c r="P104">
        <v>4.29</v>
      </c>
      <c r="Q104">
        <v>31953</v>
      </c>
      <c r="R104">
        <v>287</v>
      </c>
      <c r="S104">
        <v>8.86</v>
      </c>
      <c r="T104" s="8">
        <v>139</v>
      </c>
      <c r="U104">
        <v>11198252</v>
      </c>
      <c r="V104" t="s">
        <v>5424</v>
      </c>
      <c r="W104" t="s">
        <v>5409</v>
      </c>
      <c r="X104" t="s">
        <v>5425</v>
      </c>
      <c r="Y104" t="s">
        <v>5411</v>
      </c>
      <c r="Z104" t="s">
        <v>5426</v>
      </c>
      <c r="AA104" t="s">
        <v>5413</v>
      </c>
      <c r="AB104" t="s">
        <v>5414</v>
      </c>
      <c r="AC104" t="s">
        <v>5414</v>
      </c>
      <c r="AD104" t="s">
        <v>5414</v>
      </c>
      <c r="AG104" t="s">
        <v>5427</v>
      </c>
      <c r="AI104" t="s">
        <v>5428</v>
      </c>
      <c r="AJ104" t="s">
        <v>5706</v>
      </c>
      <c r="AL104" t="s">
        <v>5418</v>
      </c>
      <c r="AN104" t="s">
        <v>5419</v>
      </c>
    </row>
    <row r="105" spans="1:40" x14ac:dyDescent="0.25">
      <c r="A105">
        <v>1084639647</v>
      </c>
      <c r="B105" t="s">
        <v>5399</v>
      </c>
      <c r="C105">
        <v>252406</v>
      </c>
      <c r="D105" t="s">
        <v>5400</v>
      </c>
      <c r="E105">
        <v>46207.759895833333</v>
      </c>
      <c r="F105" t="s">
        <v>5551</v>
      </c>
      <c r="G105" t="s">
        <v>3668</v>
      </c>
      <c r="H105" t="s">
        <v>5552</v>
      </c>
      <c r="I105" t="s">
        <v>5403</v>
      </c>
      <c r="J105">
        <v>2026</v>
      </c>
      <c r="K105" t="s">
        <v>5553</v>
      </c>
      <c r="L105" t="s">
        <v>5554</v>
      </c>
      <c r="M105" t="s">
        <v>5406</v>
      </c>
      <c r="N105" s="1" t="s">
        <v>4565</v>
      </c>
      <c r="O105">
        <v>41</v>
      </c>
      <c r="P105">
        <v>4.1900000000000004</v>
      </c>
      <c r="Q105">
        <v>24312</v>
      </c>
      <c r="R105">
        <v>201</v>
      </c>
      <c r="S105">
        <v>4.9000000000000004</v>
      </c>
      <c r="T105" s="8">
        <v>171.79</v>
      </c>
      <c r="U105">
        <v>11040306</v>
      </c>
      <c r="V105" t="s">
        <v>5408</v>
      </c>
      <c r="W105" t="s">
        <v>5409</v>
      </c>
      <c r="X105" t="s">
        <v>5410</v>
      </c>
      <c r="Y105" t="s">
        <v>5411</v>
      </c>
      <c r="Z105" t="s">
        <v>5412</v>
      </c>
      <c r="AA105" t="s">
        <v>5413</v>
      </c>
      <c r="AB105" t="s">
        <v>5414</v>
      </c>
      <c r="AC105" t="s">
        <v>5414</v>
      </c>
      <c r="AD105" t="s">
        <v>5414</v>
      </c>
      <c r="AG105" t="s">
        <v>5415</v>
      </c>
      <c r="AI105" t="s">
        <v>5460</v>
      </c>
      <c r="AJ105" t="s">
        <v>5555</v>
      </c>
      <c r="AL105" t="s">
        <v>5418</v>
      </c>
      <c r="AN105" t="s">
        <v>5419</v>
      </c>
    </row>
    <row r="106" spans="1:40" x14ac:dyDescent="0.25">
      <c r="A106">
        <v>1084650677</v>
      </c>
      <c r="B106" t="s">
        <v>5399</v>
      </c>
      <c r="C106">
        <v>252406</v>
      </c>
      <c r="D106" t="s">
        <v>5400</v>
      </c>
      <c r="E106">
        <v>46207.814710648148</v>
      </c>
      <c r="F106" t="s">
        <v>5589</v>
      </c>
      <c r="G106" t="s">
        <v>3668</v>
      </c>
      <c r="H106" t="s">
        <v>5431</v>
      </c>
      <c r="I106" t="s">
        <v>5403</v>
      </c>
      <c r="J106">
        <v>2026</v>
      </c>
      <c r="K106" t="s">
        <v>5590</v>
      </c>
      <c r="L106" t="s">
        <v>5591</v>
      </c>
      <c r="M106" t="s">
        <v>5406</v>
      </c>
      <c r="N106" s="1" t="s">
        <v>4565</v>
      </c>
      <c r="O106">
        <v>39.64</v>
      </c>
      <c r="P106">
        <v>4.29</v>
      </c>
      <c r="Q106">
        <v>4147</v>
      </c>
      <c r="R106">
        <v>260</v>
      </c>
      <c r="S106">
        <v>6.56</v>
      </c>
      <c r="T106" s="8">
        <v>170.06</v>
      </c>
      <c r="U106">
        <v>11198252</v>
      </c>
      <c r="V106" t="s">
        <v>5424</v>
      </c>
      <c r="W106" t="s">
        <v>5409</v>
      </c>
      <c r="X106" t="s">
        <v>5425</v>
      </c>
      <c r="Y106" t="s">
        <v>5411</v>
      </c>
      <c r="Z106" t="s">
        <v>5426</v>
      </c>
      <c r="AA106" t="s">
        <v>5413</v>
      </c>
      <c r="AB106" t="s">
        <v>5414</v>
      </c>
      <c r="AC106" t="s">
        <v>5414</v>
      </c>
      <c r="AD106" t="s">
        <v>5414</v>
      </c>
      <c r="AG106" t="s">
        <v>5427</v>
      </c>
      <c r="AI106" t="s">
        <v>5428</v>
      </c>
      <c r="AJ106" t="s">
        <v>5592</v>
      </c>
      <c r="AL106" t="s">
        <v>5418</v>
      </c>
      <c r="AN106" t="s">
        <v>5419</v>
      </c>
    </row>
    <row r="107" spans="1:40" x14ac:dyDescent="0.25">
      <c r="A107">
        <v>1084648039</v>
      </c>
      <c r="B107" t="s">
        <v>5399</v>
      </c>
      <c r="C107">
        <v>252406</v>
      </c>
      <c r="D107" t="s">
        <v>5400</v>
      </c>
      <c r="E107">
        <v>46207.830011574071</v>
      </c>
      <c r="F107" t="s">
        <v>5621</v>
      </c>
      <c r="G107" t="s">
        <v>3668</v>
      </c>
      <c r="H107" t="s">
        <v>5421</v>
      </c>
      <c r="I107" t="s">
        <v>5621</v>
      </c>
      <c r="J107">
        <v>2024</v>
      </c>
      <c r="K107" t="s">
        <v>5622</v>
      </c>
      <c r="L107" t="s">
        <v>5623</v>
      </c>
      <c r="M107" t="s">
        <v>5406</v>
      </c>
      <c r="N107" s="1" t="s">
        <v>4565</v>
      </c>
      <c r="O107">
        <v>28.58</v>
      </c>
      <c r="P107">
        <v>4.3789999999999996</v>
      </c>
      <c r="Q107">
        <v>97030</v>
      </c>
      <c r="R107">
        <v>247</v>
      </c>
      <c r="S107">
        <v>8.64</v>
      </c>
      <c r="T107" s="8">
        <v>125.18</v>
      </c>
      <c r="U107">
        <v>11153887</v>
      </c>
      <c r="V107" t="s">
        <v>5490</v>
      </c>
      <c r="W107" t="s">
        <v>5409</v>
      </c>
      <c r="X107" t="s">
        <v>5491</v>
      </c>
      <c r="Y107" t="s">
        <v>5492</v>
      </c>
      <c r="Z107" t="s">
        <v>5426</v>
      </c>
      <c r="AA107" t="s">
        <v>5413</v>
      </c>
      <c r="AB107" t="s">
        <v>5414</v>
      </c>
      <c r="AC107" t="s">
        <v>5414</v>
      </c>
      <c r="AD107" t="s">
        <v>5414</v>
      </c>
      <c r="AG107" t="s">
        <v>5415</v>
      </c>
      <c r="AI107" t="s">
        <v>5460</v>
      </c>
      <c r="AJ107" t="s">
        <v>5624</v>
      </c>
      <c r="AK107" t="s">
        <v>5528</v>
      </c>
      <c r="AL107" t="s">
        <v>5418</v>
      </c>
      <c r="AN107" t="s">
        <v>5625</v>
      </c>
    </row>
    <row r="108" spans="1:40" x14ac:dyDescent="0.25">
      <c r="A108">
        <v>1084655332</v>
      </c>
      <c r="B108" t="s">
        <v>5399</v>
      </c>
      <c r="C108">
        <v>252406</v>
      </c>
      <c r="D108" t="s">
        <v>5400</v>
      </c>
      <c r="E108">
        <v>46207.928217592591</v>
      </c>
      <c r="F108" t="s">
        <v>5435</v>
      </c>
      <c r="G108" t="s">
        <v>3668</v>
      </c>
      <c r="H108" t="s">
        <v>5421</v>
      </c>
      <c r="I108" t="s">
        <v>5403</v>
      </c>
      <c r="J108">
        <v>2026</v>
      </c>
      <c r="K108" t="s">
        <v>5436</v>
      </c>
      <c r="L108" t="s">
        <v>5437</v>
      </c>
      <c r="M108" t="s">
        <v>5406</v>
      </c>
      <c r="N108" s="1" t="s">
        <v>4565</v>
      </c>
      <c r="O108">
        <v>31.38</v>
      </c>
      <c r="P108">
        <v>4.1890000000000001</v>
      </c>
      <c r="Q108">
        <v>47194</v>
      </c>
      <c r="R108">
        <v>241</v>
      </c>
      <c r="S108">
        <v>7.68</v>
      </c>
      <c r="T108" s="8">
        <v>131.47999999999999</v>
      </c>
      <c r="U108">
        <v>132020</v>
      </c>
      <c r="V108" t="s">
        <v>5707</v>
      </c>
      <c r="W108" t="s">
        <v>5409</v>
      </c>
      <c r="X108" t="s">
        <v>5708</v>
      </c>
      <c r="Y108" t="s">
        <v>5458</v>
      </c>
      <c r="Z108" t="s">
        <v>5709</v>
      </c>
      <c r="AA108" t="s">
        <v>5670</v>
      </c>
      <c r="AB108" t="s">
        <v>5414</v>
      </c>
      <c r="AC108" t="s">
        <v>5414</v>
      </c>
      <c r="AD108" t="s">
        <v>5414</v>
      </c>
      <c r="AG108" t="s">
        <v>5415</v>
      </c>
      <c r="AI108" t="s">
        <v>5710</v>
      </c>
      <c r="AJ108" t="s">
        <v>5443</v>
      </c>
      <c r="AL108" t="s">
        <v>5418</v>
      </c>
      <c r="AN108" t="s">
        <v>5419</v>
      </c>
    </row>
    <row r="109" spans="1:40" x14ac:dyDescent="0.25">
      <c r="A109">
        <v>1084664993</v>
      </c>
      <c r="B109" t="s">
        <v>5399</v>
      </c>
      <c r="C109">
        <v>252406</v>
      </c>
      <c r="D109" t="s">
        <v>5400</v>
      </c>
      <c r="E109">
        <v>46208.274907407409</v>
      </c>
      <c r="F109" t="s">
        <v>5486</v>
      </c>
      <c r="G109" t="s">
        <v>3668</v>
      </c>
      <c r="H109" t="s">
        <v>5487</v>
      </c>
      <c r="I109" t="s">
        <v>5403</v>
      </c>
      <c r="J109">
        <v>2025</v>
      </c>
      <c r="K109" t="s">
        <v>5488</v>
      </c>
      <c r="L109" t="s">
        <v>5489</v>
      </c>
      <c r="M109" t="s">
        <v>5406</v>
      </c>
      <c r="N109" s="1" t="s">
        <v>4565</v>
      </c>
      <c r="O109">
        <v>35.71</v>
      </c>
      <c r="P109">
        <v>4.38</v>
      </c>
      <c r="Q109">
        <v>53204</v>
      </c>
      <c r="R109">
        <v>340</v>
      </c>
      <c r="S109">
        <v>9.52</v>
      </c>
      <c r="T109" s="8">
        <v>156.41</v>
      </c>
      <c r="U109">
        <v>11153887</v>
      </c>
      <c r="V109" t="s">
        <v>5490</v>
      </c>
      <c r="W109" t="s">
        <v>5409</v>
      </c>
      <c r="X109" t="s">
        <v>5491</v>
      </c>
      <c r="Y109" t="s">
        <v>5492</v>
      </c>
      <c r="Z109" t="s">
        <v>5426</v>
      </c>
      <c r="AA109" t="s">
        <v>5413</v>
      </c>
      <c r="AB109" t="s">
        <v>5414</v>
      </c>
      <c r="AC109" t="s">
        <v>5414</v>
      </c>
      <c r="AD109" t="s">
        <v>5414</v>
      </c>
      <c r="AG109" t="s">
        <v>5427</v>
      </c>
      <c r="AI109" t="s">
        <v>5711</v>
      </c>
      <c r="AJ109" t="s">
        <v>5493</v>
      </c>
      <c r="AL109" t="s">
        <v>5418</v>
      </c>
      <c r="AN109" t="s">
        <v>5419</v>
      </c>
    </row>
    <row r="110" spans="1:40" x14ac:dyDescent="0.25">
      <c r="A110">
        <v>1084661858</v>
      </c>
      <c r="B110" t="s">
        <v>5399</v>
      </c>
      <c r="C110">
        <v>252406</v>
      </c>
      <c r="D110" t="s">
        <v>5400</v>
      </c>
      <c r="E110">
        <v>46208.276805555557</v>
      </c>
      <c r="F110" t="s">
        <v>5655</v>
      </c>
      <c r="G110" t="s">
        <v>3668</v>
      </c>
      <c r="H110" t="s">
        <v>5506</v>
      </c>
      <c r="I110" t="s">
        <v>5403</v>
      </c>
      <c r="J110">
        <v>2026</v>
      </c>
      <c r="K110" t="s">
        <v>5712</v>
      </c>
      <c r="L110" t="s">
        <v>5713</v>
      </c>
      <c r="M110" t="s">
        <v>5406</v>
      </c>
      <c r="N110" s="1" t="s">
        <v>4565</v>
      </c>
      <c r="O110">
        <v>30.91</v>
      </c>
      <c r="P110">
        <v>3.9889999999999999</v>
      </c>
      <c r="Q110">
        <v>4332</v>
      </c>
      <c r="R110">
        <v>254</v>
      </c>
      <c r="S110">
        <v>8.2200000000000006</v>
      </c>
      <c r="T110" s="8">
        <v>123.33</v>
      </c>
      <c r="U110">
        <v>12584482</v>
      </c>
      <c r="V110" t="s">
        <v>5714</v>
      </c>
      <c r="W110" t="s">
        <v>5409</v>
      </c>
      <c r="X110" t="s">
        <v>5715</v>
      </c>
      <c r="Y110" t="s">
        <v>5411</v>
      </c>
      <c r="Z110" t="s">
        <v>5716</v>
      </c>
      <c r="AA110" t="s">
        <v>5502</v>
      </c>
      <c r="AB110" t="s">
        <v>5414</v>
      </c>
      <c r="AC110" t="s">
        <v>5414</v>
      </c>
      <c r="AD110" t="s">
        <v>5414</v>
      </c>
      <c r="AG110" t="s">
        <v>5415</v>
      </c>
      <c r="AI110" t="s">
        <v>5460</v>
      </c>
      <c r="AJ110" t="s">
        <v>5658</v>
      </c>
      <c r="AL110" t="s">
        <v>5418</v>
      </c>
      <c r="AN110" t="s">
        <v>5419</v>
      </c>
    </row>
    <row r="111" spans="1:40" x14ac:dyDescent="0.25">
      <c r="A111">
        <v>1084665070</v>
      </c>
      <c r="B111" t="s">
        <v>5399</v>
      </c>
      <c r="C111">
        <v>252406</v>
      </c>
      <c r="D111" t="s">
        <v>5400</v>
      </c>
      <c r="E111">
        <v>46208.317766203705</v>
      </c>
      <c r="F111" t="s">
        <v>5462</v>
      </c>
      <c r="G111" t="s">
        <v>3668</v>
      </c>
      <c r="H111" t="s">
        <v>5402</v>
      </c>
      <c r="I111" t="s">
        <v>5403</v>
      </c>
      <c r="J111">
        <v>2026</v>
      </c>
      <c r="K111" t="s">
        <v>5463</v>
      </c>
      <c r="L111" t="s">
        <v>5464</v>
      </c>
      <c r="M111" t="s">
        <v>5406</v>
      </c>
      <c r="N111" s="1" t="s">
        <v>4565</v>
      </c>
      <c r="O111">
        <v>23.9</v>
      </c>
      <c r="P111">
        <v>4.2889999999999997</v>
      </c>
      <c r="Q111">
        <v>25202</v>
      </c>
      <c r="R111">
        <v>148</v>
      </c>
      <c r="S111">
        <v>6.19</v>
      </c>
      <c r="T111" s="8">
        <v>102.53</v>
      </c>
      <c r="U111">
        <v>491721</v>
      </c>
      <c r="V111" t="s">
        <v>5438</v>
      </c>
      <c r="W111" t="s">
        <v>5409</v>
      </c>
      <c r="X111" t="s">
        <v>5439</v>
      </c>
      <c r="Y111" t="s">
        <v>5440</v>
      </c>
      <c r="Z111" t="s">
        <v>5441</v>
      </c>
      <c r="AA111" t="s">
        <v>5413</v>
      </c>
      <c r="AB111" t="s">
        <v>5414</v>
      </c>
      <c r="AC111" t="s">
        <v>5414</v>
      </c>
      <c r="AD111" t="s">
        <v>5414</v>
      </c>
      <c r="AG111" t="s">
        <v>5415</v>
      </c>
      <c r="AI111" t="s">
        <v>5522</v>
      </c>
      <c r="AJ111" t="s">
        <v>5465</v>
      </c>
      <c r="AL111" t="s">
        <v>5418</v>
      </c>
      <c r="AN111" t="s">
        <v>5419</v>
      </c>
    </row>
    <row r="112" spans="1:40" x14ac:dyDescent="0.25">
      <c r="A112">
        <v>1084665666</v>
      </c>
      <c r="B112" t="s">
        <v>5399</v>
      </c>
      <c r="C112">
        <v>252406</v>
      </c>
      <c r="D112" t="s">
        <v>5400</v>
      </c>
      <c r="E112">
        <v>46208.326967592591</v>
      </c>
      <c r="F112" t="s">
        <v>5519</v>
      </c>
      <c r="G112" t="s">
        <v>3668</v>
      </c>
      <c r="H112" t="s">
        <v>5467</v>
      </c>
      <c r="I112" t="s">
        <v>5403</v>
      </c>
      <c r="J112">
        <v>2027</v>
      </c>
      <c r="K112" t="s">
        <v>5520</v>
      </c>
      <c r="L112" t="s">
        <v>5521</v>
      </c>
      <c r="M112" t="s">
        <v>5406</v>
      </c>
      <c r="N112" s="1" t="s">
        <v>4565</v>
      </c>
      <c r="O112">
        <v>41.5</v>
      </c>
      <c r="P112">
        <v>4.1890000000000001</v>
      </c>
      <c r="Q112">
        <v>12048</v>
      </c>
      <c r="R112">
        <v>356</v>
      </c>
      <c r="S112">
        <v>8.58</v>
      </c>
      <c r="T112" s="8">
        <v>173.88</v>
      </c>
      <c r="U112">
        <v>11040306</v>
      </c>
      <c r="V112" t="s">
        <v>5408</v>
      </c>
      <c r="W112" t="s">
        <v>5409</v>
      </c>
      <c r="X112" t="s">
        <v>5410</v>
      </c>
      <c r="Y112" t="s">
        <v>5411</v>
      </c>
      <c r="Z112" t="s">
        <v>5412</v>
      </c>
      <c r="AA112" t="s">
        <v>5413</v>
      </c>
      <c r="AB112" t="s">
        <v>5414</v>
      </c>
      <c r="AC112" t="s">
        <v>5414</v>
      </c>
      <c r="AD112" t="s">
        <v>5414</v>
      </c>
      <c r="AG112" t="s">
        <v>5415</v>
      </c>
      <c r="AI112" t="s">
        <v>5460</v>
      </c>
      <c r="AJ112" t="s">
        <v>5523</v>
      </c>
      <c r="AL112" t="s">
        <v>5418</v>
      </c>
      <c r="AN112" t="s">
        <v>5419</v>
      </c>
    </row>
    <row r="113" spans="1:40" x14ac:dyDescent="0.25">
      <c r="A113">
        <v>1084670287</v>
      </c>
      <c r="B113" t="s">
        <v>5399</v>
      </c>
      <c r="C113">
        <v>252406</v>
      </c>
      <c r="D113" t="s">
        <v>5400</v>
      </c>
      <c r="E113">
        <v>46208.369247685187</v>
      </c>
      <c r="F113" t="s">
        <v>5534</v>
      </c>
      <c r="G113" t="s">
        <v>3668</v>
      </c>
      <c r="H113" t="s">
        <v>5421</v>
      </c>
      <c r="I113" t="s">
        <v>5403</v>
      </c>
      <c r="J113">
        <v>2027</v>
      </c>
      <c r="K113" t="s">
        <v>5535</v>
      </c>
      <c r="L113" t="s">
        <v>5536</v>
      </c>
      <c r="M113" t="s">
        <v>5406</v>
      </c>
      <c r="N113" s="1" t="s">
        <v>4565</v>
      </c>
      <c r="O113">
        <v>27.05</v>
      </c>
      <c r="P113">
        <v>4.1890000000000001</v>
      </c>
      <c r="Q113">
        <v>2132</v>
      </c>
      <c r="R113">
        <v>223</v>
      </c>
      <c r="S113">
        <v>8.24</v>
      </c>
      <c r="T113" s="8">
        <v>113.33</v>
      </c>
      <c r="U113">
        <v>11040306</v>
      </c>
      <c r="V113" t="s">
        <v>5408</v>
      </c>
      <c r="W113" t="s">
        <v>5409</v>
      </c>
      <c r="X113" t="s">
        <v>5410</v>
      </c>
      <c r="Y113" t="s">
        <v>5411</v>
      </c>
      <c r="Z113" t="s">
        <v>5412</v>
      </c>
      <c r="AA113" t="s">
        <v>5413</v>
      </c>
      <c r="AB113" t="s">
        <v>5414</v>
      </c>
      <c r="AC113" t="s">
        <v>5414</v>
      </c>
      <c r="AD113" t="s">
        <v>5414</v>
      </c>
      <c r="AG113" t="s">
        <v>5415</v>
      </c>
      <c r="AI113" t="s">
        <v>5629</v>
      </c>
      <c r="AJ113" t="s">
        <v>5537</v>
      </c>
      <c r="AL113" t="s">
        <v>5418</v>
      </c>
      <c r="AN113" t="s">
        <v>5419</v>
      </c>
    </row>
    <row r="114" spans="1:40" x14ac:dyDescent="0.25">
      <c r="A114">
        <v>1084677089</v>
      </c>
      <c r="B114" t="s">
        <v>5399</v>
      </c>
      <c r="C114">
        <v>252406</v>
      </c>
      <c r="D114" t="s">
        <v>5400</v>
      </c>
      <c r="E114">
        <v>46208.38181712963</v>
      </c>
      <c r="F114" t="s">
        <v>5585</v>
      </c>
      <c r="G114" t="s">
        <v>3668</v>
      </c>
      <c r="H114" t="s">
        <v>5506</v>
      </c>
      <c r="I114" t="s">
        <v>5403</v>
      </c>
      <c r="J114">
        <v>2026</v>
      </c>
      <c r="K114" t="s">
        <v>5717</v>
      </c>
      <c r="L114" t="s">
        <v>5718</v>
      </c>
      <c r="M114" t="s">
        <v>5406</v>
      </c>
      <c r="N114" s="1" t="s">
        <v>4565</v>
      </c>
      <c r="O114">
        <v>31.07</v>
      </c>
      <c r="P114">
        <v>4.2889999999999997</v>
      </c>
      <c r="Q114">
        <v>2967</v>
      </c>
      <c r="R114">
        <v>222</v>
      </c>
      <c r="S114">
        <v>7.15</v>
      </c>
      <c r="T114" s="8">
        <v>133.29</v>
      </c>
      <c r="U114">
        <v>11198252</v>
      </c>
      <c r="V114" t="s">
        <v>5424</v>
      </c>
      <c r="W114" t="s">
        <v>5409</v>
      </c>
      <c r="X114" t="s">
        <v>5425</v>
      </c>
      <c r="Y114" t="s">
        <v>5411</v>
      </c>
      <c r="Z114" t="s">
        <v>5426</v>
      </c>
      <c r="AA114" t="s">
        <v>5413</v>
      </c>
      <c r="AB114" t="s">
        <v>5414</v>
      </c>
      <c r="AC114" t="s">
        <v>5414</v>
      </c>
      <c r="AD114" t="s">
        <v>5414</v>
      </c>
      <c r="AG114" t="s">
        <v>5427</v>
      </c>
      <c r="AI114" t="s">
        <v>5428</v>
      </c>
      <c r="AJ114" t="s">
        <v>5588</v>
      </c>
      <c r="AL114" t="s">
        <v>5418</v>
      </c>
      <c r="AN114" t="s">
        <v>5419</v>
      </c>
    </row>
    <row r="115" spans="1:40" x14ac:dyDescent="0.25">
      <c r="A115">
        <v>1084680178</v>
      </c>
      <c r="B115" t="s">
        <v>5399</v>
      </c>
      <c r="C115">
        <v>252406</v>
      </c>
      <c r="D115" t="s">
        <v>5400</v>
      </c>
      <c r="E115">
        <v>46208.447500000002</v>
      </c>
      <c r="F115" t="s">
        <v>5655</v>
      </c>
      <c r="G115" t="s">
        <v>3668</v>
      </c>
      <c r="H115" t="s">
        <v>5506</v>
      </c>
      <c r="I115" t="s">
        <v>5403</v>
      </c>
      <c r="J115">
        <v>2026</v>
      </c>
      <c r="K115" t="s">
        <v>5712</v>
      </c>
      <c r="L115" t="s">
        <v>5713</v>
      </c>
      <c r="M115" t="s">
        <v>5406</v>
      </c>
      <c r="N115" s="1" t="s">
        <v>4565</v>
      </c>
      <c r="O115">
        <v>36.78</v>
      </c>
      <c r="P115">
        <v>4.79</v>
      </c>
      <c r="Q115">
        <v>4649</v>
      </c>
      <c r="R115">
        <v>317</v>
      </c>
      <c r="S115">
        <v>8.6199999999999992</v>
      </c>
      <c r="T115" s="8">
        <v>176.18</v>
      </c>
      <c r="U115">
        <v>13044465</v>
      </c>
      <c r="V115" t="s">
        <v>5719</v>
      </c>
      <c r="W115" t="s">
        <v>5409</v>
      </c>
      <c r="X115" t="s">
        <v>5720</v>
      </c>
      <c r="Y115" t="s">
        <v>5458</v>
      </c>
      <c r="Z115" t="s">
        <v>5721</v>
      </c>
      <c r="AA115" t="s">
        <v>5502</v>
      </c>
      <c r="AB115" t="s">
        <v>5414</v>
      </c>
      <c r="AC115" t="s">
        <v>5414</v>
      </c>
      <c r="AD115" t="s">
        <v>5414</v>
      </c>
      <c r="AG115" t="s">
        <v>5427</v>
      </c>
      <c r="AI115" t="s">
        <v>5722</v>
      </c>
      <c r="AJ115" t="s">
        <v>5658</v>
      </c>
      <c r="AL115" t="s">
        <v>5418</v>
      </c>
      <c r="AN115" t="s">
        <v>5419</v>
      </c>
    </row>
    <row r="116" spans="1:40" x14ac:dyDescent="0.25">
      <c r="A116">
        <v>1084689578</v>
      </c>
      <c r="B116" t="s">
        <v>5399</v>
      </c>
      <c r="C116">
        <v>252406</v>
      </c>
      <c r="D116" t="s">
        <v>5400</v>
      </c>
      <c r="E116">
        <v>46208.508101851854</v>
      </c>
      <c r="F116" t="s">
        <v>5466</v>
      </c>
      <c r="G116" t="s">
        <v>3668</v>
      </c>
      <c r="H116" t="s">
        <v>5467</v>
      </c>
      <c r="I116" t="s">
        <v>5403</v>
      </c>
      <c r="J116">
        <v>2025</v>
      </c>
      <c r="K116" t="s">
        <v>5468</v>
      </c>
      <c r="L116" t="s">
        <v>5469</v>
      </c>
      <c r="M116" t="s">
        <v>5406</v>
      </c>
      <c r="N116" s="1" t="s">
        <v>4565</v>
      </c>
      <c r="O116">
        <v>48.29</v>
      </c>
      <c r="P116">
        <v>4.069</v>
      </c>
      <c r="Q116">
        <v>62294</v>
      </c>
      <c r="R116">
        <v>159</v>
      </c>
      <c r="S116">
        <v>3.29</v>
      </c>
      <c r="T116" s="8">
        <v>196.54</v>
      </c>
      <c r="U116">
        <v>12192843</v>
      </c>
      <c r="V116" t="s">
        <v>5723</v>
      </c>
      <c r="W116" t="s">
        <v>5409</v>
      </c>
      <c r="X116" t="s">
        <v>5724</v>
      </c>
      <c r="Y116" t="s">
        <v>5725</v>
      </c>
      <c r="Z116" t="s">
        <v>5726</v>
      </c>
      <c r="AA116" t="s">
        <v>5413</v>
      </c>
      <c r="AB116" t="s">
        <v>5414</v>
      </c>
      <c r="AC116" t="s">
        <v>5414</v>
      </c>
      <c r="AD116" t="s">
        <v>5414</v>
      </c>
      <c r="AG116" t="s">
        <v>5427</v>
      </c>
      <c r="AI116" t="s">
        <v>5727</v>
      </c>
      <c r="AJ116" t="s">
        <v>5474</v>
      </c>
      <c r="AL116" t="s">
        <v>5418</v>
      </c>
      <c r="AN116" t="s">
        <v>5419</v>
      </c>
    </row>
    <row r="117" spans="1:40" x14ac:dyDescent="0.25">
      <c r="A117">
        <v>1084690900</v>
      </c>
      <c r="B117" t="s">
        <v>5399</v>
      </c>
      <c r="C117">
        <v>252406</v>
      </c>
      <c r="D117" t="s">
        <v>5400</v>
      </c>
      <c r="E117">
        <v>46208.525173611109</v>
      </c>
      <c r="F117" t="s">
        <v>5475</v>
      </c>
      <c r="G117" t="s">
        <v>3668</v>
      </c>
      <c r="H117" t="s">
        <v>5467</v>
      </c>
      <c r="I117" t="s">
        <v>5403</v>
      </c>
      <c r="J117">
        <v>2026</v>
      </c>
      <c r="K117" t="s">
        <v>5468</v>
      </c>
      <c r="L117" t="s">
        <v>5469</v>
      </c>
      <c r="M117" t="s">
        <v>5406</v>
      </c>
      <c r="N117" s="1" t="s">
        <v>4565</v>
      </c>
      <c r="O117">
        <v>35.93</v>
      </c>
      <c r="P117">
        <v>4.29</v>
      </c>
      <c r="Q117">
        <v>32772</v>
      </c>
      <c r="R117">
        <v>226</v>
      </c>
      <c r="S117">
        <v>6.29</v>
      </c>
      <c r="T117" s="8">
        <v>154.13999999999999</v>
      </c>
      <c r="U117">
        <v>11198252</v>
      </c>
      <c r="V117" t="s">
        <v>5424</v>
      </c>
      <c r="W117" t="s">
        <v>5409</v>
      </c>
      <c r="X117" t="s">
        <v>5425</v>
      </c>
      <c r="Y117" t="s">
        <v>5411</v>
      </c>
      <c r="Z117" t="s">
        <v>5426</v>
      </c>
      <c r="AA117" t="s">
        <v>5413</v>
      </c>
      <c r="AB117" t="s">
        <v>5414</v>
      </c>
      <c r="AC117" t="s">
        <v>5414</v>
      </c>
      <c r="AD117" t="s">
        <v>5414</v>
      </c>
      <c r="AG117" t="s">
        <v>5427</v>
      </c>
      <c r="AI117" t="s">
        <v>5428</v>
      </c>
      <c r="AJ117" t="s">
        <v>5697</v>
      </c>
      <c r="AL117" t="s">
        <v>5418</v>
      </c>
      <c r="AN117" t="s">
        <v>5419</v>
      </c>
    </row>
    <row r="118" spans="1:40" x14ac:dyDescent="0.25">
      <c r="A118">
        <v>1084691836</v>
      </c>
      <c r="B118" t="s">
        <v>5399</v>
      </c>
      <c r="C118">
        <v>252406</v>
      </c>
      <c r="D118" t="s">
        <v>5400</v>
      </c>
      <c r="E118">
        <v>46208.537754629629</v>
      </c>
      <c r="F118" t="s">
        <v>5631</v>
      </c>
      <c r="G118" t="s">
        <v>3668</v>
      </c>
      <c r="H118" t="s">
        <v>5511</v>
      </c>
      <c r="I118" t="s">
        <v>5403</v>
      </c>
      <c r="J118">
        <v>2025</v>
      </c>
      <c r="K118" t="s">
        <v>5632</v>
      </c>
      <c r="L118" t="s">
        <v>5633</v>
      </c>
      <c r="M118" t="s">
        <v>5406</v>
      </c>
      <c r="N118" s="1" t="s">
        <v>4565</v>
      </c>
      <c r="O118">
        <v>33</v>
      </c>
      <c r="P118">
        <v>4.99</v>
      </c>
      <c r="Q118">
        <v>53886</v>
      </c>
      <c r="R118">
        <v>292</v>
      </c>
      <c r="S118">
        <v>8.85</v>
      </c>
      <c r="T118" s="8">
        <v>164.67</v>
      </c>
      <c r="U118">
        <v>11160069</v>
      </c>
      <c r="V118" t="s">
        <v>5728</v>
      </c>
      <c r="W118" t="s">
        <v>5409</v>
      </c>
      <c r="X118" t="s">
        <v>5729</v>
      </c>
      <c r="Y118" t="s">
        <v>5458</v>
      </c>
      <c r="Z118" t="s">
        <v>5730</v>
      </c>
      <c r="AA118" t="s">
        <v>5413</v>
      </c>
      <c r="AB118" t="s">
        <v>5414</v>
      </c>
      <c r="AC118" t="s">
        <v>5414</v>
      </c>
      <c r="AD118" t="s">
        <v>5414</v>
      </c>
      <c r="AG118" t="s">
        <v>5427</v>
      </c>
      <c r="AI118" t="s">
        <v>5731</v>
      </c>
      <c r="AJ118" t="s">
        <v>5634</v>
      </c>
      <c r="AL118" t="s">
        <v>5418</v>
      </c>
      <c r="AN118" t="s">
        <v>5612</v>
      </c>
    </row>
    <row r="119" spans="1:40" x14ac:dyDescent="0.25">
      <c r="A119">
        <v>1084698438</v>
      </c>
      <c r="B119" t="s">
        <v>5399</v>
      </c>
      <c r="C119">
        <v>252406</v>
      </c>
      <c r="D119" t="s">
        <v>5400</v>
      </c>
      <c r="E119">
        <v>46208.604733796295</v>
      </c>
      <c r="F119" t="s">
        <v>5462</v>
      </c>
      <c r="G119" t="s">
        <v>3668</v>
      </c>
      <c r="H119" t="s">
        <v>5402</v>
      </c>
      <c r="I119" t="s">
        <v>5403</v>
      </c>
      <c r="J119">
        <v>2026</v>
      </c>
      <c r="K119" t="s">
        <v>5604</v>
      </c>
      <c r="L119" t="s">
        <v>5605</v>
      </c>
      <c r="M119" t="s">
        <v>5406</v>
      </c>
      <c r="N119" s="1" t="s">
        <v>4565</v>
      </c>
      <c r="O119">
        <v>36.049999999999997</v>
      </c>
      <c r="P119">
        <v>4.55</v>
      </c>
      <c r="Q119">
        <v>25422</v>
      </c>
      <c r="R119">
        <v>220</v>
      </c>
      <c r="S119">
        <v>6.1</v>
      </c>
      <c r="T119" s="8">
        <v>164.03</v>
      </c>
      <c r="U119">
        <v>108758</v>
      </c>
      <c r="V119" t="s">
        <v>5470</v>
      </c>
      <c r="W119" t="s">
        <v>5409</v>
      </c>
      <c r="X119" t="s">
        <v>5471</v>
      </c>
      <c r="Y119" t="s">
        <v>5411</v>
      </c>
      <c r="Z119" t="s">
        <v>5472</v>
      </c>
      <c r="AA119" t="s">
        <v>5413</v>
      </c>
      <c r="AB119" t="s">
        <v>5414</v>
      </c>
      <c r="AC119" t="s">
        <v>5414</v>
      </c>
      <c r="AD119" t="s">
        <v>5414</v>
      </c>
      <c r="AG119" t="s">
        <v>5427</v>
      </c>
      <c r="AI119" t="s">
        <v>5473</v>
      </c>
      <c r="AJ119" t="s">
        <v>5465</v>
      </c>
      <c r="AL119" t="s">
        <v>5418</v>
      </c>
      <c r="AN119" t="s">
        <v>5419</v>
      </c>
    </row>
    <row r="120" spans="1:40" x14ac:dyDescent="0.25">
      <c r="A120">
        <v>1084715715</v>
      </c>
      <c r="B120" t="s">
        <v>5399</v>
      </c>
      <c r="C120">
        <v>252406</v>
      </c>
      <c r="D120" t="s">
        <v>5400</v>
      </c>
      <c r="E120">
        <v>46208.858622685184</v>
      </c>
      <c r="F120" t="s">
        <v>5567</v>
      </c>
      <c r="G120" t="s">
        <v>3668</v>
      </c>
      <c r="H120" t="s">
        <v>5568</v>
      </c>
      <c r="I120" t="s">
        <v>5403</v>
      </c>
      <c r="J120">
        <v>2026</v>
      </c>
      <c r="K120" t="s">
        <v>5436</v>
      </c>
      <c r="L120" t="s">
        <v>5437</v>
      </c>
      <c r="M120" t="s">
        <v>5406</v>
      </c>
      <c r="N120" s="1" t="s">
        <v>4565</v>
      </c>
      <c r="O120">
        <v>35.33</v>
      </c>
      <c r="P120">
        <v>3.63</v>
      </c>
      <c r="Q120">
        <v>2014</v>
      </c>
      <c r="R120">
        <v>376</v>
      </c>
      <c r="S120">
        <v>10.64</v>
      </c>
      <c r="T120" s="8">
        <v>128.25</v>
      </c>
      <c r="U120">
        <v>12899750</v>
      </c>
      <c r="V120" t="s">
        <v>5732</v>
      </c>
      <c r="W120" t="s">
        <v>5409</v>
      </c>
      <c r="X120" t="s">
        <v>5733</v>
      </c>
      <c r="Y120" t="s">
        <v>5458</v>
      </c>
      <c r="Z120" t="s">
        <v>5483</v>
      </c>
      <c r="AA120" t="s">
        <v>5413</v>
      </c>
      <c r="AB120" t="s">
        <v>5414</v>
      </c>
      <c r="AC120" t="s">
        <v>5414</v>
      </c>
      <c r="AD120" t="s">
        <v>5414</v>
      </c>
      <c r="AG120" t="s">
        <v>5427</v>
      </c>
      <c r="AI120" t="s">
        <v>5734</v>
      </c>
      <c r="AJ120" t="s">
        <v>5573</v>
      </c>
      <c r="AL120" t="s">
        <v>5418</v>
      </c>
      <c r="AN120" t="s">
        <v>5419</v>
      </c>
    </row>
    <row r="121" spans="1:40" x14ac:dyDescent="0.25">
      <c r="A121">
        <v>1084724281</v>
      </c>
      <c r="B121" t="s">
        <v>5399</v>
      </c>
      <c r="C121">
        <v>252406</v>
      </c>
      <c r="D121" t="s">
        <v>5400</v>
      </c>
      <c r="E121">
        <v>46209.22383101852</v>
      </c>
      <c r="F121" t="s">
        <v>5401</v>
      </c>
      <c r="G121" t="s">
        <v>3668</v>
      </c>
      <c r="H121" t="s">
        <v>5402</v>
      </c>
      <c r="I121" t="s">
        <v>5403</v>
      </c>
      <c r="J121">
        <v>2026</v>
      </c>
      <c r="K121" t="s">
        <v>5701</v>
      </c>
      <c r="L121" t="s">
        <v>5702</v>
      </c>
      <c r="M121" t="s">
        <v>5406</v>
      </c>
      <c r="N121" s="1" t="s">
        <v>4565</v>
      </c>
      <c r="O121">
        <v>27.82</v>
      </c>
      <c r="P121">
        <v>4.1890000000000001</v>
      </c>
      <c r="Q121">
        <v>32764</v>
      </c>
      <c r="R121">
        <v>199</v>
      </c>
      <c r="S121">
        <v>7.15</v>
      </c>
      <c r="T121" s="8">
        <v>116.56</v>
      </c>
      <c r="U121">
        <v>11040306</v>
      </c>
      <c r="V121" t="s">
        <v>5408</v>
      </c>
      <c r="W121" t="s">
        <v>5409</v>
      </c>
      <c r="X121" t="s">
        <v>5410</v>
      </c>
      <c r="Y121" t="s">
        <v>5411</v>
      </c>
      <c r="Z121" t="s">
        <v>5412</v>
      </c>
      <c r="AA121" t="s">
        <v>5413</v>
      </c>
      <c r="AB121" t="s">
        <v>5414</v>
      </c>
      <c r="AC121" t="s">
        <v>5414</v>
      </c>
      <c r="AD121" t="s">
        <v>5414</v>
      </c>
      <c r="AG121" t="s">
        <v>5415</v>
      </c>
      <c r="AI121" t="s">
        <v>5629</v>
      </c>
      <c r="AJ121" t="s">
        <v>5417</v>
      </c>
      <c r="AL121" t="s">
        <v>5418</v>
      </c>
      <c r="AN121" t="s">
        <v>5419</v>
      </c>
    </row>
    <row r="122" spans="1:40" x14ac:dyDescent="0.25">
      <c r="A122">
        <v>1084739960</v>
      </c>
      <c r="B122" t="s">
        <v>5399</v>
      </c>
      <c r="C122">
        <v>252406</v>
      </c>
      <c r="D122" t="s">
        <v>5400</v>
      </c>
      <c r="E122">
        <v>46209.253750000003</v>
      </c>
      <c r="F122" t="s">
        <v>5505</v>
      </c>
      <c r="G122" t="s">
        <v>3668</v>
      </c>
      <c r="H122" t="s">
        <v>5506</v>
      </c>
      <c r="I122" t="s">
        <v>5403</v>
      </c>
      <c r="J122">
        <v>2026</v>
      </c>
      <c r="K122" t="s">
        <v>5507</v>
      </c>
      <c r="L122" t="s">
        <v>5508</v>
      </c>
      <c r="M122" t="s">
        <v>5406</v>
      </c>
      <c r="N122" s="1" t="s">
        <v>4565</v>
      </c>
      <c r="O122">
        <v>39.25</v>
      </c>
      <c r="P122">
        <v>4.2889999999999997</v>
      </c>
      <c r="Q122">
        <v>3849</v>
      </c>
      <c r="R122">
        <v>302</v>
      </c>
      <c r="S122">
        <v>7.69</v>
      </c>
      <c r="T122" s="8">
        <v>168.38</v>
      </c>
      <c r="U122">
        <v>11198252</v>
      </c>
      <c r="V122" t="s">
        <v>5424</v>
      </c>
      <c r="W122" t="s">
        <v>5409</v>
      </c>
      <c r="X122" t="s">
        <v>5425</v>
      </c>
      <c r="Y122" t="s">
        <v>5411</v>
      </c>
      <c r="Z122" t="s">
        <v>5426</v>
      </c>
      <c r="AA122" t="s">
        <v>5413</v>
      </c>
      <c r="AB122" t="s">
        <v>5414</v>
      </c>
      <c r="AC122" t="s">
        <v>5414</v>
      </c>
      <c r="AD122" t="s">
        <v>5414</v>
      </c>
      <c r="AG122" t="s">
        <v>5427</v>
      </c>
      <c r="AI122" t="s">
        <v>5428</v>
      </c>
      <c r="AJ122" t="s">
        <v>5509</v>
      </c>
      <c r="AL122" t="s">
        <v>5418</v>
      </c>
      <c r="AN122" t="s">
        <v>5419</v>
      </c>
    </row>
    <row r="123" spans="1:40" x14ac:dyDescent="0.25">
      <c r="A123">
        <v>1084745282</v>
      </c>
      <c r="B123" t="s">
        <v>5399</v>
      </c>
      <c r="C123">
        <v>252406</v>
      </c>
      <c r="D123" t="s">
        <v>5400</v>
      </c>
      <c r="E123">
        <v>46209.264317129629</v>
      </c>
      <c r="F123" t="s">
        <v>5462</v>
      </c>
      <c r="G123" t="s">
        <v>3668</v>
      </c>
      <c r="H123" t="s">
        <v>5402</v>
      </c>
      <c r="I123" t="s">
        <v>5403</v>
      </c>
      <c r="J123">
        <v>2026</v>
      </c>
      <c r="K123" t="s">
        <v>5604</v>
      </c>
      <c r="L123" t="s">
        <v>5605</v>
      </c>
      <c r="M123" t="s">
        <v>5406</v>
      </c>
      <c r="N123" s="1" t="s">
        <v>4565</v>
      </c>
      <c r="O123">
        <v>36.54</v>
      </c>
      <c r="P123">
        <v>3.59</v>
      </c>
      <c r="Q123">
        <v>25735</v>
      </c>
      <c r="R123">
        <v>313</v>
      </c>
      <c r="S123">
        <v>8.57</v>
      </c>
      <c r="T123" s="8">
        <v>131.18</v>
      </c>
      <c r="U123">
        <v>12815000</v>
      </c>
      <c r="V123" t="s">
        <v>5448</v>
      </c>
      <c r="W123" t="s">
        <v>5409</v>
      </c>
      <c r="X123" t="s">
        <v>5449</v>
      </c>
      <c r="Y123" t="s">
        <v>5450</v>
      </c>
      <c r="Z123" t="s">
        <v>5426</v>
      </c>
      <c r="AA123" t="s">
        <v>5413</v>
      </c>
      <c r="AB123" t="s">
        <v>5414</v>
      </c>
      <c r="AC123" t="s">
        <v>5414</v>
      </c>
      <c r="AD123" t="s">
        <v>5414</v>
      </c>
      <c r="AG123" t="s">
        <v>5427</v>
      </c>
      <c r="AI123" t="s">
        <v>5451</v>
      </c>
      <c r="AJ123" t="s">
        <v>5465</v>
      </c>
      <c r="AL123" t="s">
        <v>5418</v>
      </c>
      <c r="AN123" t="s">
        <v>5419</v>
      </c>
    </row>
    <row r="124" spans="1:40" x14ac:dyDescent="0.25">
      <c r="A124">
        <v>1084733369</v>
      </c>
      <c r="B124" t="s">
        <v>5399</v>
      </c>
      <c r="C124">
        <v>252406</v>
      </c>
      <c r="D124" t="s">
        <v>5400</v>
      </c>
      <c r="E124">
        <v>46209.276817129627</v>
      </c>
      <c r="F124" t="s">
        <v>5655</v>
      </c>
      <c r="G124" t="s">
        <v>3668</v>
      </c>
      <c r="H124" t="s">
        <v>5506</v>
      </c>
      <c r="I124" t="s">
        <v>5403</v>
      </c>
      <c r="J124">
        <v>2026</v>
      </c>
      <c r="K124" t="s">
        <v>5712</v>
      </c>
      <c r="L124" t="s">
        <v>5713</v>
      </c>
      <c r="M124" t="s">
        <v>5406</v>
      </c>
      <c r="N124" s="1" t="s">
        <v>4565</v>
      </c>
      <c r="O124">
        <v>29.46</v>
      </c>
      <c r="P124">
        <v>4.6900000000000004</v>
      </c>
      <c r="Q124">
        <v>4872</v>
      </c>
      <c r="R124">
        <v>223</v>
      </c>
      <c r="S124">
        <v>7.57</v>
      </c>
      <c r="T124" s="8">
        <v>138.16999999999999</v>
      </c>
      <c r="U124">
        <v>1962132</v>
      </c>
      <c r="V124" t="s">
        <v>5735</v>
      </c>
      <c r="W124" t="s">
        <v>5409</v>
      </c>
      <c r="X124" t="s">
        <v>5736</v>
      </c>
      <c r="Y124" t="s">
        <v>5458</v>
      </c>
      <c r="Z124" t="s">
        <v>5737</v>
      </c>
      <c r="AA124" t="s">
        <v>5502</v>
      </c>
      <c r="AB124" t="s">
        <v>5414</v>
      </c>
      <c r="AC124" t="s">
        <v>5414</v>
      </c>
      <c r="AD124" t="s">
        <v>5414</v>
      </c>
      <c r="AG124" t="s">
        <v>5415</v>
      </c>
      <c r="AI124" t="s">
        <v>5460</v>
      </c>
      <c r="AJ124" t="s">
        <v>5658</v>
      </c>
      <c r="AL124" t="s">
        <v>5418</v>
      </c>
      <c r="AN124" t="s">
        <v>5419</v>
      </c>
    </row>
    <row r="125" spans="1:40" x14ac:dyDescent="0.25">
      <c r="A125">
        <v>1084753000</v>
      </c>
      <c r="B125" t="s">
        <v>5399</v>
      </c>
      <c r="C125">
        <v>252406</v>
      </c>
      <c r="D125" t="s">
        <v>5400</v>
      </c>
      <c r="E125">
        <v>46209.317997685182</v>
      </c>
      <c r="F125" t="s">
        <v>5556</v>
      </c>
      <c r="G125" t="s">
        <v>3668</v>
      </c>
      <c r="H125" t="s">
        <v>5431</v>
      </c>
      <c r="I125" t="s">
        <v>5403</v>
      </c>
      <c r="J125">
        <v>2026</v>
      </c>
      <c r="K125" t="s">
        <v>5557</v>
      </c>
      <c r="L125" t="s">
        <v>5558</v>
      </c>
      <c r="M125" t="s">
        <v>5406</v>
      </c>
      <c r="N125" s="1" t="s">
        <v>4565</v>
      </c>
      <c r="O125">
        <v>33.85</v>
      </c>
      <c r="P125">
        <v>4.1890000000000001</v>
      </c>
      <c r="Q125">
        <v>10553</v>
      </c>
      <c r="R125">
        <v>179</v>
      </c>
      <c r="S125">
        <v>5.29</v>
      </c>
      <c r="T125" s="8">
        <v>141.83000000000001</v>
      </c>
      <c r="U125">
        <v>11040306</v>
      </c>
      <c r="V125" t="s">
        <v>5408</v>
      </c>
      <c r="W125" t="s">
        <v>5409</v>
      </c>
      <c r="X125" t="s">
        <v>5410</v>
      </c>
      <c r="Y125" t="s">
        <v>5411</v>
      </c>
      <c r="Z125" t="s">
        <v>5412</v>
      </c>
      <c r="AA125" t="s">
        <v>5413</v>
      </c>
      <c r="AB125" t="s">
        <v>5414</v>
      </c>
      <c r="AC125" t="s">
        <v>5414</v>
      </c>
      <c r="AD125" t="s">
        <v>5414</v>
      </c>
      <c r="AG125" t="s">
        <v>5415</v>
      </c>
      <c r="AI125" t="s">
        <v>5460</v>
      </c>
      <c r="AJ125" t="s">
        <v>5559</v>
      </c>
      <c r="AL125" t="s">
        <v>5418</v>
      </c>
      <c r="AN125" t="s">
        <v>5419</v>
      </c>
    </row>
    <row r="126" spans="1:40" x14ac:dyDescent="0.25">
      <c r="A126">
        <v>1084765652</v>
      </c>
      <c r="B126" t="s">
        <v>5399</v>
      </c>
      <c r="C126">
        <v>252406</v>
      </c>
      <c r="D126" t="s">
        <v>5400</v>
      </c>
      <c r="E126">
        <v>46209.338831018518</v>
      </c>
      <c r="F126" t="s">
        <v>5659</v>
      </c>
      <c r="G126" t="s">
        <v>3668</v>
      </c>
      <c r="H126" t="s">
        <v>5431</v>
      </c>
      <c r="I126" t="s">
        <v>5403</v>
      </c>
      <c r="J126">
        <v>2026</v>
      </c>
      <c r="K126" t="s">
        <v>5660</v>
      </c>
      <c r="L126" t="s">
        <v>5661</v>
      </c>
      <c r="M126" t="s">
        <v>5406</v>
      </c>
      <c r="N126" s="1" t="s">
        <v>4565</v>
      </c>
      <c r="O126">
        <v>35.090000000000003</v>
      </c>
      <c r="P126">
        <v>4.1890000000000001</v>
      </c>
      <c r="Q126">
        <v>6704</v>
      </c>
      <c r="R126">
        <v>362</v>
      </c>
      <c r="S126">
        <v>10.32</v>
      </c>
      <c r="T126" s="8">
        <v>147.02000000000001</v>
      </c>
      <c r="U126">
        <v>11040306</v>
      </c>
      <c r="V126" t="s">
        <v>5408</v>
      </c>
      <c r="W126" t="s">
        <v>5409</v>
      </c>
      <c r="X126" t="s">
        <v>5410</v>
      </c>
      <c r="Y126" t="s">
        <v>5411</v>
      </c>
      <c r="Z126" t="s">
        <v>5412</v>
      </c>
      <c r="AA126" t="s">
        <v>5413</v>
      </c>
      <c r="AB126" t="s">
        <v>5414</v>
      </c>
      <c r="AC126" t="s">
        <v>5414</v>
      </c>
      <c r="AD126" t="s">
        <v>5414</v>
      </c>
      <c r="AG126" t="s">
        <v>5415</v>
      </c>
      <c r="AI126" t="s">
        <v>5522</v>
      </c>
      <c r="AJ126" t="s">
        <v>5662</v>
      </c>
      <c r="AL126" t="s">
        <v>5418</v>
      </c>
      <c r="AN126" t="s">
        <v>5419</v>
      </c>
    </row>
    <row r="127" spans="1:40" x14ac:dyDescent="0.25">
      <c r="A127">
        <v>1084801693</v>
      </c>
      <c r="B127" t="s">
        <v>5399</v>
      </c>
      <c r="C127">
        <v>252406</v>
      </c>
      <c r="D127" t="s">
        <v>5400</v>
      </c>
      <c r="E127">
        <v>46209.340590277781</v>
      </c>
      <c r="F127" t="s">
        <v>5444</v>
      </c>
      <c r="G127" t="s">
        <v>3668</v>
      </c>
      <c r="H127" t="s">
        <v>5431</v>
      </c>
      <c r="I127" t="s">
        <v>5403</v>
      </c>
      <c r="J127">
        <v>2026</v>
      </c>
      <c r="K127" t="s">
        <v>5445</v>
      </c>
      <c r="L127" t="s">
        <v>5446</v>
      </c>
      <c r="M127" t="s">
        <v>5406</v>
      </c>
      <c r="N127" s="1" t="s">
        <v>4565</v>
      </c>
      <c r="O127">
        <v>29.83</v>
      </c>
      <c r="P127">
        <v>4.2889999999999997</v>
      </c>
      <c r="Q127">
        <v>18478</v>
      </c>
      <c r="R127">
        <v>236</v>
      </c>
      <c r="S127">
        <v>7.91</v>
      </c>
      <c r="T127" s="8">
        <v>127.97</v>
      </c>
      <c r="U127">
        <v>12193017</v>
      </c>
      <c r="V127" t="s">
        <v>5574</v>
      </c>
      <c r="W127" t="s">
        <v>5409</v>
      </c>
      <c r="X127" t="s">
        <v>5575</v>
      </c>
      <c r="Y127" t="s">
        <v>5576</v>
      </c>
      <c r="Z127" t="s">
        <v>5472</v>
      </c>
      <c r="AA127" t="s">
        <v>5413</v>
      </c>
      <c r="AB127" t="s">
        <v>5414</v>
      </c>
      <c r="AC127" t="s">
        <v>5414</v>
      </c>
      <c r="AD127" t="s">
        <v>5414</v>
      </c>
      <c r="AG127" t="s">
        <v>5427</v>
      </c>
      <c r="AI127" t="s">
        <v>5577</v>
      </c>
      <c r="AJ127" t="s">
        <v>5447</v>
      </c>
      <c r="AL127" t="s">
        <v>5418</v>
      </c>
      <c r="AN127" t="s">
        <v>5419</v>
      </c>
    </row>
    <row r="128" spans="1:40" x14ac:dyDescent="0.25">
      <c r="A128">
        <v>1084823809</v>
      </c>
      <c r="B128" t="s">
        <v>5399</v>
      </c>
      <c r="C128">
        <v>252406</v>
      </c>
      <c r="D128" t="s">
        <v>5400</v>
      </c>
      <c r="E128">
        <v>46209.377824074072</v>
      </c>
      <c r="F128" t="s">
        <v>5452</v>
      </c>
      <c r="G128" t="s">
        <v>3668</v>
      </c>
      <c r="H128" t="s">
        <v>5453</v>
      </c>
      <c r="I128" t="s">
        <v>5403</v>
      </c>
      <c r="J128">
        <v>2026</v>
      </c>
      <c r="K128" t="s">
        <v>5436</v>
      </c>
      <c r="L128" t="s">
        <v>5437</v>
      </c>
      <c r="M128" t="s">
        <v>5406</v>
      </c>
      <c r="N128" s="1" t="s">
        <v>4565</v>
      </c>
      <c r="O128">
        <v>38.840000000000003</v>
      </c>
      <c r="P128">
        <v>4.9889999999999999</v>
      </c>
      <c r="Q128">
        <v>38781</v>
      </c>
      <c r="R128">
        <v>351</v>
      </c>
      <c r="S128">
        <v>9.0399999999999991</v>
      </c>
      <c r="T128" s="8">
        <v>193.81</v>
      </c>
      <c r="U128">
        <v>11160069</v>
      </c>
      <c r="V128" t="s">
        <v>5728</v>
      </c>
      <c r="W128" t="s">
        <v>5409</v>
      </c>
      <c r="X128" t="s">
        <v>5729</v>
      </c>
      <c r="Y128" t="s">
        <v>5458</v>
      </c>
      <c r="Z128" t="s">
        <v>5730</v>
      </c>
      <c r="AA128" t="s">
        <v>5413</v>
      </c>
      <c r="AB128" t="s">
        <v>5414</v>
      </c>
      <c r="AC128" t="s">
        <v>5414</v>
      </c>
      <c r="AD128" t="s">
        <v>5414</v>
      </c>
      <c r="AG128" t="s">
        <v>5427</v>
      </c>
      <c r="AI128" t="s">
        <v>5731</v>
      </c>
      <c r="AJ128" t="s">
        <v>5461</v>
      </c>
      <c r="AL128" t="s">
        <v>5418</v>
      </c>
      <c r="AN128" t="s">
        <v>5419</v>
      </c>
    </row>
    <row r="129" spans="1:40" x14ac:dyDescent="0.25">
      <c r="A129">
        <v>1084807403</v>
      </c>
      <c r="B129" t="s">
        <v>5399</v>
      </c>
      <c r="C129">
        <v>252406</v>
      </c>
      <c r="D129" t="s">
        <v>5400</v>
      </c>
      <c r="E129">
        <v>46209.392199074071</v>
      </c>
      <c r="F129" t="s">
        <v>5689</v>
      </c>
      <c r="G129" t="s">
        <v>3668</v>
      </c>
      <c r="H129" t="s">
        <v>5511</v>
      </c>
      <c r="I129" t="s">
        <v>5403</v>
      </c>
      <c r="J129">
        <v>2026</v>
      </c>
      <c r="K129" t="s">
        <v>5690</v>
      </c>
      <c r="L129" t="s">
        <v>5691</v>
      </c>
      <c r="M129" t="s">
        <v>5406</v>
      </c>
      <c r="N129" s="1" t="s">
        <v>4565</v>
      </c>
      <c r="O129">
        <v>22.71</v>
      </c>
      <c r="P129">
        <v>4.49</v>
      </c>
      <c r="Q129">
        <v>8921</v>
      </c>
      <c r="R129">
        <v>280</v>
      </c>
      <c r="S129">
        <v>12.33</v>
      </c>
      <c r="T129" s="8">
        <v>101.97</v>
      </c>
      <c r="U129">
        <v>578355</v>
      </c>
      <c r="V129" t="s">
        <v>5481</v>
      </c>
      <c r="W129" t="s">
        <v>5409</v>
      </c>
      <c r="X129" t="s">
        <v>5482</v>
      </c>
      <c r="Y129" t="s">
        <v>5411</v>
      </c>
      <c r="Z129" t="s">
        <v>5483</v>
      </c>
      <c r="AA129" t="s">
        <v>5413</v>
      </c>
      <c r="AB129" t="s">
        <v>5414</v>
      </c>
      <c r="AC129" t="s">
        <v>5414</v>
      </c>
      <c r="AD129" t="s">
        <v>5414</v>
      </c>
      <c r="AG129" t="s">
        <v>5415</v>
      </c>
      <c r="AI129" t="s">
        <v>5484</v>
      </c>
      <c r="AJ129" t="s">
        <v>5692</v>
      </c>
      <c r="AL129" t="s">
        <v>5418</v>
      </c>
      <c r="AN129" t="s">
        <v>5419</v>
      </c>
    </row>
    <row r="130" spans="1:40" x14ac:dyDescent="0.25">
      <c r="A130">
        <v>1084830656</v>
      </c>
      <c r="B130" t="s">
        <v>5399</v>
      </c>
      <c r="C130">
        <v>252406</v>
      </c>
      <c r="D130" t="s">
        <v>5400</v>
      </c>
      <c r="E130">
        <v>46209.393622685187</v>
      </c>
      <c r="F130" t="s">
        <v>5494</v>
      </c>
      <c r="G130" t="s">
        <v>3668</v>
      </c>
      <c r="H130" t="s">
        <v>5495</v>
      </c>
      <c r="I130" t="s">
        <v>5403</v>
      </c>
      <c r="J130">
        <v>2026</v>
      </c>
      <c r="K130" t="s">
        <v>5496</v>
      </c>
      <c r="L130" t="s">
        <v>5497</v>
      </c>
      <c r="M130" t="s">
        <v>5406</v>
      </c>
      <c r="N130" s="1" t="s">
        <v>4565</v>
      </c>
      <c r="O130">
        <v>45.19</v>
      </c>
      <c r="P130">
        <v>3.589</v>
      </c>
      <c r="Q130">
        <v>56167</v>
      </c>
      <c r="R130">
        <v>417</v>
      </c>
      <c r="S130">
        <v>9.23</v>
      </c>
      <c r="T130" s="8">
        <v>162.22999999999999</v>
      </c>
      <c r="U130">
        <v>12815000</v>
      </c>
      <c r="V130" t="s">
        <v>5448</v>
      </c>
      <c r="W130" t="s">
        <v>5409</v>
      </c>
      <c r="X130" t="s">
        <v>5449</v>
      </c>
      <c r="Y130" t="s">
        <v>5450</v>
      </c>
      <c r="Z130" t="s">
        <v>5426</v>
      </c>
      <c r="AA130" t="s">
        <v>5413</v>
      </c>
      <c r="AB130" t="s">
        <v>5414</v>
      </c>
      <c r="AC130" t="s">
        <v>5414</v>
      </c>
      <c r="AD130" t="s">
        <v>5414</v>
      </c>
      <c r="AG130" t="s">
        <v>5427</v>
      </c>
      <c r="AI130" t="s">
        <v>5451</v>
      </c>
      <c r="AJ130" t="s">
        <v>5504</v>
      </c>
      <c r="AL130" t="s">
        <v>5418</v>
      </c>
      <c r="AN130" t="s">
        <v>5419</v>
      </c>
    </row>
    <row r="131" spans="1:40" x14ac:dyDescent="0.25">
      <c r="A131">
        <v>1084843700</v>
      </c>
      <c r="B131" t="s">
        <v>5399</v>
      </c>
      <c r="C131">
        <v>252406</v>
      </c>
      <c r="D131" t="s">
        <v>5400</v>
      </c>
      <c r="E131">
        <v>46209.411909722221</v>
      </c>
      <c r="F131" t="s">
        <v>5401</v>
      </c>
      <c r="G131" t="s">
        <v>3668</v>
      </c>
      <c r="H131" t="s">
        <v>5402</v>
      </c>
      <c r="I131" t="s">
        <v>5403</v>
      </c>
      <c r="J131">
        <v>2026</v>
      </c>
      <c r="K131" t="s">
        <v>5404</v>
      </c>
      <c r="L131" t="s">
        <v>5405</v>
      </c>
      <c r="M131" t="s">
        <v>5406</v>
      </c>
      <c r="N131" s="1" t="s">
        <v>4565</v>
      </c>
      <c r="O131">
        <v>36.49</v>
      </c>
      <c r="P131">
        <v>4.55</v>
      </c>
      <c r="Q131">
        <v>33071</v>
      </c>
      <c r="R131">
        <v>307</v>
      </c>
      <c r="S131">
        <v>8.41</v>
      </c>
      <c r="T131" s="8">
        <v>166.03</v>
      </c>
      <c r="U131">
        <v>108758</v>
      </c>
      <c r="V131" t="s">
        <v>5470</v>
      </c>
      <c r="W131" t="s">
        <v>5409</v>
      </c>
      <c r="X131" t="s">
        <v>5471</v>
      </c>
      <c r="Y131" t="s">
        <v>5411</v>
      </c>
      <c r="Z131" t="s">
        <v>5472</v>
      </c>
      <c r="AA131" t="s">
        <v>5413</v>
      </c>
      <c r="AB131" t="s">
        <v>5414</v>
      </c>
      <c r="AC131" t="s">
        <v>5414</v>
      </c>
      <c r="AD131" t="s">
        <v>5414</v>
      </c>
      <c r="AG131" t="s">
        <v>5427</v>
      </c>
      <c r="AI131" t="s">
        <v>5473</v>
      </c>
      <c r="AJ131" t="s">
        <v>5417</v>
      </c>
      <c r="AL131" t="s">
        <v>5418</v>
      </c>
      <c r="AN131" t="s">
        <v>5419</v>
      </c>
    </row>
    <row r="132" spans="1:40" x14ac:dyDescent="0.25">
      <c r="A132">
        <v>1084823389</v>
      </c>
      <c r="B132" t="s">
        <v>5399</v>
      </c>
      <c r="C132">
        <v>252406</v>
      </c>
      <c r="D132" t="s">
        <v>5400</v>
      </c>
      <c r="E132">
        <v>46209.418402777781</v>
      </c>
      <c r="F132" t="s">
        <v>5462</v>
      </c>
      <c r="G132" t="s">
        <v>3668</v>
      </c>
      <c r="H132" t="s">
        <v>5402</v>
      </c>
      <c r="I132" t="s">
        <v>5403</v>
      </c>
      <c r="J132">
        <v>2026</v>
      </c>
      <c r="K132" t="s">
        <v>5463</v>
      </c>
      <c r="L132" t="s">
        <v>5464</v>
      </c>
      <c r="M132" t="s">
        <v>5406</v>
      </c>
      <c r="N132" s="1" t="s">
        <v>4565</v>
      </c>
      <c r="O132">
        <v>17</v>
      </c>
      <c r="P132">
        <v>4.29</v>
      </c>
      <c r="Q132">
        <v>25836</v>
      </c>
      <c r="R132">
        <v>101</v>
      </c>
      <c r="S132">
        <v>5.94</v>
      </c>
      <c r="T132" s="8">
        <v>72.930000000000007</v>
      </c>
      <c r="U132">
        <v>491721</v>
      </c>
      <c r="V132" t="s">
        <v>5438</v>
      </c>
      <c r="W132" t="s">
        <v>5409</v>
      </c>
      <c r="X132" t="s">
        <v>5439</v>
      </c>
      <c r="Y132" t="s">
        <v>5440</v>
      </c>
      <c r="Z132" t="s">
        <v>5441</v>
      </c>
      <c r="AA132" t="s">
        <v>5413</v>
      </c>
      <c r="AB132" t="s">
        <v>5414</v>
      </c>
      <c r="AC132" t="s">
        <v>5414</v>
      </c>
      <c r="AD132" t="s">
        <v>5414</v>
      </c>
      <c r="AG132" t="s">
        <v>5415</v>
      </c>
      <c r="AI132" t="s">
        <v>5460</v>
      </c>
      <c r="AJ132" t="s">
        <v>5465</v>
      </c>
      <c r="AL132" t="s">
        <v>5418</v>
      </c>
      <c r="AN132" t="s">
        <v>5419</v>
      </c>
    </row>
    <row r="133" spans="1:40" x14ac:dyDescent="0.25">
      <c r="A133">
        <v>1084881140</v>
      </c>
      <c r="B133" t="s">
        <v>5399</v>
      </c>
      <c r="C133">
        <v>252406</v>
      </c>
      <c r="D133" t="s">
        <v>5400</v>
      </c>
      <c r="E133">
        <v>46209.511307870373</v>
      </c>
      <c r="F133" t="s">
        <v>5635</v>
      </c>
      <c r="G133" t="s">
        <v>3668</v>
      </c>
      <c r="H133" t="s">
        <v>5453</v>
      </c>
      <c r="I133" t="s">
        <v>5403</v>
      </c>
      <c r="J133">
        <v>2026</v>
      </c>
      <c r="K133" t="s">
        <v>5636</v>
      </c>
      <c r="L133" t="s">
        <v>5637</v>
      </c>
      <c r="M133" t="s">
        <v>5406</v>
      </c>
      <c r="N133" s="1" t="s">
        <v>4565</v>
      </c>
      <c r="O133">
        <v>36.770000000000003</v>
      </c>
      <c r="P133">
        <v>3.589</v>
      </c>
      <c r="Q133">
        <v>10299</v>
      </c>
      <c r="R133">
        <v>301</v>
      </c>
      <c r="S133">
        <v>8.19</v>
      </c>
      <c r="T133" s="8">
        <v>132</v>
      </c>
      <c r="U133">
        <v>12815000</v>
      </c>
      <c r="V133" t="s">
        <v>5448</v>
      </c>
      <c r="W133" t="s">
        <v>5409</v>
      </c>
      <c r="X133" t="s">
        <v>5449</v>
      </c>
      <c r="Y133" t="s">
        <v>5450</v>
      </c>
      <c r="Z133" t="s">
        <v>5426</v>
      </c>
      <c r="AA133" t="s">
        <v>5413</v>
      </c>
      <c r="AB133" t="s">
        <v>5414</v>
      </c>
      <c r="AC133" t="s">
        <v>5414</v>
      </c>
      <c r="AD133" t="s">
        <v>5414</v>
      </c>
      <c r="AG133" t="s">
        <v>5427</v>
      </c>
      <c r="AI133" t="s">
        <v>5451</v>
      </c>
      <c r="AJ133" t="s">
        <v>5638</v>
      </c>
      <c r="AL133" t="s">
        <v>5418</v>
      </c>
      <c r="AN133" t="s">
        <v>5419</v>
      </c>
    </row>
    <row r="134" spans="1:40" x14ac:dyDescent="0.25">
      <c r="A134">
        <v>1084905364</v>
      </c>
      <c r="B134" t="s">
        <v>5399</v>
      </c>
      <c r="C134">
        <v>252406</v>
      </c>
      <c r="D134" t="s">
        <v>5400</v>
      </c>
      <c r="E134">
        <v>46209.581365740742</v>
      </c>
      <c r="F134" t="s">
        <v>5530</v>
      </c>
      <c r="G134" t="s">
        <v>3668</v>
      </c>
      <c r="H134" t="s">
        <v>5431</v>
      </c>
      <c r="I134" t="s">
        <v>5403</v>
      </c>
      <c r="J134">
        <v>2025</v>
      </c>
      <c r="K134" t="s">
        <v>5531</v>
      </c>
      <c r="L134" t="s">
        <v>5532</v>
      </c>
      <c r="M134" t="s">
        <v>5406</v>
      </c>
      <c r="N134" s="1" t="s">
        <v>4565</v>
      </c>
      <c r="O134">
        <v>45.06</v>
      </c>
      <c r="P134">
        <v>4.29</v>
      </c>
      <c r="Q134">
        <v>105644</v>
      </c>
      <c r="R134">
        <v>379</v>
      </c>
      <c r="S134">
        <v>8.41</v>
      </c>
      <c r="T134" s="8">
        <v>193.31</v>
      </c>
      <c r="U134">
        <v>11198252</v>
      </c>
      <c r="V134" t="s">
        <v>5424</v>
      </c>
      <c r="W134" t="s">
        <v>5409</v>
      </c>
      <c r="X134" t="s">
        <v>5425</v>
      </c>
      <c r="Y134" t="s">
        <v>5411</v>
      </c>
      <c r="Z134" t="s">
        <v>5426</v>
      </c>
      <c r="AA134" t="s">
        <v>5413</v>
      </c>
      <c r="AB134" t="s">
        <v>5414</v>
      </c>
      <c r="AC134" t="s">
        <v>5414</v>
      </c>
      <c r="AD134" t="s">
        <v>5414</v>
      </c>
      <c r="AG134" t="s">
        <v>5427</v>
      </c>
      <c r="AI134" t="s">
        <v>5428</v>
      </c>
      <c r="AJ134" t="s">
        <v>5533</v>
      </c>
      <c r="AL134" t="s">
        <v>5418</v>
      </c>
      <c r="AN134" t="s">
        <v>5419</v>
      </c>
    </row>
    <row r="135" spans="1:40" x14ac:dyDescent="0.25">
      <c r="A135">
        <v>1084892691</v>
      </c>
      <c r="B135" t="s">
        <v>5399</v>
      </c>
      <c r="C135">
        <v>252406</v>
      </c>
      <c r="D135" t="s">
        <v>5400</v>
      </c>
      <c r="E135">
        <v>46209.587638888886</v>
      </c>
      <c r="F135" t="s">
        <v>5626</v>
      </c>
      <c r="G135" t="s">
        <v>3668</v>
      </c>
      <c r="H135" t="s">
        <v>5552</v>
      </c>
      <c r="I135" t="s">
        <v>5403</v>
      </c>
      <c r="J135">
        <v>2026</v>
      </c>
      <c r="K135" t="s">
        <v>5627</v>
      </c>
      <c r="L135" t="s">
        <v>5628</v>
      </c>
      <c r="M135" t="s">
        <v>5406</v>
      </c>
      <c r="N135" s="1" t="s">
        <v>4565</v>
      </c>
      <c r="O135">
        <v>44.86</v>
      </c>
      <c r="P135">
        <v>4.1890000000000001</v>
      </c>
      <c r="Q135">
        <v>21285</v>
      </c>
      <c r="R135">
        <v>162</v>
      </c>
      <c r="S135">
        <v>3.61</v>
      </c>
      <c r="T135" s="8">
        <v>187.96</v>
      </c>
      <c r="U135">
        <v>11040306</v>
      </c>
      <c r="V135" t="s">
        <v>5408</v>
      </c>
      <c r="W135" t="s">
        <v>5409</v>
      </c>
      <c r="X135" t="s">
        <v>5410</v>
      </c>
      <c r="Y135" t="s">
        <v>5411</v>
      </c>
      <c r="Z135" t="s">
        <v>5412</v>
      </c>
      <c r="AA135" t="s">
        <v>5413</v>
      </c>
      <c r="AB135" t="s">
        <v>5414</v>
      </c>
      <c r="AC135" t="s">
        <v>5414</v>
      </c>
      <c r="AD135" t="s">
        <v>5414</v>
      </c>
      <c r="AG135" t="s">
        <v>5415</v>
      </c>
      <c r="AI135" t="s">
        <v>5522</v>
      </c>
      <c r="AJ135" t="s">
        <v>5630</v>
      </c>
      <c r="AL135" t="s">
        <v>5418</v>
      </c>
      <c r="AN135" t="s">
        <v>5419</v>
      </c>
    </row>
    <row r="136" spans="1:40" x14ac:dyDescent="0.25">
      <c r="A136">
        <v>1084914824</v>
      </c>
      <c r="B136" t="s">
        <v>5399</v>
      </c>
      <c r="C136">
        <v>252406</v>
      </c>
      <c r="D136" t="s">
        <v>5400</v>
      </c>
      <c r="E136">
        <v>46209.609039351853</v>
      </c>
      <c r="F136" t="s">
        <v>5651</v>
      </c>
      <c r="G136" t="s">
        <v>3668</v>
      </c>
      <c r="H136" t="s">
        <v>5467</v>
      </c>
      <c r="I136" t="s">
        <v>5403</v>
      </c>
      <c r="J136">
        <v>2026</v>
      </c>
      <c r="K136" t="s">
        <v>5738</v>
      </c>
      <c r="L136" t="s">
        <v>5739</v>
      </c>
      <c r="M136" t="s">
        <v>5406</v>
      </c>
      <c r="N136" s="1" t="s">
        <v>4565</v>
      </c>
      <c r="O136">
        <v>37.299999999999997</v>
      </c>
      <c r="P136">
        <v>3.59</v>
      </c>
      <c r="Q136">
        <v>46565</v>
      </c>
      <c r="R136">
        <v>317</v>
      </c>
      <c r="S136">
        <v>8.5</v>
      </c>
      <c r="T136" s="8">
        <v>133.91</v>
      </c>
      <c r="U136">
        <v>12815000</v>
      </c>
      <c r="V136" t="s">
        <v>5448</v>
      </c>
      <c r="W136" t="s">
        <v>5409</v>
      </c>
      <c r="X136" t="s">
        <v>5449</v>
      </c>
      <c r="Y136" t="s">
        <v>5450</v>
      </c>
      <c r="Z136" t="s">
        <v>5426</v>
      </c>
      <c r="AA136" t="s">
        <v>5413</v>
      </c>
      <c r="AB136" t="s">
        <v>5414</v>
      </c>
      <c r="AC136" t="s">
        <v>5414</v>
      </c>
      <c r="AD136" t="s">
        <v>5414</v>
      </c>
      <c r="AG136" t="s">
        <v>5427</v>
      </c>
      <c r="AI136" t="s">
        <v>5451</v>
      </c>
      <c r="AJ136" t="s">
        <v>5654</v>
      </c>
      <c r="AL136" t="s">
        <v>5418</v>
      </c>
      <c r="AN136" t="s">
        <v>5419</v>
      </c>
    </row>
    <row r="137" spans="1:40" x14ac:dyDescent="0.25">
      <c r="A137">
        <v>1084902076</v>
      </c>
      <c r="B137" t="s">
        <v>5399</v>
      </c>
      <c r="C137">
        <v>252406</v>
      </c>
      <c r="D137" t="s">
        <v>5400</v>
      </c>
      <c r="E137">
        <v>46209.61215277778</v>
      </c>
      <c r="F137" t="s">
        <v>5740</v>
      </c>
      <c r="G137" t="s">
        <v>3668</v>
      </c>
      <c r="H137" t="s">
        <v>5431</v>
      </c>
      <c r="I137" t="s">
        <v>5403</v>
      </c>
      <c r="J137">
        <v>2026</v>
      </c>
      <c r="K137" t="s">
        <v>5741</v>
      </c>
      <c r="L137" t="s">
        <v>5529</v>
      </c>
      <c r="M137" t="s">
        <v>5406</v>
      </c>
      <c r="N137" s="1" t="s">
        <v>4565</v>
      </c>
      <c r="O137">
        <v>40.61</v>
      </c>
      <c r="P137">
        <v>4.1890000000000001</v>
      </c>
      <c r="Q137">
        <v>30248</v>
      </c>
      <c r="R137">
        <v>286</v>
      </c>
      <c r="S137">
        <v>7.04</v>
      </c>
      <c r="T137" s="8">
        <v>170.15</v>
      </c>
      <c r="U137">
        <v>11040306</v>
      </c>
      <c r="V137" t="s">
        <v>5408</v>
      </c>
      <c r="W137" t="s">
        <v>5409</v>
      </c>
      <c r="X137" t="s">
        <v>5410</v>
      </c>
      <c r="Y137" t="s">
        <v>5411</v>
      </c>
      <c r="Z137" t="s">
        <v>5412</v>
      </c>
      <c r="AA137" t="s">
        <v>5413</v>
      </c>
      <c r="AB137" t="s">
        <v>5414</v>
      </c>
      <c r="AC137" t="s">
        <v>5414</v>
      </c>
      <c r="AD137" t="s">
        <v>5414</v>
      </c>
      <c r="AG137" t="s">
        <v>5415</v>
      </c>
      <c r="AI137" t="s">
        <v>5460</v>
      </c>
      <c r="AJ137" t="s">
        <v>5742</v>
      </c>
      <c r="AL137" t="s">
        <v>5418</v>
      </c>
      <c r="AN137" t="s">
        <v>5419</v>
      </c>
    </row>
    <row r="138" spans="1:40" x14ac:dyDescent="0.25">
      <c r="A138">
        <v>1084908533</v>
      </c>
      <c r="B138" t="s">
        <v>5399</v>
      </c>
      <c r="C138">
        <v>252406</v>
      </c>
      <c r="D138" t="s">
        <v>5400</v>
      </c>
      <c r="E138">
        <v>46209.633449074077</v>
      </c>
      <c r="F138" t="s">
        <v>5743</v>
      </c>
      <c r="G138" t="s">
        <v>3668</v>
      </c>
      <c r="H138" t="s">
        <v>5539</v>
      </c>
      <c r="I138" t="s">
        <v>5403</v>
      </c>
      <c r="J138">
        <v>2026</v>
      </c>
      <c r="K138" t="s">
        <v>5744</v>
      </c>
      <c r="L138" t="s">
        <v>5745</v>
      </c>
      <c r="M138" t="s">
        <v>5406</v>
      </c>
      <c r="N138" s="1" t="s">
        <v>4565</v>
      </c>
      <c r="O138">
        <v>41.92</v>
      </c>
      <c r="P138">
        <v>4.1890000000000001</v>
      </c>
      <c r="Q138">
        <v>15726</v>
      </c>
      <c r="R138">
        <v>385</v>
      </c>
      <c r="S138">
        <v>9.18</v>
      </c>
      <c r="T138" s="8">
        <v>175.64</v>
      </c>
      <c r="U138">
        <v>11040306</v>
      </c>
      <c r="V138" t="s">
        <v>5408</v>
      </c>
      <c r="W138" t="s">
        <v>5409</v>
      </c>
      <c r="X138" t="s">
        <v>5410</v>
      </c>
      <c r="Y138" t="s">
        <v>5411</v>
      </c>
      <c r="Z138" t="s">
        <v>5412</v>
      </c>
      <c r="AA138" t="s">
        <v>5413</v>
      </c>
      <c r="AB138" t="s">
        <v>5414</v>
      </c>
      <c r="AC138" t="s">
        <v>5414</v>
      </c>
      <c r="AD138" t="s">
        <v>5414</v>
      </c>
      <c r="AG138" t="s">
        <v>5415</v>
      </c>
      <c r="AI138" t="s">
        <v>5629</v>
      </c>
      <c r="AJ138" t="s">
        <v>5746</v>
      </c>
      <c r="AL138" t="s">
        <v>5418</v>
      </c>
      <c r="AN138" t="s">
        <v>5419</v>
      </c>
    </row>
    <row r="139" spans="1:40" x14ac:dyDescent="0.25">
      <c r="A139">
        <v>1084911570</v>
      </c>
      <c r="B139" t="s">
        <v>5399</v>
      </c>
      <c r="C139">
        <v>252406</v>
      </c>
      <c r="D139" t="s">
        <v>5400</v>
      </c>
      <c r="E139">
        <v>46209.640150462961</v>
      </c>
      <c r="F139" t="s">
        <v>5486</v>
      </c>
      <c r="G139" t="s">
        <v>3668</v>
      </c>
      <c r="H139" t="s">
        <v>5487</v>
      </c>
      <c r="I139" t="s">
        <v>5403</v>
      </c>
      <c r="J139">
        <v>2025</v>
      </c>
      <c r="K139" t="s">
        <v>5488</v>
      </c>
      <c r="L139" t="s">
        <v>5489</v>
      </c>
      <c r="M139" t="s">
        <v>5406</v>
      </c>
      <c r="N139" s="1" t="s">
        <v>4565</v>
      </c>
      <c r="O139">
        <v>31.91</v>
      </c>
      <c r="P139">
        <v>4.38</v>
      </c>
      <c r="Q139">
        <v>53502</v>
      </c>
      <c r="R139">
        <v>298</v>
      </c>
      <c r="S139">
        <v>9.34</v>
      </c>
      <c r="T139" s="8">
        <v>139.77000000000001</v>
      </c>
      <c r="U139">
        <v>11153887</v>
      </c>
      <c r="V139" t="s">
        <v>5490</v>
      </c>
      <c r="W139" t="s">
        <v>5409</v>
      </c>
      <c r="X139" t="s">
        <v>5491</v>
      </c>
      <c r="Y139" t="s">
        <v>5492</v>
      </c>
      <c r="Z139" t="s">
        <v>5426</v>
      </c>
      <c r="AA139" t="s">
        <v>5413</v>
      </c>
      <c r="AB139" t="s">
        <v>5414</v>
      </c>
      <c r="AC139" t="s">
        <v>5414</v>
      </c>
      <c r="AD139" t="s">
        <v>5414</v>
      </c>
      <c r="AG139" t="s">
        <v>5415</v>
      </c>
      <c r="AI139" t="s">
        <v>5460</v>
      </c>
      <c r="AJ139" t="s">
        <v>5493</v>
      </c>
      <c r="AL139" t="s">
        <v>5418</v>
      </c>
      <c r="AN139" t="s">
        <v>5419</v>
      </c>
    </row>
    <row r="140" spans="1:40" x14ac:dyDescent="0.25">
      <c r="A140">
        <v>1084931199</v>
      </c>
      <c r="B140" t="s">
        <v>5399</v>
      </c>
      <c r="C140">
        <v>252406</v>
      </c>
      <c r="D140" t="s">
        <v>5400</v>
      </c>
      <c r="E140">
        <v>46209.654560185183</v>
      </c>
      <c r="F140" t="s">
        <v>5581</v>
      </c>
      <c r="G140" t="s">
        <v>3668</v>
      </c>
      <c r="H140" t="s">
        <v>5467</v>
      </c>
      <c r="I140" t="s">
        <v>5403</v>
      </c>
      <c r="J140">
        <v>2026</v>
      </c>
      <c r="K140" t="s">
        <v>5582</v>
      </c>
      <c r="L140" t="s">
        <v>5583</v>
      </c>
      <c r="M140" t="s">
        <v>5406</v>
      </c>
      <c r="N140" s="1" t="s">
        <v>4565</v>
      </c>
      <c r="O140">
        <v>36</v>
      </c>
      <c r="P140">
        <v>4.55</v>
      </c>
      <c r="Q140">
        <v>29773</v>
      </c>
      <c r="R140">
        <v>231</v>
      </c>
      <c r="S140">
        <v>6.42</v>
      </c>
      <c r="T140" s="8">
        <v>163.80000000000001</v>
      </c>
      <c r="U140">
        <v>108758</v>
      </c>
      <c r="V140" t="s">
        <v>5470</v>
      </c>
      <c r="W140" t="s">
        <v>5409</v>
      </c>
      <c r="X140" t="s">
        <v>5471</v>
      </c>
      <c r="Y140" t="s">
        <v>5411</v>
      </c>
      <c r="Z140" t="s">
        <v>5472</v>
      </c>
      <c r="AA140" t="s">
        <v>5413</v>
      </c>
      <c r="AB140" t="s">
        <v>5414</v>
      </c>
      <c r="AC140" t="s">
        <v>5414</v>
      </c>
      <c r="AD140" t="s">
        <v>5414</v>
      </c>
      <c r="AG140" t="s">
        <v>5427</v>
      </c>
      <c r="AI140" t="s">
        <v>5473</v>
      </c>
      <c r="AJ140" t="s">
        <v>5584</v>
      </c>
      <c r="AL140" t="s">
        <v>5418</v>
      </c>
      <c r="AN140" t="s">
        <v>5419</v>
      </c>
    </row>
    <row r="141" spans="1:40" x14ac:dyDescent="0.25">
      <c r="A141">
        <v>1084936002</v>
      </c>
      <c r="B141" t="s">
        <v>5399</v>
      </c>
      <c r="C141">
        <v>252406</v>
      </c>
      <c r="D141" t="s">
        <v>5400</v>
      </c>
      <c r="E141">
        <v>46209.66574074074</v>
      </c>
      <c r="F141" t="s">
        <v>5510</v>
      </c>
      <c r="G141" t="s">
        <v>3668</v>
      </c>
      <c r="H141" t="s">
        <v>5511</v>
      </c>
      <c r="I141" t="s">
        <v>5403</v>
      </c>
      <c r="J141">
        <v>2025</v>
      </c>
      <c r="K141" t="s">
        <v>5512</v>
      </c>
      <c r="L141" t="s">
        <v>5513</v>
      </c>
      <c r="M141" t="s">
        <v>5406</v>
      </c>
      <c r="N141" s="1" t="s">
        <v>4565</v>
      </c>
      <c r="O141">
        <v>27.2</v>
      </c>
      <c r="P141">
        <v>4.29</v>
      </c>
      <c r="Q141">
        <v>80796</v>
      </c>
      <c r="R141">
        <v>214</v>
      </c>
      <c r="S141">
        <v>7.87</v>
      </c>
      <c r="T141" s="8">
        <v>116.69</v>
      </c>
      <c r="U141">
        <v>11198252</v>
      </c>
      <c r="V141" t="s">
        <v>5424</v>
      </c>
      <c r="W141" t="s">
        <v>5409</v>
      </c>
      <c r="X141" t="s">
        <v>5425</v>
      </c>
      <c r="Y141" t="s">
        <v>5411</v>
      </c>
      <c r="Z141" t="s">
        <v>5426</v>
      </c>
      <c r="AA141" t="s">
        <v>5413</v>
      </c>
      <c r="AB141" t="s">
        <v>5414</v>
      </c>
      <c r="AC141" t="s">
        <v>5414</v>
      </c>
      <c r="AD141" t="s">
        <v>5414</v>
      </c>
      <c r="AG141" t="s">
        <v>5427</v>
      </c>
      <c r="AI141" t="s">
        <v>5428</v>
      </c>
      <c r="AJ141" t="s">
        <v>5518</v>
      </c>
      <c r="AL141" t="s">
        <v>5418</v>
      </c>
      <c r="AN141" t="s">
        <v>5419</v>
      </c>
    </row>
    <row r="142" spans="1:40" x14ac:dyDescent="0.25">
      <c r="A142">
        <v>1084959596</v>
      </c>
      <c r="B142" t="s">
        <v>5399</v>
      </c>
      <c r="C142">
        <v>252406</v>
      </c>
      <c r="D142" t="s">
        <v>5400</v>
      </c>
      <c r="E142">
        <v>46209.736087962963</v>
      </c>
      <c r="F142" t="s">
        <v>5462</v>
      </c>
      <c r="G142" t="s">
        <v>3668</v>
      </c>
      <c r="H142" t="s">
        <v>5402</v>
      </c>
      <c r="I142" t="s">
        <v>5403</v>
      </c>
      <c r="J142">
        <v>2026</v>
      </c>
      <c r="K142" t="s">
        <v>5604</v>
      </c>
      <c r="L142" t="s">
        <v>5605</v>
      </c>
      <c r="M142" t="s">
        <v>5406</v>
      </c>
      <c r="N142" s="1" t="s">
        <v>4565</v>
      </c>
      <c r="O142">
        <v>30.78</v>
      </c>
      <c r="P142">
        <v>3.7690000000000001</v>
      </c>
      <c r="Q142">
        <v>26012</v>
      </c>
      <c r="R142">
        <v>176</v>
      </c>
      <c r="S142">
        <v>5.72</v>
      </c>
      <c r="T142" s="8">
        <v>116.04</v>
      </c>
      <c r="U142">
        <v>11189806</v>
      </c>
      <c r="V142" t="s">
        <v>5747</v>
      </c>
      <c r="W142" t="s">
        <v>5409</v>
      </c>
      <c r="X142" t="s">
        <v>5748</v>
      </c>
      <c r="Y142" t="s">
        <v>5411</v>
      </c>
      <c r="Z142" t="s">
        <v>5749</v>
      </c>
      <c r="AA142" t="s">
        <v>5413</v>
      </c>
      <c r="AB142" t="s">
        <v>5414</v>
      </c>
      <c r="AC142" t="s">
        <v>5414</v>
      </c>
      <c r="AD142" t="s">
        <v>5414</v>
      </c>
      <c r="AG142" t="s">
        <v>5427</v>
      </c>
      <c r="AI142" t="s">
        <v>5750</v>
      </c>
      <c r="AJ142" t="s">
        <v>5465</v>
      </c>
      <c r="AL142" t="s">
        <v>5418</v>
      </c>
      <c r="AN142" t="s">
        <v>5419</v>
      </c>
    </row>
    <row r="143" spans="1:40" x14ac:dyDescent="0.25">
      <c r="A143">
        <v>1084950248</v>
      </c>
      <c r="B143" t="s">
        <v>5399</v>
      </c>
      <c r="C143">
        <v>252406</v>
      </c>
      <c r="D143" t="s">
        <v>5400</v>
      </c>
      <c r="E143">
        <v>46209.746724537035</v>
      </c>
      <c r="F143" t="s">
        <v>5647</v>
      </c>
      <c r="G143" t="s">
        <v>3668</v>
      </c>
      <c r="H143" t="s">
        <v>5568</v>
      </c>
      <c r="I143" t="s">
        <v>5403</v>
      </c>
      <c r="J143">
        <v>2025</v>
      </c>
      <c r="K143" t="s">
        <v>5648</v>
      </c>
      <c r="L143" t="s">
        <v>5649</v>
      </c>
      <c r="M143" t="s">
        <v>5406</v>
      </c>
      <c r="N143" s="1" t="s">
        <v>4565</v>
      </c>
      <c r="O143">
        <v>46.86</v>
      </c>
      <c r="P143">
        <v>3.919</v>
      </c>
      <c r="Q143">
        <v>16721</v>
      </c>
      <c r="R143">
        <v>434</v>
      </c>
      <c r="S143">
        <v>9.26</v>
      </c>
      <c r="T143" s="8">
        <v>183.69</v>
      </c>
      <c r="U143">
        <v>490156</v>
      </c>
      <c r="V143" t="s">
        <v>5578</v>
      </c>
      <c r="W143" t="s">
        <v>5409</v>
      </c>
      <c r="X143" t="s">
        <v>5579</v>
      </c>
      <c r="Y143" t="s">
        <v>5458</v>
      </c>
      <c r="Z143" t="s">
        <v>5412</v>
      </c>
      <c r="AA143" t="s">
        <v>5413</v>
      </c>
      <c r="AB143" t="s">
        <v>5414</v>
      </c>
      <c r="AC143" t="s">
        <v>5414</v>
      </c>
      <c r="AD143" t="s">
        <v>5414</v>
      </c>
      <c r="AG143" t="s">
        <v>5415</v>
      </c>
      <c r="AI143" t="s">
        <v>5580</v>
      </c>
      <c r="AJ143" t="s">
        <v>5650</v>
      </c>
      <c r="AL143" t="s">
        <v>5418</v>
      </c>
      <c r="AN143" t="s">
        <v>5419</v>
      </c>
    </row>
    <row r="144" spans="1:40" x14ac:dyDescent="0.25">
      <c r="A144">
        <v>1084967876</v>
      </c>
      <c r="B144" t="s">
        <v>5399</v>
      </c>
      <c r="C144">
        <v>252406</v>
      </c>
      <c r="D144" t="s">
        <v>5400</v>
      </c>
      <c r="E144">
        <v>46209.758425925924</v>
      </c>
      <c r="F144" t="s">
        <v>5617</v>
      </c>
      <c r="G144" t="s">
        <v>3668</v>
      </c>
      <c r="H144" t="s">
        <v>5467</v>
      </c>
      <c r="I144" t="s">
        <v>5403</v>
      </c>
      <c r="J144">
        <v>2026</v>
      </c>
      <c r="K144" t="s">
        <v>5618</v>
      </c>
      <c r="L144" t="s">
        <v>5619</v>
      </c>
      <c r="M144" t="s">
        <v>5406</v>
      </c>
      <c r="N144" s="1" t="s">
        <v>4565</v>
      </c>
      <c r="O144">
        <v>49.23</v>
      </c>
      <c r="P144">
        <v>3.59</v>
      </c>
      <c r="Q144">
        <v>53366</v>
      </c>
      <c r="R144">
        <v>264</v>
      </c>
      <c r="S144">
        <v>5.36</v>
      </c>
      <c r="T144" s="8">
        <v>176.74</v>
      </c>
      <c r="U144">
        <v>12815000</v>
      </c>
      <c r="V144" t="s">
        <v>5448</v>
      </c>
      <c r="W144" t="s">
        <v>5409</v>
      </c>
      <c r="X144" t="s">
        <v>5449</v>
      </c>
      <c r="Y144" t="s">
        <v>5450</v>
      </c>
      <c r="Z144" t="s">
        <v>5426</v>
      </c>
      <c r="AA144" t="s">
        <v>5413</v>
      </c>
      <c r="AB144" t="s">
        <v>5414</v>
      </c>
      <c r="AC144" t="s">
        <v>5414</v>
      </c>
      <c r="AD144" t="s">
        <v>5414</v>
      </c>
      <c r="AG144" t="s">
        <v>5427</v>
      </c>
      <c r="AI144" t="s">
        <v>5451</v>
      </c>
      <c r="AJ144" t="s">
        <v>5620</v>
      </c>
      <c r="AL144" t="s">
        <v>5418</v>
      </c>
      <c r="AN144" t="s">
        <v>5419</v>
      </c>
    </row>
    <row r="145" spans="1:40" x14ac:dyDescent="0.25">
      <c r="A145">
        <v>1085005678</v>
      </c>
      <c r="B145" t="s">
        <v>5399</v>
      </c>
      <c r="C145">
        <v>252406</v>
      </c>
      <c r="D145" t="s">
        <v>5400</v>
      </c>
      <c r="E145">
        <v>46210.261736111112</v>
      </c>
      <c r="F145" t="s">
        <v>5401</v>
      </c>
      <c r="G145" t="s">
        <v>3668</v>
      </c>
      <c r="H145" t="s">
        <v>5402</v>
      </c>
      <c r="I145" t="s">
        <v>5403</v>
      </c>
      <c r="J145">
        <v>2026</v>
      </c>
      <c r="K145" t="s">
        <v>5404</v>
      </c>
      <c r="L145" t="s">
        <v>5405</v>
      </c>
      <c r="M145" t="s">
        <v>5406</v>
      </c>
      <c r="N145" s="1" t="s">
        <v>4565</v>
      </c>
      <c r="O145">
        <v>21.91</v>
      </c>
      <c r="P145">
        <v>4.2889999999999997</v>
      </c>
      <c r="Q145">
        <v>33175</v>
      </c>
      <c r="R145">
        <v>104</v>
      </c>
      <c r="S145">
        <v>4.75</v>
      </c>
      <c r="T145" s="8">
        <v>93.99</v>
      </c>
      <c r="U145">
        <v>11198252</v>
      </c>
      <c r="V145" t="s">
        <v>5424</v>
      </c>
      <c r="W145" t="s">
        <v>5409</v>
      </c>
      <c r="X145" t="s">
        <v>5425</v>
      </c>
      <c r="Y145" t="s">
        <v>5411</v>
      </c>
      <c r="Z145" t="s">
        <v>5426</v>
      </c>
      <c r="AA145" t="s">
        <v>5413</v>
      </c>
      <c r="AB145" t="s">
        <v>5414</v>
      </c>
      <c r="AC145" t="s">
        <v>5414</v>
      </c>
      <c r="AD145" t="s">
        <v>5414</v>
      </c>
      <c r="AG145" t="s">
        <v>5427</v>
      </c>
      <c r="AI145" t="s">
        <v>5428</v>
      </c>
      <c r="AJ145" t="s">
        <v>5417</v>
      </c>
      <c r="AL145" t="s">
        <v>5418</v>
      </c>
      <c r="AN145" t="s">
        <v>5419</v>
      </c>
    </row>
    <row r="146" spans="1:40" x14ac:dyDescent="0.25">
      <c r="A146">
        <v>1085013652</v>
      </c>
      <c r="B146" t="s">
        <v>5399</v>
      </c>
      <c r="C146">
        <v>252406</v>
      </c>
      <c r="D146" t="s">
        <v>5400</v>
      </c>
      <c r="E146">
        <v>46210.321956018517</v>
      </c>
      <c r="F146" t="s">
        <v>5693</v>
      </c>
      <c r="G146" t="s">
        <v>3668</v>
      </c>
      <c r="H146" t="s">
        <v>5431</v>
      </c>
      <c r="I146" t="s">
        <v>5403</v>
      </c>
      <c r="J146">
        <v>2025</v>
      </c>
      <c r="K146" t="s">
        <v>5694</v>
      </c>
      <c r="L146" t="s">
        <v>5695</v>
      </c>
      <c r="M146" t="s">
        <v>5406</v>
      </c>
      <c r="N146" s="1" t="s">
        <v>4565</v>
      </c>
      <c r="O146">
        <v>43.37</v>
      </c>
      <c r="P146">
        <v>3.919</v>
      </c>
      <c r="Q146">
        <v>54097</v>
      </c>
      <c r="R146">
        <v>270</v>
      </c>
      <c r="S146">
        <v>6.23</v>
      </c>
      <c r="T146" s="8">
        <v>170.01</v>
      </c>
      <c r="U146">
        <v>490156</v>
      </c>
      <c r="V146" t="s">
        <v>5578</v>
      </c>
      <c r="W146" t="s">
        <v>5409</v>
      </c>
      <c r="X146" t="s">
        <v>5579</v>
      </c>
      <c r="Y146" t="s">
        <v>5458</v>
      </c>
      <c r="Z146" t="s">
        <v>5412</v>
      </c>
      <c r="AA146" t="s">
        <v>5413</v>
      </c>
      <c r="AB146" t="s">
        <v>5414</v>
      </c>
      <c r="AC146" t="s">
        <v>5414</v>
      </c>
      <c r="AD146" t="s">
        <v>5414</v>
      </c>
      <c r="AG146" t="s">
        <v>5415</v>
      </c>
      <c r="AI146" t="s">
        <v>5580</v>
      </c>
      <c r="AJ146" t="s">
        <v>5696</v>
      </c>
      <c r="AL146" t="s">
        <v>5418</v>
      </c>
      <c r="AN146" t="s">
        <v>5419</v>
      </c>
    </row>
    <row r="147" spans="1:40" x14ac:dyDescent="0.25">
      <c r="A147">
        <v>1085038549</v>
      </c>
      <c r="B147" t="s">
        <v>5399</v>
      </c>
      <c r="C147">
        <v>252406</v>
      </c>
      <c r="D147" t="s">
        <v>5400</v>
      </c>
      <c r="E147">
        <v>46210.323946759258</v>
      </c>
      <c r="F147" t="s">
        <v>5466</v>
      </c>
      <c r="G147" t="s">
        <v>3668</v>
      </c>
      <c r="H147" t="s">
        <v>5467</v>
      </c>
      <c r="I147" t="s">
        <v>5403</v>
      </c>
      <c r="J147">
        <v>2025</v>
      </c>
      <c r="K147" t="s">
        <v>5468</v>
      </c>
      <c r="L147" t="s">
        <v>5469</v>
      </c>
      <c r="M147" t="s">
        <v>5406</v>
      </c>
      <c r="N147" s="1" t="s">
        <v>4565</v>
      </c>
      <c r="O147">
        <v>49.38</v>
      </c>
      <c r="P147">
        <v>3.589</v>
      </c>
      <c r="Q147">
        <v>62525</v>
      </c>
      <c r="R147">
        <v>231</v>
      </c>
      <c r="S147">
        <v>4.68</v>
      </c>
      <c r="T147" s="8">
        <v>177.27</v>
      </c>
      <c r="U147">
        <v>12815000</v>
      </c>
      <c r="V147" t="s">
        <v>5448</v>
      </c>
      <c r="W147" t="s">
        <v>5409</v>
      </c>
      <c r="X147" t="s">
        <v>5449</v>
      </c>
      <c r="Y147" t="s">
        <v>5450</v>
      </c>
      <c r="Z147" t="s">
        <v>5426</v>
      </c>
      <c r="AA147" t="s">
        <v>5413</v>
      </c>
      <c r="AB147" t="s">
        <v>5414</v>
      </c>
      <c r="AC147" t="s">
        <v>5414</v>
      </c>
      <c r="AD147" t="s">
        <v>5414</v>
      </c>
      <c r="AG147" t="s">
        <v>5427</v>
      </c>
      <c r="AI147" t="s">
        <v>5451</v>
      </c>
      <c r="AJ147" t="s">
        <v>5474</v>
      </c>
      <c r="AL147" t="s">
        <v>5418</v>
      </c>
      <c r="AN147" t="s">
        <v>5419</v>
      </c>
    </row>
    <row r="148" spans="1:40" x14ac:dyDescent="0.25">
      <c r="A148">
        <v>1085043019</v>
      </c>
      <c r="B148" t="s">
        <v>5399</v>
      </c>
      <c r="C148">
        <v>252406</v>
      </c>
      <c r="D148" t="s">
        <v>5400</v>
      </c>
      <c r="E148">
        <v>46210.332627314812</v>
      </c>
      <c r="F148" t="s">
        <v>5462</v>
      </c>
      <c r="G148" t="s">
        <v>3668</v>
      </c>
      <c r="H148" t="s">
        <v>5402</v>
      </c>
      <c r="I148" t="s">
        <v>5403</v>
      </c>
      <c r="J148">
        <v>2026</v>
      </c>
      <c r="K148" t="s">
        <v>5604</v>
      </c>
      <c r="L148" t="s">
        <v>5605</v>
      </c>
      <c r="M148" t="s">
        <v>5406</v>
      </c>
      <c r="N148" s="1" t="s">
        <v>4565</v>
      </c>
      <c r="O148">
        <v>34.299999999999997</v>
      </c>
      <c r="P148">
        <v>4.29</v>
      </c>
      <c r="Q148">
        <v>26239</v>
      </c>
      <c r="R148">
        <v>227</v>
      </c>
      <c r="S148">
        <v>6.62</v>
      </c>
      <c r="T148" s="8">
        <v>147.15</v>
      </c>
      <c r="U148">
        <v>11198252</v>
      </c>
      <c r="V148" t="s">
        <v>5424</v>
      </c>
      <c r="W148" t="s">
        <v>5409</v>
      </c>
      <c r="X148" t="s">
        <v>5425</v>
      </c>
      <c r="Y148" t="s">
        <v>5411</v>
      </c>
      <c r="Z148" t="s">
        <v>5426</v>
      </c>
      <c r="AA148" t="s">
        <v>5413</v>
      </c>
      <c r="AB148" t="s">
        <v>5414</v>
      </c>
      <c r="AC148" t="s">
        <v>5414</v>
      </c>
      <c r="AD148" t="s">
        <v>5414</v>
      </c>
      <c r="AG148" t="s">
        <v>5427</v>
      </c>
      <c r="AI148" t="s">
        <v>5428</v>
      </c>
      <c r="AJ148" t="s">
        <v>5465</v>
      </c>
      <c r="AL148" t="s">
        <v>5418</v>
      </c>
      <c r="AN148" t="s">
        <v>5419</v>
      </c>
    </row>
    <row r="149" spans="1:40" x14ac:dyDescent="0.25">
      <c r="A149">
        <v>1085024774</v>
      </c>
      <c r="B149" t="s">
        <v>5399</v>
      </c>
      <c r="C149">
        <v>252406</v>
      </c>
      <c r="D149" t="s">
        <v>5400</v>
      </c>
      <c r="E149">
        <v>46210.344317129631</v>
      </c>
      <c r="F149" t="s">
        <v>5621</v>
      </c>
      <c r="G149" t="s">
        <v>3668</v>
      </c>
      <c r="H149" t="s">
        <v>5421</v>
      </c>
      <c r="I149" t="s">
        <v>5621</v>
      </c>
      <c r="J149">
        <v>2024</v>
      </c>
      <c r="K149" t="s">
        <v>5622</v>
      </c>
      <c r="L149" t="s">
        <v>5623</v>
      </c>
      <c r="M149" t="s">
        <v>5406</v>
      </c>
      <c r="N149" s="1" t="s">
        <v>4565</v>
      </c>
      <c r="O149">
        <v>24.27</v>
      </c>
      <c r="P149">
        <v>4.3789999999999996</v>
      </c>
      <c r="Q149">
        <v>97221</v>
      </c>
      <c r="R149">
        <v>191</v>
      </c>
      <c r="S149">
        <v>7.87</v>
      </c>
      <c r="T149" s="8">
        <v>106.3</v>
      </c>
      <c r="U149">
        <v>11153887</v>
      </c>
      <c r="V149" t="s">
        <v>5490</v>
      </c>
      <c r="W149" t="s">
        <v>5409</v>
      </c>
      <c r="X149" t="s">
        <v>5491</v>
      </c>
      <c r="Y149" t="s">
        <v>5492</v>
      </c>
      <c r="Z149" t="s">
        <v>5426</v>
      </c>
      <c r="AA149" t="s">
        <v>5413</v>
      </c>
      <c r="AB149" t="s">
        <v>5414</v>
      </c>
      <c r="AC149" t="s">
        <v>5414</v>
      </c>
      <c r="AD149" t="s">
        <v>5414</v>
      </c>
      <c r="AG149" t="s">
        <v>5415</v>
      </c>
      <c r="AI149" t="s">
        <v>5460</v>
      </c>
      <c r="AJ149" t="s">
        <v>5624</v>
      </c>
      <c r="AK149" t="s">
        <v>5528</v>
      </c>
      <c r="AL149" t="s">
        <v>5418</v>
      </c>
      <c r="AN149" t="s">
        <v>5625</v>
      </c>
    </row>
    <row r="150" spans="1:40" x14ac:dyDescent="0.25">
      <c r="A150">
        <v>1085025460</v>
      </c>
      <c r="B150" t="s">
        <v>5399</v>
      </c>
      <c r="C150">
        <v>252406</v>
      </c>
      <c r="D150" t="s">
        <v>5400</v>
      </c>
      <c r="E150">
        <v>46210.345567129632</v>
      </c>
      <c r="F150" t="s">
        <v>5519</v>
      </c>
      <c r="G150" t="s">
        <v>3668</v>
      </c>
      <c r="H150" t="s">
        <v>5467</v>
      </c>
      <c r="I150" t="s">
        <v>5403</v>
      </c>
      <c r="J150">
        <v>2027</v>
      </c>
      <c r="K150" t="s">
        <v>5520</v>
      </c>
      <c r="L150" t="s">
        <v>5521</v>
      </c>
      <c r="M150" t="s">
        <v>5406</v>
      </c>
      <c r="N150" s="1" t="s">
        <v>4565</v>
      </c>
      <c r="O150">
        <v>41.86</v>
      </c>
      <c r="P150">
        <v>4.1890000000000001</v>
      </c>
      <c r="Q150">
        <v>12383</v>
      </c>
      <c r="R150">
        <v>335</v>
      </c>
      <c r="S150">
        <v>8</v>
      </c>
      <c r="T150" s="8">
        <v>175.39</v>
      </c>
      <c r="U150">
        <v>11040306</v>
      </c>
      <c r="V150" t="s">
        <v>5408</v>
      </c>
      <c r="W150" t="s">
        <v>5409</v>
      </c>
      <c r="X150" t="s">
        <v>5410</v>
      </c>
      <c r="Y150" t="s">
        <v>5411</v>
      </c>
      <c r="Z150" t="s">
        <v>5412</v>
      </c>
      <c r="AA150" t="s">
        <v>5413</v>
      </c>
      <c r="AB150" t="s">
        <v>5414</v>
      </c>
      <c r="AC150" t="s">
        <v>5414</v>
      </c>
      <c r="AD150" t="s">
        <v>5414</v>
      </c>
      <c r="AG150" t="s">
        <v>5415</v>
      </c>
      <c r="AI150" t="s">
        <v>5416</v>
      </c>
      <c r="AJ150" t="s">
        <v>5523</v>
      </c>
      <c r="AL150" t="s">
        <v>5418</v>
      </c>
      <c r="AN150" t="s">
        <v>5419</v>
      </c>
    </row>
    <row r="151" spans="1:40" x14ac:dyDescent="0.25">
      <c r="A151">
        <v>1085055147</v>
      </c>
      <c r="B151" t="s">
        <v>5399</v>
      </c>
      <c r="C151">
        <v>252406</v>
      </c>
      <c r="D151" t="s">
        <v>5400</v>
      </c>
      <c r="E151">
        <v>46210.360243055555</v>
      </c>
      <c r="F151" t="s">
        <v>5475</v>
      </c>
      <c r="G151" t="s">
        <v>3668</v>
      </c>
      <c r="H151" t="s">
        <v>5467</v>
      </c>
      <c r="I151" t="s">
        <v>5403</v>
      </c>
      <c r="J151">
        <v>2026</v>
      </c>
      <c r="K151" t="s">
        <v>5468</v>
      </c>
      <c r="L151" t="s">
        <v>5469</v>
      </c>
      <c r="M151" t="s">
        <v>5406</v>
      </c>
      <c r="N151" s="1" t="s">
        <v>4565</v>
      </c>
      <c r="O151">
        <v>41.56</v>
      </c>
      <c r="P151">
        <v>3.589</v>
      </c>
      <c r="Q151">
        <v>32984</v>
      </c>
      <c r="R151">
        <v>212</v>
      </c>
      <c r="S151">
        <v>5.0999999999999996</v>
      </c>
      <c r="T151" s="8">
        <v>149.19999999999999</v>
      </c>
      <c r="U151">
        <v>12815000</v>
      </c>
      <c r="V151" t="s">
        <v>5448</v>
      </c>
      <c r="W151" t="s">
        <v>5409</v>
      </c>
      <c r="X151" t="s">
        <v>5449</v>
      </c>
      <c r="Y151" t="s">
        <v>5450</v>
      </c>
      <c r="Z151" t="s">
        <v>5426</v>
      </c>
      <c r="AA151" t="s">
        <v>5413</v>
      </c>
      <c r="AB151" t="s">
        <v>5414</v>
      </c>
      <c r="AC151" t="s">
        <v>5414</v>
      </c>
      <c r="AD151" t="s">
        <v>5414</v>
      </c>
      <c r="AG151" t="s">
        <v>5427</v>
      </c>
      <c r="AI151" t="s">
        <v>5451</v>
      </c>
      <c r="AJ151" t="s">
        <v>5697</v>
      </c>
      <c r="AL151" t="s">
        <v>5418</v>
      </c>
      <c r="AN151" t="s">
        <v>5419</v>
      </c>
    </row>
    <row r="152" spans="1:40" x14ac:dyDescent="0.25">
      <c r="A152">
        <v>1085056955</v>
      </c>
      <c r="B152" t="s">
        <v>5399</v>
      </c>
      <c r="C152">
        <v>252406</v>
      </c>
      <c r="D152" t="s">
        <v>5400</v>
      </c>
      <c r="E152">
        <v>46210.406365740739</v>
      </c>
      <c r="F152" t="s">
        <v>5420</v>
      </c>
      <c r="G152" t="s">
        <v>3668</v>
      </c>
      <c r="H152" t="s">
        <v>5421</v>
      </c>
      <c r="I152" t="s">
        <v>5403</v>
      </c>
      <c r="J152">
        <v>2025</v>
      </c>
      <c r="K152" t="s">
        <v>5422</v>
      </c>
      <c r="L152" t="s">
        <v>5423</v>
      </c>
      <c r="M152" t="s">
        <v>5406</v>
      </c>
      <c r="N152" s="1" t="s">
        <v>4565</v>
      </c>
      <c r="O152">
        <v>30.58</v>
      </c>
      <c r="P152">
        <v>4.1890000000000001</v>
      </c>
      <c r="Q152">
        <v>68435</v>
      </c>
      <c r="R152">
        <v>277</v>
      </c>
      <c r="S152">
        <v>9.06</v>
      </c>
      <c r="T152" s="8">
        <v>128.13</v>
      </c>
      <c r="U152">
        <v>11040306</v>
      </c>
      <c r="V152" t="s">
        <v>5408</v>
      </c>
      <c r="W152" t="s">
        <v>5409</v>
      </c>
      <c r="X152" t="s">
        <v>5410</v>
      </c>
      <c r="Y152" t="s">
        <v>5411</v>
      </c>
      <c r="Z152" t="s">
        <v>5412</v>
      </c>
      <c r="AA152" t="s">
        <v>5413</v>
      </c>
      <c r="AB152" t="s">
        <v>5414</v>
      </c>
      <c r="AC152" t="s">
        <v>5414</v>
      </c>
      <c r="AD152" t="s">
        <v>5414</v>
      </c>
      <c r="AG152" t="s">
        <v>5415</v>
      </c>
      <c r="AI152" t="s">
        <v>5522</v>
      </c>
      <c r="AJ152" t="s">
        <v>5429</v>
      </c>
      <c r="AL152" t="s">
        <v>5418</v>
      </c>
      <c r="AN152" t="s">
        <v>5419</v>
      </c>
    </row>
    <row r="153" spans="1:40" x14ac:dyDescent="0.25">
      <c r="A153">
        <v>1085067367</v>
      </c>
      <c r="B153" t="s">
        <v>5399</v>
      </c>
      <c r="C153">
        <v>252406</v>
      </c>
      <c r="D153" t="s">
        <v>5400</v>
      </c>
      <c r="E153">
        <v>46210.4375462963</v>
      </c>
      <c r="F153" t="s">
        <v>5534</v>
      </c>
      <c r="G153" t="s">
        <v>3668</v>
      </c>
      <c r="H153" t="s">
        <v>5421</v>
      </c>
      <c r="I153" t="s">
        <v>5403</v>
      </c>
      <c r="J153">
        <v>2027</v>
      </c>
      <c r="K153" t="s">
        <v>5535</v>
      </c>
      <c r="L153" t="s">
        <v>5536</v>
      </c>
      <c r="M153" t="s">
        <v>5406</v>
      </c>
      <c r="N153" s="1" t="s">
        <v>4565</v>
      </c>
      <c r="O153">
        <v>28.67</v>
      </c>
      <c r="P153">
        <v>3.92</v>
      </c>
      <c r="Q153">
        <v>2340</v>
      </c>
      <c r="R153">
        <v>208</v>
      </c>
      <c r="S153">
        <v>7.25</v>
      </c>
      <c r="T153" s="8">
        <v>112.39</v>
      </c>
      <c r="U153">
        <v>490156</v>
      </c>
      <c r="V153" t="s">
        <v>5578</v>
      </c>
      <c r="W153" t="s">
        <v>5409</v>
      </c>
      <c r="X153" t="s">
        <v>5579</v>
      </c>
      <c r="Y153" t="s">
        <v>5458</v>
      </c>
      <c r="Z153" t="s">
        <v>5412</v>
      </c>
      <c r="AA153" t="s">
        <v>5413</v>
      </c>
      <c r="AB153" t="s">
        <v>5414</v>
      </c>
      <c r="AC153" t="s">
        <v>5414</v>
      </c>
      <c r="AD153" t="s">
        <v>5414</v>
      </c>
      <c r="AG153" t="s">
        <v>5415</v>
      </c>
      <c r="AI153" t="s">
        <v>5580</v>
      </c>
      <c r="AJ153" t="s">
        <v>5537</v>
      </c>
      <c r="AL153" t="s">
        <v>5418</v>
      </c>
      <c r="AN153" t="s">
        <v>5419</v>
      </c>
    </row>
    <row r="154" spans="1:40" x14ac:dyDescent="0.25">
      <c r="A154">
        <v>1085088516</v>
      </c>
      <c r="B154" t="s">
        <v>5399</v>
      </c>
      <c r="C154">
        <v>252406</v>
      </c>
      <c r="D154" t="s">
        <v>5400</v>
      </c>
      <c r="E154">
        <v>46210.47928240741</v>
      </c>
      <c r="F154" t="s">
        <v>5551</v>
      </c>
      <c r="G154" t="s">
        <v>3668</v>
      </c>
      <c r="H154" t="s">
        <v>5552</v>
      </c>
      <c r="I154" t="s">
        <v>5403</v>
      </c>
      <c r="J154">
        <v>2026</v>
      </c>
      <c r="K154" t="s">
        <v>5553</v>
      </c>
      <c r="L154" t="s">
        <v>5554</v>
      </c>
      <c r="M154" t="s">
        <v>5406</v>
      </c>
      <c r="N154" s="1" t="s">
        <v>4565</v>
      </c>
      <c r="O154">
        <v>46.2</v>
      </c>
      <c r="P154">
        <v>4.1890000000000001</v>
      </c>
      <c r="Q154">
        <v>24512</v>
      </c>
      <c r="R154">
        <v>200</v>
      </c>
      <c r="S154">
        <v>4.33</v>
      </c>
      <c r="T154" s="8">
        <v>193.57</v>
      </c>
      <c r="U154">
        <v>11040306</v>
      </c>
      <c r="V154" t="s">
        <v>5408</v>
      </c>
      <c r="W154" t="s">
        <v>5409</v>
      </c>
      <c r="X154" t="s">
        <v>5410</v>
      </c>
      <c r="Y154" t="s">
        <v>5411</v>
      </c>
      <c r="Z154" t="s">
        <v>5412</v>
      </c>
      <c r="AA154" t="s">
        <v>5413</v>
      </c>
      <c r="AB154" t="s">
        <v>5414</v>
      </c>
      <c r="AC154" t="s">
        <v>5414</v>
      </c>
      <c r="AD154" t="s">
        <v>5414</v>
      </c>
      <c r="AG154" t="s">
        <v>5415</v>
      </c>
      <c r="AI154" t="s">
        <v>5460</v>
      </c>
      <c r="AJ154" t="s">
        <v>5555</v>
      </c>
      <c r="AL154" t="s">
        <v>5418</v>
      </c>
      <c r="AN154" t="s">
        <v>5419</v>
      </c>
    </row>
    <row r="155" spans="1:40" x14ac:dyDescent="0.25">
      <c r="A155">
        <v>1085110320</v>
      </c>
      <c r="B155" t="s">
        <v>5399</v>
      </c>
      <c r="C155">
        <v>252406</v>
      </c>
      <c r="D155" t="s">
        <v>5400</v>
      </c>
      <c r="E155">
        <v>46210.508645833332</v>
      </c>
      <c r="F155" t="s">
        <v>5510</v>
      </c>
      <c r="G155" t="s">
        <v>3668</v>
      </c>
      <c r="H155" t="s">
        <v>5511</v>
      </c>
      <c r="I155" t="s">
        <v>5403</v>
      </c>
      <c r="J155">
        <v>2025</v>
      </c>
      <c r="K155" t="s">
        <v>5512</v>
      </c>
      <c r="L155" t="s">
        <v>5513</v>
      </c>
      <c r="M155" t="s">
        <v>5406</v>
      </c>
      <c r="N155" s="1" t="s">
        <v>5407</v>
      </c>
      <c r="O155">
        <v>19.87</v>
      </c>
      <c r="P155">
        <v>6.6790000000000003</v>
      </c>
      <c r="Q155">
        <v>80988</v>
      </c>
      <c r="R155">
        <v>192</v>
      </c>
      <c r="S155">
        <v>9.66</v>
      </c>
      <c r="T155" s="8">
        <v>132.72999999999999</v>
      </c>
      <c r="U155">
        <v>12573782</v>
      </c>
      <c r="V155" t="s">
        <v>5514</v>
      </c>
      <c r="W155" t="s">
        <v>5409</v>
      </c>
      <c r="X155" t="s">
        <v>5515</v>
      </c>
      <c r="Y155" t="s">
        <v>5516</v>
      </c>
      <c r="Z155" t="s">
        <v>5426</v>
      </c>
      <c r="AA155" t="s">
        <v>5413</v>
      </c>
      <c r="AB155" t="s">
        <v>5414</v>
      </c>
      <c r="AC155" t="s">
        <v>5414</v>
      </c>
      <c r="AD155" t="s">
        <v>5414</v>
      </c>
      <c r="AG155" t="s">
        <v>5427</v>
      </c>
      <c r="AI155" t="s">
        <v>5517</v>
      </c>
      <c r="AJ155" t="s">
        <v>5518</v>
      </c>
      <c r="AL155" t="s">
        <v>5418</v>
      </c>
      <c r="AN155" t="s">
        <v>5419</v>
      </c>
    </row>
    <row r="156" spans="1:40" x14ac:dyDescent="0.25">
      <c r="A156">
        <v>1085129336</v>
      </c>
      <c r="B156" t="s">
        <v>5399</v>
      </c>
      <c r="C156">
        <v>252406</v>
      </c>
      <c r="D156" t="s">
        <v>5400</v>
      </c>
      <c r="E156">
        <v>46210.57298611111</v>
      </c>
      <c r="F156" t="s">
        <v>5593</v>
      </c>
      <c r="G156" t="s">
        <v>3668</v>
      </c>
      <c r="H156" t="s">
        <v>5431</v>
      </c>
      <c r="I156" t="s">
        <v>5593</v>
      </c>
      <c r="J156">
        <v>2025</v>
      </c>
      <c r="K156" t="s">
        <v>5586</v>
      </c>
      <c r="L156" t="s">
        <v>5587</v>
      </c>
      <c r="M156" t="s">
        <v>5406</v>
      </c>
      <c r="N156" s="1" t="s">
        <v>4565</v>
      </c>
      <c r="O156">
        <v>41.01</v>
      </c>
      <c r="P156">
        <v>3.59</v>
      </c>
      <c r="Q156">
        <v>53533</v>
      </c>
      <c r="R156">
        <v>320</v>
      </c>
      <c r="S156">
        <v>7.8</v>
      </c>
      <c r="T156" s="8">
        <v>147.22999999999999</v>
      </c>
      <c r="U156">
        <v>12815000</v>
      </c>
      <c r="V156" t="s">
        <v>5448</v>
      </c>
      <c r="W156" t="s">
        <v>5409</v>
      </c>
      <c r="X156" t="s">
        <v>5449</v>
      </c>
      <c r="Y156" t="s">
        <v>5450</v>
      </c>
      <c r="Z156" t="s">
        <v>5426</v>
      </c>
      <c r="AA156" t="s">
        <v>5413</v>
      </c>
      <c r="AB156" t="s">
        <v>5414</v>
      </c>
      <c r="AC156" t="s">
        <v>5414</v>
      </c>
      <c r="AD156" t="s">
        <v>5414</v>
      </c>
      <c r="AG156" t="s">
        <v>5427</v>
      </c>
      <c r="AI156" t="s">
        <v>5451</v>
      </c>
      <c r="AJ156" t="s">
        <v>5594</v>
      </c>
      <c r="AK156" t="s">
        <v>5528</v>
      </c>
      <c r="AL156" t="s">
        <v>5418</v>
      </c>
      <c r="AN156" t="s">
        <v>5595</v>
      </c>
    </row>
    <row r="157" spans="1:40" x14ac:dyDescent="0.25">
      <c r="A157">
        <v>1085137256</v>
      </c>
      <c r="B157" t="s">
        <v>5399</v>
      </c>
      <c r="C157">
        <v>252406</v>
      </c>
      <c r="D157" t="s">
        <v>5400</v>
      </c>
      <c r="E157">
        <v>46210.599097222221</v>
      </c>
      <c r="F157" t="s">
        <v>5505</v>
      </c>
      <c r="G157" t="s">
        <v>3668</v>
      </c>
      <c r="H157" t="s">
        <v>5506</v>
      </c>
      <c r="I157" t="s">
        <v>5403</v>
      </c>
      <c r="J157">
        <v>2026</v>
      </c>
      <c r="K157" t="s">
        <v>5507</v>
      </c>
      <c r="L157" t="s">
        <v>5508</v>
      </c>
      <c r="M157" t="s">
        <v>5406</v>
      </c>
      <c r="N157" s="1" t="s">
        <v>4565</v>
      </c>
      <c r="O157">
        <v>37.42</v>
      </c>
      <c r="P157">
        <v>4.5490000000000004</v>
      </c>
      <c r="Q157">
        <v>4146</v>
      </c>
      <c r="R157">
        <v>297</v>
      </c>
      <c r="S157">
        <v>7.94</v>
      </c>
      <c r="T157" s="8">
        <v>170.26</v>
      </c>
      <c r="U157">
        <v>108758</v>
      </c>
      <c r="V157" t="s">
        <v>5470</v>
      </c>
      <c r="W157" t="s">
        <v>5409</v>
      </c>
      <c r="X157" t="s">
        <v>5471</v>
      </c>
      <c r="Y157" t="s">
        <v>5411</v>
      </c>
      <c r="Z157" t="s">
        <v>5472</v>
      </c>
      <c r="AA157" t="s">
        <v>5413</v>
      </c>
      <c r="AB157" t="s">
        <v>5414</v>
      </c>
      <c r="AC157" t="s">
        <v>5414</v>
      </c>
      <c r="AD157" t="s">
        <v>5414</v>
      </c>
      <c r="AG157" t="s">
        <v>5427</v>
      </c>
      <c r="AI157" t="s">
        <v>5473</v>
      </c>
      <c r="AJ157" t="s">
        <v>5509</v>
      </c>
      <c r="AL157" t="s">
        <v>5418</v>
      </c>
      <c r="AN157" t="s">
        <v>5419</v>
      </c>
    </row>
    <row r="158" spans="1:40" x14ac:dyDescent="0.25">
      <c r="A158">
        <v>1085126447</v>
      </c>
      <c r="B158" t="s">
        <v>5399</v>
      </c>
      <c r="C158">
        <v>252406</v>
      </c>
      <c r="D158" t="s">
        <v>5400</v>
      </c>
      <c r="E158">
        <v>46210.605254629627</v>
      </c>
      <c r="F158" t="s">
        <v>5655</v>
      </c>
      <c r="G158" t="s">
        <v>3668</v>
      </c>
      <c r="H158" t="s">
        <v>5506</v>
      </c>
      <c r="I158" t="s">
        <v>5403</v>
      </c>
      <c r="J158">
        <v>2026</v>
      </c>
      <c r="K158" t="s">
        <v>5751</v>
      </c>
      <c r="L158" t="s">
        <v>5752</v>
      </c>
      <c r="M158" t="s">
        <v>5406</v>
      </c>
      <c r="N158" s="1" t="s">
        <v>4565</v>
      </c>
      <c r="O158">
        <v>38.78</v>
      </c>
      <c r="P158">
        <v>3.92</v>
      </c>
      <c r="Q158">
        <v>5216</v>
      </c>
      <c r="R158">
        <v>344</v>
      </c>
      <c r="S158">
        <v>8.8699999999999992</v>
      </c>
      <c r="T158" s="8">
        <v>152.02000000000001</v>
      </c>
      <c r="U158">
        <v>490156</v>
      </c>
      <c r="V158" t="s">
        <v>5578</v>
      </c>
      <c r="W158" t="s">
        <v>5409</v>
      </c>
      <c r="X158" t="s">
        <v>5579</v>
      </c>
      <c r="Y158" t="s">
        <v>5458</v>
      </c>
      <c r="Z158" t="s">
        <v>5412</v>
      </c>
      <c r="AA158" t="s">
        <v>5413</v>
      </c>
      <c r="AB158" t="s">
        <v>5414</v>
      </c>
      <c r="AC158" t="s">
        <v>5414</v>
      </c>
      <c r="AD158" t="s">
        <v>5414</v>
      </c>
      <c r="AG158" t="s">
        <v>5415</v>
      </c>
      <c r="AI158" t="s">
        <v>5580</v>
      </c>
      <c r="AJ158" t="s">
        <v>5658</v>
      </c>
      <c r="AL158" t="s">
        <v>5418</v>
      </c>
      <c r="AN158" t="s">
        <v>5419</v>
      </c>
    </row>
    <row r="159" spans="1:40" x14ac:dyDescent="0.25">
      <c r="A159">
        <v>1085127950</v>
      </c>
      <c r="B159" t="s">
        <v>5399</v>
      </c>
      <c r="C159">
        <v>252406</v>
      </c>
      <c r="D159" t="s">
        <v>5400</v>
      </c>
      <c r="E159">
        <v>46210.610138888886</v>
      </c>
      <c r="F159" t="s">
        <v>5524</v>
      </c>
      <c r="G159" t="s">
        <v>3668</v>
      </c>
      <c r="H159" t="s">
        <v>5421</v>
      </c>
      <c r="I159" t="s">
        <v>5524</v>
      </c>
      <c r="J159">
        <v>2025</v>
      </c>
      <c r="K159" t="s">
        <v>5525</v>
      </c>
      <c r="L159" t="s">
        <v>5526</v>
      </c>
      <c r="M159" t="s">
        <v>5406</v>
      </c>
      <c r="N159" s="1" t="s">
        <v>4565</v>
      </c>
      <c r="O159">
        <v>40.85</v>
      </c>
      <c r="P159">
        <v>4.1890000000000001</v>
      </c>
      <c r="Q159">
        <v>64210</v>
      </c>
      <c r="R159">
        <v>380</v>
      </c>
      <c r="S159">
        <v>9.3000000000000007</v>
      </c>
      <c r="T159" s="8">
        <v>171.16</v>
      </c>
      <c r="U159">
        <v>11040306</v>
      </c>
      <c r="V159" t="s">
        <v>5408</v>
      </c>
      <c r="W159" t="s">
        <v>5409</v>
      </c>
      <c r="X159" t="s">
        <v>5410</v>
      </c>
      <c r="Y159" t="s">
        <v>5411</v>
      </c>
      <c r="Z159" t="s">
        <v>5412</v>
      </c>
      <c r="AA159" t="s">
        <v>5413</v>
      </c>
      <c r="AB159" t="s">
        <v>5414</v>
      </c>
      <c r="AC159" t="s">
        <v>5414</v>
      </c>
      <c r="AD159" t="s">
        <v>5414</v>
      </c>
      <c r="AG159" t="s">
        <v>5415</v>
      </c>
      <c r="AI159" t="s">
        <v>5416</v>
      </c>
      <c r="AJ159" t="s">
        <v>5527</v>
      </c>
      <c r="AK159" t="s">
        <v>5528</v>
      </c>
      <c r="AL159" t="s">
        <v>5418</v>
      </c>
      <c r="AN159" t="s">
        <v>5529</v>
      </c>
    </row>
    <row r="160" spans="1:40" x14ac:dyDescent="0.25">
      <c r="A160">
        <v>1085148247</v>
      </c>
      <c r="B160" t="s">
        <v>5399</v>
      </c>
      <c r="C160">
        <v>252406</v>
      </c>
      <c r="D160" t="s">
        <v>5400</v>
      </c>
      <c r="E160">
        <v>46210.616481481484</v>
      </c>
      <c r="F160" t="s">
        <v>5444</v>
      </c>
      <c r="G160" t="s">
        <v>3668</v>
      </c>
      <c r="H160" t="s">
        <v>5431</v>
      </c>
      <c r="I160" t="s">
        <v>5403</v>
      </c>
      <c r="J160">
        <v>2026</v>
      </c>
      <c r="K160" t="s">
        <v>5445</v>
      </c>
      <c r="L160" t="s">
        <v>5446</v>
      </c>
      <c r="M160" t="s">
        <v>5406</v>
      </c>
      <c r="N160" s="1" t="s">
        <v>4565</v>
      </c>
      <c r="O160">
        <v>40</v>
      </c>
      <c r="P160">
        <v>4.07</v>
      </c>
      <c r="Q160">
        <v>18762</v>
      </c>
      <c r="R160">
        <v>284</v>
      </c>
      <c r="S160">
        <v>7.1</v>
      </c>
      <c r="T160" s="8">
        <v>162.80000000000001</v>
      </c>
      <c r="U160">
        <v>12192843</v>
      </c>
      <c r="V160" t="s">
        <v>5723</v>
      </c>
      <c r="W160" t="s">
        <v>5409</v>
      </c>
      <c r="X160" t="s">
        <v>5724</v>
      </c>
      <c r="Y160" t="s">
        <v>5725</v>
      </c>
      <c r="Z160" t="s">
        <v>5726</v>
      </c>
      <c r="AA160" t="s">
        <v>5413</v>
      </c>
      <c r="AB160" t="s">
        <v>5414</v>
      </c>
      <c r="AC160" t="s">
        <v>5414</v>
      </c>
      <c r="AD160" t="s">
        <v>5414</v>
      </c>
      <c r="AG160" t="s">
        <v>5427</v>
      </c>
      <c r="AI160" t="s">
        <v>5727</v>
      </c>
      <c r="AJ160" t="s">
        <v>5447</v>
      </c>
      <c r="AL160" t="s">
        <v>5418</v>
      </c>
      <c r="AN160" t="s">
        <v>5419</v>
      </c>
    </row>
    <row r="161" spans="1:40" x14ac:dyDescent="0.25">
      <c r="A161">
        <v>1085139448</v>
      </c>
      <c r="B161" t="s">
        <v>5399</v>
      </c>
      <c r="C161">
        <v>252406</v>
      </c>
      <c r="D161" t="s">
        <v>5400</v>
      </c>
      <c r="E161">
        <v>46210.647581018522</v>
      </c>
      <c r="F161" t="s">
        <v>5613</v>
      </c>
      <c r="G161" t="s">
        <v>3668</v>
      </c>
      <c r="H161" t="s">
        <v>5467</v>
      </c>
      <c r="I161" t="s">
        <v>5403</v>
      </c>
      <c r="J161">
        <v>2025</v>
      </c>
      <c r="K161" t="s">
        <v>5614</v>
      </c>
      <c r="L161" t="s">
        <v>5615</v>
      </c>
      <c r="M161" t="s">
        <v>5406</v>
      </c>
      <c r="N161" s="1" t="s">
        <v>4565</v>
      </c>
      <c r="O161">
        <v>46.62</v>
      </c>
      <c r="P161">
        <v>4.1890000000000001</v>
      </c>
      <c r="Q161">
        <v>71076</v>
      </c>
      <c r="R161">
        <v>195</v>
      </c>
      <c r="S161">
        <v>4.18</v>
      </c>
      <c r="T161" s="8">
        <v>195.33</v>
      </c>
      <c r="U161">
        <v>11040306</v>
      </c>
      <c r="V161" t="s">
        <v>5408</v>
      </c>
      <c r="W161" t="s">
        <v>5409</v>
      </c>
      <c r="X161" t="s">
        <v>5410</v>
      </c>
      <c r="Y161" t="s">
        <v>5411</v>
      </c>
      <c r="Z161" t="s">
        <v>5412</v>
      </c>
      <c r="AA161" t="s">
        <v>5413</v>
      </c>
      <c r="AB161" t="s">
        <v>5414</v>
      </c>
      <c r="AC161" t="s">
        <v>5414</v>
      </c>
      <c r="AD161" t="s">
        <v>5414</v>
      </c>
      <c r="AG161" t="s">
        <v>5415</v>
      </c>
      <c r="AI161" t="s">
        <v>5522</v>
      </c>
      <c r="AJ161" t="s">
        <v>5616</v>
      </c>
      <c r="AL161" t="s">
        <v>5418</v>
      </c>
      <c r="AN161" t="s">
        <v>5419</v>
      </c>
    </row>
    <row r="162" spans="1:40" x14ac:dyDescent="0.25">
      <c r="A162">
        <v>1085177166</v>
      </c>
      <c r="B162" t="s">
        <v>5399</v>
      </c>
      <c r="C162">
        <v>252406</v>
      </c>
      <c r="D162" t="s">
        <v>5400</v>
      </c>
      <c r="E162">
        <v>46210.730046296296</v>
      </c>
      <c r="F162" t="s">
        <v>5452</v>
      </c>
      <c r="G162" t="s">
        <v>3668</v>
      </c>
      <c r="H162" t="s">
        <v>5453</v>
      </c>
      <c r="I162" t="s">
        <v>5403</v>
      </c>
      <c r="J162">
        <v>2026</v>
      </c>
      <c r="K162" t="s">
        <v>5454</v>
      </c>
      <c r="L162" t="s">
        <v>5455</v>
      </c>
      <c r="M162" t="s">
        <v>5406</v>
      </c>
      <c r="N162" s="1" t="s">
        <v>4565</v>
      </c>
      <c r="O162">
        <v>31</v>
      </c>
      <c r="P162">
        <v>4.1900000000000004</v>
      </c>
      <c r="Q162">
        <v>39090</v>
      </c>
      <c r="R162">
        <v>309</v>
      </c>
      <c r="S162">
        <v>9.9700000000000006</v>
      </c>
      <c r="T162" s="8">
        <v>129.88999999999999</v>
      </c>
      <c r="U162">
        <v>11040306</v>
      </c>
      <c r="V162" t="s">
        <v>5408</v>
      </c>
      <c r="W162" t="s">
        <v>5409</v>
      </c>
      <c r="X162" t="s">
        <v>5410</v>
      </c>
      <c r="Y162" t="s">
        <v>5411</v>
      </c>
      <c r="Z162" t="s">
        <v>5412</v>
      </c>
      <c r="AA162" t="s">
        <v>5413</v>
      </c>
      <c r="AB162" t="s">
        <v>5414</v>
      </c>
      <c r="AC162" t="s">
        <v>5414</v>
      </c>
      <c r="AD162" t="s">
        <v>5414</v>
      </c>
      <c r="AG162" t="s">
        <v>5415</v>
      </c>
      <c r="AI162" t="s">
        <v>5416</v>
      </c>
      <c r="AJ162" t="s">
        <v>5461</v>
      </c>
      <c r="AL162" t="s">
        <v>5418</v>
      </c>
      <c r="AN162" t="s">
        <v>5419</v>
      </c>
    </row>
    <row r="163" spans="1:40" x14ac:dyDescent="0.25">
      <c r="A163">
        <v>1085195612</v>
      </c>
      <c r="B163" t="s">
        <v>5399</v>
      </c>
      <c r="C163">
        <v>252406</v>
      </c>
      <c r="D163" t="s">
        <v>5400</v>
      </c>
      <c r="E163">
        <v>46210.740613425929</v>
      </c>
      <c r="F163" t="s">
        <v>5585</v>
      </c>
      <c r="G163" t="s">
        <v>3668</v>
      </c>
      <c r="H163" t="s">
        <v>5506</v>
      </c>
      <c r="I163" t="s">
        <v>5403</v>
      </c>
      <c r="J163">
        <v>2026</v>
      </c>
      <c r="K163" t="s">
        <v>5717</v>
      </c>
      <c r="L163" t="s">
        <v>5718</v>
      </c>
      <c r="M163" t="s">
        <v>5406</v>
      </c>
      <c r="N163" s="1" t="s">
        <v>4565</v>
      </c>
      <c r="O163">
        <v>30.01</v>
      </c>
      <c r="P163">
        <v>4.2889999999999997</v>
      </c>
      <c r="Q163">
        <v>3154</v>
      </c>
      <c r="R163">
        <v>187</v>
      </c>
      <c r="S163">
        <v>6.23</v>
      </c>
      <c r="T163" s="8">
        <v>128.74</v>
      </c>
      <c r="U163">
        <v>11198252</v>
      </c>
      <c r="V163" t="s">
        <v>5424</v>
      </c>
      <c r="W163" t="s">
        <v>5409</v>
      </c>
      <c r="X163" t="s">
        <v>5425</v>
      </c>
      <c r="Y163" t="s">
        <v>5411</v>
      </c>
      <c r="Z163" t="s">
        <v>5426</v>
      </c>
      <c r="AA163" t="s">
        <v>5413</v>
      </c>
      <c r="AB163" t="s">
        <v>5414</v>
      </c>
      <c r="AC163" t="s">
        <v>5414</v>
      </c>
      <c r="AD163" t="s">
        <v>5414</v>
      </c>
      <c r="AG163" t="s">
        <v>5427</v>
      </c>
      <c r="AI163" t="s">
        <v>5428</v>
      </c>
      <c r="AJ163" t="s">
        <v>5588</v>
      </c>
      <c r="AL163" t="s">
        <v>5418</v>
      </c>
      <c r="AN163" t="s">
        <v>5419</v>
      </c>
    </row>
    <row r="164" spans="1:40" x14ac:dyDescent="0.25">
      <c r="A164">
        <v>1085208825</v>
      </c>
      <c r="B164" t="s">
        <v>5399</v>
      </c>
      <c r="C164">
        <v>252406</v>
      </c>
      <c r="D164" t="s">
        <v>5400</v>
      </c>
      <c r="E164">
        <v>46210.80773148148</v>
      </c>
      <c r="F164" t="s">
        <v>5743</v>
      </c>
      <c r="G164" t="s">
        <v>3668</v>
      </c>
      <c r="H164" t="s">
        <v>5539</v>
      </c>
      <c r="I164" t="s">
        <v>5403</v>
      </c>
      <c r="J164">
        <v>2026</v>
      </c>
      <c r="K164" t="s">
        <v>5753</v>
      </c>
      <c r="L164" t="s">
        <v>5754</v>
      </c>
      <c r="M164" t="s">
        <v>5406</v>
      </c>
      <c r="N164" s="1" t="s">
        <v>4565</v>
      </c>
      <c r="O164">
        <v>41.5</v>
      </c>
      <c r="P164">
        <v>3.59</v>
      </c>
      <c r="Q164">
        <v>16129</v>
      </c>
      <c r="R164">
        <v>403</v>
      </c>
      <c r="S164">
        <v>9.7100000000000009</v>
      </c>
      <c r="T164" s="8">
        <v>148.99</v>
      </c>
      <c r="U164">
        <v>12815000</v>
      </c>
      <c r="V164" t="s">
        <v>5448</v>
      </c>
      <c r="W164" t="s">
        <v>5409</v>
      </c>
      <c r="X164" t="s">
        <v>5449</v>
      </c>
      <c r="Y164" t="s">
        <v>5450</v>
      </c>
      <c r="Z164" t="s">
        <v>5426</v>
      </c>
      <c r="AA164" t="s">
        <v>5413</v>
      </c>
      <c r="AB164" t="s">
        <v>5414</v>
      </c>
      <c r="AC164" t="s">
        <v>5414</v>
      </c>
      <c r="AD164" t="s">
        <v>5414</v>
      </c>
      <c r="AG164" t="s">
        <v>5427</v>
      </c>
      <c r="AI164" t="s">
        <v>5451</v>
      </c>
      <c r="AJ164" t="s">
        <v>5746</v>
      </c>
      <c r="AL164" t="s">
        <v>5418</v>
      </c>
      <c r="AN164" t="s">
        <v>5419</v>
      </c>
    </row>
    <row r="165" spans="1:40" x14ac:dyDescent="0.25">
      <c r="A165">
        <v>1085217622</v>
      </c>
      <c r="B165" t="s">
        <v>5399</v>
      </c>
      <c r="C165">
        <v>252406</v>
      </c>
      <c r="D165" t="s">
        <v>5400</v>
      </c>
      <c r="E165">
        <v>46210.891863425924</v>
      </c>
      <c r="F165" t="s">
        <v>5475</v>
      </c>
      <c r="G165" t="s">
        <v>3668</v>
      </c>
      <c r="H165" t="s">
        <v>5467</v>
      </c>
      <c r="I165" t="s">
        <v>5403</v>
      </c>
      <c r="J165">
        <v>2026</v>
      </c>
      <c r="K165" t="s">
        <v>5468</v>
      </c>
      <c r="L165" t="s">
        <v>5469</v>
      </c>
      <c r="M165" t="s">
        <v>5406</v>
      </c>
      <c r="N165" s="1" t="s">
        <v>4565</v>
      </c>
      <c r="O165">
        <v>30.34</v>
      </c>
      <c r="P165">
        <v>3.589</v>
      </c>
      <c r="Q165">
        <v>33108</v>
      </c>
      <c r="R165">
        <v>124</v>
      </c>
      <c r="S165">
        <v>4.09</v>
      </c>
      <c r="T165" s="8">
        <v>108.92</v>
      </c>
      <c r="U165">
        <v>12815000</v>
      </c>
      <c r="V165" t="s">
        <v>5448</v>
      </c>
      <c r="W165" t="s">
        <v>5409</v>
      </c>
      <c r="X165" t="s">
        <v>5449</v>
      </c>
      <c r="Y165" t="s">
        <v>5450</v>
      </c>
      <c r="Z165" t="s">
        <v>5426</v>
      </c>
      <c r="AA165" t="s">
        <v>5413</v>
      </c>
      <c r="AB165" t="s">
        <v>5414</v>
      </c>
      <c r="AC165" t="s">
        <v>5414</v>
      </c>
      <c r="AD165" t="s">
        <v>5414</v>
      </c>
      <c r="AG165" t="s">
        <v>5427</v>
      </c>
      <c r="AI165" t="s">
        <v>5451</v>
      </c>
      <c r="AJ165" t="s">
        <v>5697</v>
      </c>
      <c r="AL165" t="s">
        <v>5418</v>
      </c>
      <c r="AN165" t="s">
        <v>5419</v>
      </c>
    </row>
    <row r="166" spans="1:40" x14ac:dyDescent="0.25">
      <c r="A166">
        <v>1085224734</v>
      </c>
      <c r="B166" t="s">
        <v>5399</v>
      </c>
      <c r="C166">
        <v>252406</v>
      </c>
      <c r="D166" t="s">
        <v>5400</v>
      </c>
      <c r="E166">
        <v>46211.227256944447</v>
      </c>
      <c r="F166" t="s">
        <v>5477</v>
      </c>
      <c r="G166" t="s">
        <v>3668</v>
      </c>
      <c r="H166" t="s">
        <v>5478</v>
      </c>
      <c r="I166" t="s">
        <v>5403</v>
      </c>
      <c r="J166">
        <v>2015</v>
      </c>
      <c r="K166" t="s">
        <v>5479</v>
      </c>
      <c r="L166" t="s">
        <v>5480</v>
      </c>
      <c r="M166" t="s">
        <v>5406</v>
      </c>
      <c r="N166" s="1" t="s">
        <v>4565</v>
      </c>
      <c r="O166">
        <v>46.82</v>
      </c>
      <c r="P166">
        <v>4.1890000000000001</v>
      </c>
      <c r="Q166">
        <v>245995</v>
      </c>
      <c r="R166">
        <v>605</v>
      </c>
      <c r="S166">
        <v>12.92</v>
      </c>
      <c r="T166" s="8">
        <v>196.17</v>
      </c>
      <c r="U166">
        <v>11040306</v>
      </c>
      <c r="V166" t="s">
        <v>5408</v>
      </c>
      <c r="W166" t="s">
        <v>5409</v>
      </c>
      <c r="X166" t="s">
        <v>5410</v>
      </c>
      <c r="Y166" t="s">
        <v>5411</v>
      </c>
      <c r="Z166" t="s">
        <v>5412</v>
      </c>
      <c r="AA166" t="s">
        <v>5413</v>
      </c>
      <c r="AB166" t="s">
        <v>5414</v>
      </c>
      <c r="AC166" t="s">
        <v>5414</v>
      </c>
      <c r="AD166" t="s">
        <v>5414</v>
      </c>
      <c r="AG166" t="s">
        <v>5415</v>
      </c>
      <c r="AI166" t="s">
        <v>5629</v>
      </c>
      <c r="AJ166" t="s">
        <v>5485</v>
      </c>
      <c r="AL166" t="s">
        <v>5418</v>
      </c>
      <c r="AN166" t="s">
        <v>5419</v>
      </c>
    </row>
    <row r="167" spans="1:40" x14ac:dyDescent="0.25">
      <c r="A167">
        <v>1085253070</v>
      </c>
      <c r="B167" t="s">
        <v>5399</v>
      </c>
      <c r="C167">
        <v>252406</v>
      </c>
      <c r="D167" t="s">
        <v>5400</v>
      </c>
      <c r="E167">
        <v>46211.292349537034</v>
      </c>
      <c r="F167" t="s">
        <v>5401</v>
      </c>
      <c r="G167" t="s">
        <v>3668</v>
      </c>
      <c r="H167" t="s">
        <v>5402</v>
      </c>
      <c r="I167" t="s">
        <v>5403</v>
      </c>
      <c r="J167">
        <v>2026</v>
      </c>
      <c r="K167" t="s">
        <v>5701</v>
      </c>
      <c r="L167" t="s">
        <v>5702</v>
      </c>
      <c r="M167" t="s">
        <v>5406</v>
      </c>
      <c r="N167" s="1" t="s">
        <v>4565</v>
      </c>
      <c r="O167">
        <v>34.28</v>
      </c>
      <c r="P167">
        <v>4.2889999999999997</v>
      </c>
      <c r="Q167">
        <v>33408</v>
      </c>
      <c r="R167">
        <v>233</v>
      </c>
      <c r="S167">
        <v>6.8</v>
      </c>
      <c r="T167" s="8">
        <v>147.05000000000001</v>
      </c>
      <c r="U167">
        <v>12193017</v>
      </c>
      <c r="V167" t="s">
        <v>5574</v>
      </c>
      <c r="W167" t="s">
        <v>5409</v>
      </c>
      <c r="X167" t="s">
        <v>5575</v>
      </c>
      <c r="Y167" t="s">
        <v>5576</v>
      </c>
      <c r="Z167" t="s">
        <v>5472</v>
      </c>
      <c r="AA167" t="s">
        <v>5413</v>
      </c>
      <c r="AB167" t="s">
        <v>5414</v>
      </c>
      <c r="AC167" t="s">
        <v>5414</v>
      </c>
      <c r="AD167" t="s">
        <v>5414</v>
      </c>
      <c r="AG167" t="s">
        <v>5427</v>
      </c>
      <c r="AI167" t="s">
        <v>5577</v>
      </c>
      <c r="AJ167" t="s">
        <v>5417</v>
      </c>
      <c r="AL167" t="s">
        <v>5418</v>
      </c>
      <c r="AN167" t="s">
        <v>5419</v>
      </c>
    </row>
    <row r="168" spans="1:40" x14ac:dyDescent="0.25">
      <c r="A168">
        <v>1085265927</v>
      </c>
      <c r="B168" t="s">
        <v>5399</v>
      </c>
      <c r="C168">
        <v>252406</v>
      </c>
      <c r="D168" t="s">
        <v>5400</v>
      </c>
      <c r="E168">
        <v>46211.314826388887</v>
      </c>
      <c r="F168" t="s">
        <v>5462</v>
      </c>
      <c r="G168" t="s">
        <v>3668</v>
      </c>
      <c r="H168" t="s">
        <v>5402</v>
      </c>
      <c r="I168" t="s">
        <v>5403</v>
      </c>
      <c r="J168">
        <v>2026</v>
      </c>
      <c r="K168" t="s">
        <v>5604</v>
      </c>
      <c r="L168" t="s">
        <v>5605</v>
      </c>
      <c r="M168" t="s">
        <v>5406</v>
      </c>
      <c r="N168" s="1" t="s">
        <v>4565</v>
      </c>
      <c r="O168">
        <v>29.25</v>
      </c>
      <c r="P168">
        <v>3.59</v>
      </c>
      <c r="Q168">
        <v>26355</v>
      </c>
      <c r="R168">
        <v>116</v>
      </c>
      <c r="S168">
        <v>3.97</v>
      </c>
      <c r="T168" s="8">
        <v>105.01</v>
      </c>
      <c r="U168">
        <v>12815000</v>
      </c>
      <c r="V168" t="s">
        <v>5448</v>
      </c>
      <c r="W168" t="s">
        <v>5409</v>
      </c>
      <c r="X168" t="s">
        <v>5449</v>
      </c>
      <c r="Y168" t="s">
        <v>5450</v>
      </c>
      <c r="Z168" t="s">
        <v>5426</v>
      </c>
      <c r="AA168" t="s">
        <v>5413</v>
      </c>
      <c r="AB168" t="s">
        <v>5414</v>
      </c>
      <c r="AC168" t="s">
        <v>5414</v>
      </c>
      <c r="AD168" t="s">
        <v>5414</v>
      </c>
      <c r="AG168" t="s">
        <v>5427</v>
      </c>
      <c r="AI168" t="s">
        <v>5451</v>
      </c>
      <c r="AJ168" t="s">
        <v>5465</v>
      </c>
      <c r="AL168" t="s">
        <v>5418</v>
      </c>
      <c r="AN168" t="s">
        <v>5419</v>
      </c>
    </row>
    <row r="169" spans="1:40" x14ac:dyDescent="0.25">
      <c r="A169">
        <v>1085249098</v>
      </c>
      <c r="B169" t="s">
        <v>5399</v>
      </c>
      <c r="C169">
        <v>252406</v>
      </c>
      <c r="D169" t="s">
        <v>5400</v>
      </c>
      <c r="E169">
        <v>46211.325011574074</v>
      </c>
      <c r="F169" t="s">
        <v>5755</v>
      </c>
      <c r="G169" t="s">
        <v>3668</v>
      </c>
      <c r="H169" t="s">
        <v>167</v>
      </c>
      <c r="I169" t="s">
        <v>5403</v>
      </c>
      <c r="J169">
        <v>2026</v>
      </c>
      <c r="K169" t="s">
        <v>5436</v>
      </c>
      <c r="L169" t="s">
        <v>5437</v>
      </c>
      <c r="M169" t="s">
        <v>5406</v>
      </c>
      <c r="N169" s="1" t="s">
        <v>4565</v>
      </c>
      <c r="O169">
        <v>37.770000000000003</v>
      </c>
      <c r="P169">
        <v>4.1890000000000001</v>
      </c>
      <c r="Q169">
        <v>902</v>
      </c>
      <c r="R169">
        <v>0</v>
      </c>
      <c r="S169">
        <v>0</v>
      </c>
      <c r="T169" s="8">
        <v>158.25</v>
      </c>
      <c r="U169">
        <v>11040306</v>
      </c>
      <c r="V169" t="s">
        <v>5408</v>
      </c>
      <c r="W169" t="s">
        <v>5409</v>
      </c>
      <c r="X169" t="s">
        <v>5410</v>
      </c>
      <c r="Y169" t="s">
        <v>5411</v>
      </c>
      <c r="Z169" t="s">
        <v>5412</v>
      </c>
      <c r="AA169" t="s">
        <v>5413</v>
      </c>
      <c r="AB169" t="s">
        <v>5414</v>
      </c>
      <c r="AC169" t="s">
        <v>5414</v>
      </c>
      <c r="AD169" t="s">
        <v>5414</v>
      </c>
      <c r="AG169" t="s">
        <v>5415</v>
      </c>
      <c r="AI169" t="s">
        <v>5629</v>
      </c>
      <c r="AJ169" t="s">
        <v>5756</v>
      </c>
      <c r="AL169" t="s">
        <v>5418</v>
      </c>
      <c r="AN169" t="s">
        <v>5419</v>
      </c>
    </row>
    <row r="170" spans="1:40" x14ac:dyDescent="0.25">
      <c r="A170">
        <v>1085293346</v>
      </c>
      <c r="B170" t="s">
        <v>5399</v>
      </c>
      <c r="C170">
        <v>252406</v>
      </c>
      <c r="D170" t="s">
        <v>5400</v>
      </c>
      <c r="E170">
        <v>46211.410682870373</v>
      </c>
      <c r="F170" t="s">
        <v>5519</v>
      </c>
      <c r="G170" t="s">
        <v>3668</v>
      </c>
      <c r="H170" t="s">
        <v>5467</v>
      </c>
      <c r="I170" t="s">
        <v>5403</v>
      </c>
      <c r="J170">
        <v>2027</v>
      </c>
      <c r="K170" t="s">
        <v>5520</v>
      </c>
      <c r="L170" t="s">
        <v>5521</v>
      </c>
      <c r="M170" t="s">
        <v>5406</v>
      </c>
      <c r="N170" s="1" t="s">
        <v>4565</v>
      </c>
      <c r="O170">
        <v>26.16</v>
      </c>
      <c r="P170">
        <v>4.1890000000000001</v>
      </c>
      <c r="Q170">
        <v>12612</v>
      </c>
      <c r="R170">
        <v>229</v>
      </c>
      <c r="S170">
        <v>8.75</v>
      </c>
      <c r="T170" s="8">
        <v>109.61</v>
      </c>
      <c r="U170">
        <v>11040306</v>
      </c>
      <c r="V170" t="s">
        <v>5408</v>
      </c>
      <c r="W170" t="s">
        <v>5409</v>
      </c>
      <c r="X170" t="s">
        <v>5410</v>
      </c>
      <c r="Y170" t="s">
        <v>5411</v>
      </c>
      <c r="Z170" t="s">
        <v>5412</v>
      </c>
      <c r="AA170" t="s">
        <v>5413</v>
      </c>
      <c r="AB170" t="s">
        <v>5414</v>
      </c>
      <c r="AC170" t="s">
        <v>5414</v>
      </c>
      <c r="AD170" t="s">
        <v>5414</v>
      </c>
      <c r="AG170" t="s">
        <v>5415</v>
      </c>
      <c r="AI170" t="s">
        <v>5522</v>
      </c>
      <c r="AJ170" t="s">
        <v>5523</v>
      </c>
      <c r="AL170" t="s">
        <v>5418</v>
      </c>
      <c r="AN170" t="s">
        <v>5419</v>
      </c>
    </row>
    <row r="171" spans="1:40" x14ac:dyDescent="0.25">
      <c r="A171">
        <v>1085321221</v>
      </c>
      <c r="B171" t="s">
        <v>5399</v>
      </c>
      <c r="C171">
        <v>252406</v>
      </c>
      <c r="D171" t="s">
        <v>5400</v>
      </c>
      <c r="E171">
        <v>46211.437245370369</v>
      </c>
      <c r="F171" t="s">
        <v>5581</v>
      </c>
      <c r="G171" t="s">
        <v>3668</v>
      </c>
      <c r="H171" t="s">
        <v>5467</v>
      </c>
      <c r="I171" t="s">
        <v>5403</v>
      </c>
      <c r="J171">
        <v>2026</v>
      </c>
      <c r="K171" t="s">
        <v>5582</v>
      </c>
      <c r="L171" t="s">
        <v>5583</v>
      </c>
      <c r="M171" t="s">
        <v>5406</v>
      </c>
      <c r="N171" s="1" t="s">
        <v>4565</v>
      </c>
      <c r="O171">
        <v>49.06</v>
      </c>
      <c r="P171">
        <v>4.25</v>
      </c>
      <c r="Q171">
        <v>30127</v>
      </c>
      <c r="R171">
        <v>354</v>
      </c>
      <c r="S171">
        <v>7.22</v>
      </c>
      <c r="T171" s="8">
        <v>208.51</v>
      </c>
      <c r="U171">
        <v>108758</v>
      </c>
      <c r="V171" t="s">
        <v>5470</v>
      </c>
      <c r="W171" t="s">
        <v>5409</v>
      </c>
      <c r="X171" t="s">
        <v>5471</v>
      </c>
      <c r="Y171" t="s">
        <v>5411</v>
      </c>
      <c r="Z171" t="s">
        <v>5472</v>
      </c>
      <c r="AA171" t="s">
        <v>5413</v>
      </c>
      <c r="AB171" t="s">
        <v>5414</v>
      </c>
      <c r="AC171" t="s">
        <v>5414</v>
      </c>
      <c r="AD171" t="s">
        <v>5414</v>
      </c>
      <c r="AG171" t="s">
        <v>5427</v>
      </c>
      <c r="AI171" t="s">
        <v>5473</v>
      </c>
      <c r="AJ171" t="s">
        <v>5584</v>
      </c>
      <c r="AL171" t="s">
        <v>5418</v>
      </c>
      <c r="AN171" t="s">
        <v>5419</v>
      </c>
    </row>
    <row r="172" spans="1:40" x14ac:dyDescent="0.25">
      <c r="A172">
        <v>1085324739</v>
      </c>
      <c r="B172" t="s">
        <v>5399</v>
      </c>
      <c r="C172">
        <v>252406</v>
      </c>
      <c r="D172" t="s">
        <v>5400</v>
      </c>
      <c r="E172">
        <v>46211.45034722222</v>
      </c>
      <c r="F172" t="s">
        <v>5617</v>
      </c>
      <c r="G172" t="s">
        <v>3668</v>
      </c>
      <c r="H172" t="s">
        <v>5467</v>
      </c>
      <c r="I172" t="s">
        <v>5403</v>
      </c>
      <c r="J172">
        <v>2026</v>
      </c>
      <c r="K172" t="s">
        <v>5618</v>
      </c>
      <c r="L172" t="s">
        <v>5619</v>
      </c>
      <c r="M172" t="s">
        <v>5406</v>
      </c>
      <c r="N172" s="1" t="s">
        <v>4565</v>
      </c>
      <c r="O172">
        <v>42.19</v>
      </c>
      <c r="P172">
        <v>4.29</v>
      </c>
      <c r="Q172">
        <v>53664</v>
      </c>
      <c r="R172">
        <v>298</v>
      </c>
      <c r="S172">
        <v>7.06</v>
      </c>
      <c r="T172" s="8">
        <v>181</v>
      </c>
      <c r="U172">
        <v>11198252</v>
      </c>
      <c r="V172" t="s">
        <v>5424</v>
      </c>
      <c r="W172" t="s">
        <v>5409</v>
      </c>
      <c r="X172" t="s">
        <v>5425</v>
      </c>
      <c r="Y172" t="s">
        <v>5411</v>
      </c>
      <c r="Z172" t="s">
        <v>5426</v>
      </c>
      <c r="AA172" t="s">
        <v>5413</v>
      </c>
      <c r="AB172" t="s">
        <v>5414</v>
      </c>
      <c r="AC172" t="s">
        <v>5414</v>
      </c>
      <c r="AD172" t="s">
        <v>5414</v>
      </c>
      <c r="AG172" t="s">
        <v>5427</v>
      </c>
      <c r="AI172" t="s">
        <v>5428</v>
      </c>
      <c r="AJ172" t="s">
        <v>5620</v>
      </c>
      <c r="AL172" t="s">
        <v>5418</v>
      </c>
      <c r="AN172" t="s">
        <v>5419</v>
      </c>
    </row>
    <row r="173" spans="1:40" x14ac:dyDescent="0.25">
      <c r="A173">
        <v>1085327856</v>
      </c>
      <c r="B173" t="s">
        <v>5399</v>
      </c>
      <c r="C173">
        <v>252406</v>
      </c>
      <c r="D173" t="s">
        <v>5400</v>
      </c>
      <c r="E173">
        <v>46211.458726851852</v>
      </c>
      <c r="F173" t="s">
        <v>5589</v>
      </c>
      <c r="G173" t="s">
        <v>3668</v>
      </c>
      <c r="H173" t="s">
        <v>5431</v>
      </c>
      <c r="I173" t="s">
        <v>5403</v>
      </c>
      <c r="J173">
        <v>2026</v>
      </c>
      <c r="K173" t="s">
        <v>5590</v>
      </c>
      <c r="L173" t="s">
        <v>5591</v>
      </c>
      <c r="M173" t="s">
        <v>5406</v>
      </c>
      <c r="N173" s="1" t="s">
        <v>4565</v>
      </c>
      <c r="O173">
        <v>44.6</v>
      </c>
      <c r="P173">
        <v>4.2889999999999997</v>
      </c>
      <c r="Q173">
        <v>4347</v>
      </c>
      <c r="R173">
        <v>200</v>
      </c>
      <c r="S173">
        <v>4.4800000000000004</v>
      </c>
      <c r="T173" s="8">
        <v>191.33</v>
      </c>
      <c r="U173">
        <v>11198252</v>
      </c>
      <c r="V173" t="s">
        <v>5424</v>
      </c>
      <c r="W173" t="s">
        <v>5409</v>
      </c>
      <c r="X173" t="s">
        <v>5425</v>
      </c>
      <c r="Y173" t="s">
        <v>5411</v>
      </c>
      <c r="Z173" t="s">
        <v>5426</v>
      </c>
      <c r="AA173" t="s">
        <v>5413</v>
      </c>
      <c r="AB173" t="s">
        <v>5414</v>
      </c>
      <c r="AC173" t="s">
        <v>5414</v>
      </c>
      <c r="AD173" t="s">
        <v>5414</v>
      </c>
      <c r="AG173" t="s">
        <v>5427</v>
      </c>
      <c r="AI173" t="s">
        <v>5428</v>
      </c>
      <c r="AJ173" t="s">
        <v>5592</v>
      </c>
      <c r="AL173" t="s">
        <v>5418</v>
      </c>
      <c r="AN173" t="s">
        <v>5419</v>
      </c>
    </row>
    <row r="174" spans="1:40" x14ac:dyDescent="0.25">
      <c r="A174">
        <v>1085312495</v>
      </c>
      <c r="B174" t="s">
        <v>5399</v>
      </c>
      <c r="C174">
        <v>252406</v>
      </c>
      <c r="D174" t="s">
        <v>5400</v>
      </c>
      <c r="E174">
        <v>46211.459409722222</v>
      </c>
      <c r="F174" t="s">
        <v>5486</v>
      </c>
      <c r="G174" t="s">
        <v>3668</v>
      </c>
      <c r="H174" t="s">
        <v>5487</v>
      </c>
      <c r="I174" t="s">
        <v>5403</v>
      </c>
      <c r="J174">
        <v>2025</v>
      </c>
      <c r="K174" t="s">
        <v>5488</v>
      </c>
      <c r="L174" t="s">
        <v>5489</v>
      </c>
      <c r="M174" t="s">
        <v>5406</v>
      </c>
      <c r="N174" s="1" t="s">
        <v>4565</v>
      </c>
      <c r="O174">
        <v>34.68</v>
      </c>
      <c r="P174">
        <v>4.38</v>
      </c>
      <c r="Q174">
        <v>53783</v>
      </c>
      <c r="R174">
        <v>281</v>
      </c>
      <c r="S174">
        <v>8.1</v>
      </c>
      <c r="T174" s="8">
        <v>151.9</v>
      </c>
      <c r="U174">
        <v>11153887</v>
      </c>
      <c r="V174" t="s">
        <v>5490</v>
      </c>
      <c r="W174" t="s">
        <v>5409</v>
      </c>
      <c r="X174" t="s">
        <v>5491</v>
      </c>
      <c r="Y174" t="s">
        <v>5492</v>
      </c>
      <c r="Z174" t="s">
        <v>5426</v>
      </c>
      <c r="AA174" t="s">
        <v>5413</v>
      </c>
      <c r="AB174" t="s">
        <v>5414</v>
      </c>
      <c r="AC174" t="s">
        <v>5414</v>
      </c>
      <c r="AD174" t="s">
        <v>5414</v>
      </c>
      <c r="AG174" t="s">
        <v>5415</v>
      </c>
      <c r="AI174" t="s">
        <v>5460</v>
      </c>
      <c r="AJ174" t="s">
        <v>5493</v>
      </c>
      <c r="AL174" t="s">
        <v>5418</v>
      </c>
      <c r="AN174" t="s">
        <v>5419</v>
      </c>
    </row>
    <row r="175" spans="1:40" x14ac:dyDescent="0.25">
      <c r="A175">
        <v>1085328266</v>
      </c>
      <c r="B175" t="s">
        <v>5399</v>
      </c>
      <c r="C175">
        <v>252406</v>
      </c>
      <c r="D175" t="s">
        <v>5400</v>
      </c>
      <c r="E175">
        <v>46211.46025462963</v>
      </c>
      <c r="F175" t="s">
        <v>5567</v>
      </c>
      <c r="G175" t="s">
        <v>3668</v>
      </c>
      <c r="H175" t="s">
        <v>5568</v>
      </c>
      <c r="I175" t="s">
        <v>5403</v>
      </c>
      <c r="J175">
        <v>2026</v>
      </c>
      <c r="K175" t="s">
        <v>5436</v>
      </c>
      <c r="L175" t="s">
        <v>5437</v>
      </c>
      <c r="M175" t="s">
        <v>5406</v>
      </c>
      <c r="N175" s="1" t="s">
        <v>4565</v>
      </c>
      <c r="O175">
        <v>44.63</v>
      </c>
      <c r="P175">
        <v>4.2889999999999997</v>
      </c>
      <c r="Q175">
        <v>2400</v>
      </c>
      <c r="R175">
        <v>386</v>
      </c>
      <c r="S175">
        <v>8.65</v>
      </c>
      <c r="T175" s="8">
        <v>191.46</v>
      </c>
      <c r="U175">
        <v>11198252</v>
      </c>
      <c r="V175" t="s">
        <v>5424</v>
      </c>
      <c r="W175" t="s">
        <v>5409</v>
      </c>
      <c r="X175" t="s">
        <v>5425</v>
      </c>
      <c r="Y175" t="s">
        <v>5411</v>
      </c>
      <c r="Z175" t="s">
        <v>5426</v>
      </c>
      <c r="AA175" t="s">
        <v>5413</v>
      </c>
      <c r="AB175" t="s">
        <v>5414</v>
      </c>
      <c r="AC175" t="s">
        <v>5414</v>
      </c>
      <c r="AD175" t="s">
        <v>5414</v>
      </c>
      <c r="AG175" t="s">
        <v>5427</v>
      </c>
      <c r="AI175" t="s">
        <v>5428</v>
      </c>
      <c r="AJ175" t="s">
        <v>5573</v>
      </c>
      <c r="AL175" t="s">
        <v>5418</v>
      </c>
      <c r="AN175" t="s">
        <v>5419</v>
      </c>
    </row>
    <row r="176" spans="1:40" x14ac:dyDescent="0.25">
      <c r="A176">
        <v>1085335470</v>
      </c>
      <c r="B176" t="s">
        <v>5399</v>
      </c>
      <c r="C176">
        <v>252406</v>
      </c>
      <c r="D176" t="s">
        <v>5400</v>
      </c>
      <c r="E176">
        <v>46211.481979166667</v>
      </c>
      <c r="F176" t="s">
        <v>5510</v>
      </c>
      <c r="G176" t="s">
        <v>3668</v>
      </c>
      <c r="H176" t="s">
        <v>5511</v>
      </c>
      <c r="I176" t="s">
        <v>5403</v>
      </c>
      <c r="J176">
        <v>2025</v>
      </c>
      <c r="K176" t="s">
        <v>5512</v>
      </c>
      <c r="L176" t="s">
        <v>5513</v>
      </c>
      <c r="M176" t="s">
        <v>5406</v>
      </c>
      <c r="N176" s="1" t="s">
        <v>4565</v>
      </c>
      <c r="O176">
        <v>24.67</v>
      </c>
      <c r="P176">
        <v>4.2889999999999997</v>
      </c>
      <c r="Q176">
        <v>81229</v>
      </c>
      <c r="R176">
        <v>241</v>
      </c>
      <c r="S176">
        <v>9.77</v>
      </c>
      <c r="T176" s="8">
        <v>105.83</v>
      </c>
      <c r="U176">
        <v>11198252</v>
      </c>
      <c r="V176" t="s">
        <v>5424</v>
      </c>
      <c r="W176" t="s">
        <v>5409</v>
      </c>
      <c r="X176" t="s">
        <v>5425</v>
      </c>
      <c r="Y176" t="s">
        <v>5411</v>
      </c>
      <c r="Z176" t="s">
        <v>5426</v>
      </c>
      <c r="AA176" t="s">
        <v>5413</v>
      </c>
      <c r="AB176" t="s">
        <v>5414</v>
      </c>
      <c r="AC176" t="s">
        <v>5414</v>
      </c>
      <c r="AD176" t="s">
        <v>5414</v>
      </c>
      <c r="AG176" t="s">
        <v>5427</v>
      </c>
      <c r="AI176" t="s">
        <v>5428</v>
      </c>
      <c r="AJ176" t="s">
        <v>5518</v>
      </c>
      <c r="AL176" t="s">
        <v>5418</v>
      </c>
      <c r="AN176" t="s">
        <v>5419</v>
      </c>
    </row>
    <row r="177" spans="1:40" x14ac:dyDescent="0.25">
      <c r="A177">
        <v>1085322642</v>
      </c>
      <c r="B177" t="s">
        <v>5399</v>
      </c>
      <c r="C177">
        <v>252406</v>
      </c>
      <c r="D177" t="s">
        <v>5400</v>
      </c>
      <c r="E177">
        <v>46211.484456018516</v>
      </c>
      <c r="F177" t="s">
        <v>5689</v>
      </c>
      <c r="G177" t="s">
        <v>3668</v>
      </c>
      <c r="H177" t="s">
        <v>5511</v>
      </c>
      <c r="I177" t="s">
        <v>5403</v>
      </c>
      <c r="J177">
        <v>2026</v>
      </c>
      <c r="K177" t="s">
        <v>5690</v>
      </c>
      <c r="L177" t="s">
        <v>5691</v>
      </c>
      <c r="M177" t="s">
        <v>5406</v>
      </c>
      <c r="N177" s="1" t="s">
        <v>4565</v>
      </c>
      <c r="O177">
        <v>29.9</v>
      </c>
      <c r="P177">
        <v>4.6500000000000004</v>
      </c>
      <c r="Q177">
        <v>9268</v>
      </c>
      <c r="R177">
        <v>347</v>
      </c>
      <c r="S177">
        <v>11.61</v>
      </c>
      <c r="T177" s="8">
        <v>139.04</v>
      </c>
      <c r="U177">
        <v>11040292</v>
      </c>
      <c r="V177" t="s">
        <v>5456</v>
      </c>
      <c r="W177" t="s">
        <v>5409</v>
      </c>
      <c r="X177" t="s">
        <v>5457</v>
      </c>
      <c r="Y177" t="s">
        <v>5458</v>
      </c>
      <c r="Z177" t="s">
        <v>5459</v>
      </c>
      <c r="AA177" t="s">
        <v>5413</v>
      </c>
      <c r="AB177" t="s">
        <v>5414</v>
      </c>
      <c r="AC177" t="s">
        <v>5414</v>
      </c>
      <c r="AD177" t="s">
        <v>5414</v>
      </c>
      <c r="AG177" t="s">
        <v>5415</v>
      </c>
      <c r="AI177" t="s">
        <v>5460</v>
      </c>
      <c r="AJ177" t="s">
        <v>5692</v>
      </c>
      <c r="AL177" t="s">
        <v>5418</v>
      </c>
      <c r="AN177" t="s">
        <v>5419</v>
      </c>
    </row>
    <row r="178" spans="1:40" x14ac:dyDescent="0.25">
      <c r="A178">
        <v>1085375340</v>
      </c>
      <c r="B178" t="s">
        <v>5399</v>
      </c>
      <c r="C178">
        <v>252406</v>
      </c>
      <c r="D178" t="s">
        <v>5400</v>
      </c>
      <c r="E178">
        <v>46211.599444444444</v>
      </c>
      <c r="F178" t="s">
        <v>5530</v>
      </c>
      <c r="G178" t="s">
        <v>3668</v>
      </c>
      <c r="H178" t="s">
        <v>5431</v>
      </c>
      <c r="I178" t="s">
        <v>5403</v>
      </c>
      <c r="J178">
        <v>2025</v>
      </c>
      <c r="K178" t="s">
        <v>5531</v>
      </c>
      <c r="L178" t="s">
        <v>5532</v>
      </c>
      <c r="M178" t="s">
        <v>5406</v>
      </c>
      <c r="N178" s="1" t="s">
        <v>4565</v>
      </c>
      <c r="O178">
        <v>45.5</v>
      </c>
      <c r="P178">
        <v>4.25</v>
      </c>
      <c r="Q178">
        <v>106111</v>
      </c>
      <c r="R178">
        <v>467</v>
      </c>
      <c r="S178">
        <v>10.26</v>
      </c>
      <c r="T178" s="8">
        <v>193.38</v>
      </c>
      <c r="U178">
        <v>108758</v>
      </c>
      <c r="V178" t="s">
        <v>5470</v>
      </c>
      <c r="W178" t="s">
        <v>5409</v>
      </c>
      <c r="X178" t="s">
        <v>5471</v>
      </c>
      <c r="Y178" t="s">
        <v>5411</v>
      </c>
      <c r="Z178" t="s">
        <v>5472</v>
      </c>
      <c r="AA178" t="s">
        <v>5413</v>
      </c>
      <c r="AB178" t="s">
        <v>5414</v>
      </c>
      <c r="AC178" t="s">
        <v>5414</v>
      </c>
      <c r="AD178" t="s">
        <v>5414</v>
      </c>
      <c r="AG178" t="s">
        <v>5427</v>
      </c>
      <c r="AI178" t="s">
        <v>5473</v>
      </c>
      <c r="AJ178" t="s">
        <v>5533</v>
      </c>
      <c r="AL178" t="s">
        <v>5418</v>
      </c>
      <c r="AN178" t="s">
        <v>5419</v>
      </c>
    </row>
    <row r="179" spans="1:40" x14ac:dyDescent="0.25">
      <c r="A179">
        <v>1085389136</v>
      </c>
      <c r="B179" t="s">
        <v>5399</v>
      </c>
      <c r="C179">
        <v>252406</v>
      </c>
      <c r="D179" t="s">
        <v>5400</v>
      </c>
      <c r="E179">
        <v>46211.677141203705</v>
      </c>
      <c r="F179" t="s">
        <v>5757</v>
      </c>
      <c r="G179" t="s">
        <v>3668</v>
      </c>
      <c r="H179" t="s">
        <v>5421</v>
      </c>
      <c r="I179" t="s">
        <v>5403</v>
      </c>
      <c r="J179">
        <v>2027</v>
      </c>
      <c r="K179" t="s">
        <v>5758</v>
      </c>
      <c r="L179" t="s">
        <v>5759</v>
      </c>
      <c r="M179" t="s">
        <v>5406</v>
      </c>
      <c r="N179" s="1" t="s">
        <v>5407</v>
      </c>
      <c r="O179">
        <v>34.1</v>
      </c>
      <c r="P179">
        <v>6.5</v>
      </c>
      <c r="Q179">
        <v>390</v>
      </c>
      <c r="R179">
        <v>0</v>
      </c>
      <c r="S179">
        <v>0</v>
      </c>
      <c r="T179" s="8">
        <v>221.65</v>
      </c>
      <c r="U179">
        <v>12718403</v>
      </c>
      <c r="V179" t="s">
        <v>5760</v>
      </c>
      <c r="W179" t="s">
        <v>5409</v>
      </c>
      <c r="X179" t="s">
        <v>5761</v>
      </c>
      <c r="Y179" t="s">
        <v>5762</v>
      </c>
      <c r="Z179" t="s">
        <v>5763</v>
      </c>
      <c r="AA179" t="s">
        <v>5502</v>
      </c>
      <c r="AB179" t="s">
        <v>5414</v>
      </c>
      <c r="AC179" t="s">
        <v>5414</v>
      </c>
      <c r="AD179" t="s">
        <v>5414</v>
      </c>
      <c r="AG179" t="s">
        <v>5415</v>
      </c>
      <c r="AI179" t="s">
        <v>5764</v>
      </c>
      <c r="AJ179" t="s">
        <v>5765</v>
      </c>
      <c r="AL179" t="s">
        <v>5418</v>
      </c>
      <c r="AN179" t="s">
        <v>5419</v>
      </c>
    </row>
    <row r="180" spans="1:40" x14ac:dyDescent="0.25">
      <c r="A180">
        <v>1085392694</v>
      </c>
      <c r="B180" t="s">
        <v>5399</v>
      </c>
      <c r="C180">
        <v>252406</v>
      </c>
      <c r="D180" t="s">
        <v>5400</v>
      </c>
      <c r="E180">
        <v>46211.686435185184</v>
      </c>
      <c r="F180" t="s">
        <v>5613</v>
      </c>
      <c r="G180" t="s">
        <v>3668</v>
      </c>
      <c r="H180" t="s">
        <v>5467</v>
      </c>
      <c r="I180" t="s">
        <v>5403</v>
      </c>
      <c r="J180">
        <v>2025</v>
      </c>
      <c r="K180" t="s">
        <v>5614</v>
      </c>
      <c r="L180" t="s">
        <v>5615</v>
      </c>
      <c r="M180" t="s">
        <v>5406</v>
      </c>
      <c r="N180" s="1" t="s">
        <v>4565</v>
      </c>
      <c r="O180">
        <v>42.61</v>
      </c>
      <c r="P180">
        <v>4.1890000000000001</v>
      </c>
      <c r="Q180">
        <v>71344</v>
      </c>
      <c r="R180">
        <v>268</v>
      </c>
      <c r="S180">
        <v>6.29</v>
      </c>
      <c r="T180" s="8">
        <v>178.53</v>
      </c>
      <c r="U180">
        <v>11040306</v>
      </c>
      <c r="V180" t="s">
        <v>5408</v>
      </c>
      <c r="W180" t="s">
        <v>5409</v>
      </c>
      <c r="X180" t="s">
        <v>5410</v>
      </c>
      <c r="Y180" t="s">
        <v>5411</v>
      </c>
      <c r="Z180" t="s">
        <v>5412</v>
      </c>
      <c r="AA180" t="s">
        <v>5413</v>
      </c>
      <c r="AB180" t="s">
        <v>5414</v>
      </c>
      <c r="AC180" t="s">
        <v>5414</v>
      </c>
      <c r="AD180" t="s">
        <v>5414</v>
      </c>
      <c r="AG180" t="s">
        <v>5415</v>
      </c>
      <c r="AI180" t="s">
        <v>5416</v>
      </c>
      <c r="AJ180" t="s">
        <v>5616</v>
      </c>
      <c r="AL180" t="s">
        <v>5418</v>
      </c>
      <c r="AN180" t="s">
        <v>5419</v>
      </c>
    </row>
    <row r="181" spans="1:40" x14ac:dyDescent="0.25">
      <c r="A181">
        <v>1085443613</v>
      </c>
      <c r="B181" t="s">
        <v>5399</v>
      </c>
      <c r="C181">
        <v>252406</v>
      </c>
      <c r="D181" t="s">
        <v>5400</v>
      </c>
      <c r="E181">
        <v>46211.787581018521</v>
      </c>
      <c r="F181" t="s">
        <v>5477</v>
      </c>
      <c r="G181" t="s">
        <v>3668</v>
      </c>
      <c r="H181" t="s">
        <v>5478</v>
      </c>
      <c r="I181" t="s">
        <v>5403</v>
      </c>
      <c r="J181">
        <v>2015</v>
      </c>
      <c r="K181" t="s">
        <v>5479</v>
      </c>
      <c r="L181" t="s">
        <v>5480</v>
      </c>
      <c r="M181" t="s">
        <v>5406</v>
      </c>
      <c r="N181" s="1" t="s">
        <v>4565</v>
      </c>
      <c r="O181">
        <v>38.99</v>
      </c>
      <c r="P181">
        <v>3.589</v>
      </c>
      <c r="Q181">
        <v>246301</v>
      </c>
      <c r="R181">
        <v>306</v>
      </c>
      <c r="S181">
        <v>7.85</v>
      </c>
      <c r="T181" s="8">
        <v>139.97</v>
      </c>
      <c r="U181">
        <v>12815000</v>
      </c>
      <c r="V181" t="s">
        <v>5448</v>
      </c>
      <c r="W181" t="s">
        <v>5409</v>
      </c>
      <c r="X181" t="s">
        <v>5449</v>
      </c>
      <c r="Y181" t="s">
        <v>5450</v>
      </c>
      <c r="Z181" t="s">
        <v>5426</v>
      </c>
      <c r="AA181" t="s">
        <v>5413</v>
      </c>
      <c r="AB181" t="s">
        <v>5414</v>
      </c>
      <c r="AC181" t="s">
        <v>5414</v>
      </c>
      <c r="AD181" t="s">
        <v>5414</v>
      </c>
      <c r="AG181" t="s">
        <v>5427</v>
      </c>
      <c r="AI181" t="s">
        <v>5451</v>
      </c>
      <c r="AJ181" t="s">
        <v>5485</v>
      </c>
      <c r="AL181" t="s">
        <v>5418</v>
      </c>
      <c r="AN181" t="s">
        <v>5419</v>
      </c>
    </row>
    <row r="182" spans="1:40" x14ac:dyDescent="0.25">
      <c r="A182">
        <v>1085440312</v>
      </c>
      <c r="B182" t="s">
        <v>5399</v>
      </c>
      <c r="C182">
        <v>252406</v>
      </c>
      <c r="D182" t="s">
        <v>5400</v>
      </c>
      <c r="E182">
        <v>46211.816874999997</v>
      </c>
      <c r="F182" t="s">
        <v>5494</v>
      </c>
      <c r="G182" t="s">
        <v>3668</v>
      </c>
      <c r="H182" t="s">
        <v>5495</v>
      </c>
      <c r="I182" t="s">
        <v>5403</v>
      </c>
      <c r="J182">
        <v>2026</v>
      </c>
      <c r="K182" t="s">
        <v>5496</v>
      </c>
      <c r="L182" t="s">
        <v>5497</v>
      </c>
      <c r="M182" t="s">
        <v>5406</v>
      </c>
      <c r="N182" s="1" t="s">
        <v>4565</v>
      </c>
      <c r="O182">
        <v>45.35</v>
      </c>
      <c r="P182">
        <v>4.3789999999999996</v>
      </c>
      <c r="Q182">
        <v>56640</v>
      </c>
      <c r="R182">
        <v>473</v>
      </c>
      <c r="S182">
        <v>10.43</v>
      </c>
      <c r="T182" s="8">
        <v>198.63</v>
      </c>
      <c r="U182">
        <v>11153887</v>
      </c>
      <c r="V182" t="s">
        <v>5490</v>
      </c>
      <c r="W182" t="s">
        <v>5409</v>
      </c>
      <c r="X182" t="s">
        <v>5491</v>
      </c>
      <c r="Y182" t="s">
        <v>5492</v>
      </c>
      <c r="Z182" t="s">
        <v>5426</v>
      </c>
      <c r="AA182" t="s">
        <v>5413</v>
      </c>
      <c r="AB182" t="s">
        <v>5414</v>
      </c>
      <c r="AC182" t="s">
        <v>5414</v>
      </c>
      <c r="AD182" t="s">
        <v>5414</v>
      </c>
      <c r="AG182" t="s">
        <v>5415</v>
      </c>
      <c r="AI182" t="s">
        <v>5460</v>
      </c>
      <c r="AJ182" t="s">
        <v>5504</v>
      </c>
      <c r="AL182" t="s">
        <v>5418</v>
      </c>
      <c r="AN182" t="s">
        <v>5419</v>
      </c>
    </row>
    <row r="183" spans="1:40" x14ac:dyDescent="0.25">
      <c r="A183">
        <v>1085471438</v>
      </c>
      <c r="B183" t="s">
        <v>5399</v>
      </c>
      <c r="C183">
        <v>252406</v>
      </c>
      <c r="D183" t="s">
        <v>5400</v>
      </c>
      <c r="E183">
        <v>46212.255613425928</v>
      </c>
      <c r="F183" t="s">
        <v>5510</v>
      </c>
      <c r="G183" t="s">
        <v>3668</v>
      </c>
      <c r="H183" t="s">
        <v>5511</v>
      </c>
      <c r="I183" t="s">
        <v>5403</v>
      </c>
      <c r="J183">
        <v>2025</v>
      </c>
      <c r="K183" t="s">
        <v>5512</v>
      </c>
      <c r="L183" t="s">
        <v>5513</v>
      </c>
      <c r="M183" t="s">
        <v>5406</v>
      </c>
      <c r="N183" s="1" t="s">
        <v>4565</v>
      </c>
      <c r="O183">
        <v>11.82</v>
      </c>
      <c r="P183">
        <v>4.2889999999999997</v>
      </c>
      <c r="Q183">
        <v>81326</v>
      </c>
      <c r="R183">
        <v>97</v>
      </c>
      <c r="S183">
        <v>8.2100000000000009</v>
      </c>
      <c r="T183" s="8">
        <v>50.7</v>
      </c>
      <c r="U183">
        <v>12193017</v>
      </c>
      <c r="V183" t="s">
        <v>5574</v>
      </c>
      <c r="W183" t="s">
        <v>5409</v>
      </c>
      <c r="X183" t="s">
        <v>5575</v>
      </c>
      <c r="Y183" t="s">
        <v>5576</v>
      </c>
      <c r="Z183" t="s">
        <v>5472</v>
      </c>
      <c r="AA183" t="s">
        <v>5413</v>
      </c>
      <c r="AB183" t="s">
        <v>5414</v>
      </c>
      <c r="AC183" t="s">
        <v>5414</v>
      </c>
      <c r="AD183" t="s">
        <v>5414</v>
      </c>
      <c r="AG183" t="s">
        <v>5427</v>
      </c>
      <c r="AI183" t="s">
        <v>5577</v>
      </c>
      <c r="AJ183" t="s">
        <v>5518</v>
      </c>
      <c r="AL183" t="s">
        <v>5418</v>
      </c>
      <c r="AN183" t="s">
        <v>5419</v>
      </c>
    </row>
    <row r="184" spans="1:40" x14ac:dyDescent="0.25">
      <c r="A184">
        <v>1085472635</v>
      </c>
      <c r="B184" t="s">
        <v>5399</v>
      </c>
      <c r="C184">
        <v>252406</v>
      </c>
      <c r="D184" t="s">
        <v>5400</v>
      </c>
      <c r="E184">
        <v>46212.260555555556</v>
      </c>
      <c r="F184" t="s">
        <v>5444</v>
      </c>
      <c r="G184" t="s">
        <v>3668</v>
      </c>
      <c r="H184" t="s">
        <v>5431</v>
      </c>
      <c r="I184" t="s">
        <v>5403</v>
      </c>
      <c r="J184">
        <v>2026</v>
      </c>
      <c r="K184" t="s">
        <v>5445</v>
      </c>
      <c r="L184" t="s">
        <v>5446</v>
      </c>
      <c r="M184" t="s">
        <v>5406</v>
      </c>
      <c r="N184" s="1" t="s">
        <v>4565</v>
      </c>
      <c r="O184">
        <v>36.19</v>
      </c>
      <c r="P184">
        <v>4.29</v>
      </c>
      <c r="Q184">
        <v>19110</v>
      </c>
      <c r="R184">
        <v>348</v>
      </c>
      <c r="S184">
        <v>9.6199999999999992</v>
      </c>
      <c r="T184" s="8">
        <v>155.26</v>
      </c>
      <c r="U184">
        <v>12193017</v>
      </c>
      <c r="V184" t="s">
        <v>5574</v>
      </c>
      <c r="W184" t="s">
        <v>5409</v>
      </c>
      <c r="X184" t="s">
        <v>5575</v>
      </c>
      <c r="Y184" t="s">
        <v>5576</v>
      </c>
      <c r="Z184" t="s">
        <v>5472</v>
      </c>
      <c r="AA184" t="s">
        <v>5413</v>
      </c>
      <c r="AB184" t="s">
        <v>5414</v>
      </c>
      <c r="AC184" t="s">
        <v>5414</v>
      </c>
      <c r="AD184" t="s">
        <v>5414</v>
      </c>
      <c r="AG184" t="s">
        <v>5427</v>
      </c>
      <c r="AI184" t="s">
        <v>5577</v>
      </c>
      <c r="AJ184" t="s">
        <v>5447</v>
      </c>
      <c r="AL184" t="s">
        <v>5418</v>
      </c>
      <c r="AN184" t="s">
        <v>5419</v>
      </c>
    </row>
    <row r="185" spans="1:40" x14ac:dyDescent="0.25">
      <c r="A185">
        <v>1085474759</v>
      </c>
      <c r="B185" t="s">
        <v>5399</v>
      </c>
      <c r="C185">
        <v>252406</v>
      </c>
      <c r="D185" t="s">
        <v>5400</v>
      </c>
      <c r="E185">
        <v>46212.26834490741</v>
      </c>
      <c r="F185" t="s">
        <v>5401</v>
      </c>
      <c r="G185" t="s">
        <v>3668</v>
      </c>
      <c r="H185" t="s">
        <v>5402</v>
      </c>
      <c r="I185" t="s">
        <v>5403</v>
      </c>
      <c r="J185">
        <v>2026</v>
      </c>
      <c r="K185" t="s">
        <v>5701</v>
      </c>
      <c r="L185" t="s">
        <v>5702</v>
      </c>
      <c r="M185" t="s">
        <v>5406</v>
      </c>
      <c r="N185" s="1" t="s">
        <v>4565</v>
      </c>
      <c r="O185">
        <v>27.86</v>
      </c>
      <c r="P185">
        <v>3.59</v>
      </c>
      <c r="Q185">
        <v>33576</v>
      </c>
      <c r="R185">
        <v>168</v>
      </c>
      <c r="S185">
        <v>6.03</v>
      </c>
      <c r="T185" s="8">
        <v>100.02</v>
      </c>
      <c r="U185">
        <v>12815000</v>
      </c>
      <c r="V185" t="s">
        <v>5448</v>
      </c>
      <c r="W185" t="s">
        <v>5409</v>
      </c>
      <c r="X185" t="s">
        <v>5449</v>
      </c>
      <c r="Y185" t="s">
        <v>5450</v>
      </c>
      <c r="Z185" t="s">
        <v>5426</v>
      </c>
      <c r="AA185" t="s">
        <v>5413</v>
      </c>
      <c r="AB185" t="s">
        <v>5414</v>
      </c>
      <c r="AC185" t="s">
        <v>5414</v>
      </c>
      <c r="AD185" t="s">
        <v>5414</v>
      </c>
      <c r="AG185" t="s">
        <v>5427</v>
      </c>
      <c r="AI185" t="s">
        <v>5451</v>
      </c>
      <c r="AJ185" t="s">
        <v>5417</v>
      </c>
      <c r="AL185" t="s">
        <v>5418</v>
      </c>
      <c r="AN185" t="s">
        <v>5419</v>
      </c>
    </row>
    <row r="186" spans="1:40" x14ac:dyDescent="0.25">
      <c r="A186">
        <v>1085486751</v>
      </c>
      <c r="B186" t="s">
        <v>5399</v>
      </c>
      <c r="C186">
        <v>252406</v>
      </c>
      <c r="D186" t="s">
        <v>5400</v>
      </c>
      <c r="E186">
        <v>46212.296134259261</v>
      </c>
      <c r="F186" t="s">
        <v>5475</v>
      </c>
      <c r="G186" t="s">
        <v>3668</v>
      </c>
      <c r="H186" t="s">
        <v>5467</v>
      </c>
      <c r="I186" t="s">
        <v>5403</v>
      </c>
      <c r="J186">
        <v>2026</v>
      </c>
      <c r="K186" t="s">
        <v>5468</v>
      </c>
      <c r="L186" t="s">
        <v>5469</v>
      </c>
      <c r="M186" t="s">
        <v>5406</v>
      </c>
      <c r="N186" s="1" t="s">
        <v>4565</v>
      </c>
      <c r="O186">
        <v>38.31</v>
      </c>
      <c r="P186">
        <v>4.29</v>
      </c>
      <c r="Q186">
        <v>33296</v>
      </c>
      <c r="R186">
        <v>188</v>
      </c>
      <c r="S186">
        <v>4.91</v>
      </c>
      <c r="T186" s="8">
        <v>164.35</v>
      </c>
      <c r="U186">
        <v>11198252</v>
      </c>
      <c r="V186" t="s">
        <v>5424</v>
      </c>
      <c r="W186" t="s">
        <v>5409</v>
      </c>
      <c r="X186" t="s">
        <v>5425</v>
      </c>
      <c r="Y186" t="s">
        <v>5411</v>
      </c>
      <c r="Z186" t="s">
        <v>5426</v>
      </c>
      <c r="AA186" t="s">
        <v>5413</v>
      </c>
      <c r="AB186" t="s">
        <v>5414</v>
      </c>
      <c r="AC186" t="s">
        <v>5414</v>
      </c>
      <c r="AD186" t="s">
        <v>5414</v>
      </c>
      <c r="AG186" t="s">
        <v>5427</v>
      </c>
      <c r="AI186" t="s">
        <v>5428</v>
      </c>
      <c r="AJ186" t="s">
        <v>5697</v>
      </c>
      <c r="AL186" t="s">
        <v>5418</v>
      </c>
      <c r="AN186" t="s">
        <v>5419</v>
      </c>
    </row>
    <row r="187" spans="1:40" x14ac:dyDescent="0.25">
      <c r="A187">
        <v>1085489803</v>
      </c>
      <c r="B187" t="s">
        <v>5399</v>
      </c>
      <c r="C187">
        <v>252406</v>
      </c>
      <c r="D187" t="s">
        <v>5400</v>
      </c>
      <c r="E187">
        <v>46212.303611111114</v>
      </c>
      <c r="F187" t="s">
        <v>5462</v>
      </c>
      <c r="G187" t="s">
        <v>3668</v>
      </c>
      <c r="H187" t="s">
        <v>5402</v>
      </c>
      <c r="I187" t="s">
        <v>5403</v>
      </c>
      <c r="J187">
        <v>2026</v>
      </c>
      <c r="K187" t="s">
        <v>5604</v>
      </c>
      <c r="L187" t="s">
        <v>5605</v>
      </c>
      <c r="M187" t="s">
        <v>5406</v>
      </c>
      <c r="N187" s="1" t="s">
        <v>4565</v>
      </c>
      <c r="O187">
        <v>31.04</v>
      </c>
      <c r="P187">
        <v>4.2889999999999997</v>
      </c>
      <c r="Q187">
        <v>26500</v>
      </c>
      <c r="R187">
        <v>145</v>
      </c>
      <c r="S187">
        <v>4.67</v>
      </c>
      <c r="T187" s="8">
        <v>133.16</v>
      </c>
      <c r="U187">
        <v>11198252</v>
      </c>
      <c r="V187" t="s">
        <v>5424</v>
      </c>
      <c r="W187" t="s">
        <v>5409</v>
      </c>
      <c r="X187" t="s">
        <v>5425</v>
      </c>
      <c r="Y187" t="s">
        <v>5411</v>
      </c>
      <c r="Z187" t="s">
        <v>5426</v>
      </c>
      <c r="AA187" t="s">
        <v>5413</v>
      </c>
      <c r="AB187" t="s">
        <v>5414</v>
      </c>
      <c r="AC187" t="s">
        <v>5414</v>
      </c>
      <c r="AD187" t="s">
        <v>5414</v>
      </c>
      <c r="AG187" t="s">
        <v>5427</v>
      </c>
      <c r="AI187" t="s">
        <v>5428</v>
      </c>
      <c r="AJ187" t="s">
        <v>5465</v>
      </c>
      <c r="AL187" t="s">
        <v>5418</v>
      </c>
      <c r="AN187" t="s">
        <v>5419</v>
      </c>
    </row>
    <row r="188" spans="1:40" x14ac:dyDescent="0.25">
      <c r="A188">
        <v>1085491416</v>
      </c>
      <c r="B188" t="s">
        <v>5399</v>
      </c>
      <c r="C188">
        <v>252406</v>
      </c>
      <c r="D188" t="s">
        <v>5400</v>
      </c>
      <c r="E188">
        <v>46212.307152777779</v>
      </c>
      <c r="F188" t="s">
        <v>5466</v>
      </c>
      <c r="G188" t="s">
        <v>3668</v>
      </c>
      <c r="H188" t="s">
        <v>5467</v>
      </c>
      <c r="I188" t="s">
        <v>5403</v>
      </c>
      <c r="J188">
        <v>2025</v>
      </c>
      <c r="K188" t="s">
        <v>5468</v>
      </c>
      <c r="L188" t="s">
        <v>5469</v>
      </c>
      <c r="M188" t="s">
        <v>5406</v>
      </c>
      <c r="N188" s="1" t="s">
        <v>4565</v>
      </c>
      <c r="O188">
        <v>46.02</v>
      </c>
      <c r="P188">
        <v>4.29</v>
      </c>
      <c r="Q188">
        <v>62680</v>
      </c>
      <c r="R188">
        <v>155</v>
      </c>
      <c r="S188">
        <v>3.37</v>
      </c>
      <c r="T188" s="8">
        <v>197.43</v>
      </c>
      <c r="U188">
        <v>11198252</v>
      </c>
      <c r="V188" t="s">
        <v>5424</v>
      </c>
      <c r="W188" t="s">
        <v>5409</v>
      </c>
      <c r="X188" t="s">
        <v>5425</v>
      </c>
      <c r="Y188" t="s">
        <v>5411</v>
      </c>
      <c r="Z188" t="s">
        <v>5426</v>
      </c>
      <c r="AA188" t="s">
        <v>5413</v>
      </c>
      <c r="AB188" t="s">
        <v>5414</v>
      </c>
      <c r="AC188" t="s">
        <v>5414</v>
      </c>
      <c r="AD188" t="s">
        <v>5414</v>
      </c>
      <c r="AG188" t="s">
        <v>5427</v>
      </c>
      <c r="AI188" t="s">
        <v>5428</v>
      </c>
      <c r="AJ188" t="s">
        <v>5474</v>
      </c>
      <c r="AL188" t="s">
        <v>5418</v>
      </c>
      <c r="AN188" t="s">
        <v>5419</v>
      </c>
    </row>
    <row r="189" spans="1:40" x14ac:dyDescent="0.25">
      <c r="A189">
        <v>1085482145</v>
      </c>
      <c r="B189" t="s">
        <v>5399</v>
      </c>
      <c r="C189">
        <v>252406</v>
      </c>
      <c r="D189" t="s">
        <v>5400</v>
      </c>
      <c r="E189">
        <v>46212.32540509259</v>
      </c>
      <c r="F189" t="s">
        <v>5551</v>
      </c>
      <c r="G189" t="s">
        <v>3668</v>
      </c>
      <c r="H189" t="s">
        <v>5552</v>
      </c>
      <c r="I189" t="s">
        <v>5403</v>
      </c>
      <c r="J189">
        <v>2026</v>
      </c>
      <c r="K189" t="s">
        <v>5553</v>
      </c>
      <c r="L189" t="s">
        <v>5554</v>
      </c>
      <c r="M189" t="s">
        <v>5406</v>
      </c>
      <c r="N189" s="1" t="s">
        <v>4565</v>
      </c>
      <c r="O189">
        <v>43.25</v>
      </c>
      <c r="P189">
        <v>3.92</v>
      </c>
      <c r="Q189">
        <v>24757</v>
      </c>
      <c r="R189">
        <v>245</v>
      </c>
      <c r="S189">
        <v>5.66</v>
      </c>
      <c r="T189" s="8">
        <v>169.54</v>
      </c>
      <c r="U189">
        <v>490156</v>
      </c>
      <c r="V189" t="s">
        <v>5578</v>
      </c>
      <c r="W189" t="s">
        <v>5409</v>
      </c>
      <c r="X189" t="s">
        <v>5579</v>
      </c>
      <c r="Y189" t="s">
        <v>5458</v>
      </c>
      <c r="Z189" t="s">
        <v>5412</v>
      </c>
      <c r="AA189" t="s">
        <v>5413</v>
      </c>
      <c r="AB189" t="s">
        <v>5414</v>
      </c>
      <c r="AC189" t="s">
        <v>5414</v>
      </c>
      <c r="AD189" t="s">
        <v>5414</v>
      </c>
      <c r="AG189" t="s">
        <v>5415</v>
      </c>
      <c r="AI189" t="s">
        <v>5580</v>
      </c>
      <c r="AJ189" t="s">
        <v>5555</v>
      </c>
      <c r="AL189" t="s">
        <v>5418</v>
      </c>
      <c r="AN189" t="s">
        <v>5419</v>
      </c>
    </row>
    <row r="190" spans="1:40" x14ac:dyDescent="0.25">
      <c r="A190">
        <v>1085541422</v>
      </c>
      <c r="B190" t="s">
        <v>5399</v>
      </c>
      <c r="C190">
        <v>252406</v>
      </c>
      <c r="D190" t="s">
        <v>5400</v>
      </c>
      <c r="E190">
        <v>46212.477650462963</v>
      </c>
      <c r="F190" t="s">
        <v>5420</v>
      </c>
      <c r="G190" t="s">
        <v>3668</v>
      </c>
      <c r="H190" t="s">
        <v>5421</v>
      </c>
      <c r="I190" t="s">
        <v>5403</v>
      </c>
      <c r="J190">
        <v>2025</v>
      </c>
      <c r="K190" t="s">
        <v>5652</v>
      </c>
      <c r="L190" t="s">
        <v>5653</v>
      </c>
      <c r="M190" t="s">
        <v>5406</v>
      </c>
      <c r="N190" s="1" t="s">
        <v>4565</v>
      </c>
      <c r="O190">
        <v>35.090000000000003</v>
      </c>
      <c r="P190">
        <v>4.1890000000000001</v>
      </c>
      <c r="Q190">
        <v>68718</v>
      </c>
      <c r="R190">
        <v>283</v>
      </c>
      <c r="S190">
        <v>8.06</v>
      </c>
      <c r="T190" s="8">
        <v>147.02000000000001</v>
      </c>
      <c r="U190">
        <v>11040306</v>
      </c>
      <c r="V190" t="s">
        <v>5408</v>
      </c>
      <c r="W190" t="s">
        <v>5409</v>
      </c>
      <c r="X190" t="s">
        <v>5410</v>
      </c>
      <c r="Y190" t="s">
        <v>5411</v>
      </c>
      <c r="Z190" t="s">
        <v>5412</v>
      </c>
      <c r="AA190" t="s">
        <v>5413</v>
      </c>
      <c r="AB190" t="s">
        <v>5414</v>
      </c>
      <c r="AC190" t="s">
        <v>5414</v>
      </c>
      <c r="AD190" t="s">
        <v>5414</v>
      </c>
      <c r="AG190" t="s">
        <v>5415</v>
      </c>
      <c r="AI190" t="s">
        <v>5629</v>
      </c>
      <c r="AJ190" t="s">
        <v>5429</v>
      </c>
      <c r="AL190" t="s">
        <v>5418</v>
      </c>
      <c r="AN190" t="s">
        <v>5419</v>
      </c>
    </row>
    <row r="191" spans="1:40" x14ac:dyDescent="0.25">
      <c r="A191">
        <v>1085545669</v>
      </c>
      <c r="B191" t="s">
        <v>5399</v>
      </c>
      <c r="C191">
        <v>252406</v>
      </c>
      <c r="D191" t="s">
        <v>5400</v>
      </c>
      <c r="E191">
        <v>46212.49</v>
      </c>
      <c r="F191" t="s">
        <v>5435</v>
      </c>
      <c r="G191" t="s">
        <v>3668</v>
      </c>
      <c r="H191" t="s">
        <v>5421</v>
      </c>
      <c r="I191" t="s">
        <v>5403</v>
      </c>
      <c r="J191">
        <v>2026</v>
      </c>
      <c r="K191" t="s">
        <v>5436</v>
      </c>
      <c r="L191" t="s">
        <v>5437</v>
      </c>
      <c r="M191" t="s">
        <v>5406</v>
      </c>
      <c r="N191" s="1" t="s">
        <v>4565</v>
      </c>
      <c r="O191">
        <v>34.5</v>
      </c>
      <c r="P191">
        <v>4.3899999999999997</v>
      </c>
      <c r="Q191">
        <v>47398</v>
      </c>
      <c r="R191">
        <v>204</v>
      </c>
      <c r="S191">
        <v>5.91</v>
      </c>
      <c r="T191" s="8">
        <v>151.47</v>
      </c>
      <c r="U191">
        <v>12659741</v>
      </c>
      <c r="V191" t="s">
        <v>5766</v>
      </c>
      <c r="W191" t="s">
        <v>5409</v>
      </c>
      <c r="X191" t="s">
        <v>5767</v>
      </c>
      <c r="Y191" t="s">
        <v>5458</v>
      </c>
      <c r="Z191" t="s">
        <v>5709</v>
      </c>
      <c r="AA191" t="s">
        <v>5670</v>
      </c>
      <c r="AB191" t="s">
        <v>5414</v>
      </c>
      <c r="AC191" t="s">
        <v>5414</v>
      </c>
      <c r="AD191" t="s">
        <v>5414</v>
      </c>
      <c r="AG191" t="s">
        <v>5427</v>
      </c>
      <c r="AI191" t="s">
        <v>5768</v>
      </c>
      <c r="AJ191" t="s">
        <v>5443</v>
      </c>
      <c r="AL191" t="s">
        <v>5418</v>
      </c>
      <c r="AN191" t="s">
        <v>5419</v>
      </c>
    </row>
    <row r="192" spans="1:40" x14ac:dyDescent="0.25">
      <c r="A192">
        <v>1085561913</v>
      </c>
      <c r="B192" t="s">
        <v>5399</v>
      </c>
      <c r="C192">
        <v>252406</v>
      </c>
      <c r="D192" t="s">
        <v>5400</v>
      </c>
      <c r="E192">
        <v>46212.507893518516</v>
      </c>
      <c r="F192" t="s">
        <v>5430</v>
      </c>
      <c r="G192" t="s">
        <v>3668</v>
      </c>
      <c r="H192" t="s">
        <v>5431</v>
      </c>
      <c r="I192" t="s">
        <v>5403</v>
      </c>
      <c r="J192">
        <v>2025</v>
      </c>
      <c r="K192" t="s">
        <v>5432</v>
      </c>
      <c r="L192" t="s">
        <v>5433</v>
      </c>
      <c r="M192" t="s">
        <v>5406</v>
      </c>
      <c r="N192" s="1" t="s">
        <v>4565</v>
      </c>
      <c r="O192">
        <v>32.64</v>
      </c>
      <c r="P192">
        <v>4.29</v>
      </c>
      <c r="Q192">
        <v>63751</v>
      </c>
      <c r="R192">
        <v>268</v>
      </c>
      <c r="S192">
        <v>8.2100000000000009</v>
      </c>
      <c r="T192" s="8">
        <v>140.03</v>
      </c>
      <c r="U192">
        <v>11198252</v>
      </c>
      <c r="V192" t="s">
        <v>5424</v>
      </c>
      <c r="W192" t="s">
        <v>5409</v>
      </c>
      <c r="X192" t="s">
        <v>5425</v>
      </c>
      <c r="Y192" t="s">
        <v>5411</v>
      </c>
      <c r="Z192" t="s">
        <v>5426</v>
      </c>
      <c r="AA192" t="s">
        <v>5413</v>
      </c>
      <c r="AB192" t="s">
        <v>5414</v>
      </c>
      <c r="AC192" t="s">
        <v>5414</v>
      </c>
      <c r="AD192" t="s">
        <v>5414</v>
      </c>
      <c r="AG192" t="s">
        <v>5427</v>
      </c>
      <c r="AI192" t="s">
        <v>5428</v>
      </c>
      <c r="AJ192" t="s">
        <v>5434</v>
      </c>
      <c r="AL192" t="s">
        <v>5418</v>
      </c>
      <c r="AN192" t="s">
        <v>5419</v>
      </c>
    </row>
    <row r="193" spans="1:40" x14ac:dyDescent="0.25">
      <c r="A193">
        <v>1085561228</v>
      </c>
      <c r="B193" t="s">
        <v>5399</v>
      </c>
      <c r="C193">
        <v>252406</v>
      </c>
      <c r="D193" t="s">
        <v>5400</v>
      </c>
      <c r="E193">
        <v>46212.548819444448</v>
      </c>
      <c r="F193" t="s">
        <v>5693</v>
      </c>
      <c r="G193" t="s">
        <v>3668</v>
      </c>
      <c r="H193" t="s">
        <v>5431</v>
      </c>
      <c r="I193" t="s">
        <v>5403</v>
      </c>
      <c r="J193">
        <v>2025</v>
      </c>
      <c r="K193" t="s">
        <v>5694</v>
      </c>
      <c r="L193" t="s">
        <v>5695</v>
      </c>
      <c r="M193" t="s">
        <v>5406</v>
      </c>
      <c r="N193" s="1" t="s">
        <v>4565</v>
      </c>
      <c r="O193">
        <v>42.86</v>
      </c>
      <c r="P193">
        <v>4.1890000000000001</v>
      </c>
      <c r="Q193">
        <v>54352</v>
      </c>
      <c r="R193">
        <v>255</v>
      </c>
      <c r="S193">
        <v>5.95</v>
      </c>
      <c r="T193" s="8">
        <v>179.58</v>
      </c>
      <c r="U193">
        <v>11040306</v>
      </c>
      <c r="V193" t="s">
        <v>5408</v>
      </c>
      <c r="W193" t="s">
        <v>5409</v>
      </c>
      <c r="X193" t="s">
        <v>5410</v>
      </c>
      <c r="Y193" t="s">
        <v>5411</v>
      </c>
      <c r="Z193" t="s">
        <v>5412</v>
      </c>
      <c r="AA193" t="s">
        <v>5413</v>
      </c>
      <c r="AB193" t="s">
        <v>5414</v>
      </c>
      <c r="AC193" t="s">
        <v>5414</v>
      </c>
      <c r="AD193" t="s">
        <v>5414</v>
      </c>
      <c r="AG193" t="s">
        <v>5415</v>
      </c>
      <c r="AI193" t="s">
        <v>5460</v>
      </c>
      <c r="AJ193" t="s">
        <v>5696</v>
      </c>
      <c r="AL193" t="s">
        <v>5418</v>
      </c>
      <c r="AN193" t="s">
        <v>5419</v>
      </c>
    </row>
    <row r="194" spans="1:40" x14ac:dyDescent="0.25">
      <c r="A194">
        <v>1085562181</v>
      </c>
      <c r="B194" t="s">
        <v>5399</v>
      </c>
      <c r="C194">
        <v>252406</v>
      </c>
      <c r="D194" t="s">
        <v>5400</v>
      </c>
      <c r="E194">
        <v>46212.552916666667</v>
      </c>
      <c r="F194" t="s">
        <v>5556</v>
      </c>
      <c r="G194" t="s">
        <v>3668</v>
      </c>
      <c r="H194" t="s">
        <v>5431</v>
      </c>
      <c r="I194" t="s">
        <v>5403</v>
      </c>
      <c r="J194">
        <v>2026</v>
      </c>
      <c r="K194" t="s">
        <v>5557</v>
      </c>
      <c r="L194" t="s">
        <v>5558</v>
      </c>
      <c r="M194" t="s">
        <v>5406</v>
      </c>
      <c r="N194" s="1" t="s">
        <v>4565</v>
      </c>
      <c r="O194">
        <v>38.1</v>
      </c>
      <c r="P194">
        <v>4.1890000000000001</v>
      </c>
      <c r="Q194">
        <v>10774</v>
      </c>
      <c r="R194">
        <v>221</v>
      </c>
      <c r="S194">
        <v>5.8</v>
      </c>
      <c r="T194" s="8">
        <v>159.63</v>
      </c>
      <c r="U194">
        <v>11040306</v>
      </c>
      <c r="V194" t="s">
        <v>5408</v>
      </c>
      <c r="W194" t="s">
        <v>5409</v>
      </c>
      <c r="X194" t="s">
        <v>5410</v>
      </c>
      <c r="Y194" t="s">
        <v>5411</v>
      </c>
      <c r="Z194" t="s">
        <v>5412</v>
      </c>
      <c r="AA194" t="s">
        <v>5413</v>
      </c>
      <c r="AB194" t="s">
        <v>5414</v>
      </c>
      <c r="AC194" t="s">
        <v>5414</v>
      </c>
      <c r="AD194" t="s">
        <v>5414</v>
      </c>
      <c r="AG194" t="s">
        <v>5415</v>
      </c>
      <c r="AI194" t="s">
        <v>5460</v>
      </c>
      <c r="AJ194" t="s">
        <v>5559</v>
      </c>
      <c r="AL194" t="s">
        <v>5418</v>
      </c>
      <c r="AN194" t="s">
        <v>5419</v>
      </c>
    </row>
    <row r="195" spans="1:40" x14ac:dyDescent="0.25">
      <c r="A195">
        <v>1085590049</v>
      </c>
      <c r="B195" t="s">
        <v>5399</v>
      </c>
      <c r="C195">
        <v>252406</v>
      </c>
      <c r="D195" t="s">
        <v>5400</v>
      </c>
      <c r="E195">
        <v>46212.589490740742</v>
      </c>
      <c r="F195" t="s">
        <v>5486</v>
      </c>
      <c r="G195" t="s">
        <v>3668</v>
      </c>
      <c r="H195" t="s">
        <v>5487</v>
      </c>
      <c r="I195" t="s">
        <v>5403</v>
      </c>
      <c r="J195">
        <v>2025</v>
      </c>
      <c r="K195" t="s">
        <v>5488</v>
      </c>
      <c r="L195" t="s">
        <v>5489</v>
      </c>
      <c r="M195" t="s">
        <v>5406</v>
      </c>
      <c r="N195" s="1" t="s">
        <v>4565</v>
      </c>
      <c r="O195">
        <v>34.020000000000003</v>
      </c>
      <c r="P195">
        <v>4.07</v>
      </c>
      <c r="Q195">
        <v>54074</v>
      </c>
      <c r="R195">
        <v>291</v>
      </c>
      <c r="S195">
        <v>8.5500000000000007</v>
      </c>
      <c r="T195" s="8">
        <v>138.47</v>
      </c>
      <c r="U195">
        <v>12192843</v>
      </c>
      <c r="V195" t="s">
        <v>5723</v>
      </c>
      <c r="W195" t="s">
        <v>5409</v>
      </c>
      <c r="X195" t="s">
        <v>5724</v>
      </c>
      <c r="Y195" t="s">
        <v>5725</v>
      </c>
      <c r="Z195" t="s">
        <v>5726</v>
      </c>
      <c r="AA195" t="s">
        <v>5413</v>
      </c>
      <c r="AB195" t="s">
        <v>5414</v>
      </c>
      <c r="AC195" t="s">
        <v>5414</v>
      </c>
      <c r="AD195" t="s">
        <v>5414</v>
      </c>
      <c r="AG195" t="s">
        <v>5427</v>
      </c>
      <c r="AI195" t="s">
        <v>5727</v>
      </c>
      <c r="AJ195" t="s">
        <v>5493</v>
      </c>
      <c r="AL195" t="s">
        <v>5418</v>
      </c>
      <c r="AN195" t="s">
        <v>5419</v>
      </c>
    </row>
    <row r="196" spans="1:40" x14ac:dyDescent="0.25">
      <c r="A196">
        <v>1085574618</v>
      </c>
      <c r="B196" t="s">
        <v>5399</v>
      </c>
      <c r="C196">
        <v>252406</v>
      </c>
      <c r="D196" t="s">
        <v>5400</v>
      </c>
      <c r="E196">
        <v>46212.590729166666</v>
      </c>
      <c r="F196" t="s">
        <v>5626</v>
      </c>
      <c r="G196" t="s">
        <v>3668</v>
      </c>
      <c r="H196" t="s">
        <v>5552</v>
      </c>
      <c r="I196" t="s">
        <v>5403</v>
      </c>
      <c r="J196">
        <v>2026</v>
      </c>
      <c r="K196" t="s">
        <v>5627</v>
      </c>
      <c r="L196" t="s">
        <v>5628</v>
      </c>
      <c r="M196" t="s">
        <v>5406</v>
      </c>
      <c r="N196" s="1" t="s">
        <v>4565</v>
      </c>
      <c r="O196">
        <v>51.42</v>
      </c>
      <c r="P196">
        <v>4.1890000000000001</v>
      </c>
      <c r="Q196">
        <v>21463</v>
      </c>
      <c r="R196">
        <v>178</v>
      </c>
      <c r="S196">
        <v>3.46</v>
      </c>
      <c r="T196" s="8">
        <v>215.44</v>
      </c>
      <c r="U196">
        <v>11040306</v>
      </c>
      <c r="V196" t="s">
        <v>5408</v>
      </c>
      <c r="W196" t="s">
        <v>5409</v>
      </c>
      <c r="X196" t="s">
        <v>5410</v>
      </c>
      <c r="Y196" t="s">
        <v>5411</v>
      </c>
      <c r="Z196" t="s">
        <v>5412</v>
      </c>
      <c r="AA196" t="s">
        <v>5413</v>
      </c>
      <c r="AB196" t="s">
        <v>5414</v>
      </c>
      <c r="AC196" t="s">
        <v>5414</v>
      </c>
      <c r="AD196" t="s">
        <v>5414</v>
      </c>
      <c r="AG196" t="s">
        <v>5415</v>
      </c>
      <c r="AI196" t="s">
        <v>5460</v>
      </c>
      <c r="AJ196" t="s">
        <v>5630</v>
      </c>
      <c r="AL196" t="s">
        <v>5418</v>
      </c>
      <c r="AN196" t="s">
        <v>5419</v>
      </c>
    </row>
    <row r="197" spans="1:40" x14ac:dyDescent="0.25">
      <c r="A197">
        <v>1085591240</v>
      </c>
      <c r="B197" t="s">
        <v>5399</v>
      </c>
      <c r="C197">
        <v>252406</v>
      </c>
      <c r="D197" t="s">
        <v>5400</v>
      </c>
      <c r="E197">
        <v>46212.593668981484</v>
      </c>
      <c r="F197" t="s">
        <v>5505</v>
      </c>
      <c r="G197" t="s">
        <v>3668</v>
      </c>
      <c r="H197" t="s">
        <v>5506</v>
      </c>
      <c r="I197" t="s">
        <v>5403</v>
      </c>
      <c r="J197">
        <v>2026</v>
      </c>
      <c r="K197" t="s">
        <v>5507</v>
      </c>
      <c r="L197" t="s">
        <v>5508</v>
      </c>
      <c r="M197" t="s">
        <v>5406</v>
      </c>
      <c r="N197" s="1" t="s">
        <v>4565</v>
      </c>
      <c r="O197">
        <v>38.64</v>
      </c>
      <c r="P197">
        <v>3.59</v>
      </c>
      <c r="Q197">
        <v>4435</v>
      </c>
      <c r="R197">
        <v>289</v>
      </c>
      <c r="S197">
        <v>7.48</v>
      </c>
      <c r="T197" s="8">
        <v>138.72</v>
      </c>
      <c r="U197">
        <v>12815000</v>
      </c>
      <c r="V197" t="s">
        <v>5448</v>
      </c>
      <c r="W197" t="s">
        <v>5409</v>
      </c>
      <c r="X197" t="s">
        <v>5449</v>
      </c>
      <c r="Y197" t="s">
        <v>5450</v>
      </c>
      <c r="Z197" t="s">
        <v>5426</v>
      </c>
      <c r="AA197" t="s">
        <v>5413</v>
      </c>
      <c r="AB197" t="s">
        <v>5414</v>
      </c>
      <c r="AC197" t="s">
        <v>5414</v>
      </c>
      <c r="AD197" t="s">
        <v>5414</v>
      </c>
      <c r="AG197" t="s">
        <v>5427</v>
      </c>
      <c r="AI197" t="s">
        <v>5451</v>
      </c>
      <c r="AJ197" t="s">
        <v>5509</v>
      </c>
      <c r="AL197" t="s">
        <v>5418</v>
      </c>
      <c r="AN197" t="s">
        <v>5419</v>
      </c>
    </row>
    <row r="198" spans="1:40" x14ac:dyDescent="0.25">
      <c r="A198">
        <v>1085608391</v>
      </c>
      <c r="B198" t="s">
        <v>5399</v>
      </c>
      <c r="C198">
        <v>252406</v>
      </c>
      <c r="D198" t="s">
        <v>5400</v>
      </c>
      <c r="E198">
        <v>46212.645289351851</v>
      </c>
      <c r="F198" t="s">
        <v>5743</v>
      </c>
      <c r="G198" t="s">
        <v>3668</v>
      </c>
      <c r="H198" t="s">
        <v>5539</v>
      </c>
      <c r="I198" t="s">
        <v>5403</v>
      </c>
      <c r="J198">
        <v>2026</v>
      </c>
      <c r="K198" t="s">
        <v>5753</v>
      </c>
      <c r="L198" t="s">
        <v>5754</v>
      </c>
      <c r="M198" t="s">
        <v>5406</v>
      </c>
      <c r="N198" s="1" t="s">
        <v>4565</v>
      </c>
      <c r="O198">
        <v>42.34</v>
      </c>
      <c r="P198">
        <v>4.29</v>
      </c>
      <c r="Q198">
        <v>16404</v>
      </c>
      <c r="R198">
        <v>275</v>
      </c>
      <c r="S198">
        <v>6.5</v>
      </c>
      <c r="T198" s="8">
        <v>181.64</v>
      </c>
      <c r="U198">
        <v>11198252</v>
      </c>
      <c r="V198" t="s">
        <v>5424</v>
      </c>
      <c r="W198" t="s">
        <v>5409</v>
      </c>
      <c r="X198" t="s">
        <v>5425</v>
      </c>
      <c r="Y198" t="s">
        <v>5411</v>
      </c>
      <c r="Z198" t="s">
        <v>5426</v>
      </c>
      <c r="AA198" t="s">
        <v>5413</v>
      </c>
      <c r="AB198" t="s">
        <v>5414</v>
      </c>
      <c r="AC198" t="s">
        <v>5414</v>
      </c>
      <c r="AD198" t="s">
        <v>5414</v>
      </c>
      <c r="AG198" t="s">
        <v>5427</v>
      </c>
      <c r="AI198" t="s">
        <v>5428</v>
      </c>
      <c r="AJ198" t="s">
        <v>5746</v>
      </c>
      <c r="AL198" t="s">
        <v>5418</v>
      </c>
      <c r="AN198" t="s">
        <v>5419</v>
      </c>
    </row>
    <row r="199" spans="1:40" x14ac:dyDescent="0.25">
      <c r="A199">
        <v>1085615433</v>
      </c>
      <c r="B199" t="s">
        <v>5399</v>
      </c>
      <c r="C199">
        <v>252406</v>
      </c>
      <c r="D199" t="s">
        <v>5400</v>
      </c>
      <c r="E199">
        <v>46212.664386574077</v>
      </c>
      <c r="F199" t="s">
        <v>5617</v>
      </c>
      <c r="G199" t="s">
        <v>3668</v>
      </c>
      <c r="H199" t="s">
        <v>5467</v>
      </c>
      <c r="I199" t="s">
        <v>5403</v>
      </c>
      <c r="J199">
        <v>2026</v>
      </c>
      <c r="K199" t="s">
        <v>5618</v>
      </c>
      <c r="L199" t="s">
        <v>5619</v>
      </c>
      <c r="M199" t="s">
        <v>5406</v>
      </c>
      <c r="N199" s="1" t="s">
        <v>4565</v>
      </c>
      <c r="O199">
        <v>36.75</v>
      </c>
      <c r="P199">
        <v>3.589</v>
      </c>
      <c r="Q199">
        <v>53922</v>
      </c>
      <c r="R199">
        <v>258</v>
      </c>
      <c r="S199">
        <v>7.02</v>
      </c>
      <c r="T199" s="8">
        <v>131.93</v>
      </c>
      <c r="U199">
        <v>12815000</v>
      </c>
      <c r="V199" t="s">
        <v>5448</v>
      </c>
      <c r="W199" t="s">
        <v>5409</v>
      </c>
      <c r="X199" t="s">
        <v>5449</v>
      </c>
      <c r="Y199" t="s">
        <v>5450</v>
      </c>
      <c r="Z199" t="s">
        <v>5426</v>
      </c>
      <c r="AA199" t="s">
        <v>5413</v>
      </c>
      <c r="AB199" t="s">
        <v>5414</v>
      </c>
      <c r="AC199" t="s">
        <v>5414</v>
      </c>
      <c r="AD199" t="s">
        <v>5414</v>
      </c>
      <c r="AG199" t="s">
        <v>5427</v>
      </c>
      <c r="AI199" t="s">
        <v>5451</v>
      </c>
      <c r="AJ199" t="s">
        <v>5620</v>
      </c>
      <c r="AL199" t="s">
        <v>5418</v>
      </c>
      <c r="AN199" t="s">
        <v>5419</v>
      </c>
    </row>
    <row r="200" spans="1:40" x14ac:dyDescent="0.25">
      <c r="A200">
        <v>1085604325</v>
      </c>
      <c r="B200" t="s">
        <v>5399</v>
      </c>
      <c r="C200">
        <v>252406</v>
      </c>
      <c r="D200" t="s">
        <v>5400</v>
      </c>
      <c r="E200">
        <v>46212.674849537034</v>
      </c>
      <c r="F200" t="s">
        <v>5519</v>
      </c>
      <c r="G200" t="s">
        <v>3668</v>
      </c>
      <c r="H200" t="s">
        <v>5467</v>
      </c>
      <c r="I200" t="s">
        <v>5403</v>
      </c>
      <c r="J200">
        <v>2027</v>
      </c>
      <c r="K200" t="s">
        <v>5751</v>
      </c>
      <c r="L200" t="s">
        <v>5752</v>
      </c>
      <c r="M200" t="s">
        <v>5406</v>
      </c>
      <c r="N200" s="1" t="s">
        <v>4565</v>
      </c>
      <c r="O200">
        <v>23.82</v>
      </c>
      <c r="P200">
        <v>4.1890000000000001</v>
      </c>
      <c r="Q200">
        <v>12771</v>
      </c>
      <c r="R200">
        <v>159</v>
      </c>
      <c r="S200">
        <v>6.68</v>
      </c>
      <c r="T200" s="8">
        <v>99.8</v>
      </c>
      <c r="U200">
        <v>11040306</v>
      </c>
      <c r="V200" t="s">
        <v>5408</v>
      </c>
      <c r="W200" t="s">
        <v>5409</v>
      </c>
      <c r="X200" t="s">
        <v>5410</v>
      </c>
      <c r="Y200" t="s">
        <v>5411</v>
      </c>
      <c r="Z200" t="s">
        <v>5412</v>
      </c>
      <c r="AA200" t="s">
        <v>5413</v>
      </c>
      <c r="AB200" t="s">
        <v>5414</v>
      </c>
      <c r="AC200" t="s">
        <v>5414</v>
      </c>
      <c r="AD200" t="s">
        <v>5414</v>
      </c>
      <c r="AG200" t="s">
        <v>5415</v>
      </c>
      <c r="AI200" t="s">
        <v>5460</v>
      </c>
      <c r="AJ200" t="s">
        <v>5523</v>
      </c>
      <c r="AL200" t="s">
        <v>5418</v>
      </c>
      <c r="AN200" t="s">
        <v>5419</v>
      </c>
    </row>
    <row r="201" spans="1:40" x14ac:dyDescent="0.25">
      <c r="A201">
        <v>1085621121</v>
      </c>
      <c r="B201" t="s">
        <v>5399</v>
      </c>
      <c r="C201">
        <v>252406</v>
      </c>
      <c r="D201" t="s">
        <v>5400</v>
      </c>
      <c r="E201">
        <v>46212.679456018515</v>
      </c>
      <c r="F201" t="s">
        <v>5581</v>
      </c>
      <c r="G201" t="s">
        <v>3668</v>
      </c>
      <c r="H201" t="s">
        <v>5467</v>
      </c>
      <c r="I201" t="s">
        <v>5403</v>
      </c>
      <c r="J201">
        <v>2026</v>
      </c>
      <c r="K201" t="s">
        <v>5582</v>
      </c>
      <c r="L201" t="s">
        <v>5583</v>
      </c>
      <c r="M201" t="s">
        <v>5406</v>
      </c>
      <c r="N201" s="1" t="s">
        <v>4565</v>
      </c>
      <c r="O201">
        <v>43.88</v>
      </c>
      <c r="P201">
        <v>4.29</v>
      </c>
      <c r="Q201">
        <v>30362</v>
      </c>
      <c r="R201">
        <v>235</v>
      </c>
      <c r="S201">
        <v>5.36</v>
      </c>
      <c r="T201" s="8">
        <v>188.25</v>
      </c>
      <c r="U201">
        <v>11198252</v>
      </c>
      <c r="V201" t="s">
        <v>5424</v>
      </c>
      <c r="W201" t="s">
        <v>5409</v>
      </c>
      <c r="X201" t="s">
        <v>5425</v>
      </c>
      <c r="Y201" t="s">
        <v>5411</v>
      </c>
      <c r="Z201" t="s">
        <v>5426</v>
      </c>
      <c r="AA201" t="s">
        <v>5413</v>
      </c>
      <c r="AB201" t="s">
        <v>5414</v>
      </c>
      <c r="AC201" t="s">
        <v>5414</v>
      </c>
      <c r="AD201" t="s">
        <v>5414</v>
      </c>
      <c r="AG201" t="s">
        <v>5427</v>
      </c>
      <c r="AI201" t="s">
        <v>5428</v>
      </c>
      <c r="AJ201" t="s">
        <v>5584</v>
      </c>
      <c r="AL201" t="s">
        <v>5418</v>
      </c>
      <c r="AN201" t="s">
        <v>5419</v>
      </c>
    </row>
    <row r="202" spans="1:40" x14ac:dyDescent="0.25">
      <c r="A202">
        <v>1085632579</v>
      </c>
      <c r="B202" t="s">
        <v>5399</v>
      </c>
      <c r="C202">
        <v>252406</v>
      </c>
      <c r="D202" t="s">
        <v>5400</v>
      </c>
      <c r="E202">
        <v>46212.714282407411</v>
      </c>
      <c r="F202" t="s">
        <v>5635</v>
      </c>
      <c r="G202" t="s">
        <v>3668</v>
      </c>
      <c r="H202" t="s">
        <v>5453</v>
      </c>
      <c r="I202" t="s">
        <v>5403</v>
      </c>
      <c r="J202">
        <v>2026</v>
      </c>
      <c r="K202" t="s">
        <v>5636</v>
      </c>
      <c r="L202" t="s">
        <v>5637</v>
      </c>
      <c r="M202" t="s">
        <v>5406</v>
      </c>
      <c r="N202" s="1" t="s">
        <v>4565</v>
      </c>
      <c r="O202">
        <v>36.08</v>
      </c>
      <c r="P202">
        <v>4.2889999999999997</v>
      </c>
      <c r="Q202">
        <v>10561</v>
      </c>
      <c r="R202">
        <v>262</v>
      </c>
      <c r="S202">
        <v>7.26</v>
      </c>
      <c r="T202" s="8">
        <v>154.78</v>
      </c>
      <c r="U202">
        <v>11198252</v>
      </c>
      <c r="V202" t="s">
        <v>5424</v>
      </c>
      <c r="W202" t="s">
        <v>5409</v>
      </c>
      <c r="X202" t="s">
        <v>5425</v>
      </c>
      <c r="Y202" t="s">
        <v>5411</v>
      </c>
      <c r="Z202" t="s">
        <v>5426</v>
      </c>
      <c r="AA202" t="s">
        <v>5413</v>
      </c>
      <c r="AB202" t="s">
        <v>5414</v>
      </c>
      <c r="AC202" t="s">
        <v>5414</v>
      </c>
      <c r="AD202" t="s">
        <v>5414</v>
      </c>
      <c r="AG202" t="s">
        <v>5427</v>
      </c>
      <c r="AI202" t="s">
        <v>5428</v>
      </c>
      <c r="AJ202" t="s">
        <v>5638</v>
      </c>
      <c r="AL202" t="s">
        <v>5418</v>
      </c>
      <c r="AN202" t="s">
        <v>5419</v>
      </c>
    </row>
    <row r="203" spans="1:40" x14ac:dyDescent="0.25">
      <c r="A203">
        <v>1085620653</v>
      </c>
      <c r="B203" t="s">
        <v>5399</v>
      </c>
      <c r="C203">
        <v>252406</v>
      </c>
      <c r="D203" t="s">
        <v>5400</v>
      </c>
      <c r="E203">
        <v>46212.719895833332</v>
      </c>
      <c r="F203" t="s">
        <v>5452</v>
      </c>
      <c r="G203" t="s">
        <v>3668</v>
      </c>
      <c r="H203" t="s">
        <v>5453</v>
      </c>
      <c r="I203" t="s">
        <v>5403</v>
      </c>
      <c r="J203">
        <v>2026</v>
      </c>
      <c r="K203" t="s">
        <v>5454</v>
      </c>
      <c r="L203" t="s">
        <v>5455</v>
      </c>
      <c r="M203" t="s">
        <v>5406</v>
      </c>
      <c r="N203" s="1" t="s">
        <v>4565</v>
      </c>
      <c r="O203">
        <v>31</v>
      </c>
      <c r="P203">
        <v>4.49</v>
      </c>
      <c r="Q203">
        <v>39409</v>
      </c>
      <c r="R203">
        <v>319</v>
      </c>
      <c r="S203">
        <v>10.29</v>
      </c>
      <c r="T203" s="8">
        <v>139.19</v>
      </c>
      <c r="U203">
        <v>578355</v>
      </c>
      <c r="V203" t="s">
        <v>5481</v>
      </c>
      <c r="W203" t="s">
        <v>5409</v>
      </c>
      <c r="X203" t="s">
        <v>5482</v>
      </c>
      <c r="Y203" t="s">
        <v>5411</v>
      </c>
      <c r="Z203" t="s">
        <v>5483</v>
      </c>
      <c r="AA203" t="s">
        <v>5413</v>
      </c>
      <c r="AB203" t="s">
        <v>5414</v>
      </c>
      <c r="AC203" t="s">
        <v>5414</v>
      </c>
      <c r="AD203" t="s">
        <v>5414</v>
      </c>
      <c r="AG203" t="s">
        <v>5415</v>
      </c>
      <c r="AI203" t="s">
        <v>5484</v>
      </c>
      <c r="AJ203" t="s">
        <v>5461</v>
      </c>
      <c r="AL203" t="s">
        <v>5418</v>
      </c>
      <c r="AN203" t="s">
        <v>5419</v>
      </c>
    </row>
    <row r="204" spans="1:40" x14ac:dyDescent="0.25">
      <c r="A204">
        <v>1085649059</v>
      </c>
      <c r="B204" t="s">
        <v>5399</v>
      </c>
      <c r="C204">
        <v>252406</v>
      </c>
      <c r="D204" t="s">
        <v>5400</v>
      </c>
      <c r="E204">
        <v>46212.787314814814</v>
      </c>
      <c r="F204" t="s">
        <v>5651</v>
      </c>
      <c r="G204" t="s">
        <v>3668</v>
      </c>
      <c r="H204" t="s">
        <v>5467</v>
      </c>
      <c r="I204" t="s">
        <v>5403</v>
      </c>
      <c r="J204">
        <v>2026</v>
      </c>
      <c r="K204" t="s">
        <v>5738</v>
      </c>
      <c r="L204" t="s">
        <v>5739</v>
      </c>
      <c r="M204" t="s">
        <v>5406</v>
      </c>
      <c r="N204" s="1" t="s">
        <v>4565</v>
      </c>
      <c r="O204">
        <v>38.17</v>
      </c>
      <c r="P204">
        <v>4.29</v>
      </c>
      <c r="Q204">
        <v>46916</v>
      </c>
      <c r="R204">
        <v>351</v>
      </c>
      <c r="S204">
        <v>9.1999999999999993</v>
      </c>
      <c r="T204" s="8">
        <v>163.75</v>
      </c>
      <c r="U204">
        <v>11198252</v>
      </c>
      <c r="V204" t="s">
        <v>5424</v>
      </c>
      <c r="W204" t="s">
        <v>5409</v>
      </c>
      <c r="X204" t="s">
        <v>5425</v>
      </c>
      <c r="Y204" t="s">
        <v>5411</v>
      </c>
      <c r="Z204" t="s">
        <v>5426</v>
      </c>
      <c r="AA204" t="s">
        <v>5413</v>
      </c>
      <c r="AB204" t="s">
        <v>5414</v>
      </c>
      <c r="AC204" t="s">
        <v>5414</v>
      </c>
      <c r="AD204" t="s">
        <v>5414</v>
      </c>
      <c r="AG204" t="s">
        <v>5427</v>
      </c>
      <c r="AI204" t="s">
        <v>5428</v>
      </c>
      <c r="AJ204" t="s">
        <v>5654</v>
      </c>
      <c r="AL204" t="s">
        <v>5418</v>
      </c>
      <c r="AN204" t="s">
        <v>5419</v>
      </c>
    </row>
    <row r="205" spans="1:40" x14ac:dyDescent="0.25">
      <c r="A205">
        <v>1085649528</v>
      </c>
      <c r="B205" t="s">
        <v>5399</v>
      </c>
      <c r="C205">
        <v>252406</v>
      </c>
      <c r="D205" t="s">
        <v>5400</v>
      </c>
      <c r="E205">
        <v>46212.790833333333</v>
      </c>
      <c r="F205" t="s">
        <v>5475</v>
      </c>
      <c r="G205" t="s">
        <v>3668</v>
      </c>
      <c r="H205" t="s">
        <v>5467</v>
      </c>
      <c r="I205" t="s">
        <v>5403</v>
      </c>
      <c r="J205">
        <v>2026</v>
      </c>
      <c r="K205" t="s">
        <v>5468</v>
      </c>
      <c r="L205" t="s">
        <v>5469</v>
      </c>
      <c r="M205" t="s">
        <v>5406</v>
      </c>
      <c r="N205" s="1" t="s">
        <v>4565</v>
      </c>
      <c r="O205">
        <v>45.89</v>
      </c>
      <c r="P205">
        <v>3.59</v>
      </c>
      <c r="Q205">
        <v>33569</v>
      </c>
      <c r="R205">
        <v>273</v>
      </c>
      <c r="S205">
        <v>5.95</v>
      </c>
      <c r="T205" s="8">
        <v>164.75</v>
      </c>
      <c r="U205">
        <v>12815000</v>
      </c>
      <c r="V205" t="s">
        <v>5448</v>
      </c>
      <c r="W205" t="s">
        <v>5409</v>
      </c>
      <c r="X205" t="s">
        <v>5449</v>
      </c>
      <c r="Y205" t="s">
        <v>5450</v>
      </c>
      <c r="Z205" t="s">
        <v>5426</v>
      </c>
      <c r="AA205" t="s">
        <v>5413</v>
      </c>
      <c r="AB205" t="s">
        <v>5414</v>
      </c>
      <c r="AC205" t="s">
        <v>5414</v>
      </c>
      <c r="AD205" t="s">
        <v>5414</v>
      </c>
      <c r="AG205" t="s">
        <v>5427</v>
      </c>
      <c r="AI205" t="s">
        <v>5451</v>
      </c>
      <c r="AJ205" t="s">
        <v>5697</v>
      </c>
      <c r="AL205" t="s">
        <v>5418</v>
      </c>
      <c r="AN205" t="s">
        <v>5419</v>
      </c>
    </row>
    <row r="206" spans="1:40" x14ac:dyDescent="0.25">
      <c r="A206">
        <v>1085648947</v>
      </c>
      <c r="B206" t="s">
        <v>5399</v>
      </c>
      <c r="C206">
        <v>252406</v>
      </c>
      <c r="D206" t="s">
        <v>5400</v>
      </c>
      <c r="E206">
        <v>46212.828402777777</v>
      </c>
      <c r="F206" t="s">
        <v>5621</v>
      </c>
      <c r="G206" t="s">
        <v>3668</v>
      </c>
      <c r="H206" t="s">
        <v>5421</v>
      </c>
      <c r="I206" t="s">
        <v>5621</v>
      </c>
      <c r="J206">
        <v>2024</v>
      </c>
      <c r="K206" t="s">
        <v>5622</v>
      </c>
      <c r="L206" t="s">
        <v>5623</v>
      </c>
      <c r="M206" t="s">
        <v>5406</v>
      </c>
      <c r="N206" s="1" t="s">
        <v>4565</v>
      </c>
      <c r="O206">
        <v>39.58</v>
      </c>
      <c r="P206">
        <v>3.919</v>
      </c>
      <c r="Q206">
        <v>97500</v>
      </c>
      <c r="R206">
        <v>279</v>
      </c>
      <c r="S206">
        <v>7.05</v>
      </c>
      <c r="T206" s="8">
        <v>155.15</v>
      </c>
      <c r="U206">
        <v>490156</v>
      </c>
      <c r="V206" t="s">
        <v>5578</v>
      </c>
      <c r="W206" t="s">
        <v>5409</v>
      </c>
      <c r="X206" t="s">
        <v>5579</v>
      </c>
      <c r="Y206" t="s">
        <v>5458</v>
      </c>
      <c r="Z206" t="s">
        <v>5412</v>
      </c>
      <c r="AA206" t="s">
        <v>5413</v>
      </c>
      <c r="AB206" t="s">
        <v>5414</v>
      </c>
      <c r="AC206" t="s">
        <v>5414</v>
      </c>
      <c r="AD206" t="s">
        <v>5414</v>
      </c>
      <c r="AG206" t="s">
        <v>5415</v>
      </c>
      <c r="AI206" t="s">
        <v>5580</v>
      </c>
      <c r="AJ206" t="s">
        <v>5624</v>
      </c>
      <c r="AK206" t="s">
        <v>5528</v>
      </c>
      <c r="AL206" t="s">
        <v>5418</v>
      </c>
      <c r="AN206" t="s">
        <v>5625</v>
      </c>
    </row>
    <row r="207" spans="1:40" x14ac:dyDescent="0.25">
      <c r="A207">
        <v>1085666201</v>
      </c>
      <c r="B207" t="s">
        <v>5399</v>
      </c>
      <c r="C207">
        <v>252406</v>
      </c>
      <c r="D207" t="s">
        <v>5400</v>
      </c>
      <c r="E207">
        <v>46213.246435185189</v>
      </c>
      <c r="F207" t="s">
        <v>5475</v>
      </c>
      <c r="G207" t="s">
        <v>3668</v>
      </c>
      <c r="H207" t="s">
        <v>5467</v>
      </c>
      <c r="I207" t="s">
        <v>5403</v>
      </c>
      <c r="J207">
        <v>2026</v>
      </c>
      <c r="K207" t="s">
        <v>5468</v>
      </c>
      <c r="L207" t="s">
        <v>5469</v>
      </c>
      <c r="M207" t="s">
        <v>5406</v>
      </c>
      <c r="N207" s="1" t="s">
        <v>4565</v>
      </c>
      <c r="O207">
        <v>30.21</v>
      </c>
      <c r="P207">
        <v>4.1890000000000001</v>
      </c>
      <c r="Q207">
        <v>33808</v>
      </c>
      <c r="R207">
        <v>239</v>
      </c>
      <c r="S207">
        <v>7.91</v>
      </c>
      <c r="T207" s="8">
        <v>126.57</v>
      </c>
      <c r="U207">
        <v>11040306</v>
      </c>
      <c r="V207" t="s">
        <v>5408</v>
      </c>
      <c r="W207" t="s">
        <v>5409</v>
      </c>
      <c r="X207" t="s">
        <v>5410</v>
      </c>
      <c r="Y207" t="s">
        <v>5411</v>
      </c>
      <c r="Z207" t="s">
        <v>5412</v>
      </c>
      <c r="AA207" t="s">
        <v>5413</v>
      </c>
      <c r="AB207" t="s">
        <v>5414</v>
      </c>
      <c r="AC207" t="s">
        <v>5414</v>
      </c>
      <c r="AD207" t="s">
        <v>5414</v>
      </c>
      <c r="AG207" t="s">
        <v>5415</v>
      </c>
      <c r="AI207" t="s">
        <v>5522</v>
      </c>
      <c r="AJ207" t="s">
        <v>5697</v>
      </c>
      <c r="AL207" t="s">
        <v>5418</v>
      </c>
      <c r="AN207" t="s">
        <v>5419</v>
      </c>
    </row>
    <row r="208" spans="1:40" x14ac:dyDescent="0.25">
      <c r="A208">
        <v>1085679779</v>
      </c>
      <c r="B208" t="s">
        <v>5399</v>
      </c>
      <c r="C208">
        <v>252406</v>
      </c>
      <c r="D208" t="s">
        <v>5400</v>
      </c>
      <c r="E208">
        <v>46213.266574074078</v>
      </c>
      <c r="F208" t="s">
        <v>5589</v>
      </c>
      <c r="G208" t="s">
        <v>3668</v>
      </c>
      <c r="H208" t="s">
        <v>5431</v>
      </c>
      <c r="I208" t="s">
        <v>5403</v>
      </c>
      <c r="J208">
        <v>2026</v>
      </c>
      <c r="K208" t="s">
        <v>5590</v>
      </c>
      <c r="L208" t="s">
        <v>5591</v>
      </c>
      <c r="M208" t="s">
        <v>5406</v>
      </c>
      <c r="N208" s="1" t="s">
        <v>4565</v>
      </c>
      <c r="O208">
        <v>36.07</v>
      </c>
      <c r="P208">
        <v>4.2889999999999997</v>
      </c>
      <c r="Q208">
        <v>4563</v>
      </c>
      <c r="R208">
        <v>216</v>
      </c>
      <c r="S208">
        <v>5.99</v>
      </c>
      <c r="T208" s="8">
        <v>154.74</v>
      </c>
      <c r="U208">
        <v>11198252</v>
      </c>
      <c r="V208" t="s">
        <v>5424</v>
      </c>
      <c r="W208" t="s">
        <v>5409</v>
      </c>
      <c r="X208" t="s">
        <v>5425</v>
      </c>
      <c r="Y208" t="s">
        <v>5411</v>
      </c>
      <c r="Z208" t="s">
        <v>5426</v>
      </c>
      <c r="AA208" t="s">
        <v>5413</v>
      </c>
      <c r="AB208" t="s">
        <v>5414</v>
      </c>
      <c r="AC208" t="s">
        <v>5414</v>
      </c>
      <c r="AD208" t="s">
        <v>5414</v>
      </c>
      <c r="AG208" t="s">
        <v>5427</v>
      </c>
      <c r="AI208" t="s">
        <v>5428</v>
      </c>
      <c r="AJ208" t="s">
        <v>5592</v>
      </c>
      <c r="AL208" t="s">
        <v>5418</v>
      </c>
      <c r="AN208" t="s">
        <v>5419</v>
      </c>
    </row>
    <row r="209" spans="1:40" x14ac:dyDescent="0.25">
      <c r="A209">
        <v>1085672448</v>
      </c>
      <c r="B209" t="s">
        <v>5399</v>
      </c>
      <c r="C209">
        <v>252406</v>
      </c>
      <c r="D209" t="s">
        <v>5400</v>
      </c>
      <c r="E209">
        <v>46213.283796296295</v>
      </c>
      <c r="F209" t="s">
        <v>5560</v>
      </c>
      <c r="G209" t="s">
        <v>3668</v>
      </c>
      <c r="H209" t="s">
        <v>5561</v>
      </c>
      <c r="I209" t="s">
        <v>5403</v>
      </c>
      <c r="J209">
        <v>2026</v>
      </c>
      <c r="K209" t="s">
        <v>5562</v>
      </c>
      <c r="L209" t="s">
        <v>5563</v>
      </c>
      <c r="M209" t="s">
        <v>5406</v>
      </c>
      <c r="N209" s="1" t="s">
        <v>4565</v>
      </c>
      <c r="O209">
        <v>31.81</v>
      </c>
      <c r="P209">
        <v>4.59</v>
      </c>
      <c r="Q209">
        <v>19120</v>
      </c>
      <c r="R209">
        <v>344</v>
      </c>
      <c r="S209">
        <v>10.81</v>
      </c>
      <c r="T209" s="8">
        <v>146.01</v>
      </c>
      <c r="U209">
        <v>904236</v>
      </c>
      <c r="V209" t="s">
        <v>5769</v>
      </c>
      <c r="W209" t="s">
        <v>5409</v>
      </c>
      <c r="X209" t="s">
        <v>5770</v>
      </c>
      <c r="Y209" t="s">
        <v>5771</v>
      </c>
      <c r="Z209" t="s">
        <v>5772</v>
      </c>
      <c r="AA209" t="s">
        <v>5502</v>
      </c>
      <c r="AB209" t="s">
        <v>5414</v>
      </c>
      <c r="AC209" t="s">
        <v>5414</v>
      </c>
      <c r="AD209" t="s">
        <v>5414</v>
      </c>
      <c r="AG209" t="s">
        <v>5427</v>
      </c>
      <c r="AI209" t="s">
        <v>5773</v>
      </c>
      <c r="AJ209" t="s">
        <v>5564</v>
      </c>
      <c r="AL209" t="s">
        <v>5418</v>
      </c>
      <c r="AN209" t="s">
        <v>5419</v>
      </c>
    </row>
    <row r="210" spans="1:40" x14ac:dyDescent="0.25">
      <c r="A210">
        <v>1085700570</v>
      </c>
      <c r="B210" t="s">
        <v>5399</v>
      </c>
      <c r="C210">
        <v>252406</v>
      </c>
      <c r="D210" t="s">
        <v>5400</v>
      </c>
      <c r="E210">
        <v>46213.308819444443</v>
      </c>
      <c r="F210" t="s">
        <v>5462</v>
      </c>
      <c r="G210" t="s">
        <v>3668</v>
      </c>
      <c r="H210" t="s">
        <v>5402</v>
      </c>
      <c r="I210" t="s">
        <v>5403</v>
      </c>
      <c r="J210">
        <v>2026</v>
      </c>
      <c r="K210" t="s">
        <v>5604</v>
      </c>
      <c r="L210" t="s">
        <v>5605</v>
      </c>
      <c r="M210" t="s">
        <v>5406</v>
      </c>
      <c r="N210" s="1" t="s">
        <v>4565</v>
      </c>
      <c r="O210">
        <v>23.31</v>
      </c>
      <c r="P210">
        <v>4.29</v>
      </c>
      <c r="Q210">
        <v>26584</v>
      </c>
      <c r="R210">
        <v>84</v>
      </c>
      <c r="S210">
        <v>3.6</v>
      </c>
      <c r="T210" s="8">
        <v>100</v>
      </c>
      <c r="U210">
        <v>11198252</v>
      </c>
      <c r="V210" t="s">
        <v>5424</v>
      </c>
      <c r="W210" t="s">
        <v>5409</v>
      </c>
      <c r="X210" t="s">
        <v>5425</v>
      </c>
      <c r="Y210" t="s">
        <v>5411</v>
      </c>
      <c r="Z210" t="s">
        <v>5426</v>
      </c>
      <c r="AA210" t="s">
        <v>5413</v>
      </c>
      <c r="AB210" t="s">
        <v>5414</v>
      </c>
      <c r="AC210" t="s">
        <v>5414</v>
      </c>
      <c r="AD210" t="s">
        <v>5414</v>
      </c>
      <c r="AG210" t="s">
        <v>5427</v>
      </c>
      <c r="AI210" t="s">
        <v>5428</v>
      </c>
      <c r="AJ210" t="s">
        <v>5465</v>
      </c>
      <c r="AL210" t="s">
        <v>5418</v>
      </c>
      <c r="AN210" t="s">
        <v>5419</v>
      </c>
    </row>
    <row r="211" spans="1:40" x14ac:dyDescent="0.25">
      <c r="A211">
        <v>1085688354</v>
      </c>
      <c r="B211" t="s">
        <v>5399</v>
      </c>
      <c r="C211">
        <v>252406</v>
      </c>
      <c r="D211" t="s">
        <v>5400</v>
      </c>
      <c r="E211">
        <v>46213.325486111113</v>
      </c>
      <c r="F211" t="s">
        <v>5631</v>
      </c>
      <c r="G211" t="s">
        <v>3668</v>
      </c>
      <c r="H211" t="s">
        <v>5511</v>
      </c>
      <c r="I211" t="s">
        <v>5403</v>
      </c>
      <c r="J211">
        <v>2025</v>
      </c>
      <c r="K211" t="s">
        <v>5632</v>
      </c>
      <c r="L211" t="s">
        <v>5633</v>
      </c>
      <c r="M211" t="s">
        <v>5406</v>
      </c>
      <c r="N211" s="1" t="s">
        <v>4565</v>
      </c>
      <c r="O211">
        <v>37.270000000000003</v>
      </c>
      <c r="P211">
        <v>4.1890000000000001</v>
      </c>
      <c r="Q211">
        <v>54190</v>
      </c>
      <c r="R211">
        <v>304</v>
      </c>
      <c r="S211">
        <v>8.16</v>
      </c>
      <c r="T211" s="8">
        <v>156.16</v>
      </c>
      <c r="U211">
        <v>11040306</v>
      </c>
      <c r="V211" t="s">
        <v>5408</v>
      </c>
      <c r="W211" t="s">
        <v>5409</v>
      </c>
      <c r="X211" t="s">
        <v>5410</v>
      </c>
      <c r="Y211" t="s">
        <v>5411</v>
      </c>
      <c r="Z211" t="s">
        <v>5412</v>
      </c>
      <c r="AA211" t="s">
        <v>5413</v>
      </c>
      <c r="AB211" t="s">
        <v>5414</v>
      </c>
      <c r="AC211" t="s">
        <v>5414</v>
      </c>
      <c r="AD211" t="s">
        <v>5414</v>
      </c>
      <c r="AG211" t="s">
        <v>5415</v>
      </c>
      <c r="AI211" t="s">
        <v>5522</v>
      </c>
      <c r="AJ211" t="s">
        <v>5634</v>
      </c>
      <c r="AL211" t="s">
        <v>5418</v>
      </c>
      <c r="AN211" t="s">
        <v>5612</v>
      </c>
    </row>
    <row r="212" spans="1:40" x14ac:dyDescent="0.25">
      <c r="A212">
        <v>1085692210</v>
      </c>
      <c r="B212" t="s">
        <v>5399</v>
      </c>
      <c r="C212">
        <v>252406</v>
      </c>
      <c r="D212" t="s">
        <v>5400</v>
      </c>
      <c r="E212">
        <v>46213.334548611114</v>
      </c>
      <c r="F212" t="s">
        <v>5534</v>
      </c>
      <c r="G212" t="s">
        <v>3668</v>
      </c>
      <c r="H212" t="s">
        <v>5421</v>
      </c>
      <c r="I212" t="s">
        <v>5403</v>
      </c>
      <c r="J212">
        <v>2027</v>
      </c>
      <c r="K212" t="s">
        <v>5535</v>
      </c>
      <c r="L212" t="s">
        <v>5536</v>
      </c>
      <c r="M212" t="s">
        <v>5406</v>
      </c>
      <c r="N212" s="1" t="s">
        <v>4565</v>
      </c>
      <c r="O212">
        <v>33.590000000000003</v>
      </c>
      <c r="P212">
        <v>4.1890000000000001</v>
      </c>
      <c r="Q212">
        <v>2534</v>
      </c>
      <c r="R212">
        <v>194</v>
      </c>
      <c r="S212">
        <v>5.78</v>
      </c>
      <c r="T212" s="8">
        <v>140.74</v>
      </c>
      <c r="U212">
        <v>11040306</v>
      </c>
      <c r="V212" t="s">
        <v>5408</v>
      </c>
      <c r="W212" t="s">
        <v>5409</v>
      </c>
      <c r="X212" t="s">
        <v>5410</v>
      </c>
      <c r="Y212" t="s">
        <v>5411</v>
      </c>
      <c r="Z212" t="s">
        <v>5412</v>
      </c>
      <c r="AA212" t="s">
        <v>5413</v>
      </c>
      <c r="AB212" t="s">
        <v>5414</v>
      </c>
      <c r="AC212" t="s">
        <v>5414</v>
      </c>
      <c r="AD212" t="s">
        <v>5414</v>
      </c>
      <c r="AG212" t="s">
        <v>5415</v>
      </c>
      <c r="AI212" t="s">
        <v>5460</v>
      </c>
      <c r="AJ212" t="s">
        <v>5537</v>
      </c>
      <c r="AL212" t="s">
        <v>5418</v>
      </c>
      <c r="AN212" t="s">
        <v>5419</v>
      </c>
    </row>
    <row r="213" spans="1:40" x14ac:dyDescent="0.25">
      <c r="A213">
        <v>1085720453</v>
      </c>
      <c r="B213" t="s">
        <v>5399</v>
      </c>
      <c r="C213">
        <v>252406</v>
      </c>
      <c r="D213" t="s">
        <v>5400</v>
      </c>
      <c r="E213">
        <v>46213.344618055555</v>
      </c>
      <c r="F213" t="s">
        <v>5444</v>
      </c>
      <c r="G213" t="s">
        <v>3668</v>
      </c>
      <c r="H213" t="s">
        <v>5431</v>
      </c>
      <c r="I213" t="s">
        <v>5403</v>
      </c>
      <c r="J213">
        <v>2026</v>
      </c>
      <c r="K213" t="s">
        <v>5445</v>
      </c>
      <c r="L213" t="s">
        <v>5446</v>
      </c>
      <c r="M213" t="s">
        <v>5406</v>
      </c>
      <c r="N213" s="1" t="s">
        <v>4565</v>
      </c>
      <c r="O213">
        <v>35.43</v>
      </c>
      <c r="P213">
        <v>4.2889999999999997</v>
      </c>
      <c r="Q213">
        <v>19378</v>
      </c>
      <c r="R213">
        <v>268</v>
      </c>
      <c r="S213">
        <v>7.56</v>
      </c>
      <c r="T213" s="8">
        <v>151.97</v>
      </c>
      <c r="U213">
        <v>12193017</v>
      </c>
      <c r="V213" t="s">
        <v>5574</v>
      </c>
      <c r="W213" t="s">
        <v>5409</v>
      </c>
      <c r="X213" t="s">
        <v>5575</v>
      </c>
      <c r="Y213" t="s">
        <v>5576</v>
      </c>
      <c r="Z213" t="s">
        <v>5472</v>
      </c>
      <c r="AA213" t="s">
        <v>5413</v>
      </c>
      <c r="AB213" t="s">
        <v>5414</v>
      </c>
      <c r="AC213" t="s">
        <v>5414</v>
      </c>
      <c r="AD213" t="s">
        <v>5414</v>
      </c>
      <c r="AG213" t="s">
        <v>5427</v>
      </c>
      <c r="AI213" t="s">
        <v>5577</v>
      </c>
      <c r="AJ213" t="s">
        <v>5447</v>
      </c>
      <c r="AL213" t="s">
        <v>5418</v>
      </c>
      <c r="AN213" t="s">
        <v>5419</v>
      </c>
    </row>
    <row r="214" spans="1:40" x14ac:dyDescent="0.25">
      <c r="A214">
        <v>1085740596</v>
      </c>
      <c r="B214" t="s">
        <v>5399</v>
      </c>
      <c r="C214">
        <v>252406</v>
      </c>
      <c r="D214" t="s">
        <v>5400</v>
      </c>
      <c r="E214">
        <v>46213.391400462962</v>
      </c>
      <c r="F214" t="s">
        <v>5420</v>
      </c>
      <c r="G214" t="s">
        <v>3668</v>
      </c>
      <c r="H214" t="s">
        <v>5421</v>
      </c>
      <c r="I214" t="s">
        <v>5403</v>
      </c>
      <c r="J214">
        <v>2025</v>
      </c>
      <c r="K214" t="s">
        <v>5652</v>
      </c>
      <c r="L214" t="s">
        <v>5653</v>
      </c>
      <c r="M214" t="s">
        <v>5406</v>
      </c>
      <c r="N214" s="1" t="s">
        <v>4565</v>
      </c>
      <c r="O214">
        <v>26</v>
      </c>
      <c r="P214">
        <v>4.29</v>
      </c>
      <c r="Q214">
        <v>68952</v>
      </c>
      <c r="R214">
        <v>234</v>
      </c>
      <c r="S214">
        <v>9</v>
      </c>
      <c r="T214" s="8">
        <v>111.55</v>
      </c>
      <c r="U214">
        <v>12193017</v>
      </c>
      <c r="V214" t="s">
        <v>5574</v>
      </c>
      <c r="W214" t="s">
        <v>5409</v>
      </c>
      <c r="X214" t="s">
        <v>5575</v>
      </c>
      <c r="Y214" t="s">
        <v>5576</v>
      </c>
      <c r="Z214" t="s">
        <v>5472</v>
      </c>
      <c r="AA214" t="s">
        <v>5413</v>
      </c>
      <c r="AB214" t="s">
        <v>5414</v>
      </c>
      <c r="AC214" t="s">
        <v>5414</v>
      </c>
      <c r="AD214" t="s">
        <v>5414</v>
      </c>
      <c r="AG214" t="s">
        <v>5427</v>
      </c>
      <c r="AI214" t="s">
        <v>5577</v>
      </c>
      <c r="AJ214" t="s">
        <v>5429</v>
      </c>
      <c r="AL214" t="s">
        <v>5418</v>
      </c>
      <c r="AN214" t="s">
        <v>5419</v>
      </c>
    </row>
    <row r="215" spans="1:40" x14ac:dyDescent="0.25">
      <c r="A215">
        <v>1085739144</v>
      </c>
      <c r="B215" t="s">
        <v>5399</v>
      </c>
      <c r="C215">
        <v>252406</v>
      </c>
      <c r="D215" t="s">
        <v>5400</v>
      </c>
      <c r="E215">
        <v>46213.428657407407</v>
      </c>
      <c r="F215" t="s">
        <v>5757</v>
      </c>
      <c r="G215" t="s">
        <v>3668</v>
      </c>
      <c r="H215" t="s">
        <v>5421</v>
      </c>
      <c r="I215" t="s">
        <v>5403</v>
      </c>
      <c r="J215">
        <v>2027</v>
      </c>
      <c r="K215" t="s">
        <v>5520</v>
      </c>
      <c r="L215" t="s">
        <v>5521</v>
      </c>
      <c r="M215" t="s">
        <v>5406</v>
      </c>
      <c r="N215" s="1" t="s">
        <v>4565</v>
      </c>
      <c r="O215">
        <v>31.93</v>
      </c>
      <c r="P215">
        <v>4.1890000000000001</v>
      </c>
      <c r="Q215">
        <v>828</v>
      </c>
      <c r="R215">
        <v>438</v>
      </c>
      <c r="S215">
        <v>13.72</v>
      </c>
      <c r="T215" s="8">
        <v>133.78</v>
      </c>
      <c r="U215">
        <v>11040306</v>
      </c>
      <c r="V215" t="s">
        <v>5408</v>
      </c>
      <c r="W215" t="s">
        <v>5409</v>
      </c>
      <c r="X215" t="s">
        <v>5410</v>
      </c>
      <c r="Y215" t="s">
        <v>5411</v>
      </c>
      <c r="Z215" t="s">
        <v>5412</v>
      </c>
      <c r="AA215" t="s">
        <v>5413</v>
      </c>
      <c r="AB215" t="s">
        <v>5414</v>
      </c>
      <c r="AC215" t="s">
        <v>5414</v>
      </c>
      <c r="AD215" t="s">
        <v>5414</v>
      </c>
      <c r="AG215" t="s">
        <v>5415</v>
      </c>
      <c r="AI215" t="s">
        <v>5460</v>
      </c>
      <c r="AJ215" t="s">
        <v>5765</v>
      </c>
      <c r="AL215" t="s">
        <v>5418</v>
      </c>
      <c r="AN215" t="s">
        <v>5419</v>
      </c>
    </row>
    <row r="216" spans="1:40" x14ac:dyDescent="0.25">
      <c r="A216">
        <v>1085743540</v>
      </c>
      <c r="B216" t="s">
        <v>5399</v>
      </c>
      <c r="C216">
        <v>252406</v>
      </c>
      <c r="D216" t="s">
        <v>5400</v>
      </c>
      <c r="E216">
        <v>46213.442175925928</v>
      </c>
      <c r="F216" t="s">
        <v>5524</v>
      </c>
      <c r="G216" t="s">
        <v>3668</v>
      </c>
      <c r="H216" t="s">
        <v>5421</v>
      </c>
      <c r="I216" t="s">
        <v>5524</v>
      </c>
      <c r="J216">
        <v>2025</v>
      </c>
      <c r="K216" t="s">
        <v>5525</v>
      </c>
      <c r="L216" t="s">
        <v>5526</v>
      </c>
      <c r="M216" t="s">
        <v>5406</v>
      </c>
      <c r="N216" s="1" t="s">
        <v>4565</v>
      </c>
      <c r="O216">
        <v>35.72</v>
      </c>
      <c r="P216">
        <v>3.919</v>
      </c>
      <c r="Q216">
        <v>64525</v>
      </c>
      <c r="R216">
        <v>315</v>
      </c>
      <c r="S216">
        <v>8.82</v>
      </c>
      <c r="T216" s="8">
        <v>140.02000000000001</v>
      </c>
      <c r="U216">
        <v>490156</v>
      </c>
      <c r="V216" t="s">
        <v>5578</v>
      </c>
      <c r="W216" t="s">
        <v>5409</v>
      </c>
      <c r="X216" t="s">
        <v>5579</v>
      </c>
      <c r="Y216" t="s">
        <v>5458</v>
      </c>
      <c r="Z216" t="s">
        <v>5412</v>
      </c>
      <c r="AA216" t="s">
        <v>5413</v>
      </c>
      <c r="AB216" t="s">
        <v>5414</v>
      </c>
      <c r="AC216" t="s">
        <v>5414</v>
      </c>
      <c r="AD216" t="s">
        <v>5414</v>
      </c>
      <c r="AG216" t="s">
        <v>5415</v>
      </c>
      <c r="AI216" t="s">
        <v>5580</v>
      </c>
      <c r="AJ216" t="s">
        <v>5527</v>
      </c>
      <c r="AK216" t="s">
        <v>5528</v>
      </c>
      <c r="AL216" t="s">
        <v>5418</v>
      </c>
      <c r="AN216" t="s">
        <v>5529</v>
      </c>
    </row>
    <row r="217" spans="1:40" x14ac:dyDescent="0.25">
      <c r="A217">
        <v>1085780673</v>
      </c>
      <c r="B217" t="s">
        <v>5399</v>
      </c>
      <c r="C217">
        <v>252406</v>
      </c>
      <c r="D217" t="s">
        <v>5400</v>
      </c>
      <c r="E217">
        <v>46213.540289351855</v>
      </c>
      <c r="F217" t="s">
        <v>5435</v>
      </c>
      <c r="G217" t="s">
        <v>3668</v>
      </c>
      <c r="H217" t="s">
        <v>5421</v>
      </c>
      <c r="I217" t="s">
        <v>5403</v>
      </c>
      <c r="J217">
        <v>2026</v>
      </c>
      <c r="K217" t="s">
        <v>5436</v>
      </c>
      <c r="L217" t="s">
        <v>5437</v>
      </c>
      <c r="M217" t="s">
        <v>5406</v>
      </c>
      <c r="N217" s="1" t="s">
        <v>4565</v>
      </c>
      <c r="O217">
        <v>16.39</v>
      </c>
      <c r="P217">
        <v>4.3390000000000004</v>
      </c>
      <c r="Q217">
        <v>47508</v>
      </c>
      <c r="R217">
        <v>110</v>
      </c>
      <c r="S217">
        <v>6.71</v>
      </c>
      <c r="T217" s="8">
        <v>71.13</v>
      </c>
      <c r="U217">
        <v>11391710</v>
      </c>
      <c r="V217" t="s">
        <v>5774</v>
      </c>
      <c r="W217" t="s">
        <v>5409</v>
      </c>
      <c r="X217" t="s">
        <v>5775</v>
      </c>
      <c r="Y217" t="s">
        <v>5776</v>
      </c>
      <c r="Z217" t="s">
        <v>5777</v>
      </c>
      <c r="AA217" t="s">
        <v>5670</v>
      </c>
      <c r="AB217" t="s">
        <v>5414</v>
      </c>
      <c r="AC217" t="s">
        <v>5414</v>
      </c>
      <c r="AD217" t="s">
        <v>5414</v>
      </c>
      <c r="AG217" t="s">
        <v>5427</v>
      </c>
      <c r="AI217" t="s">
        <v>5778</v>
      </c>
      <c r="AJ217" t="s">
        <v>5443</v>
      </c>
      <c r="AL217" t="s">
        <v>5418</v>
      </c>
      <c r="AN217" t="s">
        <v>5419</v>
      </c>
    </row>
    <row r="218" spans="1:40" x14ac:dyDescent="0.25">
      <c r="A218">
        <v>1085805395</v>
      </c>
      <c r="B218" t="s">
        <v>5399</v>
      </c>
      <c r="C218">
        <v>252406</v>
      </c>
      <c r="D218" t="s">
        <v>5400</v>
      </c>
      <c r="E218">
        <v>46213.609618055554</v>
      </c>
      <c r="F218" t="s">
        <v>5560</v>
      </c>
      <c r="G218" t="s">
        <v>3668</v>
      </c>
      <c r="H218" t="s">
        <v>5561</v>
      </c>
      <c r="I218" t="s">
        <v>5403</v>
      </c>
      <c r="J218">
        <v>2026</v>
      </c>
      <c r="K218" t="s">
        <v>5562</v>
      </c>
      <c r="L218" t="s">
        <v>5563</v>
      </c>
      <c r="M218" t="s">
        <v>5406</v>
      </c>
      <c r="N218" s="1" t="s">
        <v>4565</v>
      </c>
      <c r="O218">
        <v>39.58</v>
      </c>
      <c r="P218">
        <v>3.8090000000000002</v>
      </c>
      <c r="Q218">
        <v>19614</v>
      </c>
      <c r="R218">
        <v>494</v>
      </c>
      <c r="S218">
        <v>12.48</v>
      </c>
      <c r="T218" s="8">
        <v>150.78</v>
      </c>
      <c r="U218">
        <v>12636202</v>
      </c>
      <c r="V218" t="s">
        <v>5779</v>
      </c>
      <c r="W218" t="s">
        <v>5409</v>
      </c>
      <c r="X218" t="s">
        <v>5780</v>
      </c>
      <c r="Y218" t="s">
        <v>5781</v>
      </c>
      <c r="Z218" t="s">
        <v>5782</v>
      </c>
      <c r="AA218" t="s">
        <v>5502</v>
      </c>
      <c r="AB218" t="s">
        <v>5414</v>
      </c>
      <c r="AC218" t="s">
        <v>5414</v>
      </c>
      <c r="AD218" t="s">
        <v>5414</v>
      </c>
      <c r="AG218" t="s">
        <v>5415</v>
      </c>
      <c r="AI218" t="s">
        <v>5484</v>
      </c>
      <c r="AJ218" t="s">
        <v>5564</v>
      </c>
      <c r="AL218" t="s">
        <v>5418</v>
      </c>
      <c r="AN218" t="s">
        <v>5419</v>
      </c>
    </row>
    <row r="219" spans="1:40" x14ac:dyDescent="0.25">
      <c r="A219">
        <v>1085829747</v>
      </c>
      <c r="B219" t="s">
        <v>5399</v>
      </c>
      <c r="C219">
        <v>252406</v>
      </c>
      <c r="D219" t="s">
        <v>5400</v>
      </c>
      <c r="E219">
        <v>46213.624062499999</v>
      </c>
      <c r="F219" t="s">
        <v>5475</v>
      </c>
      <c r="G219" t="s">
        <v>3668</v>
      </c>
      <c r="H219" t="s">
        <v>5467</v>
      </c>
      <c r="I219" t="s">
        <v>5403</v>
      </c>
      <c r="J219">
        <v>2026</v>
      </c>
      <c r="K219" t="s">
        <v>5468</v>
      </c>
      <c r="L219" t="s">
        <v>5469</v>
      </c>
      <c r="M219" t="s">
        <v>5406</v>
      </c>
      <c r="N219" s="1" t="s">
        <v>4565</v>
      </c>
      <c r="O219">
        <v>49.9</v>
      </c>
      <c r="P219">
        <v>4.2889999999999997</v>
      </c>
      <c r="Q219">
        <v>34132</v>
      </c>
      <c r="R219">
        <v>324</v>
      </c>
      <c r="S219">
        <v>6.49</v>
      </c>
      <c r="T219" s="8">
        <v>214.07</v>
      </c>
      <c r="U219">
        <v>11198252</v>
      </c>
      <c r="V219" t="s">
        <v>5424</v>
      </c>
      <c r="W219" t="s">
        <v>5409</v>
      </c>
      <c r="X219" t="s">
        <v>5425</v>
      </c>
      <c r="Y219" t="s">
        <v>5411</v>
      </c>
      <c r="Z219" t="s">
        <v>5426</v>
      </c>
      <c r="AA219" t="s">
        <v>5413</v>
      </c>
      <c r="AB219" t="s">
        <v>5414</v>
      </c>
      <c r="AC219" t="s">
        <v>5414</v>
      </c>
      <c r="AD219" t="s">
        <v>5414</v>
      </c>
      <c r="AG219" t="s">
        <v>5427</v>
      </c>
      <c r="AI219" t="s">
        <v>5428</v>
      </c>
      <c r="AJ219" t="s">
        <v>5697</v>
      </c>
      <c r="AL219" t="s">
        <v>5418</v>
      </c>
      <c r="AN219" t="s">
        <v>5419</v>
      </c>
    </row>
    <row r="220" spans="1:40" x14ac:dyDescent="0.25">
      <c r="A220">
        <v>1085832505</v>
      </c>
      <c r="B220" t="s">
        <v>5399</v>
      </c>
      <c r="C220">
        <v>252406</v>
      </c>
      <c r="D220" t="s">
        <v>5400</v>
      </c>
      <c r="E220">
        <v>46213.630856481483</v>
      </c>
      <c r="F220" t="s">
        <v>5401</v>
      </c>
      <c r="G220" t="s">
        <v>3668</v>
      </c>
      <c r="H220" t="s">
        <v>5402</v>
      </c>
      <c r="I220" t="s">
        <v>5403</v>
      </c>
      <c r="J220">
        <v>2026</v>
      </c>
      <c r="K220" t="s">
        <v>5404</v>
      </c>
      <c r="L220" t="s">
        <v>5405</v>
      </c>
      <c r="M220" t="s">
        <v>5406</v>
      </c>
      <c r="N220" s="1" t="s">
        <v>4565</v>
      </c>
      <c r="O220">
        <v>32.21</v>
      </c>
      <c r="P220">
        <v>4.2489999999999997</v>
      </c>
      <c r="Q220">
        <v>33741</v>
      </c>
      <c r="R220">
        <v>165</v>
      </c>
      <c r="S220">
        <v>5.12</v>
      </c>
      <c r="T220" s="8">
        <v>136.88999999999999</v>
      </c>
      <c r="U220">
        <v>108758</v>
      </c>
      <c r="V220" t="s">
        <v>5470</v>
      </c>
      <c r="W220" t="s">
        <v>5409</v>
      </c>
      <c r="X220" t="s">
        <v>5471</v>
      </c>
      <c r="Y220" t="s">
        <v>5411</v>
      </c>
      <c r="Z220" t="s">
        <v>5472</v>
      </c>
      <c r="AA220" t="s">
        <v>5413</v>
      </c>
      <c r="AB220" t="s">
        <v>5414</v>
      </c>
      <c r="AC220" t="s">
        <v>5414</v>
      </c>
      <c r="AD220" t="s">
        <v>5414</v>
      </c>
      <c r="AG220" t="s">
        <v>5427</v>
      </c>
      <c r="AI220" t="s">
        <v>5473</v>
      </c>
      <c r="AJ220" t="s">
        <v>5417</v>
      </c>
      <c r="AL220" t="s">
        <v>5418</v>
      </c>
      <c r="AN220" t="s">
        <v>5419</v>
      </c>
    </row>
    <row r="221" spans="1:40" x14ac:dyDescent="0.25">
      <c r="A221">
        <v>1085835228</v>
      </c>
      <c r="B221" t="s">
        <v>5399</v>
      </c>
      <c r="C221">
        <v>252406</v>
      </c>
      <c r="D221" t="s">
        <v>5400</v>
      </c>
      <c r="E221">
        <v>46213.634942129633</v>
      </c>
      <c r="F221" t="s">
        <v>5530</v>
      </c>
      <c r="G221" t="s">
        <v>3668</v>
      </c>
      <c r="H221" t="s">
        <v>5431</v>
      </c>
      <c r="I221" t="s">
        <v>5403</v>
      </c>
      <c r="J221">
        <v>2025</v>
      </c>
      <c r="K221" t="s">
        <v>5531</v>
      </c>
      <c r="L221" t="s">
        <v>5532</v>
      </c>
      <c r="M221" t="s">
        <v>5406</v>
      </c>
      <c r="N221" s="1" t="s">
        <v>4565</v>
      </c>
      <c r="O221">
        <v>44.86</v>
      </c>
      <c r="P221">
        <v>4.25</v>
      </c>
      <c r="Q221">
        <v>106534</v>
      </c>
      <c r="R221">
        <v>423</v>
      </c>
      <c r="S221">
        <v>9.43</v>
      </c>
      <c r="T221" s="8">
        <v>190.66</v>
      </c>
      <c r="U221">
        <v>108758</v>
      </c>
      <c r="V221" t="s">
        <v>5470</v>
      </c>
      <c r="W221" t="s">
        <v>5409</v>
      </c>
      <c r="X221" t="s">
        <v>5471</v>
      </c>
      <c r="Y221" t="s">
        <v>5411</v>
      </c>
      <c r="Z221" t="s">
        <v>5472</v>
      </c>
      <c r="AA221" t="s">
        <v>5413</v>
      </c>
      <c r="AB221" t="s">
        <v>5414</v>
      </c>
      <c r="AC221" t="s">
        <v>5414</v>
      </c>
      <c r="AD221" t="s">
        <v>5414</v>
      </c>
      <c r="AG221" t="s">
        <v>5427</v>
      </c>
      <c r="AI221" t="s">
        <v>5473</v>
      </c>
      <c r="AJ221" t="s">
        <v>5533</v>
      </c>
      <c r="AL221" t="s">
        <v>5418</v>
      </c>
      <c r="AN221" t="s">
        <v>5419</v>
      </c>
    </row>
    <row r="222" spans="1:40" x14ac:dyDescent="0.25">
      <c r="A222">
        <v>1085836475</v>
      </c>
      <c r="B222" t="s">
        <v>5399</v>
      </c>
      <c r="C222">
        <v>252406</v>
      </c>
      <c r="D222" t="s">
        <v>5400</v>
      </c>
      <c r="E222">
        <v>46213.638067129628</v>
      </c>
      <c r="F222" t="s">
        <v>5510</v>
      </c>
      <c r="G222" t="s">
        <v>3668</v>
      </c>
      <c r="H222" t="s">
        <v>5511</v>
      </c>
      <c r="I222" t="s">
        <v>5403</v>
      </c>
      <c r="J222">
        <v>2025</v>
      </c>
      <c r="K222" t="s">
        <v>5751</v>
      </c>
      <c r="L222" t="s">
        <v>5752</v>
      </c>
      <c r="M222" t="s">
        <v>5406</v>
      </c>
      <c r="N222" s="1" t="s">
        <v>5783</v>
      </c>
      <c r="O222">
        <v>35.590000000000003</v>
      </c>
      <c r="P222">
        <v>3.9889999999999999</v>
      </c>
      <c r="Q222">
        <v>81656</v>
      </c>
      <c r="R222">
        <v>330</v>
      </c>
      <c r="S222">
        <v>9.27</v>
      </c>
      <c r="T222" s="8">
        <v>142</v>
      </c>
      <c r="U222">
        <v>438561</v>
      </c>
      <c r="V222" t="s">
        <v>5784</v>
      </c>
      <c r="W222" t="s">
        <v>5409</v>
      </c>
      <c r="X222" t="s">
        <v>5785</v>
      </c>
      <c r="Y222" t="s">
        <v>5786</v>
      </c>
      <c r="Z222" t="s">
        <v>5749</v>
      </c>
      <c r="AA222" t="s">
        <v>5413</v>
      </c>
      <c r="AB222" t="s">
        <v>5414</v>
      </c>
      <c r="AC222" t="s">
        <v>5414</v>
      </c>
      <c r="AD222" t="s">
        <v>5414</v>
      </c>
      <c r="AG222" t="s">
        <v>5427</v>
      </c>
      <c r="AI222" t="s">
        <v>5787</v>
      </c>
      <c r="AJ222" t="s">
        <v>5518</v>
      </c>
      <c r="AL222" t="s">
        <v>5418</v>
      </c>
      <c r="AN222" t="s">
        <v>5419</v>
      </c>
    </row>
    <row r="223" spans="1:40" x14ac:dyDescent="0.25">
      <c r="A223">
        <v>1085826939</v>
      </c>
      <c r="B223" t="s">
        <v>5399</v>
      </c>
      <c r="C223">
        <v>252406</v>
      </c>
      <c r="D223" t="s">
        <v>5400</v>
      </c>
      <c r="E223">
        <v>46213.660358796296</v>
      </c>
      <c r="F223" t="s">
        <v>5740</v>
      </c>
      <c r="G223" t="s">
        <v>3668</v>
      </c>
      <c r="H223" t="s">
        <v>5431</v>
      </c>
      <c r="I223" t="s">
        <v>5403</v>
      </c>
      <c r="J223">
        <v>2026</v>
      </c>
      <c r="K223" t="s">
        <v>5741</v>
      </c>
      <c r="L223" t="s">
        <v>5529</v>
      </c>
      <c r="M223" t="s">
        <v>5406</v>
      </c>
      <c r="N223" s="1" t="s">
        <v>4565</v>
      </c>
      <c r="O223">
        <v>42.61</v>
      </c>
      <c r="P223">
        <v>4.1890000000000001</v>
      </c>
      <c r="Q223">
        <v>30506</v>
      </c>
      <c r="R223">
        <v>258</v>
      </c>
      <c r="S223">
        <v>6.05</v>
      </c>
      <c r="T223" s="8">
        <v>178.53</v>
      </c>
      <c r="U223">
        <v>11040306</v>
      </c>
      <c r="V223" t="s">
        <v>5408</v>
      </c>
      <c r="W223" t="s">
        <v>5409</v>
      </c>
      <c r="X223" t="s">
        <v>5410</v>
      </c>
      <c r="Y223" t="s">
        <v>5411</v>
      </c>
      <c r="Z223" t="s">
        <v>5412</v>
      </c>
      <c r="AA223" t="s">
        <v>5413</v>
      </c>
      <c r="AB223" t="s">
        <v>5414</v>
      </c>
      <c r="AC223" t="s">
        <v>5414</v>
      </c>
      <c r="AD223" t="s">
        <v>5414</v>
      </c>
      <c r="AG223" t="s">
        <v>5415</v>
      </c>
      <c r="AI223" t="s">
        <v>5416</v>
      </c>
      <c r="AJ223" t="s">
        <v>5742</v>
      </c>
      <c r="AL223" t="s">
        <v>5418</v>
      </c>
      <c r="AN223" t="s">
        <v>5419</v>
      </c>
    </row>
    <row r="224" spans="1:40" x14ac:dyDescent="0.25">
      <c r="A224">
        <v>1085829773</v>
      </c>
      <c r="B224" t="s">
        <v>5399</v>
      </c>
      <c r="C224">
        <v>252406</v>
      </c>
      <c r="D224" t="s">
        <v>5400</v>
      </c>
      <c r="E224">
        <v>46213.665972222225</v>
      </c>
      <c r="F224" t="s">
        <v>5466</v>
      </c>
      <c r="G224" t="s">
        <v>3668</v>
      </c>
      <c r="H224" t="s">
        <v>5467</v>
      </c>
      <c r="I224" t="s">
        <v>5403</v>
      </c>
      <c r="J224">
        <v>2025</v>
      </c>
      <c r="K224" t="s">
        <v>5468</v>
      </c>
      <c r="L224" t="s">
        <v>5469</v>
      </c>
      <c r="M224" t="s">
        <v>5406</v>
      </c>
      <c r="N224" s="1" t="s">
        <v>4565</v>
      </c>
      <c r="O224">
        <v>52.56</v>
      </c>
      <c r="P224">
        <v>4.3789999999999996</v>
      </c>
      <c r="Q224">
        <v>62902</v>
      </c>
      <c r="R224">
        <v>222</v>
      </c>
      <c r="S224">
        <v>4.22</v>
      </c>
      <c r="T224" s="8">
        <v>230.21</v>
      </c>
      <c r="U224">
        <v>11153887</v>
      </c>
      <c r="V224" t="s">
        <v>5490</v>
      </c>
      <c r="W224" t="s">
        <v>5409</v>
      </c>
      <c r="X224" t="s">
        <v>5491</v>
      </c>
      <c r="Y224" t="s">
        <v>5492</v>
      </c>
      <c r="Z224" t="s">
        <v>5426</v>
      </c>
      <c r="AA224" t="s">
        <v>5413</v>
      </c>
      <c r="AB224" t="s">
        <v>5414</v>
      </c>
      <c r="AC224" t="s">
        <v>5414</v>
      </c>
      <c r="AD224" t="s">
        <v>5414</v>
      </c>
      <c r="AG224" t="s">
        <v>5415</v>
      </c>
      <c r="AI224" t="s">
        <v>5460</v>
      </c>
      <c r="AJ224" t="s">
        <v>5474</v>
      </c>
      <c r="AL224" t="s">
        <v>5418</v>
      </c>
      <c r="AN224" t="s">
        <v>5419</v>
      </c>
    </row>
    <row r="225" spans="1:40" x14ac:dyDescent="0.25">
      <c r="A225">
        <v>1085842649</v>
      </c>
      <c r="B225" t="s">
        <v>5399</v>
      </c>
      <c r="C225">
        <v>252406</v>
      </c>
      <c r="D225" t="s">
        <v>5400</v>
      </c>
      <c r="E225">
        <v>46213.694293981483</v>
      </c>
      <c r="F225" t="s">
        <v>5613</v>
      </c>
      <c r="G225" t="s">
        <v>3668</v>
      </c>
      <c r="H225" t="s">
        <v>5467</v>
      </c>
      <c r="I225" t="s">
        <v>5403</v>
      </c>
      <c r="J225">
        <v>2025</v>
      </c>
      <c r="K225" t="s">
        <v>5614</v>
      </c>
      <c r="L225" t="s">
        <v>5615</v>
      </c>
      <c r="M225" t="s">
        <v>5406</v>
      </c>
      <c r="N225" s="1" t="s">
        <v>4565</v>
      </c>
      <c r="O225">
        <v>42.03</v>
      </c>
      <c r="P225">
        <v>4.1890000000000001</v>
      </c>
      <c r="Q225">
        <v>71678</v>
      </c>
      <c r="R225">
        <v>334</v>
      </c>
      <c r="S225">
        <v>7.95</v>
      </c>
      <c r="T225" s="8">
        <v>176.1</v>
      </c>
      <c r="U225">
        <v>11040306</v>
      </c>
      <c r="V225" t="s">
        <v>5408</v>
      </c>
      <c r="W225" t="s">
        <v>5409</v>
      </c>
      <c r="X225" t="s">
        <v>5410</v>
      </c>
      <c r="Y225" t="s">
        <v>5411</v>
      </c>
      <c r="Z225" t="s">
        <v>5412</v>
      </c>
      <c r="AA225" t="s">
        <v>5413</v>
      </c>
      <c r="AB225" t="s">
        <v>5414</v>
      </c>
      <c r="AC225" t="s">
        <v>5414</v>
      </c>
      <c r="AD225" t="s">
        <v>5414</v>
      </c>
      <c r="AG225" t="s">
        <v>5415</v>
      </c>
      <c r="AI225" t="s">
        <v>5522</v>
      </c>
      <c r="AJ225" t="s">
        <v>5616</v>
      </c>
      <c r="AL225" t="s">
        <v>5418</v>
      </c>
      <c r="AN225" t="s">
        <v>5419</v>
      </c>
    </row>
    <row r="226" spans="1:40" x14ac:dyDescent="0.25">
      <c r="A226">
        <v>1085865084</v>
      </c>
      <c r="B226" t="s">
        <v>5399</v>
      </c>
      <c r="C226">
        <v>252406</v>
      </c>
      <c r="D226" t="s">
        <v>5400</v>
      </c>
      <c r="E226">
        <v>46213.699641203704</v>
      </c>
      <c r="F226" t="s">
        <v>5486</v>
      </c>
      <c r="G226" t="s">
        <v>3668</v>
      </c>
      <c r="H226" t="s">
        <v>5487</v>
      </c>
      <c r="I226" t="s">
        <v>5403</v>
      </c>
      <c r="J226">
        <v>2025</v>
      </c>
      <c r="K226" t="s">
        <v>5488</v>
      </c>
      <c r="L226" t="s">
        <v>5489</v>
      </c>
      <c r="M226" t="s">
        <v>5406</v>
      </c>
      <c r="N226" s="1" t="s">
        <v>4565</v>
      </c>
      <c r="O226">
        <v>35.01</v>
      </c>
      <c r="P226">
        <v>4.069</v>
      </c>
      <c r="Q226">
        <v>54397</v>
      </c>
      <c r="R226">
        <v>323</v>
      </c>
      <c r="S226">
        <v>9.23</v>
      </c>
      <c r="T226" s="8">
        <v>142.49</v>
      </c>
      <c r="U226">
        <v>12192843</v>
      </c>
      <c r="V226" t="s">
        <v>5723</v>
      </c>
      <c r="W226" t="s">
        <v>5409</v>
      </c>
      <c r="X226" t="s">
        <v>5724</v>
      </c>
      <c r="Y226" t="s">
        <v>5725</v>
      </c>
      <c r="Z226" t="s">
        <v>5726</v>
      </c>
      <c r="AA226" t="s">
        <v>5413</v>
      </c>
      <c r="AB226" t="s">
        <v>5414</v>
      </c>
      <c r="AC226" t="s">
        <v>5414</v>
      </c>
      <c r="AD226" t="s">
        <v>5414</v>
      </c>
      <c r="AG226" t="s">
        <v>5427</v>
      </c>
      <c r="AI226" t="s">
        <v>5727</v>
      </c>
      <c r="AJ226" t="s">
        <v>5493</v>
      </c>
      <c r="AL226" t="s">
        <v>5418</v>
      </c>
      <c r="AN226" t="s">
        <v>5419</v>
      </c>
    </row>
    <row r="227" spans="1:40" x14ac:dyDescent="0.25">
      <c r="A227">
        <v>1085880895</v>
      </c>
      <c r="B227" t="s">
        <v>5399</v>
      </c>
      <c r="C227">
        <v>252406</v>
      </c>
      <c r="D227" t="s">
        <v>5400</v>
      </c>
      <c r="E227">
        <v>46213.738865740743</v>
      </c>
      <c r="F227" t="s">
        <v>5617</v>
      </c>
      <c r="G227" t="s">
        <v>3668</v>
      </c>
      <c r="H227" t="s">
        <v>5467</v>
      </c>
      <c r="I227" t="s">
        <v>5403</v>
      </c>
      <c r="J227">
        <v>2026</v>
      </c>
      <c r="K227" t="s">
        <v>5618</v>
      </c>
      <c r="L227" t="s">
        <v>5619</v>
      </c>
      <c r="M227" t="s">
        <v>5406</v>
      </c>
      <c r="N227" s="1" t="s">
        <v>4565</v>
      </c>
      <c r="O227">
        <v>41</v>
      </c>
      <c r="P227">
        <v>3.59</v>
      </c>
      <c r="Q227">
        <v>54131</v>
      </c>
      <c r="R227">
        <v>209</v>
      </c>
      <c r="S227">
        <v>5.0999999999999996</v>
      </c>
      <c r="T227" s="8">
        <v>147.19</v>
      </c>
      <c r="U227">
        <v>12815000</v>
      </c>
      <c r="V227" t="s">
        <v>5448</v>
      </c>
      <c r="W227" t="s">
        <v>5409</v>
      </c>
      <c r="X227" t="s">
        <v>5449</v>
      </c>
      <c r="Y227" t="s">
        <v>5450</v>
      </c>
      <c r="Z227" t="s">
        <v>5426</v>
      </c>
      <c r="AA227" t="s">
        <v>5413</v>
      </c>
      <c r="AB227" t="s">
        <v>5414</v>
      </c>
      <c r="AC227" t="s">
        <v>5414</v>
      </c>
      <c r="AD227" t="s">
        <v>5414</v>
      </c>
      <c r="AG227" t="s">
        <v>5427</v>
      </c>
      <c r="AI227" t="s">
        <v>5451</v>
      </c>
      <c r="AJ227" t="s">
        <v>5620</v>
      </c>
      <c r="AL227" t="s">
        <v>5418</v>
      </c>
      <c r="AN227" t="s">
        <v>5419</v>
      </c>
    </row>
    <row r="228" spans="1:40" x14ac:dyDescent="0.25">
      <c r="A228">
        <v>1085883431</v>
      </c>
      <c r="B228" t="s">
        <v>5399</v>
      </c>
      <c r="C228">
        <v>252406</v>
      </c>
      <c r="D228" t="s">
        <v>5400</v>
      </c>
      <c r="E228">
        <v>46213.792916666665</v>
      </c>
      <c r="F228" t="s">
        <v>5435</v>
      </c>
      <c r="G228" t="s">
        <v>3668</v>
      </c>
      <c r="H228" t="s">
        <v>5421</v>
      </c>
      <c r="I228" t="s">
        <v>5403</v>
      </c>
      <c r="J228">
        <v>2026</v>
      </c>
      <c r="K228" t="s">
        <v>5436</v>
      </c>
      <c r="L228" t="s">
        <v>5437</v>
      </c>
      <c r="M228" t="s">
        <v>5406</v>
      </c>
      <c r="N228" s="1" t="s">
        <v>4565</v>
      </c>
      <c r="O228">
        <v>33.18</v>
      </c>
      <c r="P228">
        <v>3.8889999999999998</v>
      </c>
      <c r="Q228">
        <v>47811</v>
      </c>
      <c r="R228">
        <v>303</v>
      </c>
      <c r="S228">
        <v>9.1300000000000008</v>
      </c>
      <c r="T228" s="8">
        <v>129.07</v>
      </c>
      <c r="U228">
        <v>202525</v>
      </c>
      <c r="V228" t="s">
        <v>5788</v>
      </c>
      <c r="W228" t="s">
        <v>5409</v>
      </c>
      <c r="X228" t="s">
        <v>5789</v>
      </c>
      <c r="Y228" t="s">
        <v>5458</v>
      </c>
      <c r="Z228" t="s">
        <v>5790</v>
      </c>
      <c r="AA228" t="s">
        <v>5670</v>
      </c>
      <c r="AB228" t="s">
        <v>5414</v>
      </c>
      <c r="AC228" t="s">
        <v>5414</v>
      </c>
      <c r="AD228" t="s">
        <v>5414</v>
      </c>
      <c r="AG228" t="s">
        <v>5415</v>
      </c>
      <c r="AI228" t="s">
        <v>5460</v>
      </c>
      <c r="AJ228" t="s">
        <v>5443</v>
      </c>
      <c r="AL228" t="s">
        <v>5418</v>
      </c>
      <c r="AN228" t="s">
        <v>5419</v>
      </c>
    </row>
    <row r="229" spans="1:40" x14ac:dyDescent="0.25">
      <c r="A229">
        <v>1085897865</v>
      </c>
      <c r="B229" t="s">
        <v>5399</v>
      </c>
      <c r="C229">
        <v>252406</v>
      </c>
      <c r="D229" t="s">
        <v>5400</v>
      </c>
      <c r="E229">
        <v>46213.802164351851</v>
      </c>
      <c r="F229" t="s">
        <v>5743</v>
      </c>
      <c r="G229" t="s">
        <v>3668</v>
      </c>
      <c r="H229" t="s">
        <v>5539</v>
      </c>
      <c r="I229" t="s">
        <v>5403</v>
      </c>
      <c r="J229">
        <v>2026</v>
      </c>
      <c r="K229" t="s">
        <v>5753</v>
      </c>
      <c r="L229" t="s">
        <v>5754</v>
      </c>
      <c r="M229" t="s">
        <v>5406</v>
      </c>
      <c r="N229" s="1" t="s">
        <v>4565</v>
      </c>
      <c r="O229">
        <v>43</v>
      </c>
      <c r="P229">
        <v>4.29</v>
      </c>
      <c r="Q229">
        <v>16701</v>
      </c>
      <c r="R229">
        <v>297</v>
      </c>
      <c r="S229">
        <v>6.91</v>
      </c>
      <c r="T229" s="8">
        <v>184.47</v>
      </c>
      <c r="U229">
        <v>11198252</v>
      </c>
      <c r="V229" t="s">
        <v>5424</v>
      </c>
      <c r="W229" t="s">
        <v>5409</v>
      </c>
      <c r="X229" t="s">
        <v>5425</v>
      </c>
      <c r="Y229" t="s">
        <v>5411</v>
      </c>
      <c r="Z229" t="s">
        <v>5426</v>
      </c>
      <c r="AA229" t="s">
        <v>5413</v>
      </c>
      <c r="AB229" t="s">
        <v>5414</v>
      </c>
      <c r="AC229" t="s">
        <v>5414</v>
      </c>
      <c r="AD229" t="s">
        <v>5414</v>
      </c>
      <c r="AG229" t="s">
        <v>5427</v>
      </c>
      <c r="AI229" t="s">
        <v>5428</v>
      </c>
      <c r="AJ229" t="s">
        <v>5746</v>
      </c>
      <c r="AL229" t="s">
        <v>5418</v>
      </c>
      <c r="AN229" t="s">
        <v>5419</v>
      </c>
    </row>
    <row r="230" spans="1:40" x14ac:dyDescent="0.25">
      <c r="A230">
        <v>1085906611</v>
      </c>
      <c r="B230" t="s">
        <v>5399</v>
      </c>
      <c r="C230">
        <v>252406</v>
      </c>
      <c r="D230" t="s">
        <v>5400</v>
      </c>
      <c r="E230">
        <v>46213.888993055552</v>
      </c>
      <c r="F230" t="s">
        <v>5560</v>
      </c>
      <c r="G230" t="s">
        <v>3668</v>
      </c>
      <c r="H230" t="s">
        <v>5561</v>
      </c>
      <c r="I230" t="s">
        <v>5403</v>
      </c>
      <c r="J230">
        <v>2026</v>
      </c>
      <c r="K230" t="s">
        <v>5562</v>
      </c>
      <c r="L230" t="s">
        <v>5563</v>
      </c>
      <c r="M230" t="s">
        <v>5406</v>
      </c>
      <c r="N230" s="1" t="s">
        <v>4565</v>
      </c>
      <c r="O230">
        <v>42.22</v>
      </c>
      <c r="P230">
        <v>3.59</v>
      </c>
      <c r="Q230">
        <v>20108</v>
      </c>
      <c r="R230">
        <v>494</v>
      </c>
      <c r="S230">
        <v>11.7</v>
      </c>
      <c r="T230" s="8">
        <v>151.57</v>
      </c>
      <c r="U230">
        <v>12815000</v>
      </c>
      <c r="V230" t="s">
        <v>5448</v>
      </c>
      <c r="W230" t="s">
        <v>5409</v>
      </c>
      <c r="X230" t="s">
        <v>5449</v>
      </c>
      <c r="Y230" t="s">
        <v>5450</v>
      </c>
      <c r="Z230" t="s">
        <v>5426</v>
      </c>
      <c r="AA230" t="s">
        <v>5413</v>
      </c>
      <c r="AB230" t="s">
        <v>5414</v>
      </c>
      <c r="AC230" t="s">
        <v>5414</v>
      </c>
      <c r="AD230" t="s">
        <v>5414</v>
      </c>
      <c r="AG230" t="s">
        <v>5427</v>
      </c>
      <c r="AI230" t="s">
        <v>5451</v>
      </c>
      <c r="AJ230" t="s">
        <v>5564</v>
      </c>
      <c r="AL230" t="s">
        <v>5418</v>
      </c>
      <c r="AN230" t="s">
        <v>5419</v>
      </c>
    </row>
    <row r="231" spans="1:40" x14ac:dyDescent="0.25">
      <c r="A231">
        <v>1085909540</v>
      </c>
      <c r="B231" t="s">
        <v>5399</v>
      </c>
      <c r="C231">
        <v>252406</v>
      </c>
      <c r="D231" t="s">
        <v>5400</v>
      </c>
      <c r="E231">
        <v>46213.97420138889</v>
      </c>
      <c r="F231" t="s">
        <v>5435</v>
      </c>
      <c r="G231" t="s">
        <v>3668</v>
      </c>
      <c r="H231" t="s">
        <v>5421</v>
      </c>
      <c r="I231" t="s">
        <v>5403</v>
      </c>
      <c r="J231">
        <v>2026</v>
      </c>
      <c r="K231" t="s">
        <v>5436</v>
      </c>
      <c r="L231" t="s">
        <v>5437</v>
      </c>
      <c r="M231" t="s">
        <v>5406</v>
      </c>
      <c r="N231" s="1" t="s">
        <v>4565</v>
      </c>
      <c r="O231">
        <v>32.409999999999997</v>
      </c>
      <c r="P231">
        <v>3.6890000000000001</v>
      </c>
      <c r="Q231">
        <v>48110</v>
      </c>
      <c r="R231">
        <v>299</v>
      </c>
      <c r="S231">
        <v>9.23</v>
      </c>
      <c r="T231" s="8">
        <v>119.59</v>
      </c>
      <c r="U231">
        <v>1089196</v>
      </c>
      <c r="V231" t="s">
        <v>5791</v>
      </c>
      <c r="W231" t="s">
        <v>5409</v>
      </c>
      <c r="X231" t="s">
        <v>5792</v>
      </c>
      <c r="Y231" t="s">
        <v>5793</v>
      </c>
      <c r="Z231" t="s">
        <v>5794</v>
      </c>
      <c r="AA231" t="s">
        <v>5670</v>
      </c>
      <c r="AB231" t="s">
        <v>5414</v>
      </c>
      <c r="AC231" t="s">
        <v>5414</v>
      </c>
      <c r="AD231" t="s">
        <v>5414</v>
      </c>
      <c r="AG231" t="s">
        <v>5427</v>
      </c>
      <c r="AI231" t="s">
        <v>5795</v>
      </c>
      <c r="AJ231" t="s">
        <v>5443</v>
      </c>
      <c r="AL231" t="s">
        <v>5418</v>
      </c>
      <c r="AN231" t="s">
        <v>5419</v>
      </c>
    </row>
    <row r="232" spans="1:40" x14ac:dyDescent="0.25">
      <c r="A232">
        <v>1085910215</v>
      </c>
      <c r="B232" t="s">
        <v>5399</v>
      </c>
      <c r="C232">
        <v>252406</v>
      </c>
      <c r="D232" t="s">
        <v>5400</v>
      </c>
      <c r="E232">
        <v>46213.996342592596</v>
      </c>
      <c r="F232" t="s">
        <v>5621</v>
      </c>
      <c r="G232" t="s">
        <v>3668</v>
      </c>
      <c r="H232" t="s">
        <v>5421</v>
      </c>
      <c r="I232" t="s">
        <v>5621</v>
      </c>
      <c r="J232">
        <v>2024</v>
      </c>
      <c r="K232" t="s">
        <v>5622</v>
      </c>
      <c r="L232" t="s">
        <v>5623</v>
      </c>
      <c r="M232" t="s">
        <v>5406</v>
      </c>
      <c r="N232" s="1" t="s">
        <v>4565</v>
      </c>
      <c r="O232">
        <v>25.71</v>
      </c>
      <c r="P232">
        <v>4.3890000000000002</v>
      </c>
      <c r="Q232">
        <v>97780</v>
      </c>
      <c r="R232">
        <v>280</v>
      </c>
      <c r="S232">
        <v>10.89</v>
      </c>
      <c r="T232" s="8">
        <v>112.86</v>
      </c>
      <c r="U232">
        <v>11576974</v>
      </c>
      <c r="V232" t="s">
        <v>5796</v>
      </c>
      <c r="W232" t="s">
        <v>5409</v>
      </c>
      <c r="X232" t="s">
        <v>5797</v>
      </c>
      <c r="Y232" t="s">
        <v>5798</v>
      </c>
      <c r="Z232" t="s">
        <v>5799</v>
      </c>
      <c r="AA232" t="s">
        <v>5502</v>
      </c>
      <c r="AB232" t="s">
        <v>5414</v>
      </c>
      <c r="AC232" t="s">
        <v>5414</v>
      </c>
      <c r="AD232" t="s">
        <v>5414</v>
      </c>
      <c r="AG232" t="s">
        <v>5415</v>
      </c>
      <c r="AI232" t="s">
        <v>5460</v>
      </c>
      <c r="AJ232" t="s">
        <v>5624</v>
      </c>
      <c r="AK232" t="s">
        <v>5528</v>
      </c>
      <c r="AL232" t="s">
        <v>5418</v>
      </c>
      <c r="AN232" t="s">
        <v>5625</v>
      </c>
    </row>
    <row r="233" spans="1:40" x14ac:dyDescent="0.25">
      <c r="A233">
        <v>1085911111</v>
      </c>
      <c r="B233" t="s">
        <v>5399</v>
      </c>
      <c r="C233">
        <v>252406</v>
      </c>
      <c r="D233" t="s">
        <v>5400</v>
      </c>
      <c r="E233">
        <v>46214.037280092591</v>
      </c>
      <c r="F233" t="s">
        <v>5435</v>
      </c>
      <c r="G233" t="s">
        <v>3668</v>
      </c>
      <c r="H233" t="s">
        <v>5421</v>
      </c>
      <c r="I233" t="s">
        <v>5403</v>
      </c>
      <c r="J233">
        <v>2026</v>
      </c>
      <c r="K233" t="s">
        <v>5436</v>
      </c>
      <c r="L233" t="s">
        <v>5437</v>
      </c>
      <c r="M233" t="s">
        <v>5406</v>
      </c>
      <c r="N233" s="1" t="s">
        <v>4565</v>
      </c>
      <c r="O233">
        <v>9.1199999999999992</v>
      </c>
      <c r="P233">
        <v>4.3890000000000002</v>
      </c>
      <c r="Q233">
        <v>48220</v>
      </c>
      <c r="R233">
        <v>110</v>
      </c>
      <c r="S233">
        <v>12.06</v>
      </c>
      <c r="T233" s="8">
        <v>40.03</v>
      </c>
      <c r="U233">
        <v>96261</v>
      </c>
      <c r="V233" t="s">
        <v>5663</v>
      </c>
      <c r="W233" t="s">
        <v>5409</v>
      </c>
      <c r="X233" t="s">
        <v>5664</v>
      </c>
      <c r="Y233" t="s">
        <v>5458</v>
      </c>
      <c r="Z233" t="s">
        <v>5665</v>
      </c>
      <c r="AA233" t="s">
        <v>5413</v>
      </c>
      <c r="AB233" t="s">
        <v>5414</v>
      </c>
      <c r="AC233" t="s">
        <v>5414</v>
      </c>
      <c r="AD233" t="s">
        <v>5414</v>
      </c>
      <c r="AG233" t="s">
        <v>5415</v>
      </c>
      <c r="AI233" t="s">
        <v>5522</v>
      </c>
      <c r="AJ233" t="s">
        <v>5443</v>
      </c>
      <c r="AL233" t="s">
        <v>5418</v>
      </c>
      <c r="AN233" t="s">
        <v>5419</v>
      </c>
    </row>
    <row r="234" spans="1:40" x14ac:dyDescent="0.25">
      <c r="A234">
        <v>1085914146</v>
      </c>
      <c r="B234" t="s">
        <v>5399</v>
      </c>
      <c r="C234">
        <v>252406</v>
      </c>
      <c r="D234" t="s">
        <v>5400</v>
      </c>
      <c r="E234">
        <v>46214.237673611111</v>
      </c>
      <c r="F234" t="s">
        <v>5800</v>
      </c>
      <c r="G234" t="s">
        <v>3668</v>
      </c>
      <c r="H234" t="s">
        <v>5421</v>
      </c>
      <c r="I234" t="s">
        <v>5403</v>
      </c>
      <c r="J234">
        <v>2027</v>
      </c>
      <c r="K234" t="s">
        <v>5801</v>
      </c>
      <c r="L234" t="s">
        <v>5802</v>
      </c>
      <c r="M234" t="s">
        <v>5406</v>
      </c>
      <c r="N234" s="1" t="s">
        <v>4565</v>
      </c>
      <c r="O234">
        <v>35.340000000000003</v>
      </c>
      <c r="P234">
        <v>4.29</v>
      </c>
      <c r="Q234">
        <v>376</v>
      </c>
      <c r="R234">
        <v>0</v>
      </c>
      <c r="S234">
        <v>0</v>
      </c>
      <c r="T234" s="8">
        <v>151.61000000000001</v>
      </c>
      <c r="U234">
        <v>11598781</v>
      </c>
      <c r="V234" t="s">
        <v>5803</v>
      </c>
      <c r="W234" t="s">
        <v>5409</v>
      </c>
      <c r="X234" t="s">
        <v>5804</v>
      </c>
      <c r="Y234" t="s">
        <v>5805</v>
      </c>
      <c r="Z234" t="s">
        <v>5721</v>
      </c>
      <c r="AA234" t="s">
        <v>5502</v>
      </c>
      <c r="AB234" t="s">
        <v>5414</v>
      </c>
      <c r="AC234" t="s">
        <v>5414</v>
      </c>
      <c r="AD234" t="s">
        <v>5414</v>
      </c>
      <c r="AG234" t="s">
        <v>5415</v>
      </c>
      <c r="AI234" t="s">
        <v>5676</v>
      </c>
      <c r="AJ234" t="s">
        <v>5806</v>
      </c>
      <c r="AL234" t="s">
        <v>5418</v>
      </c>
      <c r="AN234" t="s">
        <v>5419</v>
      </c>
    </row>
    <row r="235" spans="1:40" x14ac:dyDescent="0.25">
      <c r="A235">
        <v>1085916859</v>
      </c>
      <c r="B235" t="s">
        <v>5399</v>
      </c>
      <c r="C235">
        <v>252406</v>
      </c>
      <c r="D235" t="s">
        <v>5400</v>
      </c>
      <c r="E235">
        <v>46214.239837962959</v>
      </c>
      <c r="F235" t="s">
        <v>5505</v>
      </c>
      <c r="G235" t="s">
        <v>3668</v>
      </c>
      <c r="H235" t="s">
        <v>5506</v>
      </c>
      <c r="I235" t="s">
        <v>5403</v>
      </c>
      <c r="J235">
        <v>2026</v>
      </c>
      <c r="K235" t="s">
        <v>5507</v>
      </c>
      <c r="L235" t="s">
        <v>5508</v>
      </c>
      <c r="M235" t="s">
        <v>5406</v>
      </c>
      <c r="N235" s="1" t="s">
        <v>4565</v>
      </c>
      <c r="O235">
        <v>39.56</v>
      </c>
      <c r="P235">
        <v>4.2889999999999997</v>
      </c>
      <c r="Q235">
        <v>4775</v>
      </c>
      <c r="R235">
        <v>340</v>
      </c>
      <c r="S235">
        <v>8.59</v>
      </c>
      <c r="T235" s="8">
        <v>169.71</v>
      </c>
      <c r="U235">
        <v>11198252</v>
      </c>
      <c r="V235" t="s">
        <v>5424</v>
      </c>
      <c r="W235" t="s">
        <v>5409</v>
      </c>
      <c r="X235" t="s">
        <v>5425</v>
      </c>
      <c r="Y235" t="s">
        <v>5411</v>
      </c>
      <c r="Z235" t="s">
        <v>5426</v>
      </c>
      <c r="AA235" t="s">
        <v>5413</v>
      </c>
      <c r="AB235" t="s">
        <v>5414</v>
      </c>
      <c r="AC235" t="s">
        <v>5414</v>
      </c>
      <c r="AD235" t="s">
        <v>5414</v>
      </c>
      <c r="AG235" t="s">
        <v>5427</v>
      </c>
      <c r="AI235" t="s">
        <v>5428</v>
      </c>
      <c r="AJ235" t="s">
        <v>5509</v>
      </c>
      <c r="AL235" t="s">
        <v>5418</v>
      </c>
      <c r="AN235" t="s">
        <v>5419</v>
      </c>
    </row>
    <row r="236" spans="1:40" x14ac:dyDescent="0.25">
      <c r="A236">
        <v>1085926747</v>
      </c>
      <c r="B236" t="s">
        <v>5399</v>
      </c>
      <c r="C236">
        <v>252406</v>
      </c>
      <c r="D236" t="s">
        <v>5400</v>
      </c>
      <c r="E236">
        <v>46214.295104166667</v>
      </c>
      <c r="F236" t="s">
        <v>5593</v>
      </c>
      <c r="G236" t="s">
        <v>3668</v>
      </c>
      <c r="H236" t="s">
        <v>5431</v>
      </c>
      <c r="I236" t="s">
        <v>5593</v>
      </c>
      <c r="J236">
        <v>2025</v>
      </c>
      <c r="K236" t="s">
        <v>5586</v>
      </c>
      <c r="L236" t="s">
        <v>5587</v>
      </c>
      <c r="M236" t="s">
        <v>5406</v>
      </c>
      <c r="N236" s="1" t="s">
        <v>4565</v>
      </c>
      <c r="O236">
        <v>40</v>
      </c>
      <c r="P236">
        <v>4.29</v>
      </c>
      <c r="Q236">
        <v>53882</v>
      </c>
      <c r="R236">
        <v>349</v>
      </c>
      <c r="S236">
        <v>8.73</v>
      </c>
      <c r="T236" s="8">
        <v>171.6</v>
      </c>
      <c r="U236">
        <v>11198252</v>
      </c>
      <c r="V236" t="s">
        <v>5424</v>
      </c>
      <c r="W236" t="s">
        <v>5409</v>
      </c>
      <c r="X236" t="s">
        <v>5425</v>
      </c>
      <c r="Y236" t="s">
        <v>5411</v>
      </c>
      <c r="Z236" t="s">
        <v>5426</v>
      </c>
      <c r="AA236" t="s">
        <v>5413</v>
      </c>
      <c r="AB236" t="s">
        <v>5414</v>
      </c>
      <c r="AC236" t="s">
        <v>5414</v>
      </c>
      <c r="AD236" t="s">
        <v>5414</v>
      </c>
      <c r="AG236" t="s">
        <v>5427</v>
      </c>
      <c r="AI236" t="s">
        <v>5428</v>
      </c>
      <c r="AJ236" t="s">
        <v>5594</v>
      </c>
      <c r="AK236" t="s">
        <v>5528</v>
      </c>
      <c r="AL236" t="s">
        <v>5418</v>
      </c>
      <c r="AN236" t="s">
        <v>5595</v>
      </c>
    </row>
    <row r="237" spans="1:40" x14ac:dyDescent="0.25">
      <c r="A237">
        <v>1085918530</v>
      </c>
      <c r="B237" t="s">
        <v>5399</v>
      </c>
      <c r="C237">
        <v>252406</v>
      </c>
      <c r="D237" t="s">
        <v>5400</v>
      </c>
      <c r="E237">
        <v>46214.296909722223</v>
      </c>
      <c r="F237" t="s">
        <v>5589</v>
      </c>
      <c r="G237" t="s">
        <v>3668</v>
      </c>
      <c r="H237" t="s">
        <v>5431</v>
      </c>
      <c r="I237" t="s">
        <v>5403</v>
      </c>
      <c r="J237">
        <v>2026</v>
      </c>
      <c r="K237" t="s">
        <v>5590</v>
      </c>
      <c r="L237" t="s">
        <v>5591</v>
      </c>
      <c r="M237" t="s">
        <v>5406</v>
      </c>
      <c r="N237" s="1" t="s">
        <v>4565</v>
      </c>
      <c r="O237">
        <v>27</v>
      </c>
      <c r="P237">
        <v>4.38</v>
      </c>
      <c r="Q237">
        <v>4739</v>
      </c>
      <c r="R237">
        <v>176</v>
      </c>
      <c r="S237">
        <v>6.52</v>
      </c>
      <c r="T237" s="8">
        <v>118.26</v>
      </c>
      <c r="U237">
        <v>11153887</v>
      </c>
      <c r="V237" t="s">
        <v>5490</v>
      </c>
      <c r="W237" t="s">
        <v>5409</v>
      </c>
      <c r="X237" t="s">
        <v>5491</v>
      </c>
      <c r="Y237" t="s">
        <v>5492</v>
      </c>
      <c r="Z237" t="s">
        <v>5426</v>
      </c>
      <c r="AA237" t="s">
        <v>5413</v>
      </c>
      <c r="AB237" t="s">
        <v>5414</v>
      </c>
      <c r="AC237" t="s">
        <v>5414</v>
      </c>
      <c r="AD237" t="s">
        <v>5414</v>
      </c>
      <c r="AG237" t="s">
        <v>5415</v>
      </c>
      <c r="AI237" t="s">
        <v>5460</v>
      </c>
      <c r="AJ237" t="s">
        <v>5592</v>
      </c>
      <c r="AL237" t="s">
        <v>5418</v>
      </c>
      <c r="AN237" t="s">
        <v>5419</v>
      </c>
    </row>
    <row r="238" spans="1:40" x14ac:dyDescent="0.25">
      <c r="A238">
        <v>1085927851</v>
      </c>
      <c r="B238" t="s">
        <v>5399</v>
      </c>
      <c r="C238">
        <v>252406</v>
      </c>
      <c r="D238" t="s">
        <v>5400</v>
      </c>
      <c r="E238">
        <v>46214.29996527778</v>
      </c>
      <c r="F238" t="s">
        <v>5435</v>
      </c>
      <c r="G238" t="s">
        <v>3668</v>
      </c>
      <c r="H238" t="s">
        <v>5421</v>
      </c>
      <c r="I238" t="s">
        <v>5403</v>
      </c>
      <c r="J238">
        <v>2026</v>
      </c>
      <c r="K238" t="s">
        <v>5436</v>
      </c>
      <c r="L238" t="s">
        <v>5437</v>
      </c>
      <c r="M238" t="s">
        <v>5406</v>
      </c>
      <c r="N238" s="1" t="s">
        <v>4565</v>
      </c>
      <c r="O238">
        <v>33.57</v>
      </c>
      <c r="P238">
        <v>4.29</v>
      </c>
      <c r="Q238">
        <v>48528</v>
      </c>
      <c r="R238">
        <v>308</v>
      </c>
      <c r="S238">
        <v>9.17</v>
      </c>
      <c r="T238" s="8">
        <v>144.02000000000001</v>
      </c>
      <c r="U238">
        <v>11198252</v>
      </c>
      <c r="V238" t="s">
        <v>5424</v>
      </c>
      <c r="W238" t="s">
        <v>5409</v>
      </c>
      <c r="X238" t="s">
        <v>5425</v>
      </c>
      <c r="Y238" t="s">
        <v>5411</v>
      </c>
      <c r="Z238" t="s">
        <v>5426</v>
      </c>
      <c r="AA238" t="s">
        <v>5413</v>
      </c>
      <c r="AB238" t="s">
        <v>5414</v>
      </c>
      <c r="AC238" t="s">
        <v>5414</v>
      </c>
      <c r="AD238" t="s">
        <v>5414</v>
      </c>
      <c r="AG238" t="s">
        <v>5427</v>
      </c>
      <c r="AI238" t="s">
        <v>5428</v>
      </c>
      <c r="AJ238" t="s">
        <v>5443</v>
      </c>
      <c r="AL238" t="s">
        <v>5418</v>
      </c>
      <c r="AN238" t="s">
        <v>5419</v>
      </c>
    </row>
    <row r="239" spans="1:40" x14ac:dyDescent="0.25">
      <c r="A239">
        <v>1085930844</v>
      </c>
      <c r="B239" t="s">
        <v>5399</v>
      </c>
      <c r="C239">
        <v>252406</v>
      </c>
      <c r="D239" t="s">
        <v>5400</v>
      </c>
      <c r="E239">
        <v>46214.308923611112</v>
      </c>
      <c r="F239" t="s">
        <v>5462</v>
      </c>
      <c r="G239" t="s">
        <v>3668</v>
      </c>
      <c r="H239" t="s">
        <v>5402</v>
      </c>
      <c r="I239" t="s">
        <v>5403</v>
      </c>
      <c r="J239">
        <v>2026</v>
      </c>
      <c r="K239" t="s">
        <v>5604</v>
      </c>
      <c r="L239" t="s">
        <v>5605</v>
      </c>
      <c r="M239" t="s">
        <v>5406</v>
      </c>
      <c r="N239" s="1" t="s">
        <v>4565</v>
      </c>
      <c r="O239">
        <v>24.66</v>
      </c>
      <c r="P239">
        <v>4.2889999999999997</v>
      </c>
      <c r="Q239">
        <v>26683</v>
      </c>
      <c r="R239">
        <v>99</v>
      </c>
      <c r="S239">
        <v>4.01</v>
      </c>
      <c r="T239" s="8">
        <v>105.79</v>
      </c>
      <c r="U239">
        <v>11198252</v>
      </c>
      <c r="V239" t="s">
        <v>5424</v>
      </c>
      <c r="W239" t="s">
        <v>5409</v>
      </c>
      <c r="X239" t="s">
        <v>5425</v>
      </c>
      <c r="Y239" t="s">
        <v>5411</v>
      </c>
      <c r="Z239" t="s">
        <v>5426</v>
      </c>
      <c r="AA239" t="s">
        <v>5413</v>
      </c>
      <c r="AB239" t="s">
        <v>5414</v>
      </c>
      <c r="AC239" t="s">
        <v>5414</v>
      </c>
      <c r="AD239" t="s">
        <v>5414</v>
      </c>
      <c r="AG239" t="s">
        <v>5427</v>
      </c>
      <c r="AI239" t="s">
        <v>5428</v>
      </c>
      <c r="AJ239" t="s">
        <v>5465</v>
      </c>
      <c r="AL239" t="s">
        <v>5418</v>
      </c>
      <c r="AN239" t="s">
        <v>5419</v>
      </c>
    </row>
    <row r="240" spans="1:40" x14ac:dyDescent="0.25">
      <c r="A240">
        <v>1085940628</v>
      </c>
      <c r="B240" t="s">
        <v>5399</v>
      </c>
      <c r="C240">
        <v>252406</v>
      </c>
      <c r="D240" t="s">
        <v>5400</v>
      </c>
      <c r="E240">
        <v>46214.391226851854</v>
      </c>
      <c r="F240" t="s">
        <v>5659</v>
      </c>
      <c r="G240" t="s">
        <v>3668</v>
      </c>
      <c r="H240" t="s">
        <v>5431</v>
      </c>
      <c r="I240" t="s">
        <v>5403</v>
      </c>
      <c r="J240">
        <v>2026</v>
      </c>
      <c r="K240" t="s">
        <v>5660</v>
      </c>
      <c r="L240" t="s">
        <v>5661</v>
      </c>
      <c r="M240" t="s">
        <v>5406</v>
      </c>
      <c r="N240" s="1" t="s">
        <v>4565</v>
      </c>
      <c r="O240">
        <v>31.58</v>
      </c>
      <c r="P240">
        <v>4.1890000000000001</v>
      </c>
      <c r="Q240">
        <v>6901</v>
      </c>
      <c r="R240">
        <v>197</v>
      </c>
      <c r="S240">
        <v>6.24</v>
      </c>
      <c r="T240" s="8">
        <v>132.32</v>
      </c>
      <c r="U240">
        <v>11040306</v>
      </c>
      <c r="V240" t="s">
        <v>5408</v>
      </c>
      <c r="W240" t="s">
        <v>5409</v>
      </c>
      <c r="X240" t="s">
        <v>5410</v>
      </c>
      <c r="Y240" t="s">
        <v>5411</v>
      </c>
      <c r="Z240" t="s">
        <v>5412</v>
      </c>
      <c r="AA240" t="s">
        <v>5413</v>
      </c>
      <c r="AB240" t="s">
        <v>5414</v>
      </c>
      <c r="AC240" t="s">
        <v>5414</v>
      </c>
      <c r="AD240" t="s">
        <v>5414</v>
      </c>
      <c r="AG240" t="s">
        <v>5415</v>
      </c>
      <c r="AI240" t="s">
        <v>5522</v>
      </c>
      <c r="AJ240" t="s">
        <v>5662</v>
      </c>
      <c r="AL240" t="s">
        <v>5418</v>
      </c>
      <c r="AN240" t="s">
        <v>5419</v>
      </c>
    </row>
    <row r="241" spans="1:40" x14ac:dyDescent="0.25">
      <c r="A241">
        <v>1085965389</v>
      </c>
      <c r="B241" t="s">
        <v>5399</v>
      </c>
      <c r="C241">
        <v>252406</v>
      </c>
      <c r="D241" t="s">
        <v>5400</v>
      </c>
      <c r="E241">
        <v>46214.466921296298</v>
      </c>
      <c r="F241" t="s">
        <v>5494</v>
      </c>
      <c r="G241" t="s">
        <v>3668</v>
      </c>
      <c r="H241" t="s">
        <v>5495</v>
      </c>
      <c r="I241" t="s">
        <v>5403</v>
      </c>
      <c r="J241">
        <v>2026</v>
      </c>
      <c r="K241" t="s">
        <v>5496</v>
      </c>
      <c r="L241" t="s">
        <v>5497</v>
      </c>
      <c r="M241" t="s">
        <v>5406</v>
      </c>
      <c r="N241" s="1" t="s">
        <v>4565</v>
      </c>
      <c r="O241">
        <v>45.97</v>
      </c>
      <c r="P241">
        <v>3.9489999999999998</v>
      </c>
      <c r="Q241">
        <v>57025</v>
      </c>
      <c r="R241">
        <v>385</v>
      </c>
      <c r="S241">
        <v>8.3800000000000008</v>
      </c>
      <c r="T241" s="8">
        <v>181.58</v>
      </c>
      <c r="U241">
        <v>12182384</v>
      </c>
      <c r="V241" t="s">
        <v>5807</v>
      </c>
      <c r="W241" t="s">
        <v>5409</v>
      </c>
      <c r="X241" t="s">
        <v>5808</v>
      </c>
      <c r="Y241" t="s">
        <v>5809</v>
      </c>
      <c r="Z241" t="s">
        <v>5810</v>
      </c>
      <c r="AA241" t="s">
        <v>5413</v>
      </c>
      <c r="AB241" t="s">
        <v>5414</v>
      </c>
      <c r="AC241" t="s">
        <v>5414</v>
      </c>
      <c r="AD241" t="s">
        <v>5414</v>
      </c>
      <c r="AG241" t="s">
        <v>5427</v>
      </c>
      <c r="AI241" t="s">
        <v>5811</v>
      </c>
      <c r="AJ241" t="s">
        <v>5504</v>
      </c>
      <c r="AL241" t="s">
        <v>5418</v>
      </c>
      <c r="AN241" t="s">
        <v>5419</v>
      </c>
    </row>
    <row r="242" spans="1:40" x14ac:dyDescent="0.25">
      <c r="A242">
        <v>1085965782</v>
      </c>
      <c r="B242" t="s">
        <v>5399</v>
      </c>
      <c r="C242">
        <v>252406</v>
      </c>
      <c r="D242" t="s">
        <v>5400</v>
      </c>
      <c r="E242">
        <v>46214.469837962963</v>
      </c>
      <c r="F242" t="s">
        <v>5703</v>
      </c>
      <c r="G242" t="s">
        <v>3668</v>
      </c>
      <c r="H242" t="s">
        <v>5549</v>
      </c>
      <c r="I242" t="s">
        <v>5403</v>
      </c>
      <c r="J242">
        <v>2026</v>
      </c>
      <c r="K242" t="s">
        <v>5704</v>
      </c>
      <c r="L242" t="s">
        <v>5705</v>
      </c>
      <c r="M242" t="s">
        <v>5406</v>
      </c>
      <c r="N242" s="1" t="s">
        <v>4565</v>
      </c>
      <c r="O242">
        <v>37.729999999999997</v>
      </c>
      <c r="P242">
        <v>4.2889999999999997</v>
      </c>
      <c r="Q242">
        <v>32288</v>
      </c>
      <c r="R242">
        <v>335</v>
      </c>
      <c r="S242">
        <v>8.8800000000000008</v>
      </c>
      <c r="T242" s="8">
        <v>161.86000000000001</v>
      </c>
      <c r="U242">
        <v>11198252</v>
      </c>
      <c r="V242" t="s">
        <v>5424</v>
      </c>
      <c r="W242" t="s">
        <v>5409</v>
      </c>
      <c r="X242" t="s">
        <v>5425</v>
      </c>
      <c r="Y242" t="s">
        <v>5411</v>
      </c>
      <c r="Z242" t="s">
        <v>5426</v>
      </c>
      <c r="AA242" t="s">
        <v>5413</v>
      </c>
      <c r="AB242" t="s">
        <v>5414</v>
      </c>
      <c r="AC242" t="s">
        <v>5414</v>
      </c>
      <c r="AD242" t="s">
        <v>5414</v>
      </c>
      <c r="AG242" t="s">
        <v>5427</v>
      </c>
      <c r="AI242" t="s">
        <v>5428</v>
      </c>
      <c r="AJ242" t="s">
        <v>5706</v>
      </c>
      <c r="AL242" t="s">
        <v>5418</v>
      </c>
      <c r="AN242" t="s">
        <v>5419</v>
      </c>
    </row>
    <row r="243" spans="1:40" x14ac:dyDescent="0.25">
      <c r="A243">
        <v>1085961636</v>
      </c>
      <c r="B243" t="s">
        <v>5399</v>
      </c>
      <c r="C243">
        <v>252406</v>
      </c>
      <c r="D243" t="s">
        <v>5400</v>
      </c>
      <c r="E243">
        <v>46214.48678240741</v>
      </c>
      <c r="F243" t="s">
        <v>5689</v>
      </c>
      <c r="G243" t="s">
        <v>3668</v>
      </c>
      <c r="H243" t="s">
        <v>5511</v>
      </c>
      <c r="I243" t="s">
        <v>5403</v>
      </c>
      <c r="J243">
        <v>2026</v>
      </c>
      <c r="K243" t="s">
        <v>5690</v>
      </c>
      <c r="L243" t="s">
        <v>5691</v>
      </c>
      <c r="M243" t="s">
        <v>5406</v>
      </c>
      <c r="N243" s="1" t="s">
        <v>4565</v>
      </c>
      <c r="O243">
        <v>30.68</v>
      </c>
      <c r="P243">
        <v>4.6500000000000004</v>
      </c>
      <c r="Q243">
        <v>9629</v>
      </c>
      <c r="R243">
        <v>361</v>
      </c>
      <c r="S243">
        <v>11.77</v>
      </c>
      <c r="T243" s="8">
        <v>142.66999999999999</v>
      </c>
      <c r="U243">
        <v>11040292</v>
      </c>
      <c r="V243" t="s">
        <v>5456</v>
      </c>
      <c r="W243" t="s">
        <v>5409</v>
      </c>
      <c r="X243" t="s">
        <v>5457</v>
      </c>
      <c r="Y243" t="s">
        <v>5458</v>
      </c>
      <c r="Z243" t="s">
        <v>5459</v>
      </c>
      <c r="AA243" t="s">
        <v>5413</v>
      </c>
      <c r="AB243" t="s">
        <v>5414</v>
      </c>
      <c r="AC243" t="s">
        <v>5414</v>
      </c>
      <c r="AD243" t="s">
        <v>5414</v>
      </c>
      <c r="AG243" t="s">
        <v>5415</v>
      </c>
      <c r="AI243" t="s">
        <v>5460</v>
      </c>
      <c r="AJ243" t="s">
        <v>5692</v>
      </c>
      <c r="AL243" t="s">
        <v>5418</v>
      </c>
      <c r="AN243" t="s">
        <v>5419</v>
      </c>
    </row>
    <row r="244" spans="1:40" x14ac:dyDescent="0.25">
      <c r="A244">
        <v>1085963916</v>
      </c>
      <c r="B244" t="s">
        <v>5399</v>
      </c>
      <c r="C244">
        <v>252406</v>
      </c>
      <c r="D244" t="s">
        <v>5400</v>
      </c>
      <c r="E244">
        <v>46214.498784722222</v>
      </c>
      <c r="F244" t="s">
        <v>5551</v>
      </c>
      <c r="G244" t="s">
        <v>3668</v>
      </c>
      <c r="H244" t="s">
        <v>5552</v>
      </c>
      <c r="I244" t="s">
        <v>5403</v>
      </c>
      <c r="J244">
        <v>2026</v>
      </c>
      <c r="K244" t="s">
        <v>5553</v>
      </c>
      <c r="L244" t="s">
        <v>5554</v>
      </c>
      <c r="M244" t="s">
        <v>5406</v>
      </c>
      <c r="N244" s="1" t="s">
        <v>4565</v>
      </c>
      <c r="O244">
        <v>43.89</v>
      </c>
      <c r="P244">
        <v>4.1890000000000001</v>
      </c>
      <c r="Q244">
        <v>24973</v>
      </c>
      <c r="R244">
        <v>216</v>
      </c>
      <c r="S244">
        <v>4.92</v>
      </c>
      <c r="T244" s="8">
        <v>183.89</v>
      </c>
      <c r="U244">
        <v>11040306</v>
      </c>
      <c r="V244" t="s">
        <v>5408</v>
      </c>
      <c r="W244" t="s">
        <v>5409</v>
      </c>
      <c r="X244" t="s">
        <v>5410</v>
      </c>
      <c r="Y244" t="s">
        <v>5411</v>
      </c>
      <c r="Z244" t="s">
        <v>5412</v>
      </c>
      <c r="AA244" t="s">
        <v>5413</v>
      </c>
      <c r="AB244" t="s">
        <v>5414</v>
      </c>
      <c r="AC244" t="s">
        <v>5414</v>
      </c>
      <c r="AD244" t="s">
        <v>5414</v>
      </c>
      <c r="AG244" t="s">
        <v>5415</v>
      </c>
      <c r="AI244" t="s">
        <v>5522</v>
      </c>
      <c r="AJ244" t="s">
        <v>5555</v>
      </c>
      <c r="AL244" t="s">
        <v>5418</v>
      </c>
      <c r="AN244" t="s">
        <v>5419</v>
      </c>
    </row>
    <row r="245" spans="1:40" x14ac:dyDescent="0.25">
      <c r="A245">
        <v>1085979956</v>
      </c>
      <c r="B245" t="s">
        <v>5399</v>
      </c>
      <c r="C245">
        <v>252406</v>
      </c>
      <c r="D245" t="s">
        <v>5400</v>
      </c>
      <c r="E245">
        <v>46214.551724537036</v>
      </c>
      <c r="F245" t="s">
        <v>5567</v>
      </c>
      <c r="G245" t="s">
        <v>3668</v>
      </c>
      <c r="H245" t="s">
        <v>5568</v>
      </c>
      <c r="I245" t="s">
        <v>5403</v>
      </c>
      <c r="J245">
        <v>2026</v>
      </c>
      <c r="K245" t="s">
        <v>5436</v>
      </c>
      <c r="L245" t="s">
        <v>5437</v>
      </c>
      <c r="M245" t="s">
        <v>5406</v>
      </c>
      <c r="N245" s="1" t="s">
        <v>4565</v>
      </c>
      <c r="O245">
        <v>24.26</v>
      </c>
      <c r="P245">
        <v>4.29</v>
      </c>
      <c r="Q245">
        <v>2596</v>
      </c>
      <c r="R245">
        <v>196</v>
      </c>
      <c r="S245">
        <v>8.08</v>
      </c>
      <c r="T245" s="8">
        <v>104.08</v>
      </c>
      <c r="U245">
        <v>11198252</v>
      </c>
      <c r="V245" t="s">
        <v>5424</v>
      </c>
      <c r="W245" t="s">
        <v>5409</v>
      </c>
      <c r="X245" t="s">
        <v>5425</v>
      </c>
      <c r="Y245" t="s">
        <v>5411</v>
      </c>
      <c r="Z245" t="s">
        <v>5426</v>
      </c>
      <c r="AA245" t="s">
        <v>5413</v>
      </c>
      <c r="AB245" t="s">
        <v>5414</v>
      </c>
      <c r="AC245" t="s">
        <v>5414</v>
      </c>
      <c r="AD245" t="s">
        <v>5414</v>
      </c>
      <c r="AG245" t="s">
        <v>5427</v>
      </c>
      <c r="AI245" t="s">
        <v>5428</v>
      </c>
      <c r="AJ245" t="s">
        <v>5573</v>
      </c>
      <c r="AL245" t="s">
        <v>5418</v>
      </c>
      <c r="AN245" t="s">
        <v>5419</v>
      </c>
    </row>
    <row r="246" spans="1:40" x14ac:dyDescent="0.25">
      <c r="A246">
        <v>1085973590</v>
      </c>
      <c r="B246" t="s">
        <v>5399</v>
      </c>
      <c r="C246">
        <v>252406</v>
      </c>
      <c r="D246" t="s">
        <v>5400</v>
      </c>
      <c r="E246">
        <v>46214.560358796298</v>
      </c>
      <c r="F246" t="s">
        <v>5800</v>
      </c>
      <c r="G246" t="s">
        <v>3668</v>
      </c>
      <c r="H246" t="s">
        <v>5421</v>
      </c>
      <c r="I246" t="s">
        <v>5403</v>
      </c>
      <c r="J246">
        <v>2027</v>
      </c>
      <c r="K246" t="s">
        <v>5801</v>
      </c>
      <c r="L246" t="s">
        <v>5802</v>
      </c>
      <c r="M246" t="s">
        <v>5406</v>
      </c>
      <c r="N246" s="1" t="s">
        <v>4565</v>
      </c>
      <c r="O246">
        <v>31.28</v>
      </c>
      <c r="P246">
        <v>3.6890000000000001</v>
      </c>
      <c r="Q246">
        <v>708</v>
      </c>
      <c r="R246">
        <v>332</v>
      </c>
      <c r="S246">
        <v>10.61</v>
      </c>
      <c r="T246" s="8">
        <v>115.42</v>
      </c>
      <c r="U246">
        <v>11450300</v>
      </c>
      <c r="V246" t="s">
        <v>5812</v>
      </c>
      <c r="W246" t="s">
        <v>5409</v>
      </c>
      <c r="X246" t="s">
        <v>5813</v>
      </c>
      <c r="Y246" t="s">
        <v>5411</v>
      </c>
      <c r="Z246" t="s">
        <v>5814</v>
      </c>
      <c r="AA246" t="s">
        <v>5502</v>
      </c>
      <c r="AB246" t="s">
        <v>5414</v>
      </c>
      <c r="AC246" t="s">
        <v>5414</v>
      </c>
      <c r="AD246" t="s">
        <v>5414</v>
      </c>
      <c r="AG246" t="s">
        <v>5427</v>
      </c>
      <c r="AI246" t="s">
        <v>5815</v>
      </c>
      <c r="AJ246" t="s">
        <v>5806</v>
      </c>
      <c r="AL246" t="s">
        <v>5418</v>
      </c>
      <c r="AN246" t="s">
        <v>5419</v>
      </c>
    </row>
    <row r="247" spans="1:40" x14ac:dyDescent="0.25">
      <c r="A247">
        <v>1085976463</v>
      </c>
      <c r="B247" t="s">
        <v>5399</v>
      </c>
      <c r="C247">
        <v>252406</v>
      </c>
      <c r="D247" t="s">
        <v>5400</v>
      </c>
      <c r="E247">
        <v>46214.574340277781</v>
      </c>
      <c r="F247" t="s">
        <v>5452</v>
      </c>
      <c r="G247" t="s">
        <v>3668</v>
      </c>
      <c r="H247" t="s">
        <v>5453</v>
      </c>
      <c r="I247" t="s">
        <v>5403</v>
      </c>
      <c r="J247">
        <v>2026</v>
      </c>
      <c r="K247" t="s">
        <v>5454</v>
      </c>
      <c r="L247" t="s">
        <v>5455</v>
      </c>
      <c r="M247" t="s">
        <v>5406</v>
      </c>
      <c r="N247" s="1" t="s">
        <v>4565</v>
      </c>
      <c r="O247">
        <v>24.32</v>
      </c>
      <c r="P247">
        <v>4.1890000000000001</v>
      </c>
      <c r="Q247">
        <v>39650</v>
      </c>
      <c r="R247">
        <v>241</v>
      </c>
      <c r="S247">
        <v>9.91</v>
      </c>
      <c r="T247" s="8">
        <v>101.9</v>
      </c>
      <c r="U247">
        <v>11040306</v>
      </c>
      <c r="V247" t="s">
        <v>5408</v>
      </c>
      <c r="W247" t="s">
        <v>5409</v>
      </c>
      <c r="X247" t="s">
        <v>5410</v>
      </c>
      <c r="Y247" t="s">
        <v>5411</v>
      </c>
      <c r="Z247" t="s">
        <v>5412</v>
      </c>
      <c r="AA247" t="s">
        <v>5413</v>
      </c>
      <c r="AB247" t="s">
        <v>5414</v>
      </c>
      <c r="AC247" t="s">
        <v>5414</v>
      </c>
      <c r="AD247" t="s">
        <v>5414</v>
      </c>
      <c r="AG247" t="s">
        <v>5415</v>
      </c>
      <c r="AI247" t="s">
        <v>5460</v>
      </c>
      <c r="AJ247" t="s">
        <v>5461</v>
      </c>
      <c r="AL247" t="s">
        <v>5418</v>
      </c>
      <c r="AN247" t="s">
        <v>5419</v>
      </c>
    </row>
    <row r="248" spans="1:40" x14ac:dyDescent="0.25">
      <c r="A248">
        <v>1085976907</v>
      </c>
      <c r="B248" t="s">
        <v>5399</v>
      </c>
      <c r="C248">
        <v>252406</v>
      </c>
      <c r="D248" t="s">
        <v>5400</v>
      </c>
      <c r="E248">
        <v>46214.577557870369</v>
      </c>
      <c r="F248" t="s">
        <v>5534</v>
      </c>
      <c r="G248" t="s">
        <v>3668</v>
      </c>
      <c r="H248" t="s">
        <v>5421</v>
      </c>
      <c r="I248" t="s">
        <v>5403</v>
      </c>
      <c r="J248">
        <v>2027</v>
      </c>
      <c r="K248" t="s">
        <v>5535</v>
      </c>
      <c r="L248" t="s">
        <v>5536</v>
      </c>
      <c r="M248" t="s">
        <v>5406</v>
      </c>
      <c r="N248" s="1" t="s">
        <v>4565</v>
      </c>
      <c r="O248">
        <v>27.58</v>
      </c>
      <c r="P248">
        <v>4.1890000000000001</v>
      </c>
      <c r="Q248">
        <v>2730</v>
      </c>
      <c r="R248">
        <v>196</v>
      </c>
      <c r="S248">
        <v>7.11</v>
      </c>
      <c r="T248" s="8">
        <v>115.56</v>
      </c>
      <c r="U248">
        <v>11040306</v>
      </c>
      <c r="V248" t="s">
        <v>5408</v>
      </c>
      <c r="W248" t="s">
        <v>5409</v>
      </c>
      <c r="X248" t="s">
        <v>5410</v>
      </c>
      <c r="Y248" t="s">
        <v>5411</v>
      </c>
      <c r="Z248" t="s">
        <v>5412</v>
      </c>
      <c r="AA248" t="s">
        <v>5413</v>
      </c>
      <c r="AB248" t="s">
        <v>5414</v>
      </c>
      <c r="AC248" t="s">
        <v>5414</v>
      </c>
      <c r="AD248" t="s">
        <v>5414</v>
      </c>
      <c r="AG248" t="s">
        <v>5415</v>
      </c>
      <c r="AI248" t="s">
        <v>5460</v>
      </c>
      <c r="AJ248" t="s">
        <v>5816</v>
      </c>
      <c r="AL248" t="s">
        <v>5418</v>
      </c>
      <c r="AN248" t="s">
        <v>5419</v>
      </c>
    </row>
    <row r="249" spans="1:40" x14ac:dyDescent="0.25">
      <c r="A249">
        <v>1085983942</v>
      </c>
      <c r="B249" t="s">
        <v>5399</v>
      </c>
      <c r="C249">
        <v>252406</v>
      </c>
      <c r="D249" t="s">
        <v>5400</v>
      </c>
      <c r="E249">
        <v>46214.582928240743</v>
      </c>
      <c r="F249" t="s">
        <v>5530</v>
      </c>
      <c r="G249" t="s">
        <v>3668</v>
      </c>
      <c r="H249" t="s">
        <v>5431</v>
      </c>
      <c r="I249" t="s">
        <v>5403</v>
      </c>
      <c r="J249">
        <v>2025</v>
      </c>
      <c r="K249" t="s">
        <v>5531</v>
      </c>
      <c r="L249" t="s">
        <v>5532</v>
      </c>
      <c r="M249" t="s">
        <v>5406</v>
      </c>
      <c r="N249" s="1" t="s">
        <v>4565</v>
      </c>
      <c r="O249">
        <v>36.5</v>
      </c>
      <c r="P249">
        <v>4.2889999999999997</v>
      </c>
      <c r="Q249">
        <v>106900</v>
      </c>
      <c r="R249">
        <v>366</v>
      </c>
      <c r="S249">
        <v>10.029999999999999</v>
      </c>
      <c r="T249" s="8">
        <v>156.58000000000001</v>
      </c>
      <c r="U249">
        <v>11198252</v>
      </c>
      <c r="V249" t="s">
        <v>5424</v>
      </c>
      <c r="W249" t="s">
        <v>5409</v>
      </c>
      <c r="X249" t="s">
        <v>5425</v>
      </c>
      <c r="Y249" t="s">
        <v>5411</v>
      </c>
      <c r="Z249" t="s">
        <v>5426</v>
      </c>
      <c r="AA249" t="s">
        <v>5413</v>
      </c>
      <c r="AB249" t="s">
        <v>5414</v>
      </c>
      <c r="AC249" t="s">
        <v>5414</v>
      </c>
      <c r="AD249" t="s">
        <v>5414</v>
      </c>
      <c r="AG249" t="s">
        <v>5427</v>
      </c>
      <c r="AI249" t="s">
        <v>5428</v>
      </c>
      <c r="AJ249" t="s">
        <v>5533</v>
      </c>
      <c r="AL249" t="s">
        <v>5418</v>
      </c>
      <c r="AN249" t="s">
        <v>5419</v>
      </c>
    </row>
    <row r="250" spans="1:40" x14ac:dyDescent="0.25">
      <c r="A250">
        <v>1085981014</v>
      </c>
      <c r="B250" t="s">
        <v>5399</v>
      </c>
      <c r="C250">
        <v>252406</v>
      </c>
      <c r="D250" t="s">
        <v>5400</v>
      </c>
      <c r="E250">
        <v>46214.601469907408</v>
      </c>
      <c r="F250" t="s">
        <v>5466</v>
      </c>
      <c r="G250" t="s">
        <v>3668</v>
      </c>
      <c r="H250" t="s">
        <v>5467</v>
      </c>
      <c r="I250" t="s">
        <v>5403</v>
      </c>
      <c r="J250">
        <v>2025</v>
      </c>
      <c r="K250" t="s">
        <v>5468</v>
      </c>
      <c r="L250" t="s">
        <v>5469</v>
      </c>
      <c r="M250" t="s">
        <v>5406</v>
      </c>
      <c r="N250" s="1" t="s">
        <v>4565</v>
      </c>
      <c r="O250">
        <v>49.13</v>
      </c>
      <c r="P250">
        <v>4.1890000000000001</v>
      </c>
      <c r="Q250">
        <v>63260</v>
      </c>
      <c r="R250">
        <v>358</v>
      </c>
      <c r="S250">
        <v>7.29</v>
      </c>
      <c r="T250" s="8">
        <v>205.85</v>
      </c>
      <c r="U250">
        <v>11040306</v>
      </c>
      <c r="V250" t="s">
        <v>5408</v>
      </c>
      <c r="W250" t="s">
        <v>5409</v>
      </c>
      <c r="X250" t="s">
        <v>5410</v>
      </c>
      <c r="Y250" t="s">
        <v>5411</v>
      </c>
      <c r="Z250" t="s">
        <v>5412</v>
      </c>
      <c r="AA250" t="s">
        <v>5413</v>
      </c>
      <c r="AB250" t="s">
        <v>5414</v>
      </c>
      <c r="AC250" t="s">
        <v>5414</v>
      </c>
      <c r="AD250" t="s">
        <v>5414</v>
      </c>
      <c r="AG250" t="s">
        <v>5415</v>
      </c>
      <c r="AI250" t="s">
        <v>5460</v>
      </c>
      <c r="AJ250" t="s">
        <v>5474</v>
      </c>
      <c r="AL250" t="s">
        <v>5418</v>
      </c>
      <c r="AN250" t="s">
        <v>5419</v>
      </c>
    </row>
    <row r="251" spans="1:40" x14ac:dyDescent="0.25">
      <c r="A251">
        <v>1085983339</v>
      </c>
      <c r="B251" t="s">
        <v>5399</v>
      </c>
      <c r="C251">
        <v>252406</v>
      </c>
      <c r="D251" t="s">
        <v>5400</v>
      </c>
      <c r="E251">
        <v>46214.620104166665</v>
      </c>
      <c r="F251" t="s">
        <v>5757</v>
      </c>
      <c r="G251" t="s">
        <v>3668</v>
      </c>
      <c r="H251" t="s">
        <v>5421</v>
      </c>
      <c r="I251" t="s">
        <v>5403</v>
      </c>
      <c r="J251">
        <v>2027</v>
      </c>
      <c r="K251" t="s">
        <v>5520</v>
      </c>
      <c r="L251" t="s">
        <v>5521</v>
      </c>
      <c r="M251" t="s">
        <v>5406</v>
      </c>
      <c r="N251" s="1" t="s">
        <v>4565</v>
      </c>
      <c r="O251">
        <v>29.83</v>
      </c>
      <c r="P251">
        <v>4.1890000000000001</v>
      </c>
      <c r="Q251">
        <v>1090</v>
      </c>
      <c r="R251">
        <v>262</v>
      </c>
      <c r="S251">
        <v>8.7799999999999994</v>
      </c>
      <c r="T251" s="8">
        <v>124.98</v>
      </c>
      <c r="U251">
        <v>11040306</v>
      </c>
      <c r="V251" t="s">
        <v>5408</v>
      </c>
      <c r="W251" t="s">
        <v>5409</v>
      </c>
      <c r="X251" t="s">
        <v>5410</v>
      </c>
      <c r="Y251" t="s">
        <v>5411</v>
      </c>
      <c r="Z251" t="s">
        <v>5412</v>
      </c>
      <c r="AA251" t="s">
        <v>5413</v>
      </c>
      <c r="AB251" t="s">
        <v>5414</v>
      </c>
      <c r="AC251" t="s">
        <v>5414</v>
      </c>
      <c r="AD251" t="s">
        <v>5414</v>
      </c>
      <c r="AG251" t="s">
        <v>5415</v>
      </c>
      <c r="AI251" t="s">
        <v>5416</v>
      </c>
      <c r="AJ251" t="s">
        <v>5765</v>
      </c>
      <c r="AL251" t="s">
        <v>5418</v>
      </c>
      <c r="AN251" t="s">
        <v>5419</v>
      </c>
    </row>
    <row r="252" spans="1:40" x14ac:dyDescent="0.25">
      <c r="A252">
        <v>1085984204</v>
      </c>
      <c r="B252" t="s">
        <v>5399</v>
      </c>
      <c r="C252">
        <v>252406</v>
      </c>
      <c r="D252" t="s">
        <v>5400</v>
      </c>
      <c r="E252">
        <v>46214.626527777778</v>
      </c>
      <c r="F252" t="s">
        <v>5817</v>
      </c>
      <c r="G252" t="s">
        <v>3668</v>
      </c>
      <c r="H252" t="s">
        <v>5421</v>
      </c>
      <c r="I252" t="s">
        <v>5403</v>
      </c>
      <c r="J252">
        <v>2027</v>
      </c>
      <c r="K252" t="s">
        <v>5758</v>
      </c>
      <c r="L252" t="s">
        <v>5759</v>
      </c>
      <c r="M252" t="s">
        <v>5406</v>
      </c>
      <c r="N252" s="1" t="s">
        <v>4565</v>
      </c>
      <c r="O252">
        <v>36.68</v>
      </c>
      <c r="P252">
        <v>4.0890000000000004</v>
      </c>
      <c r="Q252">
        <v>395</v>
      </c>
      <c r="R252">
        <v>0</v>
      </c>
      <c r="S252">
        <v>0</v>
      </c>
      <c r="T252" s="8">
        <v>150</v>
      </c>
      <c r="U252">
        <v>12718403</v>
      </c>
      <c r="V252" t="s">
        <v>5760</v>
      </c>
      <c r="W252" t="s">
        <v>5409</v>
      </c>
      <c r="X252" t="s">
        <v>5761</v>
      </c>
      <c r="Y252" t="s">
        <v>5762</v>
      </c>
      <c r="Z252" t="s">
        <v>5763</v>
      </c>
      <c r="AA252" t="s">
        <v>5502</v>
      </c>
      <c r="AB252" t="s">
        <v>5414</v>
      </c>
      <c r="AC252" t="s">
        <v>5414</v>
      </c>
      <c r="AD252" t="s">
        <v>5414</v>
      </c>
      <c r="AG252" t="s">
        <v>5415</v>
      </c>
      <c r="AI252" t="s">
        <v>5764</v>
      </c>
      <c r="AJ252" t="s">
        <v>5818</v>
      </c>
      <c r="AL252" t="s">
        <v>5418</v>
      </c>
      <c r="AN252" t="s">
        <v>5419</v>
      </c>
    </row>
    <row r="253" spans="1:40" x14ac:dyDescent="0.25">
      <c r="A253">
        <v>1085984378</v>
      </c>
      <c r="B253" t="s">
        <v>5399</v>
      </c>
      <c r="C253">
        <v>252406</v>
      </c>
      <c r="D253" t="s">
        <v>5400</v>
      </c>
      <c r="E253">
        <v>46214.627986111111</v>
      </c>
      <c r="F253" t="s">
        <v>5626</v>
      </c>
      <c r="G253" t="s">
        <v>3668</v>
      </c>
      <c r="H253" t="s">
        <v>5552</v>
      </c>
      <c r="I253" t="s">
        <v>5403</v>
      </c>
      <c r="J253">
        <v>2026</v>
      </c>
      <c r="K253" t="s">
        <v>5627</v>
      </c>
      <c r="L253" t="s">
        <v>5628</v>
      </c>
      <c r="M253" t="s">
        <v>5406</v>
      </c>
      <c r="N253" s="1" t="s">
        <v>4565</v>
      </c>
      <c r="O253">
        <v>44.32</v>
      </c>
      <c r="P253">
        <v>4.1890000000000001</v>
      </c>
      <c r="Q253">
        <v>21611</v>
      </c>
      <c r="R253">
        <v>148</v>
      </c>
      <c r="S253">
        <v>3.34</v>
      </c>
      <c r="T253" s="8">
        <v>185.7</v>
      </c>
      <c r="U253">
        <v>11040306</v>
      </c>
      <c r="V253" t="s">
        <v>5408</v>
      </c>
      <c r="W253" t="s">
        <v>5409</v>
      </c>
      <c r="X253" t="s">
        <v>5410</v>
      </c>
      <c r="Y253" t="s">
        <v>5411</v>
      </c>
      <c r="Z253" t="s">
        <v>5412</v>
      </c>
      <c r="AA253" t="s">
        <v>5413</v>
      </c>
      <c r="AB253" t="s">
        <v>5414</v>
      </c>
      <c r="AC253" t="s">
        <v>5414</v>
      </c>
      <c r="AD253" t="s">
        <v>5414</v>
      </c>
      <c r="AG253" t="s">
        <v>5415</v>
      </c>
      <c r="AI253" t="s">
        <v>5416</v>
      </c>
      <c r="AJ253" t="s">
        <v>5630</v>
      </c>
      <c r="AL253" t="s">
        <v>5418</v>
      </c>
      <c r="AN253" t="s">
        <v>5419</v>
      </c>
    </row>
    <row r="254" spans="1:40" x14ac:dyDescent="0.25">
      <c r="A254">
        <v>1085990968</v>
      </c>
      <c r="B254" t="s">
        <v>5399</v>
      </c>
      <c r="C254">
        <v>252406</v>
      </c>
      <c r="D254" t="s">
        <v>5400</v>
      </c>
      <c r="E254">
        <v>46214.629386574074</v>
      </c>
      <c r="F254" t="s">
        <v>5585</v>
      </c>
      <c r="G254" t="s">
        <v>3668</v>
      </c>
      <c r="H254" t="s">
        <v>5506</v>
      </c>
      <c r="I254" t="s">
        <v>5403</v>
      </c>
      <c r="J254">
        <v>2026</v>
      </c>
      <c r="K254" t="s">
        <v>5717</v>
      </c>
      <c r="L254" t="s">
        <v>5718</v>
      </c>
      <c r="M254" t="s">
        <v>5406</v>
      </c>
      <c r="N254" s="1" t="s">
        <v>4565</v>
      </c>
      <c r="O254">
        <v>31.48</v>
      </c>
      <c r="P254">
        <v>4.29</v>
      </c>
      <c r="Q254">
        <v>3330</v>
      </c>
      <c r="R254">
        <v>176</v>
      </c>
      <c r="S254">
        <v>5.59</v>
      </c>
      <c r="T254" s="8">
        <v>135.05000000000001</v>
      </c>
      <c r="U254">
        <v>11198252</v>
      </c>
      <c r="V254" t="s">
        <v>5424</v>
      </c>
      <c r="W254" t="s">
        <v>5409</v>
      </c>
      <c r="X254" t="s">
        <v>5425</v>
      </c>
      <c r="Y254" t="s">
        <v>5411</v>
      </c>
      <c r="Z254" t="s">
        <v>5426</v>
      </c>
      <c r="AA254" t="s">
        <v>5413</v>
      </c>
      <c r="AB254" t="s">
        <v>5414</v>
      </c>
      <c r="AC254" t="s">
        <v>5414</v>
      </c>
      <c r="AD254" t="s">
        <v>5414</v>
      </c>
      <c r="AG254" t="s">
        <v>5427</v>
      </c>
      <c r="AI254" t="s">
        <v>5428</v>
      </c>
      <c r="AJ254" t="s">
        <v>5588</v>
      </c>
      <c r="AL254" t="s">
        <v>5418</v>
      </c>
      <c r="AN254" t="s">
        <v>5419</v>
      </c>
    </row>
    <row r="255" spans="1:40" x14ac:dyDescent="0.25">
      <c r="A255">
        <v>1085988881</v>
      </c>
      <c r="B255" t="s">
        <v>5399</v>
      </c>
      <c r="C255">
        <v>252406</v>
      </c>
      <c r="D255" t="s">
        <v>5400</v>
      </c>
      <c r="E255">
        <v>46214.651736111111</v>
      </c>
      <c r="F255" t="s">
        <v>5420</v>
      </c>
      <c r="G255" t="s">
        <v>3668</v>
      </c>
      <c r="H255" t="s">
        <v>5421</v>
      </c>
      <c r="I255" t="s">
        <v>5403</v>
      </c>
      <c r="J255">
        <v>2025</v>
      </c>
      <c r="K255" t="s">
        <v>5652</v>
      </c>
      <c r="L255" t="s">
        <v>5653</v>
      </c>
      <c r="M255" t="s">
        <v>5406</v>
      </c>
      <c r="N255" s="1" t="s">
        <v>4565</v>
      </c>
      <c r="O255">
        <v>36.54</v>
      </c>
      <c r="P255">
        <v>4.1890000000000001</v>
      </c>
      <c r="Q255">
        <v>69312</v>
      </c>
      <c r="R255">
        <v>360</v>
      </c>
      <c r="S255">
        <v>9.85</v>
      </c>
      <c r="T255" s="8">
        <v>153.1</v>
      </c>
      <c r="U255">
        <v>11040306</v>
      </c>
      <c r="V255" t="s">
        <v>5408</v>
      </c>
      <c r="W255" t="s">
        <v>5409</v>
      </c>
      <c r="X255" t="s">
        <v>5410</v>
      </c>
      <c r="Y255" t="s">
        <v>5411</v>
      </c>
      <c r="Z255" t="s">
        <v>5412</v>
      </c>
      <c r="AA255" t="s">
        <v>5413</v>
      </c>
      <c r="AB255" t="s">
        <v>5414</v>
      </c>
      <c r="AC255" t="s">
        <v>5414</v>
      </c>
      <c r="AD255" t="s">
        <v>5414</v>
      </c>
      <c r="AG255" t="s">
        <v>5415</v>
      </c>
      <c r="AI255" t="s">
        <v>5416</v>
      </c>
      <c r="AJ255" t="s">
        <v>5429</v>
      </c>
      <c r="AL255" t="s">
        <v>5418</v>
      </c>
      <c r="AN255" t="s">
        <v>5419</v>
      </c>
    </row>
    <row r="256" spans="1:40" x14ac:dyDescent="0.25">
      <c r="A256">
        <v>1085996444</v>
      </c>
      <c r="B256" t="s">
        <v>5399</v>
      </c>
      <c r="C256">
        <v>252406</v>
      </c>
      <c r="D256" t="s">
        <v>5400</v>
      </c>
      <c r="E256">
        <v>46214.66479166667</v>
      </c>
      <c r="F256" t="s">
        <v>5401</v>
      </c>
      <c r="G256" t="s">
        <v>3668</v>
      </c>
      <c r="H256" t="s">
        <v>5402</v>
      </c>
      <c r="I256" t="s">
        <v>5403</v>
      </c>
      <c r="J256">
        <v>2026</v>
      </c>
      <c r="K256" t="s">
        <v>5404</v>
      </c>
      <c r="L256" t="s">
        <v>5405</v>
      </c>
      <c r="M256" t="s">
        <v>5406</v>
      </c>
      <c r="N256" s="1" t="s">
        <v>4565</v>
      </c>
      <c r="O256">
        <v>34.86</v>
      </c>
      <c r="P256">
        <v>4.29</v>
      </c>
      <c r="Q256">
        <v>33947</v>
      </c>
      <c r="R256">
        <v>206</v>
      </c>
      <c r="S256">
        <v>5.91</v>
      </c>
      <c r="T256" s="8">
        <v>149.55000000000001</v>
      </c>
      <c r="U256">
        <v>11198252</v>
      </c>
      <c r="V256" t="s">
        <v>5424</v>
      </c>
      <c r="W256" t="s">
        <v>5409</v>
      </c>
      <c r="X256" t="s">
        <v>5425</v>
      </c>
      <c r="Y256" t="s">
        <v>5411</v>
      </c>
      <c r="Z256" t="s">
        <v>5426</v>
      </c>
      <c r="AA256" t="s">
        <v>5413</v>
      </c>
      <c r="AB256" t="s">
        <v>5414</v>
      </c>
      <c r="AC256" t="s">
        <v>5414</v>
      </c>
      <c r="AD256" t="s">
        <v>5414</v>
      </c>
      <c r="AG256" t="s">
        <v>5427</v>
      </c>
      <c r="AI256" t="s">
        <v>5428</v>
      </c>
      <c r="AJ256" t="s">
        <v>5417</v>
      </c>
      <c r="AL256" t="s">
        <v>5418</v>
      </c>
      <c r="AN256" t="s">
        <v>5419</v>
      </c>
    </row>
    <row r="257" spans="1:40" x14ac:dyDescent="0.25">
      <c r="A257">
        <v>1086000281</v>
      </c>
      <c r="B257" t="s">
        <v>5399</v>
      </c>
      <c r="C257">
        <v>252406</v>
      </c>
      <c r="D257" t="s">
        <v>5400</v>
      </c>
      <c r="E257">
        <v>46214.729027777779</v>
      </c>
      <c r="F257" t="s">
        <v>5486</v>
      </c>
      <c r="G257" t="s">
        <v>3668</v>
      </c>
      <c r="H257" t="s">
        <v>5487</v>
      </c>
      <c r="I257" t="s">
        <v>5403</v>
      </c>
      <c r="J257">
        <v>2025</v>
      </c>
      <c r="K257" t="s">
        <v>5488</v>
      </c>
      <c r="L257" t="s">
        <v>5489</v>
      </c>
      <c r="M257" t="s">
        <v>5406</v>
      </c>
      <c r="N257" s="1" t="s">
        <v>4565</v>
      </c>
      <c r="O257">
        <v>35.97</v>
      </c>
      <c r="P257">
        <v>4.38</v>
      </c>
      <c r="Q257">
        <v>54762</v>
      </c>
      <c r="R257">
        <v>365</v>
      </c>
      <c r="S257">
        <v>10.15</v>
      </c>
      <c r="T257" s="8">
        <v>157.55000000000001</v>
      </c>
      <c r="U257">
        <v>11153887</v>
      </c>
      <c r="V257" t="s">
        <v>5490</v>
      </c>
      <c r="W257" t="s">
        <v>5409</v>
      </c>
      <c r="X257" t="s">
        <v>5491</v>
      </c>
      <c r="Y257" t="s">
        <v>5492</v>
      </c>
      <c r="Z257" t="s">
        <v>5426</v>
      </c>
      <c r="AA257" t="s">
        <v>5413</v>
      </c>
      <c r="AB257" t="s">
        <v>5414</v>
      </c>
      <c r="AC257" t="s">
        <v>5414</v>
      </c>
      <c r="AD257" t="s">
        <v>5414</v>
      </c>
      <c r="AG257" t="s">
        <v>5415</v>
      </c>
      <c r="AI257" t="s">
        <v>5460</v>
      </c>
      <c r="AJ257" t="s">
        <v>5493</v>
      </c>
      <c r="AL257" t="s">
        <v>5418</v>
      </c>
      <c r="AN257" t="s">
        <v>5419</v>
      </c>
    </row>
    <row r="258" spans="1:40" x14ac:dyDescent="0.25">
      <c r="A258">
        <v>1086006569</v>
      </c>
      <c r="B258" t="s">
        <v>5399</v>
      </c>
      <c r="C258">
        <v>252406</v>
      </c>
      <c r="D258" t="s">
        <v>5400</v>
      </c>
      <c r="E258">
        <v>46214.733611111114</v>
      </c>
      <c r="F258" t="s">
        <v>5635</v>
      </c>
      <c r="G258" t="s">
        <v>3668</v>
      </c>
      <c r="H258" t="s">
        <v>5453</v>
      </c>
      <c r="I258" t="s">
        <v>5403</v>
      </c>
      <c r="J258">
        <v>2026</v>
      </c>
      <c r="K258" t="s">
        <v>5636</v>
      </c>
      <c r="L258" t="s">
        <v>5637</v>
      </c>
      <c r="M258" t="s">
        <v>5406</v>
      </c>
      <c r="N258" s="1" t="s">
        <v>4565</v>
      </c>
      <c r="O258">
        <v>37.39</v>
      </c>
      <c r="P258">
        <v>4.2889999999999997</v>
      </c>
      <c r="Q258">
        <v>10856</v>
      </c>
      <c r="R258">
        <v>295</v>
      </c>
      <c r="S258">
        <v>7.89</v>
      </c>
      <c r="T258" s="8">
        <v>160.4</v>
      </c>
      <c r="U258">
        <v>11198252</v>
      </c>
      <c r="V258" t="s">
        <v>5424</v>
      </c>
      <c r="W258" t="s">
        <v>5409</v>
      </c>
      <c r="X258" t="s">
        <v>5425</v>
      </c>
      <c r="Y258" t="s">
        <v>5411</v>
      </c>
      <c r="Z258" t="s">
        <v>5426</v>
      </c>
      <c r="AA258" t="s">
        <v>5413</v>
      </c>
      <c r="AB258" t="s">
        <v>5414</v>
      </c>
      <c r="AC258" t="s">
        <v>5414</v>
      </c>
      <c r="AD258" t="s">
        <v>5414</v>
      </c>
      <c r="AG258" t="s">
        <v>5427</v>
      </c>
      <c r="AI258" t="s">
        <v>5428</v>
      </c>
      <c r="AJ258" t="s">
        <v>5638</v>
      </c>
      <c r="AL258" t="s">
        <v>5418</v>
      </c>
      <c r="AN258" t="s">
        <v>5419</v>
      </c>
    </row>
    <row r="259" spans="1:40" x14ac:dyDescent="0.25">
      <c r="A259">
        <v>1086008254</v>
      </c>
      <c r="B259" t="s">
        <v>5399</v>
      </c>
      <c r="C259">
        <v>252406</v>
      </c>
      <c r="D259" t="s">
        <v>5400</v>
      </c>
      <c r="E259">
        <v>46214.752291666664</v>
      </c>
      <c r="F259" t="s">
        <v>5617</v>
      </c>
      <c r="G259" t="s">
        <v>3668</v>
      </c>
      <c r="H259" t="s">
        <v>5467</v>
      </c>
      <c r="I259" t="s">
        <v>5403</v>
      </c>
      <c r="J259">
        <v>2026</v>
      </c>
      <c r="K259" t="s">
        <v>5618</v>
      </c>
      <c r="L259" t="s">
        <v>5619</v>
      </c>
      <c r="M259" t="s">
        <v>5406</v>
      </c>
      <c r="N259" s="1" t="s">
        <v>4565</v>
      </c>
      <c r="O259">
        <v>41.4</v>
      </c>
      <c r="P259">
        <v>3.59</v>
      </c>
      <c r="Q259">
        <v>54400</v>
      </c>
      <c r="R259">
        <v>269</v>
      </c>
      <c r="S259">
        <v>6.5</v>
      </c>
      <c r="T259" s="8">
        <v>148.63</v>
      </c>
      <c r="U259">
        <v>12815000</v>
      </c>
      <c r="V259" t="s">
        <v>5448</v>
      </c>
      <c r="W259" t="s">
        <v>5409</v>
      </c>
      <c r="X259" t="s">
        <v>5449</v>
      </c>
      <c r="Y259" t="s">
        <v>5450</v>
      </c>
      <c r="Z259" t="s">
        <v>5426</v>
      </c>
      <c r="AA259" t="s">
        <v>5413</v>
      </c>
      <c r="AB259" t="s">
        <v>5414</v>
      </c>
      <c r="AC259" t="s">
        <v>5414</v>
      </c>
      <c r="AD259" t="s">
        <v>5414</v>
      </c>
      <c r="AG259" t="s">
        <v>5427</v>
      </c>
      <c r="AI259" t="s">
        <v>5451</v>
      </c>
      <c r="AJ259" t="s">
        <v>5620</v>
      </c>
      <c r="AL259" t="s">
        <v>5418</v>
      </c>
      <c r="AN259" t="s">
        <v>5419</v>
      </c>
    </row>
    <row r="260" spans="1:40" x14ac:dyDescent="0.25">
      <c r="A260">
        <v>1086005685</v>
      </c>
      <c r="B260" t="s">
        <v>5399</v>
      </c>
      <c r="C260">
        <v>252406</v>
      </c>
      <c r="D260" t="s">
        <v>5400</v>
      </c>
      <c r="E260">
        <v>46214.766770833332</v>
      </c>
      <c r="F260" t="s">
        <v>5647</v>
      </c>
      <c r="G260" t="s">
        <v>3668</v>
      </c>
      <c r="H260" t="s">
        <v>5568</v>
      </c>
      <c r="I260" t="s">
        <v>5403</v>
      </c>
      <c r="J260">
        <v>2025</v>
      </c>
      <c r="K260" t="s">
        <v>5648</v>
      </c>
      <c r="L260" t="s">
        <v>5649</v>
      </c>
      <c r="M260" t="s">
        <v>5406</v>
      </c>
      <c r="N260" s="1" t="s">
        <v>4565</v>
      </c>
      <c r="O260">
        <v>42</v>
      </c>
      <c r="P260">
        <v>3.92</v>
      </c>
      <c r="Q260">
        <v>17015</v>
      </c>
      <c r="R260">
        <v>294</v>
      </c>
      <c r="S260">
        <v>7</v>
      </c>
      <c r="T260" s="8">
        <v>164.64</v>
      </c>
      <c r="U260">
        <v>490156</v>
      </c>
      <c r="V260" t="s">
        <v>5578</v>
      </c>
      <c r="W260" t="s">
        <v>5409</v>
      </c>
      <c r="X260" t="s">
        <v>5579</v>
      </c>
      <c r="Y260" t="s">
        <v>5458</v>
      </c>
      <c r="Z260" t="s">
        <v>5412</v>
      </c>
      <c r="AA260" t="s">
        <v>5413</v>
      </c>
      <c r="AB260" t="s">
        <v>5414</v>
      </c>
      <c r="AC260" t="s">
        <v>5414</v>
      </c>
      <c r="AD260" t="s">
        <v>5414</v>
      </c>
      <c r="AG260" t="s">
        <v>5415</v>
      </c>
      <c r="AI260" t="s">
        <v>5580</v>
      </c>
      <c r="AJ260" t="s">
        <v>5650</v>
      </c>
      <c r="AL260" t="s">
        <v>5418</v>
      </c>
      <c r="AN260" t="s">
        <v>5419</v>
      </c>
    </row>
    <row r="261" spans="1:40" x14ac:dyDescent="0.25">
      <c r="A261">
        <v>1086013103</v>
      </c>
      <c r="B261" t="s">
        <v>5399</v>
      </c>
      <c r="C261">
        <v>252406</v>
      </c>
      <c r="D261" t="s">
        <v>5400</v>
      </c>
      <c r="E261">
        <v>46214.80704861111</v>
      </c>
      <c r="F261" t="s">
        <v>5589</v>
      </c>
      <c r="G261" t="s">
        <v>3668</v>
      </c>
      <c r="H261" t="s">
        <v>5431</v>
      </c>
      <c r="I261" t="s">
        <v>5403</v>
      </c>
      <c r="J261">
        <v>2026</v>
      </c>
      <c r="K261" t="s">
        <v>5590</v>
      </c>
      <c r="L261" t="s">
        <v>5591</v>
      </c>
      <c r="M261" t="s">
        <v>5406</v>
      </c>
      <c r="N261" s="1" t="s">
        <v>4565</v>
      </c>
      <c r="O261">
        <v>29.88</v>
      </c>
      <c r="P261">
        <v>4.29</v>
      </c>
      <c r="Q261">
        <v>4888</v>
      </c>
      <c r="R261">
        <v>149</v>
      </c>
      <c r="S261">
        <v>4.99</v>
      </c>
      <c r="T261" s="8">
        <v>128.19</v>
      </c>
      <c r="U261">
        <v>11198252</v>
      </c>
      <c r="V261" t="s">
        <v>5424</v>
      </c>
      <c r="W261" t="s">
        <v>5409</v>
      </c>
      <c r="X261" t="s">
        <v>5425</v>
      </c>
      <c r="Y261" t="s">
        <v>5411</v>
      </c>
      <c r="Z261" t="s">
        <v>5426</v>
      </c>
      <c r="AA261" t="s">
        <v>5413</v>
      </c>
      <c r="AB261" t="s">
        <v>5414</v>
      </c>
      <c r="AC261" t="s">
        <v>5414</v>
      </c>
      <c r="AD261" t="s">
        <v>5414</v>
      </c>
      <c r="AG261" t="s">
        <v>5427</v>
      </c>
      <c r="AI261" t="s">
        <v>5428</v>
      </c>
      <c r="AJ261" t="s">
        <v>5592</v>
      </c>
      <c r="AL261" t="s">
        <v>5418</v>
      </c>
      <c r="AN261" t="s">
        <v>5419</v>
      </c>
    </row>
    <row r="262" spans="1:40" x14ac:dyDescent="0.25">
      <c r="A262">
        <v>1086016300</v>
      </c>
      <c r="B262" t="s">
        <v>5399</v>
      </c>
      <c r="C262">
        <v>252406</v>
      </c>
      <c r="D262" t="s">
        <v>5400</v>
      </c>
      <c r="E262">
        <v>46214.847743055558</v>
      </c>
      <c r="F262" t="s">
        <v>5581</v>
      </c>
      <c r="G262" t="s">
        <v>3668</v>
      </c>
      <c r="H262" t="s">
        <v>5467</v>
      </c>
      <c r="I262" t="s">
        <v>5403</v>
      </c>
      <c r="J262">
        <v>2026</v>
      </c>
      <c r="K262" t="s">
        <v>5582</v>
      </c>
      <c r="L262" t="s">
        <v>5583</v>
      </c>
      <c r="M262" t="s">
        <v>5406</v>
      </c>
      <c r="N262" s="1" t="s">
        <v>4565</v>
      </c>
      <c r="O262">
        <v>49.37</v>
      </c>
      <c r="P262">
        <v>4.29</v>
      </c>
      <c r="Q262">
        <v>30709</v>
      </c>
      <c r="R262">
        <v>347</v>
      </c>
      <c r="S262">
        <v>7.03</v>
      </c>
      <c r="T262" s="8">
        <v>211.8</v>
      </c>
      <c r="U262">
        <v>609951</v>
      </c>
      <c r="V262" t="s">
        <v>5819</v>
      </c>
      <c r="W262" t="s">
        <v>5409</v>
      </c>
      <c r="X262" t="s">
        <v>5820</v>
      </c>
      <c r="Y262" t="s">
        <v>5458</v>
      </c>
      <c r="Z262" t="s">
        <v>5426</v>
      </c>
      <c r="AA262" t="s">
        <v>5413</v>
      </c>
      <c r="AB262" t="s">
        <v>5414</v>
      </c>
      <c r="AC262" t="s">
        <v>5414</v>
      </c>
      <c r="AD262" t="s">
        <v>5414</v>
      </c>
      <c r="AG262" t="s">
        <v>5427</v>
      </c>
      <c r="AI262" t="s">
        <v>5821</v>
      </c>
      <c r="AJ262" t="s">
        <v>5584</v>
      </c>
      <c r="AL262" t="s">
        <v>5418</v>
      </c>
      <c r="AN262" t="s">
        <v>5419</v>
      </c>
    </row>
    <row r="263" spans="1:40" x14ac:dyDescent="0.25">
      <c r="A263">
        <v>1086016792</v>
      </c>
      <c r="B263" t="s">
        <v>5399</v>
      </c>
      <c r="C263">
        <v>252406</v>
      </c>
      <c r="D263" t="s">
        <v>5400</v>
      </c>
      <c r="E263">
        <v>46214.900219907409</v>
      </c>
      <c r="F263" t="s">
        <v>5510</v>
      </c>
      <c r="G263" t="s">
        <v>3668</v>
      </c>
      <c r="H263" t="s">
        <v>5511</v>
      </c>
      <c r="I263" t="s">
        <v>5403</v>
      </c>
      <c r="J263">
        <v>2025</v>
      </c>
      <c r="K263" t="s">
        <v>5656</v>
      </c>
      <c r="L263" t="s">
        <v>5657</v>
      </c>
      <c r="M263" t="s">
        <v>5406</v>
      </c>
      <c r="N263" s="1" t="s">
        <v>4565</v>
      </c>
      <c r="O263">
        <v>26.23</v>
      </c>
      <c r="P263">
        <v>4.29</v>
      </c>
      <c r="Q263">
        <v>82511</v>
      </c>
      <c r="R263">
        <v>855</v>
      </c>
      <c r="S263">
        <v>32.6</v>
      </c>
      <c r="T263" s="8">
        <v>112.53</v>
      </c>
      <c r="U263">
        <v>11598781</v>
      </c>
      <c r="V263" t="s">
        <v>5803</v>
      </c>
      <c r="W263" t="s">
        <v>5409</v>
      </c>
      <c r="X263" t="s">
        <v>5804</v>
      </c>
      <c r="Y263" t="s">
        <v>5805</v>
      </c>
      <c r="Z263" t="s">
        <v>5721</v>
      </c>
      <c r="AA263" t="s">
        <v>5502</v>
      </c>
      <c r="AB263" t="s">
        <v>5414</v>
      </c>
      <c r="AC263" t="s">
        <v>5414</v>
      </c>
      <c r="AD263" t="s">
        <v>5414</v>
      </c>
      <c r="AG263" t="s">
        <v>5415</v>
      </c>
      <c r="AI263" t="s">
        <v>5676</v>
      </c>
      <c r="AJ263" t="s">
        <v>5518</v>
      </c>
      <c r="AL263" t="s">
        <v>5418</v>
      </c>
      <c r="AN263" t="s">
        <v>5419</v>
      </c>
    </row>
    <row r="264" spans="1:40" x14ac:dyDescent="0.25">
      <c r="A264">
        <v>1086016821</v>
      </c>
      <c r="B264" t="s">
        <v>5399</v>
      </c>
      <c r="C264">
        <v>252406</v>
      </c>
      <c r="D264" t="s">
        <v>5400</v>
      </c>
      <c r="E264">
        <v>46214.900856481479</v>
      </c>
      <c r="F264" t="s">
        <v>5743</v>
      </c>
      <c r="G264" t="s">
        <v>3668</v>
      </c>
      <c r="H264" t="s">
        <v>5539</v>
      </c>
      <c r="I264" t="s">
        <v>5403</v>
      </c>
      <c r="J264">
        <v>2026</v>
      </c>
      <c r="K264" t="s">
        <v>5753</v>
      </c>
      <c r="L264" t="s">
        <v>5754</v>
      </c>
      <c r="M264" t="s">
        <v>5406</v>
      </c>
      <c r="N264" s="1" t="s">
        <v>4565</v>
      </c>
      <c r="O264">
        <v>39.35</v>
      </c>
      <c r="P264">
        <v>4.1890000000000001</v>
      </c>
      <c r="Q264">
        <v>17060</v>
      </c>
      <c r="R264">
        <v>359</v>
      </c>
      <c r="S264">
        <v>9.1199999999999992</v>
      </c>
      <c r="T264" s="8">
        <v>164.87</v>
      </c>
      <c r="U264">
        <v>11040306</v>
      </c>
      <c r="V264" t="s">
        <v>5408</v>
      </c>
      <c r="W264" t="s">
        <v>5409</v>
      </c>
      <c r="X264" t="s">
        <v>5410</v>
      </c>
      <c r="Y264" t="s">
        <v>5411</v>
      </c>
      <c r="Z264" t="s">
        <v>5412</v>
      </c>
      <c r="AA264" t="s">
        <v>5413</v>
      </c>
      <c r="AB264" t="s">
        <v>5414</v>
      </c>
      <c r="AC264" t="s">
        <v>5414</v>
      </c>
      <c r="AD264" t="s">
        <v>5414</v>
      </c>
      <c r="AG264" t="s">
        <v>5415</v>
      </c>
      <c r="AI264" t="s">
        <v>5416</v>
      </c>
      <c r="AJ264" t="s">
        <v>5746</v>
      </c>
      <c r="AL264" t="s">
        <v>5418</v>
      </c>
      <c r="AN264" t="s">
        <v>5419</v>
      </c>
    </row>
    <row r="265" spans="1:40" x14ac:dyDescent="0.25">
      <c r="A265">
        <v>1086032404</v>
      </c>
      <c r="B265" t="s">
        <v>5399</v>
      </c>
      <c r="C265">
        <v>252406</v>
      </c>
      <c r="D265" t="s">
        <v>5400</v>
      </c>
      <c r="E265">
        <v>46215.356805555559</v>
      </c>
      <c r="F265" t="s">
        <v>5435</v>
      </c>
      <c r="G265" t="s">
        <v>3668</v>
      </c>
      <c r="H265" t="s">
        <v>5421</v>
      </c>
      <c r="I265" t="s">
        <v>5403</v>
      </c>
      <c r="J265">
        <v>2026</v>
      </c>
      <c r="K265" t="s">
        <v>5436</v>
      </c>
      <c r="L265" t="s">
        <v>5437</v>
      </c>
      <c r="M265" t="s">
        <v>5406</v>
      </c>
      <c r="N265" s="1" t="s">
        <v>4565</v>
      </c>
      <c r="O265">
        <v>30.37</v>
      </c>
      <c r="P265">
        <v>4.29</v>
      </c>
      <c r="Q265">
        <v>48698</v>
      </c>
      <c r="R265">
        <v>170</v>
      </c>
      <c r="S265">
        <v>5.6</v>
      </c>
      <c r="T265" s="8">
        <v>130.29</v>
      </c>
      <c r="U265">
        <v>491721</v>
      </c>
      <c r="V265" t="s">
        <v>5438</v>
      </c>
      <c r="W265" t="s">
        <v>5409</v>
      </c>
      <c r="X265" t="s">
        <v>5439</v>
      </c>
      <c r="Y265" t="s">
        <v>5440</v>
      </c>
      <c r="Z265" t="s">
        <v>5441</v>
      </c>
      <c r="AA265" t="s">
        <v>5413</v>
      </c>
      <c r="AB265" t="s">
        <v>5414</v>
      </c>
      <c r="AC265" t="s">
        <v>5414</v>
      </c>
      <c r="AD265" t="s">
        <v>5414</v>
      </c>
      <c r="AG265" t="s">
        <v>5415</v>
      </c>
      <c r="AI265" t="s">
        <v>5460</v>
      </c>
      <c r="AJ265" t="s">
        <v>5443</v>
      </c>
      <c r="AL265" t="s">
        <v>5418</v>
      </c>
      <c r="AN265" t="s">
        <v>5419</v>
      </c>
    </row>
    <row r="266" spans="1:40" x14ac:dyDescent="0.25">
      <c r="A266">
        <v>1086034885</v>
      </c>
      <c r="B266" t="s">
        <v>5399</v>
      </c>
      <c r="C266">
        <v>252406</v>
      </c>
      <c r="D266" t="s">
        <v>5400</v>
      </c>
      <c r="E266">
        <v>46215.384548611109</v>
      </c>
      <c r="F266" t="s">
        <v>5462</v>
      </c>
      <c r="G266" t="s">
        <v>3668</v>
      </c>
      <c r="H266" t="s">
        <v>5402</v>
      </c>
      <c r="I266" t="s">
        <v>5403</v>
      </c>
      <c r="J266">
        <v>2026</v>
      </c>
      <c r="K266" t="s">
        <v>5604</v>
      </c>
      <c r="L266" t="s">
        <v>5605</v>
      </c>
      <c r="M266" t="s">
        <v>5406</v>
      </c>
      <c r="N266" s="1" t="s">
        <v>4565</v>
      </c>
      <c r="O266">
        <v>30.6</v>
      </c>
      <c r="P266">
        <v>4.2889999999999997</v>
      </c>
      <c r="Q266">
        <v>26881</v>
      </c>
      <c r="R266">
        <v>198</v>
      </c>
      <c r="S266">
        <v>6.47</v>
      </c>
      <c r="T266" s="8">
        <v>131.27000000000001</v>
      </c>
      <c r="U266">
        <v>491721</v>
      </c>
      <c r="V266" t="s">
        <v>5438</v>
      </c>
      <c r="W266" t="s">
        <v>5409</v>
      </c>
      <c r="X266" t="s">
        <v>5439</v>
      </c>
      <c r="Y266" t="s">
        <v>5440</v>
      </c>
      <c r="Z266" t="s">
        <v>5441</v>
      </c>
      <c r="AA266" t="s">
        <v>5413</v>
      </c>
      <c r="AB266" t="s">
        <v>5414</v>
      </c>
      <c r="AC266" t="s">
        <v>5414</v>
      </c>
      <c r="AD266" t="s">
        <v>5414</v>
      </c>
      <c r="AG266" t="s">
        <v>5415</v>
      </c>
      <c r="AI266" t="s">
        <v>5460</v>
      </c>
      <c r="AJ266" t="s">
        <v>5465</v>
      </c>
      <c r="AL266" t="s">
        <v>5418</v>
      </c>
      <c r="AN266" t="s">
        <v>5419</v>
      </c>
    </row>
    <row r="267" spans="1:40" x14ac:dyDescent="0.25">
      <c r="A267">
        <v>1086035769</v>
      </c>
      <c r="B267" t="s">
        <v>5399</v>
      </c>
      <c r="C267">
        <v>252406</v>
      </c>
      <c r="D267" t="s">
        <v>5400</v>
      </c>
      <c r="E267">
        <v>46215.396284722221</v>
      </c>
      <c r="F267" t="s">
        <v>5524</v>
      </c>
      <c r="G267" t="s">
        <v>3668</v>
      </c>
      <c r="H267" t="s">
        <v>5421</v>
      </c>
      <c r="I267" t="s">
        <v>5524</v>
      </c>
      <c r="J267">
        <v>2025</v>
      </c>
      <c r="K267" t="s">
        <v>5525</v>
      </c>
      <c r="L267" t="s">
        <v>5526</v>
      </c>
      <c r="M267" t="s">
        <v>5406</v>
      </c>
      <c r="N267" s="1" t="s">
        <v>4565</v>
      </c>
      <c r="O267">
        <v>32.42</v>
      </c>
      <c r="P267">
        <v>3.92</v>
      </c>
      <c r="Q267">
        <v>64772</v>
      </c>
      <c r="R267">
        <v>247</v>
      </c>
      <c r="S267">
        <v>7.62</v>
      </c>
      <c r="T267" s="8">
        <v>127.09</v>
      </c>
      <c r="U267">
        <v>490156</v>
      </c>
      <c r="V267" t="s">
        <v>5578</v>
      </c>
      <c r="W267" t="s">
        <v>5409</v>
      </c>
      <c r="X267" t="s">
        <v>5579</v>
      </c>
      <c r="Y267" t="s">
        <v>5458</v>
      </c>
      <c r="Z267" t="s">
        <v>5412</v>
      </c>
      <c r="AA267" t="s">
        <v>5413</v>
      </c>
      <c r="AB267" t="s">
        <v>5414</v>
      </c>
      <c r="AC267" t="s">
        <v>5414</v>
      </c>
      <c r="AD267" t="s">
        <v>5414</v>
      </c>
      <c r="AG267" t="s">
        <v>5415</v>
      </c>
      <c r="AI267" t="s">
        <v>5580</v>
      </c>
      <c r="AJ267" t="s">
        <v>5527</v>
      </c>
      <c r="AK267" t="s">
        <v>5528</v>
      </c>
      <c r="AL267" t="s">
        <v>5418</v>
      </c>
      <c r="AN267" t="s">
        <v>5529</v>
      </c>
    </row>
    <row r="268" spans="1:40" x14ac:dyDescent="0.25">
      <c r="A268">
        <v>1086044011</v>
      </c>
      <c r="B268" t="s">
        <v>5399</v>
      </c>
      <c r="C268">
        <v>252406</v>
      </c>
      <c r="D268" t="s">
        <v>5400</v>
      </c>
      <c r="E268">
        <v>46215.437662037039</v>
      </c>
      <c r="F268" t="s">
        <v>5519</v>
      </c>
      <c r="G268" t="s">
        <v>3668</v>
      </c>
      <c r="H268" t="s">
        <v>5467</v>
      </c>
      <c r="I268" t="s">
        <v>5403</v>
      </c>
      <c r="J268">
        <v>2027</v>
      </c>
      <c r="K268" t="s">
        <v>5512</v>
      </c>
      <c r="L268" t="s">
        <v>5513</v>
      </c>
      <c r="M268" t="s">
        <v>5406</v>
      </c>
      <c r="N268" s="1" t="s">
        <v>4565</v>
      </c>
      <c r="O268">
        <v>33.75</v>
      </c>
      <c r="P268">
        <v>4.25</v>
      </c>
      <c r="Q268">
        <v>13023</v>
      </c>
      <c r="R268">
        <v>252</v>
      </c>
      <c r="S268">
        <v>7.47</v>
      </c>
      <c r="T268" s="8">
        <v>143.44</v>
      </c>
      <c r="U268">
        <v>108758</v>
      </c>
      <c r="V268" t="s">
        <v>5470</v>
      </c>
      <c r="W268" t="s">
        <v>5409</v>
      </c>
      <c r="X268" t="s">
        <v>5471</v>
      </c>
      <c r="Y268" t="s">
        <v>5411</v>
      </c>
      <c r="Z268" t="s">
        <v>5472</v>
      </c>
      <c r="AA268" t="s">
        <v>5413</v>
      </c>
      <c r="AB268" t="s">
        <v>5414</v>
      </c>
      <c r="AC268" t="s">
        <v>5414</v>
      </c>
      <c r="AD268" t="s">
        <v>5414</v>
      </c>
      <c r="AG268" t="s">
        <v>5427</v>
      </c>
      <c r="AI268" t="s">
        <v>5473</v>
      </c>
      <c r="AJ268" t="s">
        <v>5523</v>
      </c>
      <c r="AL268" t="s">
        <v>5418</v>
      </c>
      <c r="AN268" t="s">
        <v>5419</v>
      </c>
    </row>
    <row r="269" spans="1:40" x14ac:dyDescent="0.25">
      <c r="A269">
        <v>1086051173</v>
      </c>
      <c r="B269" t="s">
        <v>5399</v>
      </c>
      <c r="C269">
        <v>252406</v>
      </c>
      <c r="D269" t="s">
        <v>5400</v>
      </c>
      <c r="E269">
        <v>46215.519467592596</v>
      </c>
      <c r="F269" t="s">
        <v>5743</v>
      </c>
      <c r="G269" t="s">
        <v>3668</v>
      </c>
      <c r="H269" t="s">
        <v>5539</v>
      </c>
      <c r="I269" t="s">
        <v>5403</v>
      </c>
      <c r="J269">
        <v>2026</v>
      </c>
      <c r="K269" t="s">
        <v>5753</v>
      </c>
      <c r="L269" t="s">
        <v>5754</v>
      </c>
      <c r="M269" t="s">
        <v>5406</v>
      </c>
      <c r="N269" s="1" t="s">
        <v>4565</v>
      </c>
      <c r="O269">
        <v>33.630000000000003</v>
      </c>
      <c r="P269">
        <v>4.2889999999999997</v>
      </c>
      <c r="Q269">
        <v>17388</v>
      </c>
      <c r="R269">
        <v>328</v>
      </c>
      <c r="S269">
        <v>9.75</v>
      </c>
      <c r="T269" s="8">
        <v>144.27000000000001</v>
      </c>
      <c r="U269">
        <v>11198252</v>
      </c>
      <c r="V269" t="s">
        <v>5424</v>
      </c>
      <c r="W269" t="s">
        <v>5409</v>
      </c>
      <c r="X269" t="s">
        <v>5425</v>
      </c>
      <c r="Y269" t="s">
        <v>5411</v>
      </c>
      <c r="Z269" t="s">
        <v>5426</v>
      </c>
      <c r="AA269" t="s">
        <v>5413</v>
      </c>
      <c r="AB269" t="s">
        <v>5414</v>
      </c>
      <c r="AC269" t="s">
        <v>5414</v>
      </c>
      <c r="AD269" t="s">
        <v>5414</v>
      </c>
      <c r="AG269" t="s">
        <v>5427</v>
      </c>
      <c r="AI269" t="s">
        <v>5428</v>
      </c>
      <c r="AJ269" t="s">
        <v>5746</v>
      </c>
      <c r="AL269" t="s">
        <v>5418</v>
      </c>
      <c r="AN269" t="s">
        <v>5419</v>
      </c>
    </row>
    <row r="270" spans="1:40" x14ac:dyDescent="0.25">
      <c r="A270">
        <v>1086058265</v>
      </c>
      <c r="B270" t="s">
        <v>5399</v>
      </c>
      <c r="C270">
        <v>252406</v>
      </c>
      <c r="D270" t="s">
        <v>5400</v>
      </c>
      <c r="E270">
        <v>46215.628182870372</v>
      </c>
      <c r="F270" t="s">
        <v>5452</v>
      </c>
      <c r="G270" t="s">
        <v>3668</v>
      </c>
      <c r="H270" t="s">
        <v>5453</v>
      </c>
      <c r="I270" t="s">
        <v>5403</v>
      </c>
      <c r="J270">
        <v>2026</v>
      </c>
      <c r="K270" t="s">
        <v>5454</v>
      </c>
      <c r="L270" t="s">
        <v>5455</v>
      </c>
      <c r="M270" t="s">
        <v>5406</v>
      </c>
      <c r="N270" s="1" t="s">
        <v>4565</v>
      </c>
      <c r="O270">
        <v>37.96</v>
      </c>
      <c r="P270">
        <v>4.1890000000000001</v>
      </c>
      <c r="Q270">
        <v>40063</v>
      </c>
      <c r="R270">
        <v>413</v>
      </c>
      <c r="S270">
        <v>10.88</v>
      </c>
      <c r="T270" s="8">
        <v>159.05000000000001</v>
      </c>
      <c r="U270">
        <v>11040306</v>
      </c>
      <c r="V270" t="s">
        <v>5408</v>
      </c>
      <c r="W270" t="s">
        <v>5409</v>
      </c>
      <c r="X270" t="s">
        <v>5410</v>
      </c>
      <c r="Y270" t="s">
        <v>5411</v>
      </c>
      <c r="Z270" t="s">
        <v>5412</v>
      </c>
      <c r="AA270" t="s">
        <v>5413</v>
      </c>
      <c r="AB270" t="s">
        <v>5414</v>
      </c>
      <c r="AC270" t="s">
        <v>5414</v>
      </c>
      <c r="AD270" t="s">
        <v>5414</v>
      </c>
      <c r="AG270" t="s">
        <v>5415</v>
      </c>
      <c r="AI270" t="s">
        <v>5522</v>
      </c>
      <c r="AJ270" t="s">
        <v>5461</v>
      </c>
      <c r="AL270" t="s">
        <v>5418</v>
      </c>
      <c r="AN270" t="s">
        <v>5419</v>
      </c>
    </row>
    <row r="271" spans="1:40" x14ac:dyDescent="0.25">
      <c r="A271">
        <v>1086063454</v>
      </c>
      <c r="B271" t="s">
        <v>5399</v>
      </c>
      <c r="C271">
        <v>252406</v>
      </c>
      <c r="D271" t="s">
        <v>5400</v>
      </c>
      <c r="E271">
        <v>46215.63658564815</v>
      </c>
      <c r="F271" t="s">
        <v>5444</v>
      </c>
      <c r="G271" t="s">
        <v>3668</v>
      </c>
      <c r="H271" t="s">
        <v>5431</v>
      </c>
      <c r="I271" t="s">
        <v>5403</v>
      </c>
      <c r="J271">
        <v>2026</v>
      </c>
      <c r="K271" t="s">
        <v>5445</v>
      </c>
      <c r="L271" t="s">
        <v>5446</v>
      </c>
      <c r="M271" t="s">
        <v>5406</v>
      </c>
      <c r="N271" s="1" t="s">
        <v>4565</v>
      </c>
      <c r="O271">
        <v>33.71</v>
      </c>
      <c r="P271">
        <v>4.2889999999999997</v>
      </c>
      <c r="Q271">
        <v>19634</v>
      </c>
      <c r="R271">
        <v>256</v>
      </c>
      <c r="S271">
        <v>7.59</v>
      </c>
      <c r="T271" s="8">
        <v>144.59</v>
      </c>
      <c r="U271">
        <v>12193017</v>
      </c>
      <c r="V271" t="s">
        <v>5574</v>
      </c>
      <c r="W271" t="s">
        <v>5409</v>
      </c>
      <c r="X271" t="s">
        <v>5575</v>
      </c>
      <c r="Y271" t="s">
        <v>5576</v>
      </c>
      <c r="Z271" t="s">
        <v>5472</v>
      </c>
      <c r="AA271" t="s">
        <v>5413</v>
      </c>
      <c r="AB271" t="s">
        <v>5414</v>
      </c>
      <c r="AC271" t="s">
        <v>5414</v>
      </c>
      <c r="AD271" t="s">
        <v>5414</v>
      </c>
      <c r="AG271" t="s">
        <v>5427</v>
      </c>
      <c r="AI271" t="s">
        <v>5577</v>
      </c>
      <c r="AJ271" t="s">
        <v>5447</v>
      </c>
      <c r="AL271" t="s">
        <v>5418</v>
      </c>
      <c r="AN271" t="s">
        <v>5419</v>
      </c>
    </row>
    <row r="272" spans="1:40" x14ac:dyDescent="0.25">
      <c r="A272">
        <v>1086060560</v>
      </c>
      <c r="B272" t="s">
        <v>5399</v>
      </c>
      <c r="C272">
        <v>252406</v>
      </c>
      <c r="D272" t="s">
        <v>5400</v>
      </c>
      <c r="E272">
        <v>46215.656134259261</v>
      </c>
      <c r="F272" t="s">
        <v>5651</v>
      </c>
      <c r="G272" t="s">
        <v>3668</v>
      </c>
      <c r="H272" t="s">
        <v>5467</v>
      </c>
      <c r="I272" t="s">
        <v>5403</v>
      </c>
      <c r="J272">
        <v>2026</v>
      </c>
      <c r="K272" t="s">
        <v>5738</v>
      </c>
      <c r="L272" t="s">
        <v>5739</v>
      </c>
      <c r="M272" t="s">
        <v>5406</v>
      </c>
      <c r="N272" s="1" t="s">
        <v>4565</v>
      </c>
      <c r="O272">
        <v>42.65</v>
      </c>
      <c r="P272">
        <v>4.29</v>
      </c>
      <c r="Q272">
        <v>47299</v>
      </c>
      <c r="R272">
        <v>383</v>
      </c>
      <c r="S272">
        <v>8.98</v>
      </c>
      <c r="T272" s="8">
        <v>182.97</v>
      </c>
      <c r="U272">
        <v>491721</v>
      </c>
      <c r="V272" t="s">
        <v>5438</v>
      </c>
      <c r="W272" t="s">
        <v>5409</v>
      </c>
      <c r="X272" t="s">
        <v>5439</v>
      </c>
      <c r="Y272" t="s">
        <v>5440</v>
      </c>
      <c r="Z272" t="s">
        <v>5441</v>
      </c>
      <c r="AA272" t="s">
        <v>5413</v>
      </c>
      <c r="AB272" t="s">
        <v>5414</v>
      </c>
      <c r="AC272" t="s">
        <v>5414</v>
      </c>
      <c r="AD272" t="s">
        <v>5414</v>
      </c>
      <c r="AG272" t="s">
        <v>5415</v>
      </c>
      <c r="AI272" t="s">
        <v>5460</v>
      </c>
      <c r="AJ272" t="s">
        <v>5654</v>
      </c>
      <c r="AL272" t="s">
        <v>5418</v>
      </c>
      <c r="AN272" t="s">
        <v>5419</v>
      </c>
    </row>
    <row r="273" spans="1:40" x14ac:dyDescent="0.25">
      <c r="A273">
        <v>1086076298</v>
      </c>
      <c r="B273" t="s">
        <v>5399</v>
      </c>
      <c r="C273">
        <v>252406</v>
      </c>
      <c r="D273" t="s">
        <v>5400</v>
      </c>
      <c r="E273">
        <v>46215.763148148151</v>
      </c>
      <c r="F273" t="s">
        <v>5755</v>
      </c>
      <c r="G273" t="s">
        <v>3668</v>
      </c>
      <c r="H273" t="s">
        <v>167</v>
      </c>
      <c r="I273" t="s">
        <v>5403</v>
      </c>
      <c r="J273">
        <v>2026</v>
      </c>
      <c r="K273" t="s">
        <v>5454</v>
      </c>
      <c r="L273" t="s">
        <v>5455</v>
      </c>
      <c r="M273" t="s">
        <v>5406</v>
      </c>
      <c r="N273" s="1" t="s">
        <v>4565</v>
      </c>
      <c r="O273">
        <v>41.42</v>
      </c>
      <c r="P273">
        <v>4.4000000000000004</v>
      </c>
      <c r="Q273">
        <v>1290</v>
      </c>
      <c r="R273">
        <v>388</v>
      </c>
      <c r="S273">
        <v>9.3699999999999992</v>
      </c>
      <c r="T273" s="8">
        <v>182.25</v>
      </c>
      <c r="U273">
        <v>11032621</v>
      </c>
      <c r="V273" t="s">
        <v>5569</v>
      </c>
      <c r="W273" t="s">
        <v>5409</v>
      </c>
      <c r="X273" t="s">
        <v>5570</v>
      </c>
      <c r="Y273" t="s">
        <v>5458</v>
      </c>
      <c r="Z273" t="s">
        <v>5571</v>
      </c>
      <c r="AA273" t="s">
        <v>5413</v>
      </c>
      <c r="AB273" t="s">
        <v>5414</v>
      </c>
      <c r="AC273" t="s">
        <v>5414</v>
      </c>
      <c r="AD273" t="s">
        <v>5414</v>
      </c>
      <c r="AG273" t="s">
        <v>5427</v>
      </c>
      <c r="AI273" t="s">
        <v>5572</v>
      </c>
      <c r="AJ273" t="s">
        <v>5756</v>
      </c>
      <c r="AL273" t="s">
        <v>5418</v>
      </c>
      <c r="AN273" t="s">
        <v>5419</v>
      </c>
    </row>
    <row r="274" spans="1:40" x14ac:dyDescent="0.25">
      <c r="A274">
        <v>1086072412</v>
      </c>
      <c r="B274" t="s">
        <v>5399</v>
      </c>
      <c r="C274">
        <v>252406</v>
      </c>
      <c r="D274" t="s">
        <v>5400</v>
      </c>
      <c r="E274">
        <v>46215.767523148148</v>
      </c>
      <c r="F274" t="s">
        <v>5462</v>
      </c>
      <c r="G274" t="s">
        <v>3668</v>
      </c>
      <c r="H274" t="s">
        <v>5402</v>
      </c>
      <c r="I274" t="s">
        <v>5403</v>
      </c>
      <c r="J274">
        <v>2026</v>
      </c>
      <c r="K274" t="s">
        <v>5463</v>
      </c>
      <c r="L274" t="s">
        <v>5464</v>
      </c>
      <c r="M274" t="s">
        <v>5406</v>
      </c>
      <c r="N274" s="1" t="s">
        <v>4565</v>
      </c>
      <c r="O274">
        <v>28.55</v>
      </c>
      <c r="P274">
        <v>4.5890000000000004</v>
      </c>
      <c r="Q274">
        <v>27046</v>
      </c>
      <c r="R274">
        <v>165</v>
      </c>
      <c r="S274">
        <v>5.78</v>
      </c>
      <c r="T274" s="8">
        <v>131.04</v>
      </c>
      <c r="U274">
        <v>11289550</v>
      </c>
      <c r="V274" t="s">
        <v>5565</v>
      </c>
      <c r="W274" t="s">
        <v>5409</v>
      </c>
      <c r="X274" t="s">
        <v>5566</v>
      </c>
      <c r="Y274" t="s">
        <v>5458</v>
      </c>
      <c r="Z274" t="s">
        <v>5426</v>
      </c>
      <c r="AA274" t="s">
        <v>5413</v>
      </c>
      <c r="AB274" t="s">
        <v>5414</v>
      </c>
      <c r="AC274" t="s">
        <v>5414</v>
      </c>
      <c r="AD274" t="s">
        <v>5414</v>
      </c>
      <c r="AG274" t="s">
        <v>5415</v>
      </c>
      <c r="AI274" t="s">
        <v>5460</v>
      </c>
      <c r="AJ274" t="s">
        <v>5465</v>
      </c>
      <c r="AL274" t="s">
        <v>5418</v>
      </c>
      <c r="AN274" t="s">
        <v>5419</v>
      </c>
    </row>
    <row r="275" spans="1:40" x14ac:dyDescent="0.25">
      <c r="A275">
        <v>1086089569</v>
      </c>
      <c r="B275" t="s">
        <v>5399</v>
      </c>
      <c r="C275">
        <v>252406</v>
      </c>
      <c r="D275" t="s">
        <v>5400</v>
      </c>
      <c r="E275">
        <v>46216.213414351849</v>
      </c>
      <c r="F275" t="s">
        <v>5401</v>
      </c>
      <c r="G275" t="s">
        <v>3668</v>
      </c>
      <c r="H275" t="s">
        <v>5402</v>
      </c>
      <c r="I275" t="s">
        <v>5403</v>
      </c>
      <c r="J275">
        <v>2026</v>
      </c>
      <c r="K275" t="s">
        <v>5404</v>
      </c>
      <c r="L275" t="s">
        <v>5405</v>
      </c>
      <c r="M275" t="s">
        <v>5406</v>
      </c>
      <c r="N275" s="1" t="s">
        <v>4565</v>
      </c>
      <c r="O275">
        <v>33.81</v>
      </c>
      <c r="P275">
        <v>4.1890000000000001</v>
      </c>
      <c r="Q275">
        <v>34214</v>
      </c>
      <c r="R275">
        <v>267</v>
      </c>
      <c r="S275">
        <v>7.9</v>
      </c>
      <c r="T275" s="8">
        <v>141.66</v>
      </c>
      <c r="U275">
        <v>11040306</v>
      </c>
      <c r="V275" t="s">
        <v>5408</v>
      </c>
      <c r="W275" t="s">
        <v>5409</v>
      </c>
      <c r="X275" t="s">
        <v>5410</v>
      </c>
      <c r="Y275" t="s">
        <v>5411</v>
      </c>
      <c r="Z275" t="s">
        <v>5412</v>
      </c>
      <c r="AA275" t="s">
        <v>5413</v>
      </c>
      <c r="AB275" t="s">
        <v>5414</v>
      </c>
      <c r="AC275" t="s">
        <v>5414</v>
      </c>
      <c r="AD275" t="s">
        <v>5414</v>
      </c>
      <c r="AG275" t="s">
        <v>5415</v>
      </c>
      <c r="AI275" t="s">
        <v>5629</v>
      </c>
      <c r="AJ275" t="s">
        <v>5417</v>
      </c>
      <c r="AL275" t="s">
        <v>5418</v>
      </c>
      <c r="AN275" t="s">
        <v>5419</v>
      </c>
    </row>
    <row r="276" spans="1:40" x14ac:dyDescent="0.25">
      <c r="A276">
        <v>1086119684</v>
      </c>
      <c r="B276" t="s">
        <v>5399</v>
      </c>
      <c r="C276">
        <v>252406</v>
      </c>
      <c r="D276" t="s">
        <v>5400</v>
      </c>
      <c r="E276">
        <v>46216.281493055554</v>
      </c>
      <c r="F276" t="s">
        <v>5505</v>
      </c>
      <c r="G276" t="s">
        <v>3668</v>
      </c>
      <c r="H276" t="s">
        <v>5506</v>
      </c>
      <c r="I276" t="s">
        <v>5403</v>
      </c>
      <c r="J276">
        <v>2026</v>
      </c>
      <c r="K276" t="s">
        <v>5507</v>
      </c>
      <c r="L276" t="s">
        <v>5508</v>
      </c>
      <c r="M276" t="s">
        <v>5406</v>
      </c>
      <c r="N276" s="1" t="s">
        <v>4565</v>
      </c>
      <c r="O276">
        <v>38</v>
      </c>
      <c r="P276">
        <v>4.25</v>
      </c>
      <c r="Q276">
        <v>5078</v>
      </c>
      <c r="R276">
        <v>303</v>
      </c>
      <c r="S276">
        <v>7.97</v>
      </c>
      <c r="T276" s="8">
        <v>161.5</v>
      </c>
      <c r="U276">
        <v>108758</v>
      </c>
      <c r="V276" t="s">
        <v>5470</v>
      </c>
      <c r="W276" t="s">
        <v>5409</v>
      </c>
      <c r="X276" t="s">
        <v>5471</v>
      </c>
      <c r="Y276" t="s">
        <v>5411</v>
      </c>
      <c r="Z276" t="s">
        <v>5472</v>
      </c>
      <c r="AA276" t="s">
        <v>5413</v>
      </c>
      <c r="AB276" t="s">
        <v>5414</v>
      </c>
      <c r="AC276" t="s">
        <v>5414</v>
      </c>
      <c r="AD276" t="s">
        <v>5414</v>
      </c>
      <c r="AG276" t="s">
        <v>5427</v>
      </c>
      <c r="AI276" t="s">
        <v>5473</v>
      </c>
      <c r="AJ276" t="s">
        <v>5509</v>
      </c>
      <c r="AL276" t="s">
        <v>5418</v>
      </c>
      <c r="AN276" t="s">
        <v>5419</v>
      </c>
    </row>
    <row r="277" spans="1:40" x14ac:dyDescent="0.25">
      <c r="A277">
        <v>1086108075</v>
      </c>
      <c r="B277" t="s">
        <v>5399</v>
      </c>
      <c r="C277">
        <v>252406</v>
      </c>
      <c r="D277" t="s">
        <v>5400</v>
      </c>
      <c r="E277">
        <v>46216.300625000003</v>
      </c>
      <c r="F277" t="s">
        <v>5589</v>
      </c>
      <c r="G277" t="s">
        <v>3668</v>
      </c>
      <c r="H277" t="s">
        <v>5431</v>
      </c>
      <c r="I277" t="s">
        <v>5403</v>
      </c>
      <c r="J277">
        <v>2026</v>
      </c>
      <c r="K277" t="s">
        <v>5590</v>
      </c>
      <c r="L277" t="s">
        <v>5591</v>
      </c>
      <c r="M277" t="s">
        <v>5406</v>
      </c>
      <c r="N277" s="1" t="s">
        <v>4565</v>
      </c>
      <c r="O277">
        <v>30.01</v>
      </c>
      <c r="P277">
        <v>4.3789999999999996</v>
      </c>
      <c r="Q277">
        <v>5129</v>
      </c>
      <c r="R277">
        <v>241</v>
      </c>
      <c r="S277">
        <v>8.0299999999999994</v>
      </c>
      <c r="T277" s="8">
        <v>131.44</v>
      </c>
      <c r="U277">
        <v>11153887</v>
      </c>
      <c r="V277" t="s">
        <v>5490</v>
      </c>
      <c r="W277" t="s">
        <v>5409</v>
      </c>
      <c r="X277" t="s">
        <v>5491</v>
      </c>
      <c r="Y277" t="s">
        <v>5492</v>
      </c>
      <c r="Z277" t="s">
        <v>5426</v>
      </c>
      <c r="AA277" t="s">
        <v>5413</v>
      </c>
      <c r="AB277" t="s">
        <v>5414</v>
      </c>
      <c r="AC277" t="s">
        <v>5414</v>
      </c>
      <c r="AD277" t="s">
        <v>5414</v>
      </c>
      <c r="AG277" t="s">
        <v>5415</v>
      </c>
      <c r="AI277" t="s">
        <v>5460</v>
      </c>
      <c r="AJ277" t="s">
        <v>5592</v>
      </c>
      <c r="AL277" t="s">
        <v>5418</v>
      </c>
      <c r="AN277" t="s">
        <v>5419</v>
      </c>
    </row>
    <row r="278" spans="1:40" x14ac:dyDescent="0.25">
      <c r="A278">
        <v>1086120156</v>
      </c>
      <c r="B278" t="s">
        <v>5399</v>
      </c>
      <c r="C278">
        <v>252406</v>
      </c>
      <c r="D278" t="s">
        <v>5400</v>
      </c>
      <c r="E278">
        <v>46216.32408564815</v>
      </c>
      <c r="F278" t="s">
        <v>5556</v>
      </c>
      <c r="G278" t="s">
        <v>3668</v>
      </c>
      <c r="H278" t="s">
        <v>5431</v>
      </c>
      <c r="I278" t="s">
        <v>5403</v>
      </c>
      <c r="J278">
        <v>2026</v>
      </c>
      <c r="K278" t="s">
        <v>5557</v>
      </c>
      <c r="L278" t="s">
        <v>5558</v>
      </c>
      <c r="M278" t="s">
        <v>5406</v>
      </c>
      <c r="N278" s="1" t="s">
        <v>4565</v>
      </c>
      <c r="O278">
        <v>32.08</v>
      </c>
      <c r="P278">
        <v>4.1890000000000001</v>
      </c>
      <c r="Q278">
        <v>10934</v>
      </c>
      <c r="R278">
        <v>160</v>
      </c>
      <c r="S278">
        <v>4.99</v>
      </c>
      <c r="T278" s="8">
        <v>134.41</v>
      </c>
      <c r="U278">
        <v>11040306</v>
      </c>
      <c r="V278" t="s">
        <v>5408</v>
      </c>
      <c r="W278" t="s">
        <v>5409</v>
      </c>
      <c r="X278" t="s">
        <v>5410</v>
      </c>
      <c r="Y278" t="s">
        <v>5411</v>
      </c>
      <c r="Z278" t="s">
        <v>5412</v>
      </c>
      <c r="AA278" t="s">
        <v>5413</v>
      </c>
      <c r="AB278" t="s">
        <v>5414</v>
      </c>
      <c r="AC278" t="s">
        <v>5414</v>
      </c>
      <c r="AD278" t="s">
        <v>5414</v>
      </c>
      <c r="AG278" t="s">
        <v>5415</v>
      </c>
      <c r="AI278" t="s">
        <v>5460</v>
      </c>
      <c r="AJ278" t="s">
        <v>5559</v>
      </c>
      <c r="AL278" t="s">
        <v>5418</v>
      </c>
      <c r="AN278" t="s">
        <v>5419</v>
      </c>
    </row>
    <row r="279" spans="1:40" x14ac:dyDescent="0.25">
      <c r="A279">
        <v>1086136301</v>
      </c>
      <c r="B279" t="s">
        <v>5399</v>
      </c>
      <c r="C279">
        <v>252406</v>
      </c>
      <c r="D279" t="s">
        <v>5400</v>
      </c>
      <c r="E279">
        <v>46216.346574074072</v>
      </c>
      <c r="F279" t="s">
        <v>5435</v>
      </c>
      <c r="G279" t="s">
        <v>3668</v>
      </c>
      <c r="H279" t="s">
        <v>5421</v>
      </c>
      <c r="I279" t="s">
        <v>5403</v>
      </c>
      <c r="J279">
        <v>2026</v>
      </c>
      <c r="K279" t="s">
        <v>5436</v>
      </c>
      <c r="L279" t="s">
        <v>5437</v>
      </c>
      <c r="M279" t="s">
        <v>5406</v>
      </c>
      <c r="N279" s="1" t="s">
        <v>4565</v>
      </c>
      <c r="O279">
        <v>20.76</v>
      </c>
      <c r="P279">
        <v>4.2889999999999997</v>
      </c>
      <c r="Q279">
        <v>48795</v>
      </c>
      <c r="R279">
        <v>97</v>
      </c>
      <c r="S279">
        <v>4.67</v>
      </c>
      <c r="T279" s="8">
        <v>89.06</v>
      </c>
      <c r="U279">
        <v>491721</v>
      </c>
      <c r="V279" t="s">
        <v>5438</v>
      </c>
      <c r="W279" t="s">
        <v>5409</v>
      </c>
      <c r="X279" t="s">
        <v>5439</v>
      </c>
      <c r="Y279" t="s">
        <v>5440</v>
      </c>
      <c r="Z279" t="s">
        <v>5441</v>
      </c>
      <c r="AA279" t="s">
        <v>5413</v>
      </c>
      <c r="AB279" t="s">
        <v>5414</v>
      </c>
      <c r="AC279" t="s">
        <v>5414</v>
      </c>
      <c r="AD279" t="s">
        <v>5414</v>
      </c>
      <c r="AG279" t="s">
        <v>5415</v>
      </c>
      <c r="AI279" t="s">
        <v>5460</v>
      </c>
      <c r="AJ279" t="s">
        <v>5443</v>
      </c>
      <c r="AL279" t="s">
        <v>5418</v>
      </c>
      <c r="AN279" t="s">
        <v>5419</v>
      </c>
    </row>
    <row r="280" spans="1:40" x14ac:dyDescent="0.25">
      <c r="A280">
        <v>1086141078</v>
      </c>
      <c r="B280" t="s">
        <v>5399</v>
      </c>
      <c r="C280">
        <v>252406</v>
      </c>
      <c r="D280" t="s">
        <v>5400</v>
      </c>
      <c r="E280">
        <v>46216.353182870371</v>
      </c>
      <c r="F280" t="s">
        <v>5524</v>
      </c>
      <c r="G280" t="s">
        <v>3668</v>
      </c>
      <c r="H280" t="s">
        <v>5421</v>
      </c>
      <c r="I280" t="s">
        <v>5524</v>
      </c>
      <c r="J280">
        <v>2025</v>
      </c>
      <c r="K280" t="s">
        <v>5525</v>
      </c>
      <c r="L280" t="s">
        <v>5526</v>
      </c>
      <c r="M280" t="s">
        <v>5406</v>
      </c>
      <c r="N280" s="1" t="s">
        <v>4565</v>
      </c>
      <c r="O280">
        <v>39.03</v>
      </c>
      <c r="P280">
        <v>3.92</v>
      </c>
      <c r="Q280">
        <v>65207</v>
      </c>
      <c r="R280">
        <v>435</v>
      </c>
      <c r="S280">
        <v>11.15</v>
      </c>
      <c r="T280" s="8">
        <v>153</v>
      </c>
      <c r="U280">
        <v>490156</v>
      </c>
      <c r="V280" t="s">
        <v>5578</v>
      </c>
      <c r="W280" t="s">
        <v>5409</v>
      </c>
      <c r="X280" t="s">
        <v>5579</v>
      </c>
      <c r="Y280" t="s">
        <v>5458</v>
      </c>
      <c r="Z280" t="s">
        <v>5412</v>
      </c>
      <c r="AA280" t="s">
        <v>5413</v>
      </c>
      <c r="AB280" t="s">
        <v>5414</v>
      </c>
      <c r="AC280" t="s">
        <v>5414</v>
      </c>
      <c r="AD280" t="s">
        <v>5414</v>
      </c>
      <c r="AG280" t="s">
        <v>5415</v>
      </c>
      <c r="AI280" t="s">
        <v>5580</v>
      </c>
      <c r="AJ280" t="s">
        <v>5527</v>
      </c>
      <c r="AK280" t="s">
        <v>5528</v>
      </c>
      <c r="AL280" t="s">
        <v>5418</v>
      </c>
      <c r="AN280" t="s">
        <v>5529</v>
      </c>
    </row>
    <row r="281" spans="1:40" x14ac:dyDescent="0.25">
      <c r="A281">
        <v>1086145588</v>
      </c>
      <c r="B281" t="s">
        <v>5399</v>
      </c>
      <c r="C281">
        <v>252406</v>
      </c>
      <c r="D281" t="s">
        <v>5400</v>
      </c>
      <c r="E281">
        <v>46216.357916666668</v>
      </c>
      <c r="F281" t="s">
        <v>5475</v>
      </c>
      <c r="G281" t="s">
        <v>3668</v>
      </c>
      <c r="H281" t="s">
        <v>5467</v>
      </c>
      <c r="I281" t="s">
        <v>5403</v>
      </c>
      <c r="J281">
        <v>2026</v>
      </c>
      <c r="K281" t="s">
        <v>5468</v>
      </c>
      <c r="L281" t="s">
        <v>5469</v>
      </c>
      <c r="M281" t="s">
        <v>5406</v>
      </c>
      <c r="N281" s="1" t="s">
        <v>4565</v>
      </c>
      <c r="O281">
        <v>35.67</v>
      </c>
      <c r="P281">
        <v>4.1890000000000001</v>
      </c>
      <c r="Q281">
        <v>34408</v>
      </c>
      <c r="R281">
        <v>276</v>
      </c>
      <c r="S281">
        <v>7.74</v>
      </c>
      <c r="T281" s="8">
        <v>149.44999999999999</v>
      </c>
      <c r="U281">
        <v>11040306</v>
      </c>
      <c r="V281" t="s">
        <v>5408</v>
      </c>
      <c r="W281" t="s">
        <v>5409</v>
      </c>
      <c r="X281" t="s">
        <v>5410</v>
      </c>
      <c r="Y281" t="s">
        <v>5411</v>
      </c>
      <c r="Z281" t="s">
        <v>5412</v>
      </c>
      <c r="AA281" t="s">
        <v>5413</v>
      </c>
      <c r="AB281" t="s">
        <v>5414</v>
      </c>
      <c r="AC281" t="s">
        <v>5414</v>
      </c>
      <c r="AD281" t="s">
        <v>5414</v>
      </c>
      <c r="AG281" t="s">
        <v>5415</v>
      </c>
      <c r="AI281" t="s">
        <v>5522</v>
      </c>
      <c r="AJ281" t="s">
        <v>5697</v>
      </c>
      <c r="AL281" t="s">
        <v>5418</v>
      </c>
      <c r="AN281" t="s">
        <v>5419</v>
      </c>
    </row>
    <row r="282" spans="1:40" x14ac:dyDescent="0.25">
      <c r="A282">
        <v>1086156972</v>
      </c>
      <c r="B282" t="s">
        <v>5399</v>
      </c>
      <c r="C282">
        <v>252406</v>
      </c>
      <c r="D282" t="s">
        <v>5400</v>
      </c>
      <c r="E282">
        <v>46216.372708333336</v>
      </c>
      <c r="F282" t="s">
        <v>5689</v>
      </c>
      <c r="G282" t="s">
        <v>3668</v>
      </c>
      <c r="H282" t="s">
        <v>5511</v>
      </c>
      <c r="I282" t="s">
        <v>5403</v>
      </c>
      <c r="J282">
        <v>2026</v>
      </c>
      <c r="K282" t="s">
        <v>5690</v>
      </c>
      <c r="L282" t="s">
        <v>5691</v>
      </c>
      <c r="M282" t="s">
        <v>5406</v>
      </c>
      <c r="N282" s="1" t="s">
        <v>4565</v>
      </c>
      <c r="O282">
        <v>21.17</v>
      </c>
      <c r="P282">
        <v>4.4889999999999999</v>
      </c>
      <c r="Q282">
        <v>9907</v>
      </c>
      <c r="R282">
        <v>278</v>
      </c>
      <c r="S282">
        <v>13.13</v>
      </c>
      <c r="T282" s="8">
        <v>95.05</v>
      </c>
      <c r="U282">
        <v>578355</v>
      </c>
      <c r="V282" t="s">
        <v>5481</v>
      </c>
      <c r="W282" t="s">
        <v>5409</v>
      </c>
      <c r="X282" t="s">
        <v>5482</v>
      </c>
      <c r="Y282" t="s">
        <v>5411</v>
      </c>
      <c r="Z282" t="s">
        <v>5483</v>
      </c>
      <c r="AA282" t="s">
        <v>5413</v>
      </c>
      <c r="AB282" t="s">
        <v>5414</v>
      </c>
      <c r="AC282" t="s">
        <v>5414</v>
      </c>
      <c r="AD282" t="s">
        <v>5414</v>
      </c>
      <c r="AG282" t="s">
        <v>5415</v>
      </c>
      <c r="AI282" t="s">
        <v>5484</v>
      </c>
      <c r="AJ282" t="s">
        <v>5692</v>
      </c>
      <c r="AL282" t="s">
        <v>5418</v>
      </c>
      <c r="AN282" t="s">
        <v>5419</v>
      </c>
    </row>
    <row r="283" spans="1:40" x14ac:dyDescent="0.25">
      <c r="A283">
        <v>1086188921</v>
      </c>
      <c r="B283" t="s">
        <v>5399</v>
      </c>
      <c r="C283">
        <v>252406</v>
      </c>
      <c r="D283" t="s">
        <v>5400</v>
      </c>
      <c r="E283">
        <v>46216.382777777777</v>
      </c>
      <c r="F283" t="s">
        <v>5420</v>
      </c>
      <c r="G283" t="s">
        <v>3668</v>
      </c>
      <c r="H283" t="s">
        <v>5421</v>
      </c>
      <c r="I283" t="s">
        <v>5403</v>
      </c>
      <c r="J283">
        <v>2025</v>
      </c>
      <c r="K283" t="s">
        <v>5652</v>
      </c>
      <c r="L283" t="s">
        <v>5653</v>
      </c>
      <c r="M283" t="s">
        <v>5406</v>
      </c>
      <c r="N283" s="1" t="s">
        <v>4565</v>
      </c>
      <c r="O283">
        <v>20.76</v>
      </c>
      <c r="P283">
        <v>4.2889999999999997</v>
      </c>
      <c r="Q283">
        <v>69506</v>
      </c>
      <c r="R283">
        <v>194</v>
      </c>
      <c r="S283">
        <v>9.34</v>
      </c>
      <c r="T283" s="8">
        <v>89.06</v>
      </c>
      <c r="U283">
        <v>12193017</v>
      </c>
      <c r="V283" t="s">
        <v>5574</v>
      </c>
      <c r="W283" t="s">
        <v>5409</v>
      </c>
      <c r="X283" t="s">
        <v>5575</v>
      </c>
      <c r="Y283" t="s">
        <v>5576</v>
      </c>
      <c r="Z283" t="s">
        <v>5472</v>
      </c>
      <c r="AA283" t="s">
        <v>5413</v>
      </c>
      <c r="AB283" t="s">
        <v>5414</v>
      </c>
      <c r="AC283" t="s">
        <v>5414</v>
      </c>
      <c r="AD283" t="s">
        <v>5414</v>
      </c>
      <c r="AG283" t="s">
        <v>5427</v>
      </c>
      <c r="AI283" t="s">
        <v>5577</v>
      </c>
      <c r="AJ283" t="s">
        <v>5429</v>
      </c>
      <c r="AL283" t="s">
        <v>5418</v>
      </c>
      <c r="AN283" t="s">
        <v>5419</v>
      </c>
    </row>
    <row r="284" spans="1:40" x14ac:dyDescent="0.25">
      <c r="A284">
        <v>1086168563</v>
      </c>
      <c r="B284" t="s">
        <v>5399</v>
      </c>
      <c r="C284">
        <v>252406</v>
      </c>
      <c r="D284" t="s">
        <v>5400</v>
      </c>
      <c r="E284">
        <v>46216.391284722224</v>
      </c>
      <c r="F284" t="s">
        <v>5486</v>
      </c>
      <c r="G284" t="s">
        <v>3668</v>
      </c>
      <c r="H284" t="s">
        <v>5487</v>
      </c>
      <c r="I284" t="s">
        <v>5403</v>
      </c>
      <c r="J284">
        <v>2025</v>
      </c>
      <c r="K284" t="s">
        <v>5488</v>
      </c>
      <c r="L284" t="s">
        <v>5489</v>
      </c>
      <c r="M284" t="s">
        <v>5406</v>
      </c>
      <c r="N284" s="1" t="s">
        <v>4565</v>
      </c>
      <c r="O284">
        <v>31.98</v>
      </c>
      <c r="P284">
        <v>4.3789999999999996</v>
      </c>
      <c r="Q284">
        <v>55042</v>
      </c>
      <c r="R284">
        <v>280</v>
      </c>
      <c r="S284">
        <v>8.76</v>
      </c>
      <c r="T284" s="8">
        <v>140.07</v>
      </c>
      <c r="U284">
        <v>11153887</v>
      </c>
      <c r="V284" t="s">
        <v>5490</v>
      </c>
      <c r="W284" t="s">
        <v>5409</v>
      </c>
      <c r="X284" t="s">
        <v>5491</v>
      </c>
      <c r="Y284" t="s">
        <v>5492</v>
      </c>
      <c r="Z284" t="s">
        <v>5426</v>
      </c>
      <c r="AA284" t="s">
        <v>5413</v>
      </c>
      <c r="AB284" t="s">
        <v>5414</v>
      </c>
      <c r="AC284" t="s">
        <v>5414</v>
      </c>
      <c r="AD284" t="s">
        <v>5414</v>
      </c>
      <c r="AG284" t="s">
        <v>5415</v>
      </c>
      <c r="AI284" t="s">
        <v>5460</v>
      </c>
      <c r="AJ284" t="s">
        <v>5493</v>
      </c>
      <c r="AL284" t="s">
        <v>5418</v>
      </c>
      <c r="AN284" t="s">
        <v>5419</v>
      </c>
    </row>
    <row r="285" spans="1:40" x14ac:dyDescent="0.25">
      <c r="A285">
        <v>1086238086</v>
      </c>
      <c r="B285" t="s">
        <v>5399</v>
      </c>
      <c r="C285">
        <v>252406</v>
      </c>
      <c r="D285" t="s">
        <v>5400</v>
      </c>
      <c r="E285">
        <v>46216.462083333332</v>
      </c>
      <c r="F285" t="s">
        <v>5530</v>
      </c>
      <c r="G285" t="s">
        <v>3668</v>
      </c>
      <c r="H285" t="s">
        <v>5431</v>
      </c>
      <c r="I285" t="s">
        <v>5403</v>
      </c>
      <c r="J285">
        <v>2025</v>
      </c>
      <c r="K285" t="s">
        <v>5531</v>
      </c>
      <c r="L285" t="s">
        <v>5532</v>
      </c>
      <c r="M285" t="s">
        <v>5406</v>
      </c>
      <c r="N285" s="1" t="s">
        <v>4565</v>
      </c>
      <c r="O285">
        <v>43.98</v>
      </c>
      <c r="P285">
        <v>4.25</v>
      </c>
      <c r="Q285">
        <v>107363</v>
      </c>
      <c r="R285">
        <v>463</v>
      </c>
      <c r="S285">
        <v>10.53</v>
      </c>
      <c r="T285" s="8">
        <v>186.92</v>
      </c>
      <c r="U285">
        <v>108758</v>
      </c>
      <c r="V285" t="s">
        <v>5470</v>
      </c>
      <c r="W285" t="s">
        <v>5409</v>
      </c>
      <c r="X285" t="s">
        <v>5471</v>
      </c>
      <c r="Y285" t="s">
        <v>5411</v>
      </c>
      <c r="Z285" t="s">
        <v>5472</v>
      </c>
      <c r="AA285" t="s">
        <v>5413</v>
      </c>
      <c r="AB285" t="s">
        <v>5414</v>
      </c>
      <c r="AC285" t="s">
        <v>5414</v>
      </c>
      <c r="AD285" t="s">
        <v>5414</v>
      </c>
      <c r="AG285" t="s">
        <v>5427</v>
      </c>
      <c r="AI285" t="s">
        <v>5473</v>
      </c>
      <c r="AJ285" t="s">
        <v>5533</v>
      </c>
      <c r="AL285" t="s">
        <v>5418</v>
      </c>
      <c r="AN285" t="s">
        <v>5419</v>
      </c>
    </row>
    <row r="286" spans="1:40" x14ac:dyDescent="0.25">
      <c r="A286">
        <v>1086211163</v>
      </c>
      <c r="B286" t="s">
        <v>5399</v>
      </c>
      <c r="C286">
        <v>252406</v>
      </c>
      <c r="D286" t="s">
        <v>5400</v>
      </c>
      <c r="E286">
        <v>46216.474849537037</v>
      </c>
      <c r="F286" t="s">
        <v>5693</v>
      </c>
      <c r="G286" t="s">
        <v>3668</v>
      </c>
      <c r="H286" t="s">
        <v>5431</v>
      </c>
      <c r="I286" t="s">
        <v>5403</v>
      </c>
      <c r="J286">
        <v>2025</v>
      </c>
      <c r="K286" t="s">
        <v>5694</v>
      </c>
      <c r="L286" t="s">
        <v>5695</v>
      </c>
      <c r="M286" t="s">
        <v>5406</v>
      </c>
      <c r="N286" s="1" t="s">
        <v>4565</v>
      </c>
      <c r="O286">
        <v>37.229999999999997</v>
      </c>
      <c r="P286">
        <v>4.1890000000000001</v>
      </c>
      <c r="Q286">
        <v>54567</v>
      </c>
      <c r="R286">
        <v>215</v>
      </c>
      <c r="S286">
        <v>5.77</v>
      </c>
      <c r="T286" s="8">
        <v>155.99</v>
      </c>
      <c r="U286">
        <v>11040306</v>
      </c>
      <c r="V286" t="s">
        <v>5408</v>
      </c>
      <c r="W286" t="s">
        <v>5409</v>
      </c>
      <c r="X286" t="s">
        <v>5410</v>
      </c>
      <c r="Y286" t="s">
        <v>5411</v>
      </c>
      <c r="Z286" t="s">
        <v>5412</v>
      </c>
      <c r="AA286" t="s">
        <v>5413</v>
      </c>
      <c r="AB286" t="s">
        <v>5414</v>
      </c>
      <c r="AC286" t="s">
        <v>5414</v>
      </c>
      <c r="AD286" t="s">
        <v>5414</v>
      </c>
      <c r="AG286" t="s">
        <v>5415</v>
      </c>
      <c r="AI286" t="s">
        <v>5629</v>
      </c>
      <c r="AJ286" t="s">
        <v>5696</v>
      </c>
      <c r="AL286" t="s">
        <v>5418</v>
      </c>
      <c r="AN286" t="s">
        <v>5419</v>
      </c>
    </row>
    <row r="287" spans="1:40" x14ac:dyDescent="0.25">
      <c r="A287">
        <v>1086247683</v>
      </c>
      <c r="B287" t="s">
        <v>5399</v>
      </c>
      <c r="C287">
        <v>252406</v>
      </c>
      <c r="D287" t="s">
        <v>5400</v>
      </c>
      <c r="E287">
        <v>46216.49490740741</v>
      </c>
      <c r="F287" t="s">
        <v>5560</v>
      </c>
      <c r="G287" t="s">
        <v>3668</v>
      </c>
      <c r="H287" t="s">
        <v>5561</v>
      </c>
      <c r="I287" t="s">
        <v>5403</v>
      </c>
      <c r="J287">
        <v>2026</v>
      </c>
      <c r="K287" t="s">
        <v>5562</v>
      </c>
      <c r="L287" t="s">
        <v>5563</v>
      </c>
      <c r="M287" t="s">
        <v>5406</v>
      </c>
      <c r="N287" s="1" t="s">
        <v>4565</v>
      </c>
      <c r="O287">
        <v>43.51</v>
      </c>
      <c r="P287">
        <v>4.66</v>
      </c>
      <c r="Q287">
        <v>20565</v>
      </c>
      <c r="R287">
        <v>457</v>
      </c>
      <c r="S287">
        <v>10.5</v>
      </c>
      <c r="T287" s="8">
        <v>202.76</v>
      </c>
      <c r="U287">
        <v>11120083</v>
      </c>
      <c r="V287" t="s">
        <v>5596</v>
      </c>
      <c r="W287" t="s">
        <v>5409</v>
      </c>
      <c r="X287" t="s">
        <v>5597</v>
      </c>
      <c r="Y287" t="s">
        <v>5458</v>
      </c>
      <c r="Z287" t="s">
        <v>5598</v>
      </c>
      <c r="AA287" t="s">
        <v>5413</v>
      </c>
      <c r="AB287" t="s">
        <v>5414</v>
      </c>
      <c r="AC287" t="s">
        <v>5414</v>
      </c>
      <c r="AD287" t="s">
        <v>5414</v>
      </c>
      <c r="AG287" t="s">
        <v>5427</v>
      </c>
      <c r="AI287" t="s">
        <v>5599</v>
      </c>
      <c r="AJ287" t="s">
        <v>5564</v>
      </c>
      <c r="AL287" t="s">
        <v>5418</v>
      </c>
      <c r="AN287" t="s">
        <v>5419</v>
      </c>
    </row>
    <row r="288" spans="1:40" x14ac:dyDescent="0.25">
      <c r="A288">
        <v>1086261208</v>
      </c>
      <c r="B288" t="s">
        <v>5399</v>
      </c>
      <c r="C288">
        <v>252406</v>
      </c>
      <c r="D288" t="s">
        <v>5400</v>
      </c>
      <c r="E288">
        <v>46216.538043981483</v>
      </c>
      <c r="F288" t="s">
        <v>5462</v>
      </c>
      <c r="G288" t="s">
        <v>3668</v>
      </c>
      <c r="H288" t="s">
        <v>5402</v>
      </c>
      <c r="I288" t="s">
        <v>5403</v>
      </c>
      <c r="J288">
        <v>2026</v>
      </c>
      <c r="K288" t="s">
        <v>5604</v>
      </c>
      <c r="L288" t="s">
        <v>5605</v>
      </c>
      <c r="M288" t="s">
        <v>5406</v>
      </c>
      <c r="N288" s="1" t="s">
        <v>4565</v>
      </c>
      <c r="O288">
        <v>25.87</v>
      </c>
      <c r="P288">
        <v>4.2889999999999997</v>
      </c>
      <c r="Q288">
        <v>27227</v>
      </c>
      <c r="R288">
        <v>181</v>
      </c>
      <c r="S288">
        <v>7</v>
      </c>
      <c r="T288" s="8">
        <v>110.98</v>
      </c>
      <c r="U288">
        <v>491721</v>
      </c>
      <c r="V288" t="s">
        <v>5438</v>
      </c>
      <c r="W288" t="s">
        <v>5409</v>
      </c>
      <c r="X288" t="s">
        <v>5439</v>
      </c>
      <c r="Y288" t="s">
        <v>5440</v>
      </c>
      <c r="Z288" t="s">
        <v>5441</v>
      </c>
      <c r="AA288" t="s">
        <v>5413</v>
      </c>
      <c r="AB288" t="s">
        <v>5414</v>
      </c>
      <c r="AC288" t="s">
        <v>5414</v>
      </c>
      <c r="AD288" t="s">
        <v>5414</v>
      </c>
      <c r="AG288" t="s">
        <v>5427</v>
      </c>
      <c r="AI288" t="s">
        <v>5442</v>
      </c>
      <c r="AJ288" t="s">
        <v>5465</v>
      </c>
      <c r="AL288" t="s">
        <v>5418</v>
      </c>
      <c r="AN288" t="s">
        <v>5419</v>
      </c>
    </row>
    <row r="289" spans="1:40" x14ac:dyDescent="0.25">
      <c r="A289">
        <v>1086262143</v>
      </c>
      <c r="B289" t="s">
        <v>5399</v>
      </c>
      <c r="C289">
        <v>252406</v>
      </c>
      <c r="D289" t="s">
        <v>5400</v>
      </c>
      <c r="E289">
        <v>46216.541400462964</v>
      </c>
      <c r="F289" t="s">
        <v>5444</v>
      </c>
      <c r="G289" t="s">
        <v>3668</v>
      </c>
      <c r="H289" t="s">
        <v>5431</v>
      </c>
      <c r="I289" t="s">
        <v>5403</v>
      </c>
      <c r="J289">
        <v>2026</v>
      </c>
      <c r="K289" t="s">
        <v>5445</v>
      </c>
      <c r="L289" t="s">
        <v>5446</v>
      </c>
      <c r="M289" t="s">
        <v>5406</v>
      </c>
      <c r="N289" s="1" t="s">
        <v>4565</v>
      </c>
      <c r="O289">
        <v>31.95</v>
      </c>
      <c r="P289">
        <v>4.29</v>
      </c>
      <c r="Q289">
        <v>19876</v>
      </c>
      <c r="R289">
        <v>242</v>
      </c>
      <c r="S289">
        <v>7.57</v>
      </c>
      <c r="T289" s="8">
        <v>137.07</v>
      </c>
      <c r="U289">
        <v>11198252</v>
      </c>
      <c r="V289" t="s">
        <v>5424</v>
      </c>
      <c r="W289" t="s">
        <v>5409</v>
      </c>
      <c r="X289" t="s">
        <v>5425</v>
      </c>
      <c r="Y289" t="s">
        <v>5411</v>
      </c>
      <c r="Z289" t="s">
        <v>5426</v>
      </c>
      <c r="AA289" t="s">
        <v>5413</v>
      </c>
      <c r="AB289" t="s">
        <v>5414</v>
      </c>
      <c r="AC289" t="s">
        <v>5414</v>
      </c>
      <c r="AD289" t="s">
        <v>5414</v>
      </c>
      <c r="AG289" t="s">
        <v>5427</v>
      </c>
      <c r="AI289" t="s">
        <v>5428</v>
      </c>
      <c r="AJ289" t="s">
        <v>5447</v>
      </c>
      <c r="AL289" t="s">
        <v>5418</v>
      </c>
      <c r="AN289" t="s">
        <v>5419</v>
      </c>
    </row>
    <row r="290" spans="1:40" x14ac:dyDescent="0.25">
      <c r="A290">
        <v>1086266389</v>
      </c>
      <c r="B290" t="s">
        <v>5399</v>
      </c>
      <c r="C290">
        <v>252406</v>
      </c>
      <c r="D290" t="s">
        <v>5400</v>
      </c>
      <c r="E290">
        <v>46216.597581018519</v>
      </c>
      <c r="F290" t="s">
        <v>5621</v>
      </c>
      <c r="G290" t="s">
        <v>3668</v>
      </c>
      <c r="H290" t="s">
        <v>5421</v>
      </c>
      <c r="I290" t="s">
        <v>5621</v>
      </c>
      <c r="J290">
        <v>2024</v>
      </c>
      <c r="K290" t="s">
        <v>5622</v>
      </c>
      <c r="L290" t="s">
        <v>5623</v>
      </c>
      <c r="M290" t="s">
        <v>5406</v>
      </c>
      <c r="N290" s="1" t="s">
        <v>4565</v>
      </c>
      <c r="O290">
        <v>34.29</v>
      </c>
      <c r="P290">
        <v>3.92</v>
      </c>
      <c r="Q290">
        <v>98110</v>
      </c>
      <c r="R290">
        <v>330</v>
      </c>
      <c r="S290">
        <v>9.6199999999999992</v>
      </c>
      <c r="T290" s="8">
        <v>134.41999999999999</v>
      </c>
      <c r="U290">
        <v>490156</v>
      </c>
      <c r="V290" t="s">
        <v>5578</v>
      </c>
      <c r="W290" t="s">
        <v>5409</v>
      </c>
      <c r="X290" t="s">
        <v>5579</v>
      </c>
      <c r="Y290" t="s">
        <v>5458</v>
      </c>
      <c r="Z290" t="s">
        <v>5412</v>
      </c>
      <c r="AA290" t="s">
        <v>5413</v>
      </c>
      <c r="AB290" t="s">
        <v>5414</v>
      </c>
      <c r="AC290" t="s">
        <v>5414</v>
      </c>
      <c r="AD290" t="s">
        <v>5414</v>
      </c>
      <c r="AG290" t="s">
        <v>5415</v>
      </c>
      <c r="AI290" t="s">
        <v>5580</v>
      </c>
      <c r="AJ290" t="s">
        <v>5624</v>
      </c>
      <c r="AK290" t="s">
        <v>5528</v>
      </c>
      <c r="AL290" t="s">
        <v>5418</v>
      </c>
      <c r="AN290" t="s">
        <v>5625</v>
      </c>
    </row>
    <row r="291" spans="1:40" x14ac:dyDescent="0.25">
      <c r="A291">
        <v>1086291845</v>
      </c>
      <c r="B291" t="s">
        <v>5399</v>
      </c>
      <c r="C291">
        <v>252406</v>
      </c>
      <c r="D291" t="s">
        <v>5400</v>
      </c>
      <c r="E291">
        <v>46216.628009259257</v>
      </c>
      <c r="F291" t="s">
        <v>5401</v>
      </c>
      <c r="G291" t="s">
        <v>3668</v>
      </c>
      <c r="H291" t="s">
        <v>5402</v>
      </c>
      <c r="I291" t="s">
        <v>5403</v>
      </c>
      <c r="J291">
        <v>2026</v>
      </c>
      <c r="K291" t="s">
        <v>5404</v>
      </c>
      <c r="L291" t="s">
        <v>5405</v>
      </c>
      <c r="M291" t="s">
        <v>5406</v>
      </c>
      <c r="N291" s="1" t="s">
        <v>4565</v>
      </c>
      <c r="O291">
        <v>31.2</v>
      </c>
      <c r="P291">
        <v>4.29</v>
      </c>
      <c r="Q291">
        <v>34475</v>
      </c>
      <c r="R291">
        <v>261</v>
      </c>
      <c r="S291">
        <v>8.3699999999999992</v>
      </c>
      <c r="T291" s="8">
        <v>133.85</v>
      </c>
      <c r="U291">
        <v>11198252</v>
      </c>
      <c r="V291" t="s">
        <v>5424</v>
      </c>
      <c r="W291" t="s">
        <v>5409</v>
      </c>
      <c r="X291" t="s">
        <v>5425</v>
      </c>
      <c r="Y291" t="s">
        <v>5411</v>
      </c>
      <c r="Z291" t="s">
        <v>5426</v>
      </c>
      <c r="AA291" t="s">
        <v>5413</v>
      </c>
      <c r="AB291" t="s">
        <v>5414</v>
      </c>
      <c r="AC291" t="s">
        <v>5414</v>
      </c>
      <c r="AD291" t="s">
        <v>5414</v>
      </c>
      <c r="AG291" t="s">
        <v>5427</v>
      </c>
      <c r="AI291" t="s">
        <v>5428</v>
      </c>
      <c r="AJ291" t="s">
        <v>5417</v>
      </c>
      <c r="AL291" t="s">
        <v>5418</v>
      </c>
      <c r="AN291" t="s">
        <v>5419</v>
      </c>
    </row>
    <row r="292" spans="1:40" x14ac:dyDescent="0.25">
      <c r="A292">
        <v>1086292071</v>
      </c>
      <c r="B292" t="s">
        <v>5399</v>
      </c>
      <c r="C292">
        <v>252406</v>
      </c>
      <c r="D292" t="s">
        <v>5400</v>
      </c>
      <c r="E292">
        <v>46216.628449074073</v>
      </c>
      <c r="F292" t="s">
        <v>5466</v>
      </c>
      <c r="G292" t="s">
        <v>3668</v>
      </c>
      <c r="H292" t="s">
        <v>5467</v>
      </c>
      <c r="I292" t="s">
        <v>5403</v>
      </c>
      <c r="J292">
        <v>2025</v>
      </c>
      <c r="K292" t="s">
        <v>5468</v>
      </c>
      <c r="L292" t="s">
        <v>5469</v>
      </c>
      <c r="M292" t="s">
        <v>5406</v>
      </c>
      <c r="N292" s="1" t="s">
        <v>4565</v>
      </c>
      <c r="O292">
        <v>51.5</v>
      </c>
      <c r="P292">
        <v>4.8899999999999997</v>
      </c>
      <c r="Q292">
        <v>63421</v>
      </c>
      <c r="R292">
        <v>161</v>
      </c>
      <c r="S292">
        <v>3.13</v>
      </c>
      <c r="T292" s="8">
        <v>251.84</v>
      </c>
      <c r="U292">
        <v>11160069</v>
      </c>
      <c r="V292" t="s">
        <v>5728</v>
      </c>
      <c r="W292" t="s">
        <v>5409</v>
      </c>
      <c r="X292" t="s">
        <v>5729</v>
      </c>
      <c r="Y292" t="s">
        <v>5458</v>
      </c>
      <c r="Z292" t="s">
        <v>5730</v>
      </c>
      <c r="AA292" t="s">
        <v>5413</v>
      </c>
      <c r="AB292" t="s">
        <v>5414</v>
      </c>
      <c r="AC292" t="s">
        <v>5414</v>
      </c>
      <c r="AD292" t="s">
        <v>5414</v>
      </c>
      <c r="AG292" t="s">
        <v>5427</v>
      </c>
      <c r="AI292" t="s">
        <v>5731</v>
      </c>
      <c r="AJ292" t="s">
        <v>5474</v>
      </c>
      <c r="AL292" t="s">
        <v>5418</v>
      </c>
      <c r="AN292" t="s">
        <v>5419</v>
      </c>
    </row>
    <row r="293" spans="1:40" x14ac:dyDescent="0.25">
      <c r="A293">
        <v>1086278949</v>
      </c>
      <c r="B293" t="s">
        <v>5399</v>
      </c>
      <c r="C293">
        <v>252406</v>
      </c>
      <c r="D293" t="s">
        <v>5400</v>
      </c>
      <c r="E293">
        <v>46216.634108796294</v>
      </c>
      <c r="F293" t="s">
        <v>5655</v>
      </c>
      <c r="G293" t="s">
        <v>3668</v>
      </c>
      <c r="H293" t="s">
        <v>5506</v>
      </c>
      <c r="I293" t="s">
        <v>5403</v>
      </c>
      <c r="J293">
        <v>2026</v>
      </c>
      <c r="K293" t="s">
        <v>5656</v>
      </c>
      <c r="L293" t="s">
        <v>5657</v>
      </c>
      <c r="M293" t="s">
        <v>5406</v>
      </c>
      <c r="N293" s="1" t="s">
        <v>4565</v>
      </c>
      <c r="O293">
        <v>37.25</v>
      </c>
      <c r="P293">
        <v>3.92</v>
      </c>
      <c r="Q293">
        <v>5452</v>
      </c>
      <c r="R293">
        <v>236</v>
      </c>
      <c r="S293">
        <v>6.34</v>
      </c>
      <c r="T293" s="8">
        <v>146.02000000000001</v>
      </c>
      <c r="U293">
        <v>490156</v>
      </c>
      <c r="V293" t="s">
        <v>5578</v>
      </c>
      <c r="W293" t="s">
        <v>5409</v>
      </c>
      <c r="X293" t="s">
        <v>5579</v>
      </c>
      <c r="Y293" t="s">
        <v>5458</v>
      </c>
      <c r="Z293" t="s">
        <v>5412</v>
      </c>
      <c r="AA293" t="s">
        <v>5413</v>
      </c>
      <c r="AB293" t="s">
        <v>5414</v>
      </c>
      <c r="AC293" t="s">
        <v>5414</v>
      </c>
      <c r="AD293" t="s">
        <v>5414</v>
      </c>
      <c r="AG293" t="s">
        <v>5415</v>
      </c>
      <c r="AI293" t="s">
        <v>5580</v>
      </c>
      <c r="AJ293" t="s">
        <v>5658</v>
      </c>
      <c r="AL293" t="s">
        <v>5418</v>
      </c>
      <c r="AN293" t="s">
        <v>5419</v>
      </c>
    </row>
    <row r="294" spans="1:40" x14ac:dyDescent="0.25">
      <c r="A294">
        <v>1086308904</v>
      </c>
      <c r="B294" t="s">
        <v>5399</v>
      </c>
      <c r="C294">
        <v>252406</v>
      </c>
      <c r="D294" t="s">
        <v>5400</v>
      </c>
      <c r="E294">
        <v>46216.709328703706</v>
      </c>
      <c r="F294" t="s">
        <v>5613</v>
      </c>
      <c r="G294" t="s">
        <v>3668</v>
      </c>
      <c r="H294" t="s">
        <v>5467</v>
      </c>
      <c r="I294" t="s">
        <v>5403</v>
      </c>
      <c r="J294">
        <v>2025</v>
      </c>
      <c r="K294" t="s">
        <v>5614</v>
      </c>
      <c r="L294" t="s">
        <v>5615</v>
      </c>
      <c r="M294" t="s">
        <v>5406</v>
      </c>
      <c r="N294" s="1" t="s">
        <v>4565</v>
      </c>
      <c r="O294">
        <v>45.61</v>
      </c>
      <c r="P294">
        <v>4.1890000000000001</v>
      </c>
      <c r="Q294">
        <v>72053</v>
      </c>
      <c r="R294">
        <v>375</v>
      </c>
      <c r="S294">
        <v>8.2200000000000006</v>
      </c>
      <c r="T294" s="8">
        <v>191.1</v>
      </c>
      <c r="U294">
        <v>11040306</v>
      </c>
      <c r="V294" t="s">
        <v>5408</v>
      </c>
      <c r="W294" t="s">
        <v>5409</v>
      </c>
      <c r="X294" t="s">
        <v>5410</v>
      </c>
      <c r="Y294" t="s">
        <v>5411</v>
      </c>
      <c r="Z294" t="s">
        <v>5412</v>
      </c>
      <c r="AA294" t="s">
        <v>5413</v>
      </c>
      <c r="AB294" t="s">
        <v>5414</v>
      </c>
      <c r="AC294" t="s">
        <v>5414</v>
      </c>
      <c r="AD294" t="s">
        <v>5414</v>
      </c>
      <c r="AG294" t="s">
        <v>5415</v>
      </c>
      <c r="AI294" t="s">
        <v>5460</v>
      </c>
      <c r="AJ294" t="s">
        <v>5616</v>
      </c>
      <c r="AL294" t="s">
        <v>5418</v>
      </c>
      <c r="AN294" t="s">
        <v>5419</v>
      </c>
    </row>
    <row r="295" spans="1:40" x14ac:dyDescent="0.25">
      <c r="A295">
        <v>1086322272</v>
      </c>
      <c r="B295" t="s">
        <v>5399</v>
      </c>
      <c r="C295">
        <v>252406</v>
      </c>
      <c r="D295" t="s">
        <v>5400</v>
      </c>
      <c r="E295">
        <v>46216.709594907406</v>
      </c>
      <c r="F295" t="s">
        <v>5703</v>
      </c>
      <c r="G295" t="s">
        <v>3668</v>
      </c>
      <c r="H295" t="s">
        <v>5549</v>
      </c>
      <c r="I295" t="s">
        <v>5403</v>
      </c>
      <c r="J295">
        <v>2026</v>
      </c>
      <c r="K295" t="s">
        <v>5704</v>
      </c>
      <c r="L295" t="s">
        <v>5705</v>
      </c>
      <c r="M295" t="s">
        <v>5406</v>
      </c>
      <c r="N295" s="1" t="s">
        <v>4565</v>
      </c>
      <c r="O295">
        <v>31.47</v>
      </c>
      <c r="P295">
        <v>4.29</v>
      </c>
      <c r="Q295">
        <v>32566</v>
      </c>
      <c r="R295">
        <v>278</v>
      </c>
      <c r="S295">
        <v>8.83</v>
      </c>
      <c r="T295" s="8">
        <v>135.01</v>
      </c>
      <c r="U295">
        <v>11198252</v>
      </c>
      <c r="V295" t="s">
        <v>5424</v>
      </c>
      <c r="W295" t="s">
        <v>5409</v>
      </c>
      <c r="X295" t="s">
        <v>5425</v>
      </c>
      <c r="Y295" t="s">
        <v>5411</v>
      </c>
      <c r="Z295" t="s">
        <v>5426</v>
      </c>
      <c r="AA295" t="s">
        <v>5413</v>
      </c>
      <c r="AB295" t="s">
        <v>5414</v>
      </c>
      <c r="AC295" t="s">
        <v>5414</v>
      </c>
      <c r="AD295" t="s">
        <v>5414</v>
      </c>
      <c r="AG295" t="s">
        <v>5427</v>
      </c>
      <c r="AI295" t="s">
        <v>5428</v>
      </c>
      <c r="AJ295" t="s">
        <v>5706</v>
      </c>
      <c r="AL295" t="s">
        <v>5418</v>
      </c>
      <c r="AN295" t="s">
        <v>5419</v>
      </c>
    </row>
    <row r="296" spans="1:40" x14ac:dyDescent="0.25">
      <c r="A296">
        <v>1086336800</v>
      </c>
      <c r="B296" t="s">
        <v>5399</v>
      </c>
      <c r="C296">
        <v>252406</v>
      </c>
      <c r="D296" t="s">
        <v>5400</v>
      </c>
      <c r="E296">
        <v>46216.753055555557</v>
      </c>
      <c r="F296" t="s">
        <v>5617</v>
      </c>
      <c r="G296" t="s">
        <v>3668</v>
      </c>
      <c r="H296" t="s">
        <v>5467</v>
      </c>
      <c r="I296" t="s">
        <v>5403</v>
      </c>
      <c r="J296">
        <v>2026</v>
      </c>
      <c r="K296" t="s">
        <v>5618</v>
      </c>
      <c r="L296" t="s">
        <v>5619</v>
      </c>
      <c r="M296" t="s">
        <v>5406</v>
      </c>
      <c r="N296" s="1" t="s">
        <v>4565</v>
      </c>
      <c r="O296">
        <v>48.04</v>
      </c>
      <c r="P296">
        <v>3.589</v>
      </c>
      <c r="Q296">
        <v>54754</v>
      </c>
      <c r="R296">
        <v>354</v>
      </c>
      <c r="S296">
        <v>7.37</v>
      </c>
      <c r="T296" s="8">
        <v>172.46</v>
      </c>
      <c r="U296">
        <v>12815000</v>
      </c>
      <c r="V296" t="s">
        <v>5448</v>
      </c>
      <c r="W296" t="s">
        <v>5409</v>
      </c>
      <c r="X296" t="s">
        <v>5449</v>
      </c>
      <c r="Y296" t="s">
        <v>5450</v>
      </c>
      <c r="Z296" t="s">
        <v>5426</v>
      </c>
      <c r="AA296" t="s">
        <v>5413</v>
      </c>
      <c r="AB296" t="s">
        <v>5414</v>
      </c>
      <c r="AC296" t="s">
        <v>5414</v>
      </c>
      <c r="AD296" t="s">
        <v>5414</v>
      </c>
      <c r="AG296" t="s">
        <v>5427</v>
      </c>
      <c r="AI296" t="s">
        <v>5451</v>
      </c>
      <c r="AJ296" t="s">
        <v>5620</v>
      </c>
      <c r="AL296" t="s">
        <v>5418</v>
      </c>
      <c r="AN296" t="s">
        <v>5419</v>
      </c>
    </row>
    <row r="297" spans="1:40" x14ac:dyDescent="0.25">
      <c r="A297">
        <v>1086343282</v>
      </c>
      <c r="B297" t="s">
        <v>5399</v>
      </c>
      <c r="C297">
        <v>252406</v>
      </c>
      <c r="D297" t="s">
        <v>5400</v>
      </c>
      <c r="E297">
        <v>46216.78460648148</v>
      </c>
      <c r="F297" t="s">
        <v>5589</v>
      </c>
      <c r="G297" t="s">
        <v>3668</v>
      </c>
      <c r="H297" t="s">
        <v>5431</v>
      </c>
      <c r="I297" t="s">
        <v>5403</v>
      </c>
      <c r="J297">
        <v>2026</v>
      </c>
      <c r="K297" t="s">
        <v>5590</v>
      </c>
      <c r="L297" t="s">
        <v>5591</v>
      </c>
      <c r="M297" t="s">
        <v>5406</v>
      </c>
      <c r="N297" s="1" t="s">
        <v>4565</v>
      </c>
      <c r="O297">
        <v>25.95</v>
      </c>
      <c r="P297">
        <v>4.29</v>
      </c>
      <c r="Q297">
        <v>5236</v>
      </c>
      <c r="R297">
        <v>107</v>
      </c>
      <c r="S297">
        <v>4.12</v>
      </c>
      <c r="T297" s="8">
        <v>111.33</v>
      </c>
      <c r="U297">
        <v>11198252</v>
      </c>
      <c r="V297" t="s">
        <v>5424</v>
      </c>
      <c r="W297" t="s">
        <v>5409</v>
      </c>
      <c r="X297" t="s">
        <v>5425</v>
      </c>
      <c r="Y297" t="s">
        <v>5411</v>
      </c>
      <c r="Z297" t="s">
        <v>5426</v>
      </c>
      <c r="AA297" t="s">
        <v>5413</v>
      </c>
      <c r="AB297" t="s">
        <v>5414</v>
      </c>
      <c r="AC297" t="s">
        <v>5414</v>
      </c>
      <c r="AD297" t="s">
        <v>5414</v>
      </c>
      <c r="AG297" t="s">
        <v>5427</v>
      </c>
      <c r="AI297" t="s">
        <v>5428</v>
      </c>
      <c r="AJ297" t="s">
        <v>5592</v>
      </c>
      <c r="AL297" t="s">
        <v>5418</v>
      </c>
      <c r="AN297" t="s">
        <v>5419</v>
      </c>
    </row>
    <row r="298" spans="1:40" x14ac:dyDescent="0.25">
      <c r="A298">
        <v>1086349163</v>
      </c>
      <c r="B298" t="s">
        <v>5399</v>
      </c>
      <c r="C298">
        <v>252406</v>
      </c>
      <c r="D298" t="s">
        <v>5400</v>
      </c>
      <c r="E298">
        <v>46216.80636574074</v>
      </c>
      <c r="F298" t="s">
        <v>5420</v>
      </c>
      <c r="G298" t="s">
        <v>3668</v>
      </c>
      <c r="H298" t="s">
        <v>5421</v>
      </c>
      <c r="I298" t="s">
        <v>5403</v>
      </c>
      <c r="J298">
        <v>2025</v>
      </c>
      <c r="K298" t="s">
        <v>5652</v>
      </c>
      <c r="L298" t="s">
        <v>5653</v>
      </c>
      <c r="M298" t="s">
        <v>5406</v>
      </c>
      <c r="N298" s="1" t="s">
        <v>4565</v>
      </c>
      <c r="O298">
        <v>28.39</v>
      </c>
      <c r="P298">
        <v>4.2889999999999997</v>
      </c>
      <c r="Q298">
        <v>69803</v>
      </c>
      <c r="R298">
        <v>297</v>
      </c>
      <c r="S298">
        <v>10.46</v>
      </c>
      <c r="T298" s="8">
        <v>121.79</v>
      </c>
      <c r="U298">
        <v>11198252</v>
      </c>
      <c r="V298" t="s">
        <v>5424</v>
      </c>
      <c r="W298" t="s">
        <v>5409</v>
      </c>
      <c r="X298" t="s">
        <v>5425</v>
      </c>
      <c r="Y298" t="s">
        <v>5411</v>
      </c>
      <c r="Z298" t="s">
        <v>5426</v>
      </c>
      <c r="AA298" t="s">
        <v>5413</v>
      </c>
      <c r="AB298" t="s">
        <v>5414</v>
      </c>
      <c r="AC298" t="s">
        <v>5414</v>
      </c>
      <c r="AD298" t="s">
        <v>5414</v>
      </c>
      <c r="AG298" t="s">
        <v>5427</v>
      </c>
      <c r="AI298" t="s">
        <v>5428</v>
      </c>
      <c r="AJ298" t="s">
        <v>5429</v>
      </c>
      <c r="AL298" t="s">
        <v>5418</v>
      </c>
      <c r="AN298" t="s">
        <v>5419</v>
      </c>
    </row>
    <row r="299" spans="1:40" x14ac:dyDescent="0.25">
      <c r="A299">
        <v>1086341813</v>
      </c>
      <c r="B299" t="s">
        <v>5399</v>
      </c>
      <c r="C299">
        <v>252406</v>
      </c>
      <c r="D299" t="s">
        <v>5400</v>
      </c>
      <c r="E299">
        <v>46216.818055555559</v>
      </c>
      <c r="F299" t="s">
        <v>5494</v>
      </c>
      <c r="G299" t="s">
        <v>3668</v>
      </c>
      <c r="H299" t="s">
        <v>5495</v>
      </c>
      <c r="I299" t="s">
        <v>5403</v>
      </c>
      <c r="J299">
        <v>2026</v>
      </c>
      <c r="K299" t="s">
        <v>5496</v>
      </c>
      <c r="L299" t="s">
        <v>5497</v>
      </c>
      <c r="M299" t="s">
        <v>5406</v>
      </c>
      <c r="N299" s="1" t="s">
        <v>4565</v>
      </c>
      <c r="O299">
        <v>40.26</v>
      </c>
      <c r="P299">
        <v>4.1900000000000004</v>
      </c>
      <c r="Q299">
        <v>57415</v>
      </c>
      <c r="R299">
        <v>390</v>
      </c>
      <c r="S299">
        <v>9.69</v>
      </c>
      <c r="T299" s="8">
        <v>168.69</v>
      </c>
      <c r="U299">
        <v>11953590</v>
      </c>
      <c r="V299" t="s">
        <v>5732</v>
      </c>
      <c r="W299" t="s">
        <v>5409</v>
      </c>
      <c r="X299" t="s">
        <v>5822</v>
      </c>
      <c r="Y299" t="s">
        <v>5823</v>
      </c>
      <c r="Z299" t="s">
        <v>5824</v>
      </c>
      <c r="AA299" t="s">
        <v>5670</v>
      </c>
      <c r="AB299" t="s">
        <v>5414</v>
      </c>
      <c r="AC299" t="s">
        <v>5414</v>
      </c>
      <c r="AD299" t="s">
        <v>5414</v>
      </c>
      <c r="AG299" t="s">
        <v>5415</v>
      </c>
      <c r="AI299" t="s">
        <v>5460</v>
      </c>
      <c r="AJ299" t="s">
        <v>5504</v>
      </c>
      <c r="AL299" t="s">
        <v>5418</v>
      </c>
      <c r="AN299" t="s">
        <v>5419</v>
      </c>
    </row>
    <row r="300" spans="1:40" x14ac:dyDescent="0.25">
      <c r="A300">
        <v>1086350707</v>
      </c>
      <c r="B300" t="s">
        <v>5399</v>
      </c>
      <c r="C300">
        <v>252406</v>
      </c>
      <c r="D300" t="s">
        <v>5400</v>
      </c>
      <c r="E300">
        <v>46216.86215277778</v>
      </c>
      <c r="F300" t="s">
        <v>5567</v>
      </c>
      <c r="G300" t="s">
        <v>3668</v>
      </c>
      <c r="H300" t="s">
        <v>5568</v>
      </c>
      <c r="I300" t="s">
        <v>5403</v>
      </c>
      <c r="J300">
        <v>2026</v>
      </c>
      <c r="K300" t="s">
        <v>5436</v>
      </c>
      <c r="L300" t="s">
        <v>5437</v>
      </c>
      <c r="M300" t="s">
        <v>5406</v>
      </c>
      <c r="N300" s="1" t="s">
        <v>4565</v>
      </c>
      <c r="O300">
        <v>30</v>
      </c>
      <c r="P300">
        <v>4.1900000000000004</v>
      </c>
      <c r="Q300">
        <v>2910</v>
      </c>
      <c r="R300">
        <v>314</v>
      </c>
      <c r="S300">
        <v>10.47</v>
      </c>
      <c r="T300" s="8">
        <v>125.7</v>
      </c>
      <c r="U300">
        <v>11040306</v>
      </c>
      <c r="V300" t="s">
        <v>5408</v>
      </c>
      <c r="W300" t="s">
        <v>5409</v>
      </c>
      <c r="X300" t="s">
        <v>5410</v>
      </c>
      <c r="Y300" t="s">
        <v>5411</v>
      </c>
      <c r="Z300" t="s">
        <v>5412</v>
      </c>
      <c r="AA300" t="s">
        <v>5413</v>
      </c>
      <c r="AB300" t="s">
        <v>5414</v>
      </c>
      <c r="AC300" t="s">
        <v>5414</v>
      </c>
      <c r="AD300" t="s">
        <v>5414</v>
      </c>
      <c r="AG300" t="s">
        <v>5415</v>
      </c>
      <c r="AI300" t="s">
        <v>5522</v>
      </c>
      <c r="AJ300" t="s">
        <v>5573</v>
      </c>
      <c r="AL300" t="s">
        <v>5418</v>
      </c>
      <c r="AN300" t="s">
        <v>5419</v>
      </c>
    </row>
    <row r="301" spans="1:40" x14ac:dyDescent="0.25">
      <c r="A301">
        <v>1086366465</v>
      </c>
      <c r="B301" t="s">
        <v>5399</v>
      </c>
      <c r="C301">
        <v>252406</v>
      </c>
      <c r="D301" t="s">
        <v>5400</v>
      </c>
      <c r="E301">
        <v>46217.223090277781</v>
      </c>
      <c r="F301" t="s">
        <v>5635</v>
      </c>
      <c r="G301" t="s">
        <v>3668</v>
      </c>
      <c r="H301" t="s">
        <v>5453</v>
      </c>
      <c r="I301" t="s">
        <v>5403</v>
      </c>
      <c r="J301">
        <v>2026</v>
      </c>
      <c r="K301" t="s">
        <v>5636</v>
      </c>
      <c r="L301" t="s">
        <v>5637</v>
      </c>
      <c r="M301" t="s">
        <v>5406</v>
      </c>
      <c r="N301" s="1" t="s">
        <v>4565</v>
      </c>
      <c r="O301">
        <v>31.16</v>
      </c>
      <c r="P301">
        <v>4.29</v>
      </c>
      <c r="Q301">
        <v>11109</v>
      </c>
      <c r="R301">
        <v>253</v>
      </c>
      <c r="S301">
        <v>8.1199999999999992</v>
      </c>
      <c r="T301" s="8">
        <v>133.68</v>
      </c>
      <c r="U301">
        <v>11198252</v>
      </c>
      <c r="V301" t="s">
        <v>5424</v>
      </c>
      <c r="W301" t="s">
        <v>5409</v>
      </c>
      <c r="X301" t="s">
        <v>5425</v>
      </c>
      <c r="Y301" t="s">
        <v>5411</v>
      </c>
      <c r="Z301" t="s">
        <v>5426</v>
      </c>
      <c r="AA301" t="s">
        <v>5413</v>
      </c>
      <c r="AB301" t="s">
        <v>5414</v>
      </c>
      <c r="AC301" t="s">
        <v>5414</v>
      </c>
      <c r="AD301" t="s">
        <v>5414</v>
      </c>
      <c r="AG301" t="s">
        <v>5427</v>
      </c>
      <c r="AI301" t="s">
        <v>5428</v>
      </c>
      <c r="AJ301" t="s">
        <v>5638</v>
      </c>
      <c r="AL301" t="s">
        <v>5418</v>
      </c>
      <c r="AN301" t="s">
        <v>5419</v>
      </c>
    </row>
    <row r="302" spans="1:40" x14ac:dyDescent="0.25">
      <c r="A302">
        <v>1086404935</v>
      </c>
      <c r="B302" t="s">
        <v>5399</v>
      </c>
      <c r="C302">
        <v>252406</v>
      </c>
      <c r="D302" t="s">
        <v>5400</v>
      </c>
      <c r="E302">
        <v>46217.315925925926</v>
      </c>
      <c r="F302" t="s">
        <v>5462</v>
      </c>
      <c r="G302" t="s">
        <v>3668</v>
      </c>
      <c r="H302" t="s">
        <v>5402</v>
      </c>
      <c r="I302" t="s">
        <v>5403</v>
      </c>
      <c r="J302">
        <v>2026</v>
      </c>
      <c r="K302" t="s">
        <v>5463</v>
      </c>
      <c r="L302" t="s">
        <v>5464</v>
      </c>
      <c r="M302" t="s">
        <v>5406</v>
      </c>
      <c r="N302" s="1" t="s">
        <v>4565</v>
      </c>
      <c r="O302">
        <v>18.68</v>
      </c>
      <c r="P302">
        <v>3.589</v>
      </c>
      <c r="Q302">
        <v>27343</v>
      </c>
      <c r="R302">
        <v>116</v>
      </c>
      <c r="S302">
        <v>6.21</v>
      </c>
      <c r="T302" s="8">
        <v>67.06</v>
      </c>
      <c r="U302">
        <v>12815000</v>
      </c>
      <c r="V302" t="s">
        <v>5448</v>
      </c>
      <c r="W302" t="s">
        <v>5409</v>
      </c>
      <c r="X302" t="s">
        <v>5449</v>
      </c>
      <c r="Y302" t="s">
        <v>5450</v>
      </c>
      <c r="Z302" t="s">
        <v>5426</v>
      </c>
      <c r="AA302" t="s">
        <v>5413</v>
      </c>
      <c r="AB302" t="s">
        <v>5414</v>
      </c>
      <c r="AC302" t="s">
        <v>5414</v>
      </c>
      <c r="AD302" t="s">
        <v>5414</v>
      </c>
      <c r="AG302" t="s">
        <v>5427</v>
      </c>
      <c r="AI302" t="s">
        <v>5451</v>
      </c>
      <c r="AJ302" t="s">
        <v>5465</v>
      </c>
      <c r="AL302" t="s">
        <v>5418</v>
      </c>
      <c r="AN302" t="s">
        <v>5419</v>
      </c>
    </row>
    <row r="303" spans="1:40" x14ac:dyDescent="0.25">
      <c r="A303">
        <v>1086386407</v>
      </c>
      <c r="B303" t="s">
        <v>5399</v>
      </c>
      <c r="C303">
        <v>252406</v>
      </c>
      <c r="D303" t="s">
        <v>5400</v>
      </c>
      <c r="E303">
        <v>46217.325289351851</v>
      </c>
      <c r="F303" t="s">
        <v>5475</v>
      </c>
      <c r="G303" t="s">
        <v>3668</v>
      </c>
      <c r="H303" t="s">
        <v>5467</v>
      </c>
      <c r="I303" t="s">
        <v>5403</v>
      </c>
      <c r="J303">
        <v>2026</v>
      </c>
      <c r="K303" t="s">
        <v>5468</v>
      </c>
      <c r="L303" t="s">
        <v>5469</v>
      </c>
      <c r="M303" t="s">
        <v>5406</v>
      </c>
      <c r="N303" s="1" t="s">
        <v>4565</v>
      </c>
      <c r="O303">
        <v>31.84</v>
      </c>
      <c r="P303">
        <v>4.1890000000000001</v>
      </c>
      <c r="Q303">
        <v>34564</v>
      </c>
      <c r="R303">
        <v>156</v>
      </c>
      <c r="S303">
        <v>4.9000000000000004</v>
      </c>
      <c r="T303" s="8">
        <v>133.4</v>
      </c>
      <c r="U303">
        <v>11040306</v>
      </c>
      <c r="V303" t="s">
        <v>5408</v>
      </c>
      <c r="W303" t="s">
        <v>5409</v>
      </c>
      <c r="X303" t="s">
        <v>5410</v>
      </c>
      <c r="Y303" t="s">
        <v>5411</v>
      </c>
      <c r="Z303" t="s">
        <v>5412</v>
      </c>
      <c r="AA303" t="s">
        <v>5413</v>
      </c>
      <c r="AB303" t="s">
        <v>5414</v>
      </c>
      <c r="AC303" t="s">
        <v>5414</v>
      </c>
      <c r="AD303" t="s">
        <v>5414</v>
      </c>
      <c r="AG303" t="s">
        <v>5415</v>
      </c>
      <c r="AI303" t="s">
        <v>5522</v>
      </c>
      <c r="AJ303" t="s">
        <v>5697</v>
      </c>
      <c r="AL303" t="s">
        <v>5418</v>
      </c>
      <c r="AN303" t="s">
        <v>5419</v>
      </c>
    </row>
    <row r="304" spans="1:40" x14ac:dyDescent="0.25">
      <c r="A304">
        <v>1086409598</v>
      </c>
      <c r="B304" t="s">
        <v>5399</v>
      </c>
      <c r="C304">
        <v>252406</v>
      </c>
      <c r="D304" t="s">
        <v>5400</v>
      </c>
      <c r="E304">
        <v>46217.326423611114</v>
      </c>
      <c r="F304" t="s">
        <v>5581</v>
      </c>
      <c r="G304" t="s">
        <v>3668</v>
      </c>
      <c r="H304" t="s">
        <v>5467</v>
      </c>
      <c r="I304" t="s">
        <v>5403</v>
      </c>
      <c r="J304">
        <v>2026</v>
      </c>
      <c r="K304" t="s">
        <v>5582</v>
      </c>
      <c r="L304" t="s">
        <v>5583</v>
      </c>
      <c r="M304" t="s">
        <v>5406</v>
      </c>
      <c r="N304" s="1" t="s">
        <v>4565</v>
      </c>
      <c r="O304">
        <v>48.5</v>
      </c>
      <c r="P304">
        <v>4.2889999999999997</v>
      </c>
      <c r="Q304">
        <v>31048</v>
      </c>
      <c r="R304">
        <v>339</v>
      </c>
      <c r="S304">
        <v>6.99</v>
      </c>
      <c r="T304" s="8">
        <v>208.06</v>
      </c>
      <c r="U304">
        <v>11198252</v>
      </c>
      <c r="V304" t="s">
        <v>5424</v>
      </c>
      <c r="W304" t="s">
        <v>5409</v>
      </c>
      <c r="X304" t="s">
        <v>5425</v>
      </c>
      <c r="Y304" t="s">
        <v>5411</v>
      </c>
      <c r="Z304" t="s">
        <v>5426</v>
      </c>
      <c r="AA304" t="s">
        <v>5413</v>
      </c>
      <c r="AB304" t="s">
        <v>5414</v>
      </c>
      <c r="AC304" t="s">
        <v>5414</v>
      </c>
      <c r="AD304" t="s">
        <v>5414</v>
      </c>
      <c r="AG304" t="s">
        <v>5427</v>
      </c>
      <c r="AI304" t="s">
        <v>5428</v>
      </c>
      <c r="AJ304" t="s">
        <v>5584</v>
      </c>
      <c r="AL304" t="s">
        <v>5418</v>
      </c>
      <c r="AN304" t="s">
        <v>5419</v>
      </c>
    </row>
    <row r="305" spans="1:40" x14ac:dyDescent="0.25">
      <c r="A305">
        <v>1086387166</v>
      </c>
      <c r="B305" t="s">
        <v>5399</v>
      </c>
      <c r="C305">
        <v>252406</v>
      </c>
      <c r="D305" t="s">
        <v>5400</v>
      </c>
      <c r="E305">
        <v>46217.326990740738</v>
      </c>
      <c r="F305" t="s">
        <v>5435</v>
      </c>
      <c r="G305" t="s">
        <v>3668</v>
      </c>
      <c r="H305" t="s">
        <v>5421</v>
      </c>
      <c r="I305" t="s">
        <v>5403</v>
      </c>
      <c r="J305">
        <v>2026</v>
      </c>
      <c r="K305" t="s">
        <v>5436</v>
      </c>
      <c r="L305" t="s">
        <v>5437</v>
      </c>
      <c r="M305" t="s">
        <v>5406</v>
      </c>
      <c r="N305" s="1" t="s">
        <v>4565</v>
      </c>
      <c r="O305">
        <v>23.79</v>
      </c>
      <c r="P305">
        <v>4.29</v>
      </c>
      <c r="Q305">
        <v>48897</v>
      </c>
      <c r="R305">
        <v>102</v>
      </c>
      <c r="S305">
        <v>4.29</v>
      </c>
      <c r="T305" s="8">
        <v>102.06</v>
      </c>
      <c r="U305">
        <v>491721</v>
      </c>
      <c r="V305" t="s">
        <v>5438</v>
      </c>
      <c r="W305" t="s">
        <v>5409</v>
      </c>
      <c r="X305" t="s">
        <v>5439</v>
      </c>
      <c r="Y305" t="s">
        <v>5440</v>
      </c>
      <c r="Z305" t="s">
        <v>5441</v>
      </c>
      <c r="AA305" t="s">
        <v>5413</v>
      </c>
      <c r="AB305" t="s">
        <v>5414</v>
      </c>
      <c r="AC305" t="s">
        <v>5414</v>
      </c>
      <c r="AD305" t="s">
        <v>5414</v>
      </c>
      <c r="AG305" t="s">
        <v>5415</v>
      </c>
      <c r="AI305" t="s">
        <v>5522</v>
      </c>
      <c r="AJ305" t="s">
        <v>5443</v>
      </c>
      <c r="AL305" t="s">
        <v>5418</v>
      </c>
      <c r="AN305" t="s">
        <v>5419</v>
      </c>
    </row>
    <row r="306" spans="1:40" x14ac:dyDescent="0.25">
      <c r="A306">
        <v>1086416420</v>
      </c>
      <c r="B306" t="s">
        <v>5399</v>
      </c>
      <c r="C306">
        <v>252406</v>
      </c>
      <c r="D306" t="s">
        <v>5400</v>
      </c>
      <c r="E306">
        <v>46217.380300925928</v>
      </c>
      <c r="F306" t="s">
        <v>5534</v>
      </c>
      <c r="G306" t="s">
        <v>3668</v>
      </c>
      <c r="H306" t="s">
        <v>5421</v>
      </c>
      <c r="I306" t="s">
        <v>5403</v>
      </c>
      <c r="J306">
        <v>2027</v>
      </c>
      <c r="K306" t="s">
        <v>5535</v>
      </c>
      <c r="L306" t="s">
        <v>5536</v>
      </c>
      <c r="M306" t="s">
        <v>5406</v>
      </c>
      <c r="N306" s="1" t="s">
        <v>4565</v>
      </c>
      <c r="O306">
        <v>23.47</v>
      </c>
      <c r="P306">
        <v>4.1890000000000001</v>
      </c>
      <c r="Q306">
        <v>2857</v>
      </c>
      <c r="R306">
        <v>127</v>
      </c>
      <c r="S306">
        <v>5.41</v>
      </c>
      <c r="T306" s="8">
        <v>98.33</v>
      </c>
      <c r="U306">
        <v>11040306</v>
      </c>
      <c r="V306" t="s">
        <v>5408</v>
      </c>
      <c r="W306" t="s">
        <v>5409</v>
      </c>
      <c r="X306" t="s">
        <v>5410</v>
      </c>
      <c r="Y306" t="s">
        <v>5411</v>
      </c>
      <c r="Z306" t="s">
        <v>5412</v>
      </c>
      <c r="AA306" t="s">
        <v>5413</v>
      </c>
      <c r="AB306" t="s">
        <v>5414</v>
      </c>
      <c r="AC306" t="s">
        <v>5414</v>
      </c>
      <c r="AD306" t="s">
        <v>5414</v>
      </c>
      <c r="AG306" t="s">
        <v>5415</v>
      </c>
      <c r="AI306" t="s">
        <v>5629</v>
      </c>
      <c r="AJ306" t="s">
        <v>5816</v>
      </c>
      <c r="AL306" t="s">
        <v>5418</v>
      </c>
      <c r="AN306" t="s">
        <v>5419</v>
      </c>
    </row>
    <row r="307" spans="1:40" x14ac:dyDescent="0.25">
      <c r="A307">
        <v>1086417276</v>
      </c>
      <c r="B307" t="s">
        <v>5399</v>
      </c>
      <c r="C307">
        <v>252406</v>
      </c>
      <c r="D307" t="s">
        <v>5400</v>
      </c>
      <c r="E307">
        <v>46217.382048611114</v>
      </c>
      <c r="F307" t="s">
        <v>5486</v>
      </c>
      <c r="G307" t="s">
        <v>3668</v>
      </c>
      <c r="H307" t="s">
        <v>5487</v>
      </c>
      <c r="I307" t="s">
        <v>5403</v>
      </c>
      <c r="J307">
        <v>2025</v>
      </c>
      <c r="K307" t="s">
        <v>5488</v>
      </c>
      <c r="L307" t="s">
        <v>5489</v>
      </c>
      <c r="M307" t="s">
        <v>5406</v>
      </c>
      <c r="N307" s="1" t="s">
        <v>4565</v>
      </c>
      <c r="O307">
        <v>32.64</v>
      </c>
      <c r="P307">
        <v>4.29</v>
      </c>
      <c r="Q307">
        <v>55362</v>
      </c>
      <c r="R307">
        <v>320</v>
      </c>
      <c r="S307">
        <v>9.8000000000000007</v>
      </c>
      <c r="T307" s="8">
        <v>140.03</v>
      </c>
      <c r="U307">
        <v>491721</v>
      </c>
      <c r="V307" t="s">
        <v>5438</v>
      </c>
      <c r="W307" t="s">
        <v>5409</v>
      </c>
      <c r="X307" t="s">
        <v>5439</v>
      </c>
      <c r="Y307" t="s">
        <v>5440</v>
      </c>
      <c r="Z307" t="s">
        <v>5441</v>
      </c>
      <c r="AA307" t="s">
        <v>5413</v>
      </c>
      <c r="AB307" t="s">
        <v>5414</v>
      </c>
      <c r="AC307" t="s">
        <v>5414</v>
      </c>
      <c r="AD307" t="s">
        <v>5414</v>
      </c>
      <c r="AG307" t="s">
        <v>5415</v>
      </c>
      <c r="AI307" t="s">
        <v>5522</v>
      </c>
      <c r="AJ307" t="s">
        <v>5493</v>
      </c>
      <c r="AL307" t="s">
        <v>5418</v>
      </c>
      <c r="AN307" t="s">
        <v>5419</v>
      </c>
    </row>
    <row r="308" spans="1:40" x14ac:dyDescent="0.25">
      <c r="A308">
        <v>1086448369</v>
      </c>
      <c r="B308" t="s">
        <v>5399</v>
      </c>
      <c r="C308">
        <v>252406</v>
      </c>
      <c r="D308" t="s">
        <v>5400</v>
      </c>
      <c r="E308">
        <v>46217.411504629628</v>
      </c>
      <c r="F308" t="s">
        <v>5743</v>
      </c>
      <c r="G308" t="s">
        <v>3668</v>
      </c>
      <c r="H308" t="s">
        <v>5539</v>
      </c>
      <c r="I308" t="s">
        <v>5403</v>
      </c>
      <c r="J308">
        <v>2026</v>
      </c>
      <c r="K308" t="s">
        <v>5753</v>
      </c>
      <c r="L308" t="s">
        <v>5754</v>
      </c>
      <c r="M308" t="s">
        <v>5406</v>
      </c>
      <c r="N308" s="1" t="s">
        <v>4565</v>
      </c>
      <c r="O308">
        <v>46.43</v>
      </c>
      <c r="P308">
        <v>4.2889999999999997</v>
      </c>
      <c r="Q308">
        <v>17704</v>
      </c>
      <c r="R308">
        <v>316</v>
      </c>
      <c r="S308">
        <v>6.81</v>
      </c>
      <c r="T308" s="8">
        <v>199.18</v>
      </c>
      <c r="U308">
        <v>11198252</v>
      </c>
      <c r="V308" t="s">
        <v>5424</v>
      </c>
      <c r="W308" t="s">
        <v>5409</v>
      </c>
      <c r="X308" t="s">
        <v>5425</v>
      </c>
      <c r="Y308" t="s">
        <v>5411</v>
      </c>
      <c r="Z308" t="s">
        <v>5426</v>
      </c>
      <c r="AA308" t="s">
        <v>5413</v>
      </c>
      <c r="AB308" t="s">
        <v>5414</v>
      </c>
      <c r="AC308" t="s">
        <v>5414</v>
      </c>
      <c r="AD308" t="s">
        <v>5414</v>
      </c>
      <c r="AG308" t="s">
        <v>5427</v>
      </c>
      <c r="AI308" t="s">
        <v>5428</v>
      </c>
      <c r="AJ308" t="s">
        <v>5746</v>
      </c>
      <c r="AL308" t="s">
        <v>5418</v>
      </c>
      <c r="AN308" t="s">
        <v>5419</v>
      </c>
    </row>
    <row r="309" spans="1:40" x14ac:dyDescent="0.25">
      <c r="A309">
        <v>1086438652</v>
      </c>
      <c r="B309" t="s">
        <v>5399</v>
      </c>
      <c r="C309">
        <v>252406</v>
      </c>
      <c r="D309" t="s">
        <v>5400</v>
      </c>
      <c r="E309">
        <v>46217.431516203702</v>
      </c>
      <c r="F309" t="s">
        <v>5477</v>
      </c>
      <c r="G309" t="s">
        <v>3668</v>
      </c>
      <c r="H309" t="s">
        <v>5478</v>
      </c>
      <c r="I309" t="s">
        <v>5403</v>
      </c>
      <c r="J309">
        <v>2015</v>
      </c>
      <c r="K309" t="s">
        <v>5479</v>
      </c>
      <c r="L309" t="s">
        <v>5480</v>
      </c>
      <c r="M309" t="s">
        <v>5406</v>
      </c>
      <c r="N309" s="1" t="s">
        <v>4565</v>
      </c>
      <c r="O309">
        <v>44.69</v>
      </c>
      <c r="P309">
        <v>4.1890000000000001</v>
      </c>
      <c r="Q309">
        <v>247398</v>
      </c>
      <c r="R309">
        <v>1097</v>
      </c>
      <c r="S309">
        <v>24.55</v>
      </c>
      <c r="T309" s="8">
        <v>187.25</v>
      </c>
      <c r="U309">
        <v>11040306</v>
      </c>
      <c r="V309" t="s">
        <v>5408</v>
      </c>
      <c r="W309" t="s">
        <v>5409</v>
      </c>
      <c r="X309" t="s">
        <v>5410</v>
      </c>
      <c r="Y309" t="s">
        <v>5411</v>
      </c>
      <c r="Z309" t="s">
        <v>5412</v>
      </c>
      <c r="AA309" t="s">
        <v>5413</v>
      </c>
      <c r="AB309" t="s">
        <v>5414</v>
      </c>
      <c r="AC309" t="s">
        <v>5414</v>
      </c>
      <c r="AD309" t="s">
        <v>5414</v>
      </c>
      <c r="AG309" t="s">
        <v>5415</v>
      </c>
      <c r="AI309" t="s">
        <v>5522</v>
      </c>
      <c r="AJ309" t="s">
        <v>5485</v>
      </c>
      <c r="AL309" t="s">
        <v>5418</v>
      </c>
      <c r="AN309" t="s">
        <v>5419</v>
      </c>
    </row>
    <row r="310" spans="1:40" x14ac:dyDescent="0.25">
      <c r="A310">
        <v>1086446310</v>
      </c>
      <c r="B310" t="s">
        <v>5399</v>
      </c>
      <c r="C310">
        <v>252406</v>
      </c>
      <c r="D310" t="s">
        <v>5400</v>
      </c>
      <c r="E310">
        <v>46217.449618055558</v>
      </c>
      <c r="F310" t="s">
        <v>5817</v>
      </c>
      <c r="G310" t="s">
        <v>3668</v>
      </c>
      <c r="H310" t="s">
        <v>5421</v>
      </c>
      <c r="I310" t="s">
        <v>5403</v>
      </c>
      <c r="J310">
        <v>2027</v>
      </c>
      <c r="K310" t="s">
        <v>5614</v>
      </c>
      <c r="L310" t="s">
        <v>5615</v>
      </c>
      <c r="M310" t="s">
        <v>5406</v>
      </c>
      <c r="N310" s="1" t="s">
        <v>4565</v>
      </c>
      <c r="O310">
        <v>33.61</v>
      </c>
      <c r="P310">
        <v>4.1890000000000001</v>
      </c>
      <c r="Q310">
        <v>746</v>
      </c>
      <c r="R310">
        <v>351</v>
      </c>
      <c r="S310">
        <v>10.44</v>
      </c>
      <c r="T310" s="8">
        <v>140.82</v>
      </c>
      <c r="U310">
        <v>11040306</v>
      </c>
      <c r="V310" t="s">
        <v>5408</v>
      </c>
      <c r="W310" t="s">
        <v>5409</v>
      </c>
      <c r="X310" t="s">
        <v>5410</v>
      </c>
      <c r="Y310" t="s">
        <v>5411</v>
      </c>
      <c r="Z310" t="s">
        <v>5412</v>
      </c>
      <c r="AA310" t="s">
        <v>5413</v>
      </c>
      <c r="AB310" t="s">
        <v>5414</v>
      </c>
      <c r="AC310" t="s">
        <v>5414</v>
      </c>
      <c r="AD310" t="s">
        <v>5414</v>
      </c>
      <c r="AG310" t="s">
        <v>5415</v>
      </c>
      <c r="AI310" t="s">
        <v>5460</v>
      </c>
      <c r="AJ310" t="s">
        <v>5818</v>
      </c>
      <c r="AL310" t="s">
        <v>5418</v>
      </c>
      <c r="AN310" t="s">
        <v>5419</v>
      </c>
    </row>
    <row r="311" spans="1:40" x14ac:dyDescent="0.25">
      <c r="A311">
        <v>1086494109</v>
      </c>
      <c r="B311" t="s">
        <v>5399</v>
      </c>
      <c r="C311">
        <v>252406</v>
      </c>
      <c r="D311" t="s">
        <v>5400</v>
      </c>
      <c r="E311">
        <v>46217.599409722221</v>
      </c>
      <c r="F311" t="s">
        <v>5477</v>
      </c>
      <c r="G311" t="s">
        <v>3668</v>
      </c>
      <c r="H311" t="s">
        <v>5478</v>
      </c>
      <c r="I311" t="s">
        <v>5403</v>
      </c>
      <c r="J311">
        <v>2015</v>
      </c>
      <c r="K311" t="s">
        <v>5479</v>
      </c>
      <c r="L311" t="s">
        <v>5480</v>
      </c>
      <c r="M311" t="s">
        <v>5406</v>
      </c>
      <c r="N311" s="1" t="s">
        <v>4565</v>
      </c>
      <c r="O311">
        <v>48.14</v>
      </c>
      <c r="P311">
        <v>4.2889999999999997</v>
      </c>
      <c r="Q311">
        <v>247715</v>
      </c>
      <c r="R311">
        <v>317</v>
      </c>
      <c r="S311">
        <v>6.58</v>
      </c>
      <c r="T311" s="8">
        <v>206.52</v>
      </c>
      <c r="U311">
        <v>491721</v>
      </c>
      <c r="V311" t="s">
        <v>5438</v>
      </c>
      <c r="W311" t="s">
        <v>5409</v>
      </c>
      <c r="X311" t="s">
        <v>5439</v>
      </c>
      <c r="Y311" t="s">
        <v>5440</v>
      </c>
      <c r="Z311" t="s">
        <v>5441</v>
      </c>
      <c r="AA311" t="s">
        <v>5413</v>
      </c>
      <c r="AB311" t="s">
        <v>5414</v>
      </c>
      <c r="AC311" t="s">
        <v>5414</v>
      </c>
      <c r="AD311" t="s">
        <v>5414</v>
      </c>
      <c r="AG311" t="s">
        <v>5415</v>
      </c>
      <c r="AI311" t="s">
        <v>5522</v>
      </c>
      <c r="AJ311" t="s">
        <v>5485</v>
      </c>
      <c r="AL311" t="s">
        <v>5418</v>
      </c>
      <c r="AN311" t="s">
        <v>5419</v>
      </c>
    </row>
    <row r="312" spans="1:40" x14ac:dyDescent="0.25">
      <c r="A312">
        <v>1086509418</v>
      </c>
      <c r="B312" t="s">
        <v>5399</v>
      </c>
      <c r="C312">
        <v>252406</v>
      </c>
      <c r="D312" t="s">
        <v>5400</v>
      </c>
      <c r="E312">
        <v>46217.641782407409</v>
      </c>
      <c r="F312" t="s">
        <v>5466</v>
      </c>
      <c r="G312" t="s">
        <v>3668</v>
      </c>
      <c r="H312" t="s">
        <v>5467</v>
      </c>
      <c r="I312" t="s">
        <v>5403</v>
      </c>
      <c r="J312">
        <v>2025</v>
      </c>
      <c r="K312" t="s">
        <v>5468</v>
      </c>
      <c r="L312" t="s">
        <v>5469</v>
      </c>
      <c r="M312" t="s">
        <v>5406</v>
      </c>
      <c r="N312" s="1" t="s">
        <v>4565</v>
      </c>
      <c r="O312">
        <v>44.55</v>
      </c>
      <c r="P312">
        <v>4.49</v>
      </c>
      <c r="Q312">
        <v>63683</v>
      </c>
      <c r="R312">
        <v>262</v>
      </c>
      <c r="S312">
        <v>5.88</v>
      </c>
      <c r="T312" s="8">
        <v>200.03</v>
      </c>
      <c r="U312">
        <v>578355</v>
      </c>
      <c r="V312" t="s">
        <v>5481</v>
      </c>
      <c r="W312" t="s">
        <v>5409</v>
      </c>
      <c r="X312" t="s">
        <v>5482</v>
      </c>
      <c r="Y312" t="s">
        <v>5411</v>
      </c>
      <c r="Z312" t="s">
        <v>5483</v>
      </c>
      <c r="AA312" t="s">
        <v>5413</v>
      </c>
      <c r="AB312" t="s">
        <v>5414</v>
      </c>
      <c r="AC312" t="s">
        <v>5414</v>
      </c>
      <c r="AD312" t="s">
        <v>5414</v>
      </c>
      <c r="AG312" t="s">
        <v>5415</v>
      </c>
      <c r="AI312" t="s">
        <v>5484</v>
      </c>
      <c r="AJ312" t="s">
        <v>5474</v>
      </c>
      <c r="AL312" t="s">
        <v>5418</v>
      </c>
      <c r="AN312" t="s">
        <v>5419</v>
      </c>
    </row>
    <row r="313" spans="1:40" x14ac:dyDescent="0.25">
      <c r="A313">
        <v>1086517769</v>
      </c>
      <c r="B313" t="s">
        <v>5399</v>
      </c>
      <c r="C313">
        <v>252406</v>
      </c>
      <c r="D313" t="s">
        <v>5400</v>
      </c>
      <c r="E313">
        <v>46217.663530092592</v>
      </c>
      <c r="F313" t="s">
        <v>5475</v>
      </c>
      <c r="G313" t="s">
        <v>3668</v>
      </c>
      <c r="H313" t="s">
        <v>5467</v>
      </c>
      <c r="I313" t="s">
        <v>5403</v>
      </c>
      <c r="J313">
        <v>2026</v>
      </c>
      <c r="K313" t="s">
        <v>5468</v>
      </c>
      <c r="L313" t="s">
        <v>5469</v>
      </c>
      <c r="M313" t="s">
        <v>5406</v>
      </c>
      <c r="N313" s="1" t="s">
        <v>4565</v>
      </c>
      <c r="O313">
        <v>32.11</v>
      </c>
      <c r="P313">
        <v>4.4889999999999999</v>
      </c>
      <c r="Q313">
        <v>34733</v>
      </c>
      <c r="R313">
        <v>169</v>
      </c>
      <c r="S313">
        <v>5.26</v>
      </c>
      <c r="T313" s="8">
        <v>144.16999999999999</v>
      </c>
      <c r="U313">
        <v>578355</v>
      </c>
      <c r="V313" t="s">
        <v>5481</v>
      </c>
      <c r="W313" t="s">
        <v>5409</v>
      </c>
      <c r="X313" t="s">
        <v>5482</v>
      </c>
      <c r="Y313" t="s">
        <v>5411</v>
      </c>
      <c r="Z313" t="s">
        <v>5483</v>
      </c>
      <c r="AA313" t="s">
        <v>5413</v>
      </c>
      <c r="AB313" t="s">
        <v>5414</v>
      </c>
      <c r="AC313" t="s">
        <v>5414</v>
      </c>
      <c r="AD313" t="s">
        <v>5414</v>
      </c>
      <c r="AG313" t="s">
        <v>5415</v>
      </c>
      <c r="AI313" t="s">
        <v>5484</v>
      </c>
      <c r="AJ313" t="s">
        <v>5697</v>
      </c>
      <c r="AL313" t="s">
        <v>5418</v>
      </c>
      <c r="AN313" t="s">
        <v>5419</v>
      </c>
    </row>
    <row r="314" spans="1:40" x14ac:dyDescent="0.25">
      <c r="A314">
        <v>1086536072</v>
      </c>
      <c r="B314" t="s">
        <v>5399</v>
      </c>
      <c r="C314">
        <v>252406</v>
      </c>
      <c r="D314" t="s">
        <v>5400</v>
      </c>
      <c r="E314">
        <v>46217.669942129629</v>
      </c>
      <c r="F314" t="s">
        <v>5530</v>
      </c>
      <c r="G314" t="s">
        <v>3668</v>
      </c>
      <c r="H314" t="s">
        <v>5431</v>
      </c>
      <c r="I314" t="s">
        <v>5403</v>
      </c>
      <c r="J314">
        <v>2025</v>
      </c>
      <c r="K314" t="s">
        <v>5531</v>
      </c>
      <c r="L314" t="s">
        <v>5532</v>
      </c>
      <c r="M314" t="s">
        <v>5406</v>
      </c>
      <c r="N314" s="1" t="s">
        <v>4565</v>
      </c>
      <c r="O314">
        <v>40.51</v>
      </c>
      <c r="P314">
        <v>4.25</v>
      </c>
      <c r="Q314">
        <v>107801</v>
      </c>
      <c r="R314">
        <v>438</v>
      </c>
      <c r="S314">
        <v>10.81</v>
      </c>
      <c r="T314" s="8">
        <v>172.17</v>
      </c>
      <c r="U314">
        <v>108758</v>
      </c>
      <c r="V314" t="s">
        <v>5470</v>
      </c>
      <c r="W314" t="s">
        <v>5409</v>
      </c>
      <c r="X314" t="s">
        <v>5471</v>
      </c>
      <c r="Y314" t="s">
        <v>5411</v>
      </c>
      <c r="Z314" t="s">
        <v>5472</v>
      </c>
      <c r="AA314" t="s">
        <v>5413</v>
      </c>
      <c r="AB314" t="s">
        <v>5414</v>
      </c>
      <c r="AC314" t="s">
        <v>5414</v>
      </c>
      <c r="AD314" t="s">
        <v>5414</v>
      </c>
      <c r="AG314" t="s">
        <v>5427</v>
      </c>
      <c r="AI314" t="s">
        <v>5473</v>
      </c>
      <c r="AJ314" t="s">
        <v>5533</v>
      </c>
      <c r="AL314" t="s">
        <v>5418</v>
      </c>
      <c r="AN314" t="s">
        <v>5419</v>
      </c>
    </row>
    <row r="315" spans="1:40" x14ac:dyDescent="0.25">
      <c r="A315">
        <v>1086520638</v>
      </c>
      <c r="B315" t="s">
        <v>5399</v>
      </c>
      <c r="C315">
        <v>252406</v>
      </c>
      <c r="D315" t="s">
        <v>5400</v>
      </c>
      <c r="E315">
        <v>46217.671643518515</v>
      </c>
      <c r="F315" t="s">
        <v>5743</v>
      </c>
      <c r="G315" t="s">
        <v>3668</v>
      </c>
      <c r="H315" t="s">
        <v>5539</v>
      </c>
      <c r="I315" t="s">
        <v>5403</v>
      </c>
      <c r="J315">
        <v>2026</v>
      </c>
      <c r="K315" t="s">
        <v>5753</v>
      </c>
      <c r="L315" t="s">
        <v>5754</v>
      </c>
      <c r="M315" t="s">
        <v>5406</v>
      </c>
      <c r="N315" s="1" t="s">
        <v>4565</v>
      </c>
      <c r="O315">
        <v>39.880000000000003</v>
      </c>
      <c r="P315">
        <v>3.79</v>
      </c>
      <c r="Q315">
        <v>18070</v>
      </c>
      <c r="R315">
        <v>366</v>
      </c>
      <c r="S315">
        <v>9.18</v>
      </c>
      <c r="T315" s="8">
        <v>151.15</v>
      </c>
      <c r="U315">
        <v>11175589</v>
      </c>
      <c r="V315" t="s">
        <v>5825</v>
      </c>
      <c r="W315" t="s">
        <v>5409</v>
      </c>
      <c r="X315" t="s">
        <v>5826</v>
      </c>
      <c r="Y315" t="s">
        <v>5411</v>
      </c>
      <c r="Z315" t="s">
        <v>5827</v>
      </c>
      <c r="AA315" t="s">
        <v>5670</v>
      </c>
      <c r="AB315" t="s">
        <v>5414</v>
      </c>
      <c r="AC315" t="s">
        <v>5414</v>
      </c>
      <c r="AD315" t="s">
        <v>5414</v>
      </c>
      <c r="AG315" t="s">
        <v>5415</v>
      </c>
      <c r="AI315" t="s">
        <v>5460</v>
      </c>
      <c r="AJ315" t="s">
        <v>5746</v>
      </c>
      <c r="AL315" t="s">
        <v>5418</v>
      </c>
      <c r="AN315" t="s">
        <v>5419</v>
      </c>
    </row>
    <row r="316" spans="1:40" x14ac:dyDescent="0.25">
      <c r="A316">
        <v>1086528656</v>
      </c>
      <c r="B316" t="s">
        <v>5399</v>
      </c>
      <c r="C316">
        <v>252406</v>
      </c>
      <c r="D316" t="s">
        <v>5400</v>
      </c>
      <c r="E316">
        <v>46217.691550925927</v>
      </c>
      <c r="F316" t="s">
        <v>5534</v>
      </c>
      <c r="G316" t="s">
        <v>3668</v>
      </c>
      <c r="H316" t="s">
        <v>5421</v>
      </c>
      <c r="I316" t="s">
        <v>5403</v>
      </c>
      <c r="J316">
        <v>2027</v>
      </c>
      <c r="K316" t="s">
        <v>5535</v>
      </c>
      <c r="L316" t="s">
        <v>5536</v>
      </c>
      <c r="M316" t="s">
        <v>5406</v>
      </c>
      <c r="N316" s="1" t="s">
        <v>4565</v>
      </c>
      <c r="O316">
        <v>20.43</v>
      </c>
      <c r="P316">
        <v>4.6500000000000004</v>
      </c>
      <c r="Q316">
        <v>3019</v>
      </c>
      <c r="R316">
        <v>162</v>
      </c>
      <c r="S316">
        <v>7.93</v>
      </c>
      <c r="T316" s="8">
        <v>95</v>
      </c>
      <c r="U316">
        <v>11040292</v>
      </c>
      <c r="V316" t="s">
        <v>5456</v>
      </c>
      <c r="W316" t="s">
        <v>5409</v>
      </c>
      <c r="X316" t="s">
        <v>5457</v>
      </c>
      <c r="Y316" t="s">
        <v>5458</v>
      </c>
      <c r="Z316" t="s">
        <v>5459</v>
      </c>
      <c r="AA316" t="s">
        <v>5413</v>
      </c>
      <c r="AB316" t="s">
        <v>5414</v>
      </c>
      <c r="AC316" t="s">
        <v>5414</v>
      </c>
      <c r="AD316" t="s">
        <v>5414</v>
      </c>
      <c r="AG316" t="s">
        <v>5415</v>
      </c>
      <c r="AI316" t="s">
        <v>5460</v>
      </c>
      <c r="AJ316" t="s">
        <v>5816</v>
      </c>
      <c r="AL316" t="s">
        <v>5418</v>
      </c>
      <c r="AN316" t="s">
        <v>5419</v>
      </c>
    </row>
    <row r="317" spans="1:40" x14ac:dyDescent="0.25">
      <c r="A317">
        <v>1086563668</v>
      </c>
      <c r="B317" t="s">
        <v>5399</v>
      </c>
      <c r="C317">
        <v>252406</v>
      </c>
      <c r="D317" t="s">
        <v>5400</v>
      </c>
      <c r="E317">
        <v>46217.75068287037</v>
      </c>
      <c r="F317" t="s">
        <v>5494</v>
      </c>
      <c r="G317" t="s">
        <v>3668</v>
      </c>
      <c r="H317" t="s">
        <v>5495</v>
      </c>
      <c r="I317" t="s">
        <v>5403</v>
      </c>
      <c r="J317">
        <v>2026</v>
      </c>
      <c r="K317" t="s">
        <v>5496</v>
      </c>
      <c r="L317" t="s">
        <v>5497</v>
      </c>
      <c r="M317" t="s">
        <v>5406</v>
      </c>
      <c r="N317" s="1" t="s">
        <v>4565</v>
      </c>
      <c r="O317">
        <v>42.67</v>
      </c>
      <c r="P317">
        <v>4.2889999999999997</v>
      </c>
      <c r="Q317">
        <v>57870</v>
      </c>
      <c r="R317">
        <v>455</v>
      </c>
      <c r="S317">
        <v>10.66</v>
      </c>
      <c r="T317" s="8">
        <v>183.05</v>
      </c>
      <c r="U317">
        <v>11198252</v>
      </c>
      <c r="V317" t="s">
        <v>5424</v>
      </c>
      <c r="W317" t="s">
        <v>5409</v>
      </c>
      <c r="X317" t="s">
        <v>5425</v>
      </c>
      <c r="Y317" t="s">
        <v>5411</v>
      </c>
      <c r="Z317" t="s">
        <v>5426</v>
      </c>
      <c r="AA317" t="s">
        <v>5413</v>
      </c>
      <c r="AB317" t="s">
        <v>5414</v>
      </c>
      <c r="AC317" t="s">
        <v>5414</v>
      </c>
      <c r="AD317" t="s">
        <v>5414</v>
      </c>
      <c r="AG317" t="s">
        <v>5427</v>
      </c>
      <c r="AI317" t="s">
        <v>5428</v>
      </c>
      <c r="AJ317" t="s">
        <v>5504</v>
      </c>
      <c r="AL317" t="s">
        <v>5418</v>
      </c>
      <c r="AN317" t="s">
        <v>5419</v>
      </c>
    </row>
    <row r="318" spans="1:40" x14ac:dyDescent="0.25">
      <c r="A318">
        <v>1086564334</v>
      </c>
      <c r="B318" t="s">
        <v>5399</v>
      </c>
      <c r="C318">
        <v>252406</v>
      </c>
      <c r="D318" t="s">
        <v>5400</v>
      </c>
      <c r="E318">
        <v>46217.753553240742</v>
      </c>
      <c r="F318" t="s">
        <v>5593</v>
      </c>
      <c r="G318" t="s">
        <v>3668</v>
      </c>
      <c r="H318" t="s">
        <v>5431</v>
      </c>
      <c r="I318" t="s">
        <v>5593</v>
      </c>
      <c r="J318">
        <v>2025</v>
      </c>
      <c r="K318" t="s">
        <v>5586</v>
      </c>
      <c r="L318" t="s">
        <v>5587</v>
      </c>
      <c r="M318" t="s">
        <v>5406</v>
      </c>
      <c r="N318" s="1" t="s">
        <v>4565</v>
      </c>
      <c r="O318">
        <v>37</v>
      </c>
      <c r="P318">
        <v>4.29</v>
      </c>
      <c r="Q318">
        <v>54287</v>
      </c>
      <c r="R318">
        <v>405</v>
      </c>
      <c r="S318">
        <v>10.95</v>
      </c>
      <c r="T318" s="8">
        <v>158.72999999999999</v>
      </c>
      <c r="U318">
        <v>11198252</v>
      </c>
      <c r="V318" t="s">
        <v>5424</v>
      </c>
      <c r="W318" t="s">
        <v>5409</v>
      </c>
      <c r="X318" t="s">
        <v>5425</v>
      </c>
      <c r="Y318" t="s">
        <v>5411</v>
      </c>
      <c r="Z318" t="s">
        <v>5426</v>
      </c>
      <c r="AA318" t="s">
        <v>5413</v>
      </c>
      <c r="AB318" t="s">
        <v>5414</v>
      </c>
      <c r="AC318" t="s">
        <v>5414</v>
      </c>
      <c r="AD318" t="s">
        <v>5414</v>
      </c>
      <c r="AG318" t="s">
        <v>5427</v>
      </c>
      <c r="AI318" t="s">
        <v>5428</v>
      </c>
      <c r="AJ318" t="s">
        <v>5594</v>
      </c>
      <c r="AK318" t="s">
        <v>5528</v>
      </c>
      <c r="AL318" t="s">
        <v>5418</v>
      </c>
      <c r="AN318" t="s">
        <v>5595</v>
      </c>
    </row>
    <row r="319" spans="1:40" x14ac:dyDescent="0.25">
      <c r="A319">
        <v>1086565353</v>
      </c>
      <c r="B319" t="s">
        <v>5399</v>
      </c>
      <c r="C319">
        <v>252406</v>
      </c>
      <c r="D319" t="s">
        <v>5400</v>
      </c>
      <c r="E319">
        <v>46217.758275462962</v>
      </c>
      <c r="F319" t="s">
        <v>5617</v>
      </c>
      <c r="G319" t="s">
        <v>3668</v>
      </c>
      <c r="H319" t="s">
        <v>5467</v>
      </c>
      <c r="I319" t="s">
        <v>5403</v>
      </c>
      <c r="J319">
        <v>2026</v>
      </c>
      <c r="K319" t="s">
        <v>5618</v>
      </c>
      <c r="L319" t="s">
        <v>5619</v>
      </c>
      <c r="M319" t="s">
        <v>5406</v>
      </c>
      <c r="N319" s="1" t="s">
        <v>4565</v>
      </c>
      <c r="O319">
        <v>36.299999999999997</v>
      </c>
      <c r="P319">
        <v>3.59</v>
      </c>
      <c r="Q319">
        <v>55013</v>
      </c>
      <c r="R319">
        <v>259</v>
      </c>
      <c r="S319">
        <v>7.13</v>
      </c>
      <c r="T319" s="8">
        <v>130.32</v>
      </c>
      <c r="U319">
        <v>12815000</v>
      </c>
      <c r="V319" t="s">
        <v>5448</v>
      </c>
      <c r="W319" t="s">
        <v>5409</v>
      </c>
      <c r="X319" t="s">
        <v>5449</v>
      </c>
      <c r="Y319" t="s">
        <v>5450</v>
      </c>
      <c r="Z319" t="s">
        <v>5426</v>
      </c>
      <c r="AA319" t="s">
        <v>5413</v>
      </c>
      <c r="AB319" t="s">
        <v>5414</v>
      </c>
      <c r="AC319" t="s">
        <v>5414</v>
      </c>
      <c r="AD319" t="s">
        <v>5414</v>
      </c>
      <c r="AG319" t="s">
        <v>5427</v>
      </c>
      <c r="AI319" t="s">
        <v>5451</v>
      </c>
      <c r="AJ319" t="s">
        <v>5620</v>
      </c>
      <c r="AL319" t="s">
        <v>5418</v>
      </c>
      <c r="AN319" t="s">
        <v>5419</v>
      </c>
    </row>
    <row r="320" spans="1:40" x14ac:dyDescent="0.25">
      <c r="A320">
        <v>1086572894</v>
      </c>
      <c r="B320" t="s">
        <v>5399</v>
      </c>
      <c r="C320">
        <v>252406</v>
      </c>
      <c r="D320" t="s">
        <v>5400</v>
      </c>
      <c r="E320">
        <v>46217.799803240741</v>
      </c>
      <c r="F320" t="s">
        <v>5589</v>
      </c>
      <c r="G320" t="s">
        <v>3668</v>
      </c>
      <c r="H320" t="s">
        <v>5431</v>
      </c>
      <c r="I320" t="s">
        <v>5403</v>
      </c>
      <c r="J320">
        <v>2026</v>
      </c>
      <c r="K320" t="s">
        <v>5590</v>
      </c>
      <c r="L320" t="s">
        <v>5591</v>
      </c>
      <c r="M320" t="s">
        <v>5406</v>
      </c>
      <c r="N320" s="1" t="s">
        <v>4565</v>
      </c>
      <c r="O320">
        <v>26.82</v>
      </c>
      <c r="P320">
        <v>4.29</v>
      </c>
      <c r="Q320">
        <v>5357</v>
      </c>
      <c r="R320">
        <v>121</v>
      </c>
      <c r="S320">
        <v>4.51</v>
      </c>
      <c r="T320" s="8">
        <v>115.06</v>
      </c>
      <c r="U320">
        <v>11198252</v>
      </c>
      <c r="V320" t="s">
        <v>5424</v>
      </c>
      <c r="W320" t="s">
        <v>5409</v>
      </c>
      <c r="X320" t="s">
        <v>5425</v>
      </c>
      <c r="Y320" t="s">
        <v>5411</v>
      </c>
      <c r="Z320" t="s">
        <v>5426</v>
      </c>
      <c r="AA320" t="s">
        <v>5413</v>
      </c>
      <c r="AB320" t="s">
        <v>5414</v>
      </c>
      <c r="AC320" t="s">
        <v>5414</v>
      </c>
      <c r="AD320" t="s">
        <v>5414</v>
      </c>
      <c r="AG320" t="s">
        <v>5427</v>
      </c>
      <c r="AI320" t="s">
        <v>5428</v>
      </c>
      <c r="AJ320" t="s">
        <v>5592</v>
      </c>
      <c r="AL320" t="s">
        <v>5418</v>
      </c>
      <c r="AN320" t="s">
        <v>5419</v>
      </c>
    </row>
    <row r="321" spans="1:40" x14ac:dyDescent="0.25">
      <c r="A321">
        <v>1086591468</v>
      </c>
      <c r="B321" t="s">
        <v>5399</v>
      </c>
      <c r="C321">
        <v>252406</v>
      </c>
      <c r="D321" t="s">
        <v>5400</v>
      </c>
      <c r="E321">
        <v>46218.242349537039</v>
      </c>
      <c r="F321" t="s">
        <v>5613</v>
      </c>
      <c r="G321" t="s">
        <v>3668</v>
      </c>
      <c r="H321" t="s">
        <v>5467</v>
      </c>
      <c r="I321" t="s">
        <v>5403</v>
      </c>
      <c r="J321">
        <v>2025</v>
      </c>
      <c r="K321" t="s">
        <v>5656</v>
      </c>
      <c r="L321" t="s">
        <v>5657</v>
      </c>
      <c r="M321" t="s">
        <v>5406</v>
      </c>
      <c r="N321" s="1" t="s">
        <v>4565</v>
      </c>
      <c r="O321">
        <v>37.92</v>
      </c>
      <c r="P321">
        <v>4.1890000000000001</v>
      </c>
      <c r="Q321">
        <v>72391</v>
      </c>
      <c r="R321">
        <v>338</v>
      </c>
      <c r="S321">
        <v>8.91</v>
      </c>
      <c r="T321" s="8">
        <v>158.88</v>
      </c>
      <c r="U321">
        <v>12863055</v>
      </c>
      <c r="V321" t="s">
        <v>5828</v>
      </c>
      <c r="W321" t="s">
        <v>5409</v>
      </c>
      <c r="X321" t="s">
        <v>5829</v>
      </c>
      <c r="Y321" t="s">
        <v>5830</v>
      </c>
      <c r="Z321" t="s">
        <v>5831</v>
      </c>
      <c r="AA321" t="s">
        <v>5502</v>
      </c>
      <c r="AB321" t="s">
        <v>5414</v>
      </c>
      <c r="AC321" t="s">
        <v>5414</v>
      </c>
      <c r="AD321" t="s">
        <v>5414</v>
      </c>
      <c r="AG321" t="s">
        <v>5427</v>
      </c>
      <c r="AI321" t="s">
        <v>5832</v>
      </c>
      <c r="AJ321" t="s">
        <v>5616</v>
      </c>
      <c r="AL321" t="s">
        <v>5418</v>
      </c>
      <c r="AN321" t="s">
        <v>5419</v>
      </c>
    </row>
    <row r="322" spans="1:40" x14ac:dyDescent="0.25">
      <c r="A322">
        <v>1086598726</v>
      </c>
      <c r="B322" t="s">
        <v>5399</v>
      </c>
      <c r="C322">
        <v>252406</v>
      </c>
      <c r="D322" t="s">
        <v>5400</v>
      </c>
      <c r="E322">
        <v>46218.245057870372</v>
      </c>
      <c r="F322" t="s">
        <v>5401</v>
      </c>
      <c r="G322" t="s">
        <v>3668</v>
      </c>
      <c r="H322" t="s">
        <v>5402</v>
      </c>
      <c r="I322" t="s">
        <v>5403</v>
      </c>
      <c r="J322">
        <v>2026</v>
      </c>
      <c r="K322" t="s">
        <v>5701</v>
      </c>
      <c r="L322" t="s">
        <v>5702</v>
      </c>
      <c r="M322" t="s">
        <v>5406</v>
      </c>
      <c r="N322" s="1" t="s">
        <v>4565</v>
      </c>
      <c r="O322">
        <v>34.74</v>
      </c>
      <c r="P322">
        <v>4.2889999999999997</v>
      </c>
      <c r="Q322">
        <v>34736</v>
      </c>
      <c r="R322">
        <v>261</v>
      </c>
      <c r="S322">
        <v>7.51</v>
      </c>
      <c r="T322" s="8">
        <v>149.03</v>
      </c>
      <c r="U322">
        <v>11198252</v>
      </c>
      <c r="V322" t="s">
        <v>5424</v>
      </c>
      <c r="W322" t="s">
        <v>5409</v>
      </c>
      <c r="X322" t="s">
        <v>5425</v>
      </c>
      <c r="Y322" t="s">
        <v>5411</v>
      </c>
      <c r="Z322" t="s">
        <v>5426</v>
      </c>
      <c r="AA322" t="s">
        <v>5413</v>
      </c>
      <c r="AB322" t="s">
        <v>5414</v>
      </c>
      <c r="AC322" t="s">
        <v>5414</v>
      </c>
      <c r="AD322" t="s">
        <v>5414</v>
      </c>
      <c r="AG322" t="s">
        <v>5427</v>
      </c>
      <c r="AI322" t="s">
        <v>5428</v>
      </c>
      <c r="AJ322" t="s">
        <v>5417</v>
      </c>
      <c r="AL322" t="s">
        <v>5418</v>
      </c>
      <c r="AN322" t="s">
        <v>5419</v>
      </c>
    </row>
    <row r="323" spans="1:40" x14ac:dyDescent="0.25">
      <c r="A323">
        <v>1086596343</v>
      </c>
      <c r="B323" t="s">
        <v>5399</v>
      </c>
      <c r="C323">
        <v>252406</v>
      </c>
      <c r="D323" t="s">
        <v>5400</v>
      </c>
      <c r="E323">
        <v>46218.280127314814</v>
      </c>
      <c r="F323" t="s">
        <v>5477</v>
      </c>
      <c r="G323" t="s">
        <v>3668</v>
      </c>
      <c r="H323" t="s">
        <v>5478</v>
      </c>
      <c r="I323" t="s">
        <v>5403</v>
      </c>
      <c r="J323">
        <v>2015</v>
      </c>
      <c r="K323" t="s">
        <v>5479</v>
      </c>
      <c r="L323" t="s">
        <v>5480</v>
      </c>
      <c r="M323" t="s">
        <v>5406</v>
      </c>
      <c r="N323" s="1" t="s">
        <v>4565</v>
      </c>
      <c r="O323">
        <v>48.7</v>
      </c>
      <c r="P323">
        <v>4.2889999999999997</v>
      </c>
      <c r="Q323">
        <v>248096</v>
      </c>
      <c r="R323">
        <v>381</v>
      </c>
      <c r="S323">
        <v>7.82</v>
      </c>
      <c r="T323" s="8">
        <v>208.92</v>
      </c>
      <c r="U323">
        <v>491721</v>
      </c>
      <c r="V323" t="s">
        <v>5438</v>
      </c>
      <c r="W323" t="s">
        <v>5409</v>
      </c>
      <c r="X323" t="s">
        <v>5439</v>
      </c>
      <c r="Y323" t="s">
        <v>5440</v>
      </c>
      <c r="Z323" t="s">
        <v>5441</v>
      </c>
      <c r="AA323" t="s">
        <v>5413</v>
      </c>
      <c r="AB323" t="s">
        <v>5414</v>
      </c>
      <c r="AC323" t="s">
        <v>5414</v>
      </c>
      <c r="AD323" t="s">
        <v>5414</v>
      </c>
      <c r="AG323" t="s">
        <v>5415</v>
      </c>
      <c r="AI323" t="s">
        <v>5522</v>
      </c>
      <c r="AJ323" t="s">
        <v>5485</v>
      </c>
      <c r="AL323" t="s">
        <v>5418</v>
      </c>
      <c r="AN323" t="s">
        <v>5419</v>
      </c>
    </row>
    <row r="324" spans="1:40" x14ac:dyDescent="0.25">
      <c r="A324">
        <v>1086598115</v>
      </c>
      <c r="B324" t="s">
        <v>5399</v>
      </c>
      <c r="C324">
        <v>252406</v>
      </c>
      <c r="D324" t="s">
        <v>5400</v>
      </c>
      <c r="E324">
        <v>46218.28392361111</v>
      </c>
      <c r="F324" t="s">
        <v>5740</v>
      </c>
      <c r="G324" t="s">
        <v>3668</v>
      </c>
      <c r="H324" t="s">
        <v>5431</v>
      </c>
      <c r="I324" t="s">
        <v>5403</v>
      </c>
      <c r="J324">
        <v>2026</v>
      </c>
      <c r="K324" t="s">
        <v>5744</v>
      </c>
      <c r="L324" t="s">
        <v>5745</v>
      </c>
      <c r="M324" t="s">
        <v>5406</v>
      </c>
      <c r="N324" s="1" t="s">
        <v>4565</v>
      </c>
      <c r="O324">
        <v>41.1</v>
      </c>
      <c r="P324">
        <v>4.1890000000000001</v>
      </c>
      <c r="Q324">
        <v>30865</v>
      </c>
      <c r="R324">
        <v>359</v>
      </c>
      <c r="S324">
        <v>8.73</v>
      </c>
      <c r="T324" s="8">
        <v>172.2</v>
      </c>
      <c r="U324">
        <v>11040306</v>
      </c>
      <c r="V324" t="s">
        <v>5408</v>
      </c>
      <c r="W324" t="s">
        <v>5409</v>
      </c>
      <c r="X324" t="s">
        <v>5410</v>
      </c>
      <c r="Y324" t="s">
        <v>5411</v>
      </c>
      <c r="Z324" t="s">
        <v>5412</v>
      </c>
      <c r="AA324" t="s">
        <v>5413</v>
      </c>
      <c r="AB324" t="s">
        <v>5414</v>
      </c>
      <c r="AC324" t="s">
        <v>5414</v>
      </c>
      <c r="AD324" t="s">
        <v>5414</v>
      </c>
      <c r="AG324" t="s">
        <v>5415</v>
      </c>
      <c r="AI324" t="s">
        <v>5460</v>
      </c>
      <c r="AJ324" t="s">
        <v>5742</v>
      </c>
      <c r="AL324" t="s">
        <v>5418</v>
      </c>
      <c r="AN324" t="s">
        <v>5419</v>
      </c>
    </row>
    <row r="325" spans="1:40" x14ac:dyDescent="0.25">
      <c r="A325">
        <v>1086623197</v>
      </c>
      <c r="B325" t="s">
        <v>5399</v>
      </c>
      <c r="C325">
        <v>252406</v>
      </c>
      <c r="D325" t="s">
        <v>5400</v>
      </c>
      <c r="E325">
        <v>46218.301018518519</v>
      </c>
      <c r="F325" t="s">
        <v>5505</v>
      </c>
      <c r="G325" t="s">
        <v>3668</v>
      </c>
      <c r="H325" t="s">
        <v>5506</v>
      </c>
      <c r="I325" t="s">
        <v>5403</v>
      </c>
      <c r="J325">
        <v>2026</v>
      </c>
      <c r="K325" t="s">
        <v>5507</v>
      </c>
      <c r="L325" t="s">
        <v>5508</v>
      </c>
      <c r="M325" t="s">
        <v>5406</v>
      </c>
      <c r="N325" s="1" t="s">
        <v>4565</v>
      </c>
      <c r="O325">
        <v>39.51</v>
      </c>
      <c r="P325">
        <v>4.2889999999999997</v>
      </c>
      <c r="Q325">
        <v>5436</v>
      </c>
      <c r="R325">
        <v>358</v>
      </c>
      <c r="S325">
        <v>9.06</v>
      </c>
      <c r="T325" s="8">
        <v>169.49</v>
      </c>
      <c r="U325">
        <v>12193017</v>
      </c>
      <c r="V325" t="s">
        <v>5574</v>
      </c>
      <c r="W325" t="s">
        <v>5409</v>
      </c>
      <c r="X325" t="s">
        <v>5575</v>
      </c>
      <c r="Y325" t="s">
        <v>5576</v>
      </c>
      <c r="Z325" t="s">
        <v>5472</v>
      </c>
      <c r="AA325" t="s">
        <v>5413</v>
      </c>
      <c r="AB325" t="s">
        <v>5414</v>
      </c>
      <c r="AC325" t="s">
        <v>5414</v>
      </c>
      <c r="AD325" t="s">
        <v>5414</v>
      </c>
      <c r="AG325" t="s">
        <v>5427</v>
      </c>
      <c r="AI325" t="s">
        <v>5577</v>
      </c>
      <c r="AJ325" t="s">
        <v>5509</v>
      </c>
      <c r="AL325" t="s">
        <v>5418</v>
      </c>
      <c r="AN325" t="s">
        <v>5419</v>
      </c>
    </row>
    <row r="326" spans="1:40" x14ac:dyDescent="0.25">
      <c r="A326">
        <v>1086625933</v>
      </c>
      <c r="B326" t="s">
        <v>5399</v>
      </c>
      <c r="C326">
        <v>252406</v>
      </c>
      <c r="D326" t="s">
        <v>5400</v>
      </c>
      <c r="E326">
        <v>46218.305428240739</v>
      </c>
      <c r="F326" t="s">
        <v>5462</v>
      </c>
      <c r="G326" t="s">
        <v>3668</v>
      </c>
      <c r="H326" t="s">
        <v>5402</v>
      </c>
      <c r="I326" t="s">
        <v>5403</v>
      </c>
      <c r="J326">
        <v>2026</v>
      </c>
      <c r="K326" t="s">
        <v>5604</v>
      </c>
      <c r="L326" t="s">
        <v>5605</v>
      </c>
      <c r="M326" t="s">
        <v>5406</v>
      </c>
      <c r="N326" s="1" t="s">
        <v>4565</v>
      </c>
      <c r="O326">
        <v>33.630000000000003</v>
      </c>
      <c r="P326">
        <v>4.2889999999999997</v>
      </c>
      <c r="Q326">
        <v>27530</v>
      </c>
      <c r="R326">
        <v>187</v>
      </c>
      <c r="S326">
        <v>5.56</v>
      </c>
      <c r="T326" s="8">
        <v>144.27000000000001</v>
      </c>
      <c r="U326">
        <v>11198252</v>
      </c>
      <c r="V326" t="s">
        <v>5424</v>
      </c>
      <c r="W326" t="s">
        <v>5409</v>
      </c>
      <c r="X326" t="s">
        <v>5425</v>
      </c>
      <c r="Y326" t="s">
        <v>5411</v>
      </c>
      <c r="Z326" t="s">
        <v>5426</v>
      </c>
      <c r="AA326" t="s">
        <v>5413</v>
      </c>
      <c r="AB326" t="s">
        <v>5414</v>
      </c>
      <c r="AC326" t="s">
        <v>5414</v>
      </c>
      <c r="AD326" t="s">
        <v>5414</v>
      </c>
      <c r="AG326" t="s">
        <v>5427</v>
      </c>
      <c r="AI326" t="s">
        <v>5428</v>
      </c>
      <c r="AJ326" t="s">
        <v>5465</v>
      </c>
      <c r="AL326" t="s">
        <v>5418</v>
      </c>
      <c r="AN326" t="s">
        <v>5419</v>
      </c>
    </row>
    <row r="327" spans="1:40" x14ac:dyDescent="0.25">
      <c r="A327">
        <v>1086628542</v>
      </c>
      <c r="B327" t="s">
        <v>5399</v>
      </c>
      <c r="C327">
        <v>252406</v>
      </c>
      <c r="D327" t="s">
        <v>5400</v>
      </c>
      <c r="E327">
        <v>46218.311597222222</v>
      </c>
      <c r="F327" t="s">
        <v>5486</v>
      </c>
      <c r="G327" t="s">
        <v>3668</v>
      </c>
      <c r="H327" t="s">
        <v>5487</v>
      </c>
      <c r="I327" t="s">
        <v>5403</v>
      </c>
      <c r="J327">
        <v>2025</v>
      </c>
      <c r="K327" t="s">
        <v>5488</v>
      </c>
      <c r="L327" t="s">
        <v>5489</v>
      </c>
      <c r="M327" t="s">
        <v>5406</v>
      </c>
      <c r="N327" s="1" t="s">
        <v>4565</v>
      </c>
      <c r="O327">
        <v>34.049999999999997</v>
      </c>
      <c r="P327">
        <v>4.2889999999999997</v>
      </c>
      <c r="Q327">
        <v>55669</v>
      </c>
      <c r="R327">
        <v>307</v>
      </c>
      <c r="S327">
        <v>9.02</v>
      </c>
      <c r="T327" s="8">
        <v>146.06</v>
      </c>
      <c r="U327">
        <v>12193017</v>
      </c>
      <c r="V327" t="s">
        <v>5574</v>
      </c>
      <c r="W327" t="s">
        <v>5409</v>
      </c>
      <c r="X327" t="s">
        <v>5575</v>
      </c>
      <c r="Y327" t="s">
        <v>5576</v>
      </c>
      <c r="Z327" t="s">
        <v>5472</v>
      </c>
      <c r="AA327" t="s">
        <v>5413</v>
      </c>
      <c r="AB327" t="s">
        <v>5414</v>
      </c>
      <c r="AC327" t="s">
        <v>5414</v>
      </c>
      <c r="AD327" t="s">
        <v>5414</v>
      </c>
      <c r="AG327" t="s">
        <v>5427</v>
      </c>
      <c r="AI327" t="s">
        <v>5577</v>
      </c>
      <c r="AJ327" t="s">
        <v>5493</v>
      </c>
      <c r="AL327" t="s">
        <v>5418</v>
      </c>
      <c r="AN327" t="s">
        <v>5419</v>
      </c>
    </row>
    <row r="328" spans="1:40" x14ac:dyDescent="0.25">
      <c r="A328">
        <v>1086611556</v>
      </c>
      <c r="B328" t="s">
        <v>5399</v>
      </c>
      <c r="C328">
        <v>252406</v>
      </c>
      <c r="D328" t="s">
        <v>5400</v>
      </c>
      <c r="E328">
        <v>46218.321655092594</v>
      </c>
      <c r="F328" t="s">
        <v>5435</v>
      </c>
      <c r="G328" t="s">
        <v>3668</v>
      </c>
      <c r="H328" t="s">
        <v>5421</v>
      </c>
      <c r="I328" t="s">
        <v>5403</v>
      </c>
      <c r="J328">
        <v>2026</v>
      </c>
      <c r="K328" t="s">
        <v>5436</v>
      </c>
      <c r="L328" t="s">
        <v>5437</v>
      </c>
      <c r="M328" t="s">
        <v>5406</v>
      </c>
      <c r="N328" s="1" t="s">
        <v>4565</v>
      </c>
      <c r="O328">
        <v>30.64</v>
      </c>
      <c r="P328">
        <v>4.59</v>
      </c>
      <c r="Q328">
        <v>49073</v>
      </c>
      <c r="R328">
        <v>176</v>
      </c>
      <c r="S328">
        <v>5.74</v>
      </c>
      <c r="T328" s="8">
        <v>140.63999999999999</v>
      </c>
      <c r="U328">
        <v>11372880</v>
      </c>
      <c r="V328" t="s">
        <v>5833</v>
      </c>
      <c r="W328" t="s">
        <v>5409</v>
      </c>
      <c r="X328" t="s">
        <v>5834</v>
      </c>
      <c r="Y328" t="s">
        <v>5835</v>
      </c>
      <c r="Z328" t="s">
        <v>5441</v>
      </c>
      <c r="AA328" t="s">
        <v>5413</v>
      </c>
      <c r="AB328" t="s">
        <v>5414</v>
      </c>
      <c r="AC328" t="s">
        <v>5414</v>
      </c>
      <c r="AD328" t="s">
        <v>5414</v>
      </c>
      <c r="AG328" t="s">
        <v>5427</v>
      </c>
      <c r="AI328" t="s">
        <v>5836</v>
      </c>
      <c r="AJ328" t="s">
        <v>5443</v>
      </c>
      <c r="AL328" t="s">
        <v>5418</v>
      </c>
      <c r="AN328" t="s">
        <v>5419</v>
      </c>
    </row>
    <row r="329" spans="1:40" x14ac:dyDescent="0.25">
      <c r="A329">
        <v>1086613633</v>
      </c>
      <c r="B329" t="s">
        <v>5399</v>
      </c>
      <c r="C329">
        <v>252406</v>
      </c>
      <c r="D329" t="s">
        <v>5400</v>
      </c>
      <c r="E329">
        <v>46218.326608796298</v>
      </c>
      <c r="F329" t="s">
        <v>5551</v>
      </c>
      <c r="G329" t="s">
        <v>3668</v>
      </c>
      <c r="H329" t="s">
        <v>5552</v>
      </c>
      <c r="I329" t="s">
        <v>5403</v>
      </c>
      <c r="J329">
        <v>2026</v>
      </c>
      <c r="K329" t="s">
        <v>5553</v>
      </c>
      <c r="L329" t="s">
        <v>5554</v>
      </c>
      <c r="M329" t="s">
        <v>5406</v>
      </c>
      <c r="N329" s="1" t="s">
        <v>4565</v>
      </c>
      <c r="O329">
        <v>43.36</v>
      </c>
      <c r="P329">
        <v>4.1890000000000001</v>
      </c>
      <c r="Q329">
        <v>25211</v>
      </c>
      <c r="R329">
        <v>238</v>
      </c>
      <c r="S329">
        <v>5.49</v>
      </c>
      <c r="T329" s="8">
        <v>181.67</v>
      </c>
      <c r="U329">
        <v>11040306</v>
      </c>
      <c r="V329" t="s">
        <v>5408</v>
      </c>
      <c r="W329" t="s">
        <v>5409</v>
      </c>
      <c r="X329" t="s">
        <v>5410</v>
      </c>
      <c r="Y329" t="s">
        <v>5411</v>
      </c>
      <c r="Z329" t="s">
        <v>5412</v>
      </c>
      <c r="AA329" t="s">
        <v>5413</v>
      </c>
      <c r="AB329" t="s">
        <v>5414</v>
      </c>
      <c r="AC329" t="s">
        <v>5414</v>
      </c>
      <c r="AD329" t="s">
        <v>5414</v>
      </c>
      <c r="AG329" t="s">
        <v>5415</v>
      </c>
      <c r="AI329" t="s">
        <v>5522</v>
      </c>
      <c r="AJ329" t="s">
        <v>5555</v>
      </c>
      <c r="AL329" t="s">
        <v>5418</v>
      </c>
      <c r="AN329" t="s">
        <v>5419</v>
      </c>
    </row>
    <row r="330" spans="1:40" x14ac:dyDescent="0.25">
      <c r="A330">
        <v>1086647419</v>
      </c>
      <c r="B330" t="s">
        <v>5399</v>
      </c>
      <c r="C330">
        <v>252406</v>
      </c>
      <c r="D330" t="s">
        <v>5400</v>
      </c>
      <c r="E330">
        <v>46218.38590277778</v>
      </c>
      <c r="F330" t="s">
        <v>5567</v>
      </c>
      <c r="G330" t="s">
        <v>3668</v>
      </c>
      <c r="H330" t="s">
        <v>5568</v>
      </c>
      <c r="I330" t="s">
        <v>5403</v>
      </c>
      <c r="J330">
        <v>2026</v>
      </c>
      <c r="K330" t="s">
        <v>5436</v>
      </c>
      <c r="L330" t="s">
        <v>5437</v>
      </c>
      <c r="M330" t="s">
        <v>5406</v>
      </c>
      <c r="N330" s="1" t="s">
        <v>4565</v>
      </c>
      <c r="O330">
        <v>42.07</v>
      </c>
      <c r="P330">
        <v>4.38</v>
      </c>
      <c r="Q330">
        <v>3332</v>
      </c>
      <c r="R330">
        <v>422</v>
      </c>
      <c r="S330">
        <v>10.029999999999999</v>
      </c>
      <c r="T330" s="8">
        <v>184.27</v>
      </c>
      <c r="U330">
        <v>11153887</v>
      </c>
      <c r="V330" t="s">
        <v>5490</v>
      </c>
      <c r="W330" t="s">
        <v>5409</v>
      </c>
      <c r="X330" t="s">
        <v>5491</v>
      </c>
      <c r="Y330" t="s">
        <v>5492</v>
      </c>
      <c r="Z330" t="s">
        <v>5426</v>
      </c>
      <c r="AA330" t="s">
        <v>5413</v>
      </c>
      <c r="AB330" t="s">
        <v>5414</v>
      </c>
      <c r="AC330" t="s">
        <v>5414</v>
      </c>
      <c r="AD330" t="s">
        <v>5414</v>
      </c>
      <c r="AG330" t="s">
        <v>5415</v>
      </c>
      <c r="AI330" t="s">
        <v>5460</v>
      </c>
      <c r="AJ330" t="s">
        <v>5573</v>
      </c>
      <c r="AL330" t="s">
        <v>5418</v>
      </c>
      <c r="AN330" t="s">
        <v>5419</v>
      </c>
    </row>
    <row r="331" spans="1:40" x14ac:dyDescent="0.25">
      <c r="A331">
        <v>1086659452</v>
      </c>
      <c r="B331" t="s">
        <v>5399</v>
      </c>
      <c r="C331">
        <v>252406</v>
      </c>
      <c r="D331" t="s">
        <v>5400</v>
      </c>
      <c r="E331">
        <v>46218.413344907407</v>
      </c>
      <c r="F331" t="s">
        <v>5757</v>
      </c>
      <c r="G331" t="s">
        <v>3668</v>
      </c>
      <c r="H331" t="s">
        <v>5421</v>
      </c>
      <c r="I331" t="s">
        <v>5403</v>
      </c>
      <c r="J331">
        <v>2027</v>
      </c>
      <c r="K331" t="s">
        <v>5520</v>
      </c>
      <c r="L331" t="s">
        <v>5521</v>
      </c>
      <c r="M331" t="s">
        <v>5406</v>
      </c>
      <c r="N331" s="1" t="s">
        <v>4565</v>
      </c>
      <c r="O331">
        <v>41.52</v>
      </c>
      <c r="P331">
        <v>4.1890000000000001</v>
      </c>
      <c r="Q331">
        <v>1423</v>
      </c>
      <c r="R331">
        <v>333</v>
      </c>
      <c r="S331">
        <v>8.02</v>
      </c>
      <c r="T331" s="8">
        <v>173.96</v>
      </c>
      <c r="U331">
        <v>11040306</v>
      </c>
      <c r="V331" t="s">
        <v>5408</v>
      </c>
      <c r="W331" t="s">
        <v>5409</v>
      </c>
      <c r="X331" t="s">
        <v>5410</v>
      </c>
      <c r="Y331" t="s">
        <v>5411</v>
      </c>
      <c r="Z331" t="s">
        <v>5412</v>
      </c>
      <c r="AA331" t="s">
        <v>5413</v>
      </c>
      <c r="AB331" t="s">
        <v>5414</v>
      </c>
      <c r="AC331" t="s">
        <v>5414</v>
      </c>
      <c r="AD331" t="s">
        <v>5414</v>
      </c>
      <c r="AG331" t="s">
        <v>5415</v>
      </c>
      <c r="AI331" t="s">
        <v>5416</v>
      </c>
      <c r="AJ331" t="s">
        <v>5765</v>
      </c>
      <c r="AL331" t="s">
        <v>5418</v>
      </c>
      <c r="AN331" t="s">
        <v>5419</v>
      </c>
    </row>
    <row r="332" spans="1:40" x14ac:dyDescent="0.25">
      <c r="A332">
        <v>1086688186</v>
      </c>
      <c r="B332" t="s">
        <v>5399</v>
      </c>
      <c r="C332">
        <v>252406</v>
      </c>
      <c r="D332" t="s">
        <v>5400</v>
      </c>
      <c r="E332">
        <v>46218.446261574078</v>
      </c>
      <c r="F332" t="s">
        <v>5475</v>
      </c>
      <c r="G332" t="s">
        <v>3668</v>
      </c>
      <c r="H332" t="s">
        <v>5467</v>
      </c>
      <c r="I332" t="s">
        <v>5403</v>
      </c>
      <c r="J332">
        <v>2026</v>
      </c>
      <c r="K332" t="s">
        <v>5837</v>
      </c>
      <c r="L332" t="s">
        <v>5838</v>
      </c>
      <c r="M332" t="s">
        <v>5406</v>
      </c>
      <c r="N332" s="1" t="s">
        <v>4565</v>
      </c>
      <c r="O332">
        <v>48.47</v>
      </c>
      <c r="P332">
        <v>4.29</v>
      </c>
      <c r="Q332">
        <v>35098</v>
      </c>
      <c r="R332">
        <v>365</v>
      </c>
      <c r="S332">
        <v>7.53</v>
      </c>
      <c r="T332" s="8">
        <v>207.94</v>
      </c>
      <c r="U332">
        <v>12232063</v>
      </c>
      <c r="V332" t="s">
        <v>5698</v>
      </c>
      <c r="W332" t="s">
        <v>5409</v>
      </c>
      <c r="X332" t="s">
        <v>5699</v>
      </c>
      <c r="Y332" t="s">
        <v>5602</v>
      </c>
      <c r="Z332" t="s">
        <v>5426</v>
      </c>
      <c r="AA332" t="s">
        <v>5413</v>
      </c>
      <c r="AB332" t="s">
        <v>5414</v>
      </c>
      <c r="AC332" t="s">
        <v>5414</v>
      </c>
      <c r="AD332" t="s">
        <v>5414</v>
      </c>
      <c r="AG332" t="s">
        <v>5427</v>
      </c>
      <c r="AI332" t="s">
        <v>5700</v>
      </c>
      <c r="AJ332" t="s">
        <v>5697</v>
      </c>
      <c r="AL332" t="s">
        <v>5418</v>
      </c>
      <c r="AN332" t="s">
        <v>5419</v>
      </c>
    </row>
    <row r="333" spans="1:40" x14ac:dyDescent="0.25">
      <c r="A333">
        <v>1086702923</v>
      </c>
      <c r="B333" t="s">
        <v>5399</v>
      </c>
      <c r="C333">
        <v>252406</v>
      </c>
      <c r="D333" t="s">
        <v>5400</v>
      </c>
      <c r="E333">
        <v>46218.488819444443</v>
      </c>
      <c r="F333" t="s">
        <v>5430</v>
      </c>
      <c r="G333" t="s">
        <v>3668</v>
      </c>
      <c r="H333" t="s">
        <v>5431</v>
      </c>
      <c r="I333" t="s">
        <v>5403</v>
      </c>
      <c r="J333">
        <v>2025</v>
      </c>
      <c r="K333" t="s">
        <v>5432</v>
      </c>
      <c r="L333" t="s">
        <v>5433</v>
      </c>
      <c r="M333" t="s">
        <v>5406</v>
      </c>
      <c r="N333" s="1" t="s">
        <v>4565</v>
      </c>
      <c r="O333">
        <v>41.4</v>
      </c>
      <c r="P333">
        <v>4.29</v>
      </c>
      <c r="Q333">
        <v>64067</v>
      </c>
      <c r="R333">
        <v>316</v>
      </c>
      <c r="S333">
        <v>7.63</v>
      </c>
      <c r="T333" s="8">
        <v>177.61</v>
      </c>
      <c r="U333">
        <v>11198252</v>
      </c>
      <c r="V333" t="s">
        <v>5424</v>
      </c>
      <c r="W333" t="s">
        <v>5409</v>
      </c>
      <c r="X333" t="s">
        <v>5425</v>
      </c>
      <c r="Y333" t="s">
        <v>5411</v>
      </c>
      <c r="Z333" t="s">
        <v>5426</v>
      </c>
      <c r="AA333" t="s">
        <v>5413</v>
      </c>
      <c r="AB333" t="s">
        <v>5414</v>
      </c>
      <c r="AC333" t="s">
        <v>5414</v>
      </c>
      <c r="AD333" t="s">
        <v>5414</v>
      </c>
      <c r="AG333" t="s">
        <v>5427</v>
      </c>
      <c r="AI333" t="s">
        <v>5428</v>
      </c>
      <c r="AJ333" t="s">
        <v>5434</v>
      </c>
      <c r="AL333" t="s">
        <v>5418</v>
      </c>
      <c r="AN333" t="s">
        <v>5419</v>
      </c>
    </row>
    <row r="334" spans="1:40" x14ac:dyDescent="0.25">
      <c r="A334">
        <v>1086688768</v>
      </c>
      <c r="B334" t="s">
        <v>5399</v>
      </c>
      <c r="C334">
        <v>252406</v>
      </c>
      <c r="D334" t="s">
        <v>5400</v>
      </c>
      <c r="E334">
        <v>46218.490439814814</v>
      </c>
      <c r="F334" t="s">
        <v>5689</v>
      </c>
      <c r="G334" t="s">
        <v>3668</v>
      </c>
      <c r="H334" t="s">
        <v>5511</v>
      </c>
      <c r="I334" t="s">
        <v>5403</v>
      </c>
      <c r="J334">
        <v>2026</v>
      </c>
      <c r="K334" t="s">
        <v>5690</v>
      </c>
      <c r="L334" t="s">
        <v>5691</v>
      </c>
      <c r="M334" t="s">
        <v>5406</v>
      </c>
      <c r="N334" s="1" t="s">
        <v>4565</v>
      </c>
      <c r="O334">
        <v>29.62</v>
      </c>
      <c r="P334">
        <v>4.3890000000000002</v>
      </c>
      <c r="Q334">
        <v>10243</v>
      </c>
      <c r="R334">
        <v>336</v>
      </c>
      <c r="S334">
        <v>11.34</v>
      </c>
      <c r="T334" s="8">
        <v>130.03</v>
      </c>
      <c r="U334">
        <v>11040292</v>
      </c>
      <c r="V334" t="s">
        <v>5456</v>
      </c>
      <c r="W334" t="s">
        <v>5409</v>
      </c>
      <c r="X334" t="s">
        <v>5457</v>
      </c>
      <c r="Y334" t="s">
        <v>5458</v>
      </c>
      <c r="Z334" t="s">
        <v>5459</v>
      </c>
      <c r="AA334" t="s">
        <v>5413</v>
      </c>
      <c r="AB334" t="s">
        <v>5414</v>
      </c>
      <c r="AC334" t="s">
        <v>5414</v>
      </c>
      <c r="AD334" t="s">
        <v>5414</v>
      </c>
      <c r="AG334" t="s">
        <v>5415</v>
      </c>
      <c r="AI334" t="s">
        <v>5460</v>
      </c>
      <c r="AJ334" t="s">
        <v>5692</v>
      </c>
      <c r="AL334" t="s">
        <v>5418</v>
      </c>
      <c r="AN334" t="s">
        <v>5419</v>
      </c>
    </row>
    <row r="335" spans="1:40" x14ac:dyDescent="0.25">
      <c r="A335">
        <v>1086710693</v>
      </c>
      <c r="B335" t="s">
        <v>5399</v>
      </c>
      <c r="C335">
        <v>252406</v>
      </c>
      <c r="D335" t="s">
        <v>5400</v>
      </c>
      <c r="E335">
        <v>46218.517453703702</v>
      </c>
      <c r="F335" t="s">
        <v>5466</v>
      </c>
      <c r="G335" t="s">
        <v>3668</v>
      </c>
      <c r="H335" t="s">
        <v>5467</v>
      </c>
      <c r="I335" t="s">
        <v>5403</v>
      </c>
      <c r="J335">
        <v>2025</v>
      </c>
      <c r="K335" t="s">
        <v>5468</v>
      </c>
      <c r="L335" t="s">
        <v>5469</v>
      </c>
      <c r="M335" t="s">
        <v>5406</v>
      </c>
      <c r="N335" s="1" t="s">
        <v>4565</v>
      </c>
      <c r="O335">
        <v>51.29</v>
      </c>
      <c r="P335">
        <v>4.2889999999999997</v>
      </c>
      <c r="Q335">
        <v>64054</v>
      </c>
      <c r="R335">
        <v>371</v>
      </c>
      <c r="S335">
        <v>7.23</v>
      </c>
      <c r="T335" s="8">
        <v>220.03</v>
      </c>
      <c r="U335">
        <v>11198252</v>
      </c>
      <c r="V335" t="s">
        <v>5424</v>
      </c>
      <c r="W335" t="s">
        <v>5409</v>
      </c>
      <c r="X335" t="s">
        <v>5425</v>
      </c>
      <c r="Y335" t="s">
        <v>5411</v>
      </c>
      <c r="Z335" t="s">
        <v>5426</v>
      </c>
      <c r="AA335" t="s">
        <v>5413</v>
      </c>
      <c r="AB335" t="s">
        <v>5414</v>
      </c>
      <c r="AC335" t="s">
        <v>5414</v>
      </c>
      <c r="AD335" t="s">
        <v>5414</v>
      </c>
      <c r="AG335" t="s">
        <v>5427</v>
      </c>
      <c r="AI335" t="s">
        <v>5428</v>
      </c>
      <c r="AJ335" t="s">
        <v>5474</v>
      </c>
      <c r="AL335" t="s">
        <v>5418</v>
      </c>
      <c r="AN335" t="s">
        <v>5419</v>
      </c>
    </row>
    <row r="336" spans="1:40" x14ac:dyDescent="0.25">
      <c r="A336">
        <v>1086699589</v>
      </c>
      <c r="B336" t="s">
        <v>5399</v>
      </c>
      <c r="C336">
        <v>252406</v>
      </c>
      <c r="D336" t="s">
        <v>5400</v>
      </c>
      <c r="E336">
        <v>46218.521840277775</v>
      </c>
      <c r="F336" t="s">
        <v>5420</v>
      </c>
      <c r="G336" t="s">
        <v>3668</v>
      </c>
      <c r="H336" t="s">
        <v>5421</v>
      </c>
      <c r="I336" t="s">
        <v>5403</v>
      </c>
      <c r="J336">
        <v>2025</v>
      </c>
      <c r="K336" t="s">
        <v>5652</v>
      </c>
      <c r="L336" t="s">
        <v>5653</v>
      </c>
      <c r="M336" t="s">
        <v>5406</v>
      </c>
      <c r="N336" s="1" t="s">
        <v>4565</v>
      </c>
      <c r="O336">
        <v>36.97</v>
      </c>
      <c r="P336">
        <v>4.1890000000000001</v>
      </c>
      <c r="Q336">
        <v>70143</v>
      </c>
      <c r="R336">
        <v>340</v>
      </c>
      <c r="S336">
        <v>9.1999999999999993</v>
      </c>
      <c r="T336" s="8">
        <v>154.9</v>
      </c>
      <c r="U336">
        <v>11040306</v>
      </c>
      <c r="V336" t="s">
        <v>5408</v>
      </c>
      <c r="W336" t="s">
        <v>5409</v>
      </c>
      <c r="X336" t="s">
        <v>5410</v>
      </c>
      <c r="Y336" t="s">
        <v>5411</v>
      </c>
      <c r="Z336" t="s">
        <v>5412</v>
      </c>
      <c r="AA336" t="s">
        <v>5413</v>
      </c>
      <c r="AB336" t="s">
        <v>5414</v>
      </c>
      <c r="AC336" t="s">
        <v>5414</v>
      </c>
      <c r="AD336" t="s">
        <v>5414</v>
      </c>
      <c r="AG336" t="s">
        <v>5415</v>
      </c>
      <c r="AI336" t="s">
        <v>5416</v>
      </c>
      <c r="AJ336" t="s">
        <v>5429</v>
      </c>
      <c r="AL336" t="s">
        <v>5418</v>
      </c>
      <c r="AN336" t="s">
        <v>5419</v>
      </c>
    </row>
    <row r="337" spans="1:40" x14ac:dyDescent="0.25">
      <c r="A337">
        <v>1086701412</v>
      </c>
      <c r="B337" t="s">
        <v>5399</v>
      </c>
      <c r="C337">
        <v>252406</v>
      </c>
      <c r="D337" t="s">
        <v>5400</v>
      </c>
      <c r="E337">
        <v>46218.525416666664</v>
      </c>
      <c r="F337" t="s">
        <v>5524</v>
      </c>
      <c r="G337" t="s">
        <v>3668</v>
      </c>
      <c r="H337" t="s">
        <v>5421</v>
      </c>
      <c r="I337" t="s">
        <v>5524</v>
      </c>
      <c r="J337">
        <v>2025</v>
      </c>
      <c r="K337" t="s">
        <v>5525</v>
      </c>
      <c r="L337" t="s">
        <v>5526</v>
      </c>
      <c r="M337" t="s">
        <v>5406</v>
      </c>
      <c r="N337" s="1" t="s">
        <v>4565</v>
      </c>
      <c r="O337">
        <v>37.36</v>
      </c>
      <c r="P337">
        <v>4.1890000000000001</v>
      </c>
      <c r="Q337">
        <v>65523</v>
      </c>
      <c r="R337">
        <v>316</v>
      </c>
      <c r="S337">
        <v>8.4600000000000009</v>
      </c>
      <c r="T337" s="8">
        <v>156.53</v>
      </c>
      <c r="U337">
        <v>11040306</v>
      </c>
      <c r="V337" t="s">
        <v>5408</v>
      </c>
      <c r="W337" t="s">
        <v>5409</v>
      </c>
      <c r="X337" t="s">
        <v>5410</v>
      </c>
      <c r="Y337" t="s">
        <v>5411</v>
      </c>
      <c r="Z337" t="s">
        <v>5412</v>
      </c>
      <c r="AA337" t="s">
        <v>5413</v>
      </c>
      <c r="AB337" t="s">
        <v>5414</v>
      </c>
      <c r="AC337" t="s">
        <v>5414</v>
      </c>
      <c r="AD337" t="s">
        <v>5414</v>
      </c>
      <c r="AG337" t="s">
        <v>5415</v>
      </c>
      <c r="AI337" t="s">
        <v>5416</v>
      </c>
      <c r="AJ337" t="s">
        <v>5527</v>
      </c>
      <c r="AK337" t="s">
        <v>5528</v>
      </c>
      <c r="AL337" t="s">
        <v>5418</v>
      </c>
      <c r="AN337" t="s">
        <v>5529</v>
      </c>
    </row>
    <row r="338" spans="1:40" x14ac:dyDescent="0.25">
      <c r="A338">
        <v>1086740100</v>
      </c>
      <c r="B338" t="s">
        <v>5399</v>
      </c>
      <c r="C338">
        <v>252406</v>
      </c>
      <c r="D338" t="s">
        <v>5400</v>
      </c>
      <c r="E338">
        <v>46218.595231481479</v>
      </c>
      <c r="F338" t="s">
        <v>5693</v>
      </c>
      <c r="G338" t="s">
        <v>3668</v>
      </c>
      <c r="H338" t="s">
        <v>5431</v>
      </c>
      <c r="I338" t="s">
        <v>5403</v>
      </c>
      <c r="J338">
        <v>2025</v>
      </c>
      <c r="K338" t="s">
        <v>5694</v>
      </c>
      <c r="L338" t="s">
        <v>5695</v>
      </c>
      <c r="M338" t="s">
        <v>5406</v>
      </c>
      <c r="N338" s="1" t="s">
        <v>4565</v>
      </c>
      <c r="O338">
        <v>41.64</v>
      </c>
      <c r="P338">
        <v>4.4000000000000004</v>
      </c>
      <c r="Q338">
        <v>54799</v>
      </c>
      <c r="R338">
        <v>232</v>
      </c>
      <c r="S338">
        <v>5.57</v>
      </c>
      <c r="T338" s="8">
        <v>183.22</v>
      </c>
      <c r="U338">
        <v>11032621</v>
      </c>
      <c r="V338" t="s">
        <v>5569</v>
      </c>
      <c r="W338" t="s">
        <v>5409</v>
      </c>
      <c r="X338" t="s">
        <v>5570</v>
      </c>
      <c r="Y338" t="s">
        <v>5458</v>
      </c>
      <c r="Z338" t="s">
        <v>5571</v>
      </c>
      <c r="AA338" t="s">
        <v>5413</v>
      </c>
      <c r="AB338" t="s">
        <v>5414</v>
      </c>
      <c r="AC338" t="s">
        <v>5414</v>
      </c>
      <c r="AD338" t="s">
        <v>5414</v>
      </c>
      <c r="AG338" t="s">
        <v>5427</v>
      </c>
      <c r="AI338" t="s">
        <v>5572</v>
      </c>
      <c r="AJ338" t="s">
        <v>5696</v>
      </c>
      <c r="AL338" t="s">
        <v>5418</v>
      </c>
      <c r="AN338" t="s">
        <v>5419</v>
      </c>
    </row>
    <row r="339" spans="1:40" x14ac:dyDescent="0.25">
      <c r="A339">
        <v>1086737079</v>
      </c>
      <c r="B339" t="s">
        <v>5399</v>
      </c>
      <c r="C339">
        <v>252406</v>
      </c>
      <c r="D339" t="s">
        <v>5400</v>
      </c>
      <c r="E339">
        <v>46218.627928240741</v>
      </c>
      <c r="F339" t="s">
        <v>5613</v>
      </c>
      <c r="G339" t="s">
        <v>3668</v>
      </c>
      <c r="H339" t="s">
        <v>5467</v>
      </c>
      <c r="I339" t="s">
        <v>5403</v>
      </c>
      <c r="J339">
        <v>2025</v>
      </c>
      <c r="K339" t="s">
        <v>5656</v>
      </c>
      <c r="L339" t="s">
        <v>5657</v>
      </c>
      <c r="M339" t="s">
        <v>5406</v>
      </c>
      <c r="N339" s="1" t="s">
        <v>4565</v>
      </c>
      <c r="O339">
        <v>46.09</v>
      </c>
      <c r="P339">
        <v>5.39</v>
      </c>
      <c r="Q339">
        <v>72869</v>
      </c>
      <c r="R339">
        <v>478</v>
      </c>
      <c r="S339">
        <v>10.37</v>
      </c>
      <c r="T339" s="8">
        <v>248.43</v>
      </c>
      <c r="U339">
        <v>12462883</v>
      </c>
      <c r="V339" t="s">
        <v>5839</v>
      </c>
      <c r="W339" t="s">
        <v>5409</v>
      </c>
      <c r="X339" t="s">
        <v>5840</v>
      </c>
      <c r="Y339" t="s">
        <v>5841</v>
      </c>
      <c r="Z339" t="s">
        <v>5842</v>
      </c>
      <c r="AA339" t="s">
        <v>5502</v>
      </c>
      <c r="AB339" t="s">
        <v>5414</v>
      </c>
      <c r="AC339" t="s">
        <v>5414</v>
      </c>
      <c r="AD339" t="s">
        <v>5414</v>
      </c>
      <c r="AG339" t="s">
        <v>5415</v>
      </c>
      <c r="AI339" t="s">
        <v>5522</v>
      </c>
      <c r="AJ339" t="s">
        <v>5616</v>
      </c>
      <c r="AL339" t="s">
        <v>5418</v>
      </c>
      <c r="AN339" t="s">
        <v>5419</v>
      </c>
    </row>
    <row r="340" spans="1:40" x14ac:dyDescent="0.25">
      <c r="A340">
        <v>1086753806</v>
      </c>
      <c r="B340" t="s">
        <v>5399</v>
      </c>
      <c r="C340">
        <v>252406</v>
      </c>
      <c r="D340" t="s">
        <v>5400</v>
      </c>
      <c r="E340">
        <v>46218.633368055554</v>
      </c>
      <c r="F340" t="s">
        <v>5651</v>
      </c>
      <c r="G340" t="s">
        <v>3668</v>
      </c>
      <c r="H340" t="s">
        <v>5467</v>
      </c>
      <c r="I340" t="s">
        <v>5403</v>
      </c>
      <c r="J340">
        <v>2026</v>
      </c>
      <c r="K340" t="s">
        <v>5738</v>
      </c>
      <c r="L340" t="s">
        <v>5739</v>
      </c>
      <c r="M340" t="s">
        <v>5406</v>
      </c>
      <c r="N340" s="1" t="s">
        <v>4565</v>
      </c>
      <c r="O340">
        <v>43.03</v>
      </c>
      <c r="P340">
        <v>4.7889999999999997</v>
      </c>
      <c r="Q340">
        <v>47677</v>
      </c>
      <c r="R340">
        <v>378</v>
      </c>
      <c r="S340">
        <v>8.7799999999999994</v>
      </c>
      <c r="T340" s="8">
        <v>206.11</v>
      </c>
      <c r="U340">
        <v>12535317</v>
      </c>
      <c r="V340" t="s">
        <v>5843</v>
      </c>
      <c r="W340" t="s">
        <v>5409</v>
      </c>
      <c r="X340" t="s">
        <v>5844</v>
      </c>
      <c r="Y340" t="s">
        <v>5845</v>
      </c>
      <c r="Z340" t="s">
        <v>5598</v>
      </c>
      <c r="AA340" t="s">
        <v>5413</v>
      </c>
      <c r="AB340" t="s">
        <v>5414</v>
      </c>
      <c r="AC340" t="s">
        <v>5414</v>
      </c>
      <c r="AD340" t="s">
        <v>5414</v>
      </c>
      <c r="AG340" t="s">
        <v>5427</v>
      </c>
      <c r="AI340" t="s">
        <v>5846</v>
      </c>
      <c r="AJ340" t="s">
        <v>5654</v>
      </c>
      <c r="AL340" t="s">
        <v>5418</v>
      </c>
      <c r="AN340" t="s">
        <v>5419</v>
      </c>
    </row>
    <row r="341" spans="1:40" x14ac:dyDescent="0.25">
      <c r="A341">
        <v>1086747688</v>
      </c>
      <c r="B341" t="s">
        <v>5399</v>
      </c>
      <c r="C341">
        <v>252406</v>
      </c>
      <c r="D341" t="s">
        <v>5400</v>
      </c>
      <c r="E341">
        <v>46218.657187500001</v>
      </c>
      <c r="F341" t="s">
        <v>5626</v>
      </c>
      <c r="G341" t="s">
        <v>3668</v>
      </c>
      <c r="H341" t="s">
        <v>5552</v>
      </c>
      <c r="I341" t="s">
        <v>5403</v>
      </c>
      <c r="J341">
        <v>2026</v>
      </c>
      <c r="K341" t="s">
        <v>5627</v>
      </c>
      <c r="L341" t="s">
        <v>5628</v>
      </c>
      <c r="M341" t="s">
        <v>5406</v>
      </c>
      <c r="N341" s="1" t="s">
        <v>4565</v>
      </c>
      <c r="O341">
        <v>48.06</v>
      </c>
      <c r="P341">
        <v>4.1890000000000001</v>
      </c>
      <c r="Q341">
        <v>21857</v>
      </c>
      <c r="R341">
        <v>246</v>
      </c>
      <c r="S341">
        <v>5.12</v>
      </c>
      <c r="T341" s="8">
        <v>201.37</v>
      </c>
      <c r="U341">
        <v>11040306</v>
      </c>
      <c r="V341" t="s">
        <v>5408</v>
      </c>
      <c r="W341" t="s">
        <v>5409</v>
      </c>
      <c r="X341" t="s">
        <v>5410</v>
      </c>
      <c r="Y341" t="s">
        <v>5411</v>
      </c>
      <c r="Z341" t="s">
        <v>5412</v>
      </c>
      <c r="AA341" t="s">
        <v>5413</v>
      </c>
      <c r="AB341" t="s">
        <v>5414</v>
      </c>
      <c r="AC341" t="s">
        <v>5414</v>
      </c>
      <c r="AD341" t="s">
        <v>5414</v>
      </c>
      <c r="AG341" t="s">
        <v>5415</v>
      </c>
      <c r="AI341" t="s">
        <v>5416</v>
      </c>
      <c r="AJ341" t="s">
        <v>5630</v>
      </c>
      <c r="AL341" t="s">
        <v>5418</v>
      </c>
      <c r="AN341" t="s">
        <v>5419</v>
      </c>
    </row>
    <row r="342" spans="1:40" x14ac:dyDescent="0.25">
      <c r="A342">
        <v>1086748595</v>
      </c>
      <c r="B342" t="s">
        <v>5399</v>
      </c>
      <c r="C342">
        <v>252406</v>
      </c>
      <c r="D342" t="s">
        <v>5400</v>
      </c>
      <c r="E342">
        <v>46218.659814814811</v>
      </c>
      <c r="F342" t="s">
        <v>5817</v>
      </c>
      <c r="G342" t="s">
        <v>3668</v>
      </c>
      <c r="H342" t="s">
        <v>5421</v>
      </c>
      <c r="I342" t="s">
        <v>5403</v>
      </c>
      <c r="J342">
        <v>2027</v>
      </c>
      <c r="K342" t="s">
        <v>5614</v>
      </c>
      <c r="L342" t="s">
        <v>5615</v>
      </c>
      <c r="M342" t="s">
        <v>5406</v>
      </c>
      <c r="N342" s="1" t="s">
        <v>4565</v>
      </c>
      <c r="O342">
        <v>33.06</v>
      </c>
      <c r="P342">
        <v>4.1890000000000001</v>
      </c>
      <c r="Q342">
        <v>950</v>
      </c>
      <c r="R342">
        <v>204</v>
      </c>
      <c r="S342">
        <v>6.17</v>
      </c>
      <c r="T342" s="8">
        <v>138.52000000000001</v>
      </c>
      <c r="U342">
        <v>11040306</v>
      </c>
      <c r="V342" t="s">
        <v>5408</v>
      </c>
      <c r="W342" t="s">
        <v>5409</v>
      </c>
      <c r="X342" t="s">
        <v>5410</v>
      </c>
      <c r="Y342" t="s">
        <v>5411</v>
      </c>
      <c r="Z342" t="s">
        <v>5412</v>
      </c>
      <c r="AA342" t="s">
        <v>5413</v>
      </c>
      <c r="AB342" t="s">
        <v>5414</v>
      </c>
      <c r="AC342" t="s">
        <v>5414</v>
      </c>
      <c r="AD342" t="s">
        <v>5414</v>
      </c>
      <c r="AG342" t="s">
        <v>5415</v>
      </c>
      <c r="AI342" t="s">
        <v>5460</v>
      </c>
      <c r="AJ342" t="s">
        <v>5818</v>
      </c>
      <c r="AL342" t="s">
        <v>5418</v>
      </c>
      <c r="AN342" t="s">
        <v>5419</v>
      </c>
    </row>
    <row r="343" spans="1:40" x14ac:dyDescent="0.25">
      <c r="A343">
        <v>1086773783</v>
      </c>
      <c r="B343" t="s">
        <v>5399</v>
      </c>
      <c r="C343">
        <v>252406</v>
      </c>
      <c r="D343" t="s">
        <v>5400</v>
      </c>
      <c r="E343">
        <v>46218.683159722219</v>
      </c>
      <c r="F343" t="s">
        <v>5581</v>
      </c>
      <c r="G343" t="s">
        <v>3668</v>
      </c>
      <c r="H343" t="s">
        <v>5467</v>
      </c>
      <c r="I343" t="s">
        <v>5403</v>
      </c>
      <c r="J343">
        <v>2026</v>
      </c>
      <c r="K343" t="s">
        <v>5582</v>
      </c>
      <c r="L343" t="s">
        <v>5583</v>
      </c>
      <c r="M343" t="s">
        <v>5406</v>
      </c>
      <c r="N343" s="1" t="s">
        <v>4565</v>
      </c>
      <c r="O343">
        <v>47.51</v>
      </c>
      <c r="P343">
        <v>3.589</v>
      </c>
      <c r="Q343">
        <v>31397</v>
      </c>
      <c r="R343">
        <v>349</v>
      </c>
      <c r="S343">
        <v>7.35</v>
      </c>
      <c r="T343" s="8">
        <v>170.56</v>
      </c>
      <c r="U343">
        <v>12815000</v>
      </c>
      <c r="V343" t="s">
        <v>5448</v>
      </c>
      <c r="W343" t="s">
        <v>5409</v>
      </c>
      <c r="X343" t="s">
        <v>5449</v>
      </c>
      <c r="Y343" t="s">
        <v>5450</v>
      </c>
      <c r="Z343" t="s">
        <v>5426</v>
      </c>
      <c r="AA343" t="s">
        <v>5413</v>
      </c>
      <c r="AB343" t="s">
        <v>5414</v>
      </c>
      <c r="AC343" t="s">
        <v>5414</v>
      </c>
      <c r="AD343" t="s">
        <v>5414</v>
      </c>
      <c r="AG343" t="s">
        <v>5427</v>
      </c>
      <c r="AI343" t="s">
        <v>5451</v>
      </c>
      <c r="AJ343" t="s">
        <v>5584</v>
      </c>
      <c r="AL343" t="s">
        <v>5418</v>
      </c>
      <c r="AN343" t="s">
        <v>5419</v>
      </c>
    </row>
    <row r="344" spans="1:40" x14ac:dyDescent="0.25">
      <c r="A344">
        <v>1086776587</v>
      </c>
      <c r="B344" t="s">
        <v>5399</v>
      </c>
      <c r="C344">
        <v>252406</v>
      </c>
      <c r="D344" t="s">
        <v>5400</v>
      </c>
      <c r="E344">
        <v>46218.733159722222</v>
      </c>
      <c r="F344" t="s">
        <v>5462</v>
      </c>
      <c r="G344" t="s">
        <v>3668</v>
      </c>
      <c r="H344" t="s">
        <v>5402</v>
      </c>
      <c r="I344" t="s">
        <v>5403</v>
      </c>
      <c r="J344">
        <v>2026</v>
      </c>
      <c r="K344" t="s">
        <v>5604</v>
      </c>
      <c r="L344" t="s">
        <v>5605</v>
      </c>
      <c r="M344" t="s">
        <v>5406</v>
      </c>
      <c r="N344" s="1" t="s">
        <v>4565</v>
      </c>
      <c r="O344">
        <v>30.31</v>
      </c>
      <c r="P344">
        <v>4.29</v>
      </c>
      <c r="Q344">
        <v>27689</v>
      </c>
      <c r="R344">
        <v>159</v>
      </c>
      <c r="S344">
        <v>5.25</v>
      </c>
      <c r="T344" s="8">
        <v>130.03</v>
      </c>
      <c r="U344">
        <v>491721</v>
      </c>
      <c r="V344" t="s">
        <v>5438</v>
      </c>
      <c r="W344" t="s">
        <v>5409</v>
      </c>
      <c r="X344" t="s">
        <v>5439</v>
      </c>
      <c r="Y344" t="s">
        <v>5440</v>
      </c>
      <c r="Z344" t="s">
        <v>5441</v>
      </c>
      <c r="AA344" t="s">
        <v>5413</v>
      </c>
      <c r="AB344" t="s">
        <v>5414</v>
      </c>
      <c r="AC344" t="s">
        <v>5414</v>
      </c>
      <c r="AD344" t="s">
        <v>5414</v>
      </c>
      <c r="AG344" t="s">
        <v>5415</v>
      </c>
      <c r="AI344" t="s">
        <v>5522</v>
      </c>
      <c r="AJ344" t="s">
        <v>5465</v>
      </c>
      <c r="AL344" t="s">
        <v>5418</v>
      </c>
      <c r="AN344" t="s">
        <v>5419</v>
      </c>
    </row>
    <row r="345" spans="1:40" x14ac:dyDescent="0.25">
      <c r="A345">
        <v>1086795589</v>
      </c>
      <c r="B345" t="s">
        <v>5399</v>
      </c>
      <c r="C345">
        <v>252406</v>
      </c>
      <c r="D345" t="s">
        <v>5400</v>
      </c>
      <c r="E345">
        <v>46218.744351851848</v>
      </c>
      <c r="F345" t="s">
        <v>5635</v>
      </c>
      <c r="G345" t="s">
        <v>3668</v>
      </c>
      <c r="H345" t="s">
        <v>5453</v>
      </c>
      <c r="I345" t="s">
        <v>5403</v>
      </c>
      <c r="J345">
        <v>2026</v>
      </c>
      <c r="K345" t="s">
        <v>5636</v>
      </c>
      <c r="L345" t="s">
        <v>5637</v>
      </c>
      <c r="M345" t="s">
        <v>5406</v>
      </c>
      <c r="N345" s="1" t="s">
        <v>4565</v>
      </c>
      <c r="O345">
        <v>39.26</v>
      </c>
      <c r="P345">
        <v>4.29</v>
      </c>
      <c r="Q345">
        <v>11401</v>
      </c>
      <c r="R345">
        <v>292</v>
      </c>
      <c r="S345">
        <v>7.44</v>
      </c>
      <c r="T345" s="8">
        <v>168.43</v>
      </c>
      <c r="U345">
        <v>11198252</v>
      </c>
      <c r="V345" t="s">
        <v>5424</v>
      </c>
      <c r="W345" t="s">
        <v>5409</v>
      </c>
      <c r="X345" t="s">
        <v>5425</v>
      </c>
      <c r="Y345" t="s">
        <v>5411</v>
      </c>
      <c r="Z345" t="s">
        <v>5426</v>
      </c>
      <c r="AA345" t="s">
        <v>5413</v>
      </c>
      <c r="AB345" t="s">
        <v>5414</v>
      </c>
      <c r="AC345" t="s">
        <v>5414</v>
      </c>
      <c r="AD345" t="s">
        <v>5414</v>
      </c>
      <c r="AG345" t="s">
        <v>5427</v>
      </c>
      <c r="AI345" t="s">
        <v>5428</v>
      </c>
      <c r="AJ345" t="s">
        <v>5638</v>
      </c>
      <c r="AL345" t="s">
        <v>5418</v>
      </c>
      <c r="AN345" t="s">
        <v>5419</v>
      </c>
    </row>
    <row r="346" spans="1:40" x14ac:dyDescent="0.25">
      <c r="A346">
        <v>1086800985</v>
      </c>
      <c r="B346" t="s">
        <v>5399</v>
      </c>
      <c r="C346">
        <v>252406</v>
      </c>
      <c r="D346" t="s">
        <v>5400</v>
      </c>
      <c r="E346">
        <v>46218.763958333337</v>
      </c>
      <c r="F346" t="s">
        <v>5560</v>
      </c>
      <c r="G346" t="s">
        <v>3668</v>
      </c>
      <c r="H346" t="s">
        <v>5561</v>
      </c>
      <c r="I346" t="s">
        <v>5403</v>
      </c>
      <c r="J346">
        <v>2026</v>
      </c>
      <c r="K346" t="s">
        <v>5562</v>
      </c>
      <c r="L346" t="s">
        <v>5563</v>
      </c>
      <c r="M346" t="s">
        <v>5406</v>
      </c>
      <c r="N346" s="1" t="s">
        <v>4565</v>
      </c>
      <c r="O346">
        <v>44.22</v>
      </c>
      <c r="P346">
        <v>4.66</v>
      </c>
      <c r="Q346">
        <v>20929</v>
      </c>
      <c r="R346">
        <v>364</v>
      </c>
      <c r="S346">
        <v>8.23</v>
      </c>
      <c r="T346" s="8">
        <v>206.07</v>
      </c>
      <c r="U346">
        <v>11120083</v>
      </c>
      <c r="V346" t="s">
        <v>5596</v>
      </c>
      <c r="W346" t="s">
        <v>5409</v>
      </c>
      <c r="X346" t="s">
        <v>5597</v>
      </c>
      <c r="Y346" t="s">
        <v>5458</v>
      </c>
      <c r="Z346" t="s">
        <v>5598</v>
      </c>
      <c r="AA346" t="s">
        <v>5413</v>
      </c>
      <c r="AB346" t="s">
        <v>5414</v>
      </c>
      <c r="AC346" t="s">
        <v>5414</v>
      </c>
      <c r="AD346" t="s">
        <v>5414</v>
      </c>
      <c r="AG346" t="s">
        <v>5427</v>
      </c>
      <c r="AI346" t="s">
        <v>5599</v>
      </c>
      <c r="AJ346" t="s">
        <v>5564</v>
      </c>
      <c r="AL346" t="s">
        <v>5418</v>
      </c>
      <c r="AN346" t="s">
        <v>5419</v>
      </c>
    </row>
    <row r="347" spans="1:40" x14ac:dyDescent="0.25">
      <c r="A347">
        <v>1086801135</v>
      </c>
      <c r="B347" t="s">
        <v>5399</v>
      </c>
      <c r="C347">
        <v>252406</v>
      </c>
      <c r="D347" t="s">
        <v>5400</v>
      </c>
      <c r="E347">
        <v>46218.764756944445</v>
      </c>
      <c r="F347" t="s">
        <v>5585</v>
      </c>
      <c r="G347" t="s">
        <v>3668</v>
      </c>
      <c r="H347" t="s">
        <v>5506</v>
      </c>
      <c r="I347" t="s">
        <v>5403</v>
      </c>
      <c r="J347">
        <v>2026</v>
      </c>
      <c r="K347" t="s">
        <v>5717</v>
      </c>
      <c r="L347" t="s">
        <v>5718</v>
      </c>
      <c r="M347" t="s">
        <v>5406</v>
      </c>
      <c r="N347" s="1" t="s">
        <v>4565</v>
      </c>
      <c r="O347">
        <v>33.659999999999997</v>
      </c>
      <c r="P347">
        <v>4.2889999999999997</v>
      </c>
      <c r="Q347">
        <v>3591</v>
      </c>
      <c r="R347">
        <v>261</v>
      </c>
      <c r="S347">
        <v>7.75</v>
      </c>
      <c r="T347" s="8">
        <v>144.4</v>
      </c>
      <c r="U347">
        <v>11198252</v>
      </c>
      <c r="V347" t="s">
        <v>5424</v>
      </c>
      <c r="W347" t="s">
        <v>5409</v>
      </c>
      <c r="X347" t="s">
        <v>5425</v>
      </c>
      <c r="Y347" t="s">
        <v>5411</v>
      </c>
      <c r="Z347" t="s">
        <v>5426</v>
      </c>
      <c r="AA347" t="s">
        <v>5413</v>
      </c>
      <c r="AB347" t="s">
        <v>5414</v>
      </c>
      <c r="AC347" t="s">
        <v>5414</v>
      </c>
      <c r="AD347" t="s">
        <v>5414</v>
      </c>
      <c r="AG347" t="s">
        <v>5427</v>
      </c>
      <c r="AI347" t="s">
        <v>5428</v>
      </c>
      <c r="AJ347" t="s">
        <v>5588</v>
      </c>
      <c r="AL347" t="s">
        <v>5418</v>
      </c>
      <c r="AN347" t="s">
        <v>5419</v>
      </c>
    </row>
    <row r="348" spans="1:40" x14ac:dyDescent="0.25">
      <c r="A348">
        <v>1086802039</v>
      </c>
      <c r="B348" t="s">
        <v>5399</v>
      </c>
      <c r="C348">
        <v>252406</v>
      </c>
      <c r="D348" t="s">
        <v>5400</v>
      </c>
      <c r="E348">
        <v>46218.769432870373</v>
      </c>
      <c r="F348" t="s">
        <v>5617</v>
      </c>
      <c r="G348" t="s">
        <v>3668</v>
      </c>
      <c r="H348" t="s">
        <v>5467</v>
      </c>
      <c r="I348" t="s">
        <v>5403</v>
      </c>
      <c r="J348">
        <v>2026</v>
      </c>
      <c r="K348" t="s">
        <v>5618</v>
      </c>
      <c r="L348" t="s">
        <v>5619</v>
      </c>
      <c r="M348" t="s">
        <v>5406</v>
      </c>
      <c r="N348" s="1" t="s">
        <v>4565</v>
      </c>
      <c r="O348">
        <v>39.880000000000003</v>
      </c>
      <c r="P348">
        <v>3.59</v>
      </c>
      <c r="Q348">
        <v>55289</v>
      </c>
      <c r="R348">
        <v>276</v>
      </c>
      <c r="S348">
        <v>6.92</v>
      </c>
      <c r="T348" s="8">
        <v>143.16999999999999</v>
      </c>
      <c r="U348">
        <v>12815000</v>
      </c>
      <c r="V348" t="s">
        <v>5448</v>
      </c>
      <c r="W348" t="s">
        <v>5409</v>
      </c>
      <c r="X348" t="s">
        <v>5449</v>
      </c>
      <c r="Y348" t="s">
        <v>5450</v>
      </c>
      <c r="Z348" t="s">
        <v>5426</v>
      </c>
      <c r="AA348" t="s">
        <v>5413</v>
      </c>
      <c r="AB348" t="s">
        <v>5414</v>
      </c>
      <c r="AC348" t="s">
        <v>5414</v>
      </c>
      <c r="AD348" t="s">
        <v>5414</v>
      </c>
      <c r="AG348" t="s">
        <v>5427</v>
      </c>
      <c r="AI348" t="s">
        <v>5451</v>
      </c>
      <c r="AJ348" t="s">
        <v>5620</v>
      </c>
      <c r="AL348" t="s">
        <v>5418</v>
      </c>
      <c r="AN348" t="s">
        <v>5419</v>
      </c>
    </row>
    <row r="349" spans="1:40" x14ac:dyDescent="0.25">
      <c r="A349">
        <v>1086798894</v>
      </c>
      <c r="B349" t="s">
        <v>5399</v>
      </c>
      <c r="C349">
        <v>252406</v>
      </c>
      <c r="D349" t="s">
        <v>5400</v>
      </c>
      <c r="E349">
        <v>46218.797650462962</v>
      </c>
      <c r="F349" t="s">
        <v>5755</v>
      </c>
      <c r="G349" t="s">
        <v>3668</v>
      </c>
      <c r="H349" t="s">
        <v>167</v>
      </c>
      <c r="I349" t="s">
        <v>5403</v>
      </c>
      <c r="J349">
        <v>2026</v>
      </c>
      <c r="K349" t="s">
        <v>5454</v>
      </c>
      <c r="L349" t="s">
        <v>5455</v>
      </c>
      <c r="M349" t="s">
        <v>5406</v>
      </c>
      <c r="N349" s="1" t="s">
        <v>4565</v>
      </c>
      <c r="O349">
        <v>41.14</v>
      </c>
      <c r="P349">
        <v>4.1890000000000001</v>
      </c>
      <c r="Q349">
        <v>1593</v>
      </c>
      <c r="R349">
        <v>303</v>
      </c>
      <c r="S349">
        <v>7.37</v>
      </c>
      <c r="T349" s="8">
        <v>172.37</v>
      </c>
      <c r="U349">
        <v>11040306</v>
      </c>
      <c r="V349" t="s">
        <v>5408</v>
      </c>
      <c r="W349" t="s">
        <v>5409</v>
      </c>
      <c r="X349" t="s">
        <v>5410</v>
      </c>
      <c r="Y349" t="s">
        <v>5411</v>
      </c>
      <c r="Z349" t="s">
        <v>5412</v>
      </c>
      <c r="AA349" t="s">
        <v>5413</v>
      </c>
      <c r="AB349" t="s">
        <v>5414</v>
      </c>
      <c r="AC349" t="s">
        <v>5414</v>
      </c>
      <c r="AD349" t="s">
        <v>5414</v>
      </c>
      <c r="AG349" t="s">
        <v>5415</v>
      </c>
      <c r="AI349" t="s">
        <v>5416</v>
      </c>
      <c r="AJ349" t="s">
        <v>5756</v>
      </c>
      <c r="AL349" t="s">
        <v>5418</v>
      </c>
      <c r="AN349" t="s">
        <v>5419</v>
      </c>
    </row>
    <row r="350" spans="1:40" x14ac:dyDescent="0.25">
      <c r="A350">
        <v>1086808405</v>
      </c>
      <c r="B350" t="s">
        <v>5399</v>
      </c>
      <c r="C350">
        <v>252406</v>
      </c>
      <c r="D350" t="s">
        <v>5400</v>
      </c>
      <c r="E350">
        <v>46218.80667824074</v>
      </c>
      <c r="F350" t="s">
        <v>5477</v>
      </c>
      <c r="G350" t="s">
        <v>3668</v>
      </c>
      <c r="H350" t="s">
        <v>5478</v>
      </c>
      <c r="I350" t="s">
        <v>5403</v>
      </c>
      <c r="J350">
        <v>2015</v>
      </c>
      <c r="K350" t="s">
        <v>5479</v>
      </c>
      <c r="L350" t="s">
        <v>5480</v>
      </c>
      <c r="M350" t="s">
        <v>5406</v>
      </c>
      <c r="N350" s="1" t="s">
        <v>4565</v>
      </c>
      <c r="O350">
        <v>45.14</v>
      </c>
      <c r="P350">
        <v>3.589</v>
      </c>
      <c r="Q350">
        <v>248496</v>
      </c>
      <c r="R350">
        <v>400</v>
      </c>
      <c r="S350">
        <v>8.86</v>
      </c>
      <c r="T350" s="8">
        <v>162.05000000000001</v>
      </c>
      <c r="U350">
        <v>12815000</v>
      </c>
      <c r="V350" t="s">
        <v>5448</v>
      </c>
      <c r="W350" t="s">
        <v>5409</v>
      </c>
      <c r="X350" t="s">
        <v>5449</v>
      </c>
      <c r="Y350" t="s">
        <v>5450</v>
      </c>
      <c r="Z350" t="s">
        <v>5426</v>
      </c>
      <c r="AA350" t="s">
        <v>5413</v>
      </c>
      <c r="AB350" t="s">
        <v>5414</v>
      </c>
      <c r="AC350" t="s">
        <v>5414</v>
      </c>
      <c r="AD350" t="s">
        <v>5414</v>
      </c>
      <c r="AG350" t="s">
        <v>5427</v>
      </c>
      <c r="AI350" t="s">
        <v>5451</v>
      </c>
      <c r="AJ350" t="s">
        <v>5485</v>
      </c>
      <c r="AL350" t="s">
        <v>5418</v>
      </c>
      <c r="AN350" t="s">
        <v>5419</v>
      </c>
    </row>
    <row r="351" spans="1:40" x14ac:dyDescent="0.25">
      <c r="A351">
        <v>1086811782</v>
      </c>
      <c r="B351" t="s">
        <v>5399</v>
      </c>
      <c r="C351">
        <v>252406</v>
      </c>
      <c r="D351" t="s">
        <v>5400</v>
      </c>
      <c r="E351">
        <v>46218.826539351852</v>
      </c>
      <c r="F351" t="s">
        <v>5401</v>
      </c>
      <c r="G351" t="s">
        <v>3668</v>
      </c>
      <c r="H351" t="s">
        <v>5402</v>
      </c>
      <c r="I351" t="s">
        <v>5403</v>
      </c>
      <c r="J351">
        <v>2026</v>
      </c>
      <c r="K351" t="s">
        <v>5687</v>
      </c>
      <c r="L351" t="s">
        <v>5688</v>
      </c>
      <c r="M351" t="s">
        <v>5406</v>
      </c>
      <c r="N351" s="1" t="s">
        <v>4565</v>
      </c>
      <c r="O351">
        <v>25.19</v>
      </c>
      <c r="P351">
        <v>4.29</v>
      </c>
      <c r="Q351">
        <v>34885</v>
      </c>
      <c r="R351">
        <v>149</v>
      </c>
      <c r="S351">
        <v>5.92</v>
      </c>
      <c r="T351" s="8">
        <v>108.07</v>
      </c>
      <c r="U351">
        <v>11198252</v>
      </c>
      <c r="V351" t="s">
        <v>5424</v>
      </c>
      <c r="W351" t="s">
        <v>5409</v>
      </c>
      <c r="X351" t="s">
        <v>5425</v>
      </c>
      <c r="Y351" t="s">
        <v>5411</v>
      </c>
      <c r="Z351" t="s">
        <v>5426</v>
      </c>
      <c r="AA351" t="s">
        <v>5413</v>
      </c>
      <c r="AB351" t="s">
        <v>5414</v>
      </c>
      <c r="AC351" t="s">
        <v>5414</v>
      </c>
      <c r="AD351" t="s">
        <v>5414</v>
      </c>
      <c r="AG351" t="s">
        <v>5427</v>
      </c>
      <c r="AI351" t="s">
        <v>5428</v>
      </c>
      <c r="AJ351" t="s">
        <v>5417</v>
      </c>
      <c r="AL351" t="s">
        <v>5418</v>
      </c>
      <c r="AN351" t="s">
        <v>5419</v>
      </c>
    </row>
    <row r="352" spans="1:40" x14ac:dyDescent="0.25">
      <c r="A352">
        <v>1086811919</v>
      </c>
      <c r="B352" t="s">
        <v>5399</v>
      </c>
      <c r="C352">
        <v>252406</v>
      </c>
      <c r="D352" t="s">
        <v>5400</v>
      </c>
      <c r="E352">
        <v>46218.827592592592</v>
      </c>
      <c r="F352" t="s">
        <v>5589</v>
      </c>
      <c r="G352" t="s">
        <v>3668</v>
      </c>
      <c r="H352" t="s">
        <v>5431</v>
      </c>
      <c r="I352" t="s">
        <v>5403</v>
      </c>
      <c r="J352">
        <v>2026</v>
      </c>
      <c r="K352" t="s">
        <v>5590</v>
      </c>
      <c r="L352" t="s">
        <v>5591</v>
      </c>
      <c r="M352" t="s">
        <v>5406</v>
      </c>
      <c r="N352" s="1" t="s">
        <v>4565</v>
      </c>
      <c r="O352">
        <v>25</v>
      </c>
      <c r="P352">
        <v>4.29</v>
      </c>
      <c r="Q352">
        <v>5477</v>
      </c>
      <c r="R352">
        <v>120</v>
      </c>
      <c r="S352">
        <v>4.8</v>
      </c>
      <c r="T352" s="8">
        <v>107.25</v>
      </c>
      <c r="U352">
        <v>11198252</v>
      </c>
      <c r="V352" t="s">
        <v>5424</v>
      </c>
      <c r="W352" t="s">
        <v>5409</v>
      </c>
      <c r="X352" t="s">
        <v>5425</v>
      </c>
      <c r="Y352" t="s">
        <v>5411</v>
      </c>
      <c r="Z352" t="s">
        <v>5426</v>
      </c>
      <c r="AA352" t="s">
        <v>5413</v>
      </c>
      <c r="AB352" t="s">
        <v>5414</v>
      </c>
      <c r="AC352" t="s">
        <v>5414</v>
      </c>
      <c r="AD352" t="s">
        <v>5414</v>
      </c>
      <c r="AG352" t="s">
        <v>5427</v>
      </c>
      <c r="AI352" t="s">
        <v>5428</v>
      </c>
      <c r="AJ352" t="s">
        <v>5592</v>
      </c>
      <c r="AL352" t="s">
        <v>5418</v>
      </c>
      <c r="AN352" t="s">
        <v>5419</v>
      </c>
    </row>
    <row r="353" spans="1:40" x14ac:dyDescent="0.25">
      <c r="A353">
        <v>1086860111</v>
      </c>
      <c r="B353" t="s">
        <v>5399</v>
      </c>
      <c r="C353">
        <v>252406</v>
      </c>
      <c r="D353" t="s">
        <v>5400</v>
      </c>
      <c r="E353">
        <v>46219.311030092591</v>
      </c>
      <c r="F353" t="s">
        <v>5435</v>
      </c>
      <c r="G353" t="s">
        <v>3668</v>
      </c>
      <c r="H353" t="s">
        <v>5421</v>
      </c>
      <c r="I353" t="s">
        <v>5403</v>
      </c>
      <c r="J353">
        <v>2026</v>
      </c>
      <c r="K353" t="s">
        <v>5436</v>
      </c>
      <c r="L353" t="s">
        <v>5437</v>
      </c>
      <c r="M353" t="s">
        <v>5406</v>
      </c>
      <c r="N353" s="1" t="s">
        <v>4565</v>
      </c>
      <c r="O353">
        <v>29.83</v>
      </c>
      <c r="P353">
        <v>4.66</v>
      </c>
      <c r="Q353">
        <v>49250</v>
      </c>
      <c r="R353">
        <v>177</v>
      </c>
      <c r="S353">
        <v>5.93</v>
      </c>
      <c r="T353" s="8">
        <v>139.01</v>
      </c>
      <c r="U353">
        <v>11120083</v>
      </c>
      <c r="V353" t="s">
        <v>5596</v>
      </c>
      <c r="W353" t="s">
        <v>5409</v>
      </c>
      <c r="X353" t="s">
        <v>5597</v>
      </c>
      <c r="Y353" t="s">
        <v>5458</v>
      </c>
      <c r="Z353" t="s">
        <v>5598</v>
      </c>
      <c r="AA353" t="s">
        <v>5413</v>
      </c>
      <c r="AB353" t="s">
        <v>5414</v>
      </c>
      <c r="AC353" t="s">
        <v>5414</v>
      </c>
      <c r="AD353" t="s">
        <v>5414</v>
      </c>
      <c r="AG353" t="s">
        <v>5427</v>
      </c>
      <c r="AI353" t="s">
        <v>5599</v>
      </c>
      <c r="AJ353" t="s">
        <v>5443</v>
      </c>
      <c r="AL353" t="s">
        <v>5418</v>
      </c>
      <c r="AN353" t="s">
        <v>5419</v>
      </c>
    </row>
    <row r="354" spans="1:40" x14ac:dyDescent="0.25">
      <c r="A354">
        <v>1086852332</v>
      </c>
      <c r="B354" t="s">
        <v>5399</v>
      </c>
      <c r="C354">
        <v>252406</v>
      </c>
      <c r="D354" t="s">
        <v>5400</v>
      </c>
      <c r="E354">
        <v>46219.33792824074</v>
      </c>
      <c r="F354" t="s">
        <v>5477</v>
      </c>
      <c r="G354" t="s">
        <v>3668</v>
      </c>
      <c r="H354" t="s">
        <v>5478</v>
      </c>
      <c r="I354" t="s">
        <v>5403</v>
      </c>
      <c r="J354">
        <v>2015</v>
      </c>
      <c r="K354" t="s">
        <v>5479</v>
      </c>
      <c r="L354" t="s">
        <v>5480</v>
      </c>
      <c r="M354" t="s">
        <v>5406</v>
      </c>
      <c r="N354" s="1" t="s">
        <v>4565</v>
      </c>
      <c r="O354">
        <v>49</v>
      </c>
      <c r="P354">
        <v>4.3899999999999997</v>
      </c>
      <c r="Q354">
        <v>248899</v>
      </c>
      <c r="R354">
        <v>403</v>
      </c>
      <c r="S354">
        <v>8.2200000000000006</v>
      </c>
      <c r="T354" s="8">
        <v>215.11</v>
      </c>
      <c r="U354">
        <v>11040292</v>
      </c>
      <c r="V354" t="s">
        <v>5456</v>
      </c>
      <c r="W354" t="s">
        <v>5409</v>
      </c>
      <c r="X354" t="s">
        <v>5457</v>
      </c>
      <c r="Y354" t="s">
        <v>5458</v>
      </c>
      <c r="Z354" t="s">
        <v>5459</v>
      </c>
      <c r="AA354" t="s">
        <v>5413</v>
      </c>
      <c r="AB354" t="s">
        <v>5414</v>
      </c>
      <c r="AC354" t="s">
        <v>5414</v>
      </c>
      <c r="AD354" t="s">
        <v>5414</v>
      </c>
      <c r="AG354" t="s">
        <v>5415</v>
      </c>
      <c r="AI354" t="s">
        <v>5460</v>
      </c>
      <c r="AJ354" t="s">
        <v>5485</v>
      </c>
      <c r="AL354" t="s">
        <v>5418</v>
      </c>
      <c r="AN354" t="s">
        <v>5419</v>
      </c>
    </row>
    <row r="355" spans="1:40" x14ac:dyDescent="0.25">
      <c r="A355">
        <v>1086858829</v>
      </c>
      <c r="B355" t="s">
        <v>5399</v>
      </c>
      <c r="C355">
        <v>252406</v>
      </c>
      <c r="D355" t="s">
        <v>5400</v>
      </c>
      <c r="E355">
        <v>46219.350740740738</v>
      </c>
      <c r="F355" t="s">
        <v>5486</v>
      </c>
      <c r="G355" t="s">
        <v>3668</v>
      </c>
      <c r="H355" t="s">
        <v>5487</v>
      </c>
      <c r="I355" t="s">
        <v>5403</v>
      </c>
      <c r="J355">
        <v>2025</v>
      </c>
      <c r="K355" t="s">
        <v>5488</v>
      </c>
      <c r="L355" t="s">
        <v>5489</v>
      </c>
      <c r="M355" t="s">
        <v>5406</v>
      </c>
      <c r="N355" s="1" t="s">
        <v>4565</v>
      </c>
      <c r="O355">
        <v>36.700000000000003</v>
      </c>
      <c r="P355">
        <v>4.2889999999999997</v>
      </c>
      <c r="Q355">
        <v>56007</v>
      </c>
      <c r="R355">
        <v>338</v>
      </c>
      <c r="S355">
        <v>9.2100000000000009</v>
      </c>
      <c r="T355" s="8">
        <v>157.44</v>
      </c>
      <c r="U355">
        <v>11153887</v>
      </c>
      <c r="V355" t="s">
        <v>5490</v>
      </c>
      <c r="W355" t="s">
        <v>5409</v>
      </c>
      <c r="X355" t="s">
        <v>5491</v>
      </c>
      <c r="Y355" t="s">
        <v>5492</v>
      </c>
      <c r="Z355" t="s">
        <v>5426</v>
      </c>
      <c r="AA355" t="s">
        <v>5413</v>
      </c>
      <c r="AB355" t="s">
        <v>5414</v>
      </c>
      <c r="AC355" t="s">
        <v>5414</v>
      </c>
      <c r="AD355" t="s">
        <v>5414</v>
      </c>
      <c r="AG355" t="s">
        <v>5415</v>
      </c>
      <c r="AI355" t="s">
        <v>5460</v>
      </c>
      <c r="AJ355" t="s">
        <v>5493</v>
      </c>
      <c r="AL355" t="s">
        <v>5418</v>
      </c>
      <c r="AN355" t="s">
        <v>5419</v>
      </c>
    </row>
    <row r="356" spans="1:40" x14ac:dyDescent="0.25">
      <c r="A356">
        <v>1086861053</v>
      </c>
      <c r="B356" t="s">
        <v>5399</v>
      </c>
      <c r="C356">
        <v>252406</v>
      </c>
      <c r="D356" t="s">
        <v>5400</v>
      </c>
      <c r="E356">
        <v>46219.354641203703</v>
      </c>
      <c r="F356" t="s">
        <v>5659</v>
      </c>
      <c r="G356" t="s">
        <v>3668</v>
      </c>
      <c r="H356" t="s">
        <v>5431</v>
      </c>
      <c r="I356" t="s">
        <v>5403</v>
      </c>
      <c r="J356">
        <v>2026</v>
      </c>
      <c r="K356" t="s">
        <v>5660</v>
      </c>
      <c r="L356" t="s">
        <v>5661</v>
      </c>
      <c r="M356" t="s">
        <v>5406</v>
      </c>
      <c r="N356" s="1" t="s">
        <v>4565</v>
      </c>
      <c r="O356">
        <v>42.1</v>
      </c>
      <c r="P356">
        <v>3.919</v>
      </c>
      <c r="Q356">
        <v>7226</v>
      </c>
      <c r="R356">
        <v>325</v>
      </c>
      <c r="S356">
        <v>7.72</v>
      </c>
      <c r="T356" s="8">
        <v>165.03</v>
      </c>
      <c r="U356">
        <v>490156</v>
      </c>
      <c r="V356" t="s">
        <v>5578</v>
      </c>
      <c r="W356" t="s">
        <v>5409</v>
      </c>
      <c r="X356" t="s">
        <v>5579</v>
      </c>
      <c r="Y356" t="s">
        <v>5458</v>
      </c>
      <c r="Z356" t="s">
        <v>5412</v>
      </c>
      <c r="AA356" t="s">
        <v>5413</v>
      </c>
      <c r="AB356" t="s">
        <v>5414</v>
      </c>
      <c r="AC356" t="s">
        <v>5414</v>
      </c>
      <c r="AD356" t="s">
        <v>5414</v>
      </c>
      <c r="AG356" t="s">
        <v>5415</v>
      </c>
      <c r="AI356" t="s">
        <v>5580</v>
      </c>
      <c r="AJ356" t="s">
        <v>5662</v>
      </c>
      <c r="AL356" t="s">
        <v>5418</v>
      </c>
      <c r="AN356" t="s">
        <v>5419</v>
      </c>
    </row>
    <row r="357" spans="1:40" x14ac:dyDescent="0.25">
      <c r="A357">
        <v>1086881303</v>
      </c>
      <c r="B357" t="s">
        <v>5399</v>
      </c>
      <c r="C357">
        <v>252406</v>
      </c>
      <c r="D357" t="s">
        <v>5400</v>
      </c>
      <c r="E357">
        <v>46219.397893518515</v>
      </c>
      <c r="F357" t="s">
        <v>5462</v>
      </c>
      <c r="G357" t="s">
        <v>3668</v>
      </c>
      <c r="H357" t="s">
        <v>5402</v>
      </c>
      <c r="I357" t="s">
        <v>5403</v>
      </c>
      <c r="J357">
        <v>2026</v>
      </c>
      <c r="K357" t="s">
        <v>5463</v>
      </c>
      <c r="L357" t="s">
        <v>5464</v>
      </c>
      <c r="M357" t="s">
        <v>5406</v>
      </c>
      <c r="N357" s="1" t="s">
        <v>4565</v>
      </c>
      <c r="O357">
        <v>25.18</v>
      </c>
      <c r="P357">
        <v>4.2889999999999997</v>
      </c>
      <c r="Q357">
        <v>27854</v>
      </c>
      <c r="R357">
        <v>165</v>
      </c>
      <c r="S357">
        <v>6.55</v>
      </c>
      <c r="T357" s="8">
        <v>108.02</v>
      </c>
      <c r="U357">
        <v>491721</v>
      </c>
      <c r="V357" t="s">
        <v>5438</v>
      </c>
      <c r="W357" t="s">
        <v>5409</v>
      </c>
      <c r="X357" t="s">
        <v>5439</v>
      </c>
      <c r="Y357" t="s">
        <v>5440</v>
      </c>
      <c r="Z357" t="s">
        <v>5441</v>
      </c>
      <c r="AA357" t="s">
        <v>5413</v>
      </c>
      <c r="AB357" t="s">
        <v>5414</v>
      </c>
      <c r="AC357" t="s">
        <v>5414</v>
      </c>
      <c r="AD357" t="s">
        <v>5414</v>
      </c>
      <c r="AG357" t="s">
        <v>5415</v>
      </c>
      <c r="AI357" t="s">
        <v>5522</v>
      </c>
      <c r="AJ357" t="s">
        <v>5465</v>
      </c>
      <c r="AL357" t="s">
        <v>5418</v>
      </c>
      <c r="AN357" t="s">
        <v>5419</v>
      </c>
    </row>
    <row r="358" spans="1:40" x14ac:dyDescent="0.25">
      <c r="A358">
        <v>1086898208</v>
      </c>
      <c r="B358" t="s">
        <v>5399</v>
      </c>
      <c r="C358">
        <v>252406</v>
      </c>
      <c r="D358" t="s">
        <v>5400</v>
      </c>
      <c r="E358">
        <v>46219.404641203706</v>
      </c>
      <c r="F358" t="s">
        <v>5475</v>
      </c>
      <c r="G358" t="s">
        <v>3668</v>
      </c>
      <c r="H358" t="s">
        <v>5467</v>
      </c>
      <c r="I358" t="s">
        <v>5403</v>
      </c>
      <c r="J358">
        <v>2026</v>
      </c>
      <c r="K358" t="s">
        <v>5837</v>
      </c>
      <c r="L358" t="s">
        <v>5838</v>
      </c>
      <c r="M358" t="s">
        <v>5406</v>
      </c>
      <c r="N358" s="1" t="s">
        <v>4565</v>
      </c>
      <c r="O358">
        <v>26.35</v>
      </c>
      <c r="P358">
        <v>4.2889999999999997</v>
      </c>
      <c r="Q358">
        <v>35217</v>
      </c>
      <c r="R358">
        <v>119</v>
      </c>
      <c r="S358">
        <v>4.5199999999999996</v>
      </c>
      <c r="T358" s="8">
        <v>113.04</v>
      </c>
      <c r="U358">
        <v>11198252</v>
      </c>
      <c r="V358" t="s">
        <v>5424</v>
      </c>
      <c r="W358" t="s">
        <v>5409</v>
      </c>
      <c r="X358" t="s">
        <v>5425</v>
      </c>
      <c r="Y358" t="s">
        <v>5411</v>
      </c>
      <c r="Z358" t="s">
        <v>5426</v>
      </c>
      <c r="AA358" t="s">
        <v>5413</v>
      </c>
      <c r="AB358" t="s">
        <v>5414</v>
      </c>
      <c r="AC358" t="s">
        <v>5414</v>
      </c>
      <c r="AD358" t="s">
        <v>5414</v>
      </c>
      <c r="AG358" t="s">
        <v>5427</v>
      </c>
      <c r="AI358" t="s">
        <v>5428</v>
      </c>
      <c r="AJ358" t="s">
        <v>5697</v>
      </c>
      <c r="AL358" t="s">
        <v>5418</v>
      </c>
      <c r="AN358" t="s">
        <v>5419</v>
      </c>
    </row>
    <row r="359" spans="1:40" x14ac:dyDescent="0.25">
      <c r="A359">
        <v>1086885129</v>
      </c>
      <c r="B359" t="s">
        <v>5399</v>
      </c>
      <c r="C359">
        <v>252406</v>
      </c>
      <c r="D359" t="s">
        <v>5400</v>
      </c>
      <c r="E359">
        <v>46219.40761574074</v>
      </c>
      <c r="F359" t="s">
        <v>5847</v>
      </c>
      <c r="G359" t="s">
        <v>3668</v>
      </c>
      <c r="H359" t="s">
        <v>5421</v>
      </c>
      <c r="I359" t="s">
        <v>5403</v>
      </c>
      <c r="J359">
        <v>2027</v>
      </c>
      <c r="K359" t="s">
        <v>5848</v>
      </c>
      <c r="L359" t="s">
        <v>5849</v>
      </c>
      <c r="M359" t="s">
        <v>5406</v>
      </c>
      <c r="N359" s="1" t="s">
        <v>5407</v>
      </c>
      <c r="O359">
        <v>28.43</v>
      </c>
      <c r="P359">
        <v>6.3890000000000002</v>
      </c>
      <c r="Q359">
        <v>305</v>
      </c>
      <c r="R359">
        <v>0</v>
      </c>
      <c r="S359">
        <v>0</v>
      </c>
      <c r="T359" s="8">
        <v>181.65</v>
      </c>
      <c r="U359">
        <v>9290001</v>
      </c>
      <c r="V359" t="s">
        <v>5850</v>
      </c>
      <c r="W359" t="s">
        <v>5409</v>
      </c>
      <c r="X359" t="s">
        <v>5851</v>
      </c>
      <c r="Y359" t="s">
        <v>5852</v>
      </c>
      <c r="Z359" t="s">
        <v>5853</v>
      </c>
      <c r="AA359" t="s">
        <v>5502</v>
      </c>
      <c r="AB359" t="s">
        <v>5414</v>
      </c>
      <c r="AC359" t="s">
        <v>5414</v>
      </c>
      <c r="AD359" t="s">
        <v>5414</v>
      </c>
      <c r="AG359" t="s">
        <v>5427</v>
      </c>
      <c r="AI359" t="s">
        <v>5854</v>
      </c>
      <c r="AJ359" t="s">
        <v>5855</v>
      </c>
      <c r="AL359" t="s">
        <v>5418</v>
      </c>
      <c r="AN359" t="s">
        <v>5419</v>
      </c>
    </row>
    <row r="360" spans="1:40" x14ac:dyDescent="0.25">
      <c r="A360">
        <v>1086903431</v>
      </c>
      <c r="B360" t="s">
        <v>5399</v>
      </c>
      <c r="C360">
        <v>252406</v>
      </c>
      <c r="D360" t="s">
        <v>5400</v>
      </c>
      <c r="E360">
        <v>46219.464305555557</v>
      </c>
      <c r="F360" t="s">
        <v>5621</v>
      </c>
      <c r="G360" t="s">
        <v>3668</v>
      </c>
      <c r="H360" t="s">
        <v>5421</v>
      </c>
      <c r="I360" t="s">
        <v>5621</v>
      </c>
      <c r="J360">
        <v>2024</v>
      </c>
      <c r="K360" t="s">
        <v>5622</v>
      </c>
      <c r="L360" t="s">
        <v>5623</v>
      </c>
      <c r="M360" t="s">
        <v>5406</v>
      </c>
      <c r="N360" s="1" t="s">
        <v>4565</v>
      </c>
      <c r="O360">
        <v>24.67</v>
      </c>
      <c r="P360">
        <v>4.6500000000000004</v>
      </c>
      <c r="Q360">
        <v>98300</v>
      </c>
      <c r="R360">
        <v>190</v>
      </c>
      <c r="S360">
        <v>7.7</v>
      </c>
      <c r="T360" s="8">
        <v>114.72</v>
      </c>
      <c r="U360">
        <v>11040292</v>
      </c>
      <c r="V360" t="s">
        <v>5456</v>
      </c>
      <c r="W360" t="s">
        <v>5409</v>
      </c>
      <c r="X360" t="s">
        <v>5457</v>
      </c>
      <c r="Y360" t="s">
        <v>5458</v>
      </c>
      <c r="Z360" t="s">
        <v>5459</v>
      </c>
      <c r="AA360" t="s">
        <v>5413</v>
      </c>
      <c r="AB360" t="s">
        <v>5414</v>
      </c>
      <c r="AC360" t="s">
        <v>5414</v>
      </c>
      <c r="AD360" t="s">
        <v>5414</v>
      </c>
      <c r="AG360" t="s">
        <v>5415</v>
      </c>
      <c r="AI360" t="s">
        <v>5460</v>
      </c>
      <c r="AJ360" t="s">
        <v>5624</v>
      </c>
      <c r="AK360" t="s">
        <v>5528</v>
      </c>
      <c r="AL360" t="s">
        <v>5418</v>
      </c>
      <c r="AN360" t="s">
        <v>5625</v>
      </c>
    </row>
    <row r="361" spans="1:40" x14ac:dyDescent="0.25">
      <c r="A361">
        <v>1086908073</v>
      </c>
      <c r="B361" t="s">
        <v>5399</v>
      </c>
      <c r="C361">
        <v>252406</v>
      </c>
      <c r="D361" t="s">
        <v>5400</v>
      </c>
      <c r="E361">
        <v>46219.480393518519</v>
      </c>
      <c r="F361" t="s">
        <v>5800</v>
      </c>
      <c r="G361" t="s">
        <v>3668</v>
      </c>
      <c r="H361" t="s">
        <v>5421</v>
      </c>
      <c r="I361" t="s">
        <v>5403</v>
      </c>
      <c r="J361">
        <v>2027</v>
      </c>
      <c r="K361" t="s">
        <v>5741</v>
      </c>
      <c r="L361" t="s">
        <v>5529</v>
      </c>
      <c r="M361" t="s">
        <v>5406</v>
      </c>
      <c r="N361" s="1" t="s">
        <v>4565</v>
      </c>
      <c r="O361">
        <v>38.1</v>
      </c>
      <c r="P361">
        <v>4.1890000000000001</v>
      </c>
      <c r="Q361">
        <v>954</v>
      </c>
      <c r="R361">
        <v>246</v>
      </c>
      <c r="S361">
        <v>6.46</v>
      </c>
      <c r="T361" s="8">
        <v>159.63</v>
      </c>
      <c r="U361">
        <v>11040306</v>
      </c>
      <c r="V361" t="s">
        <v>5408</v>
      </c>
      <c r="W361" t="s">
        <v>5409</v>
      </c>
      <c r="X361" t="s">
        <v>5410</v>
      </c>
      <c r="Y361" t="s">
        <v>5411</v>
      </c>
      <c r="Z361" t="s">
        <v>5412</v>
      </c>
      <c r="AA361" t="s">
        <v>5413</v>
      </c>
      <c r="AB361" t="s">
        <v>5414</v>
      </c>
      <c r="AC361" t="s">
        <v>5414</v>
      </c>
      <c r="AD361" t="s">
        <v>5414</v>
      </c>
      <c r="AG361" t="s">
        <v>5415</v>
      </c>
      <c r="AI361" t="s">
        <v>5460</v>
      </c>
      <c r="AJ361" t="s">
        <v>5806</v>
      </c>
      <c r="AL361" t="s">
        <v>5418</v>
      </c>
      <c r="AN361" t="s">
        <v>5419</v>
      </c>
    </row>
    <row r="362" spans="1:40" x14ac:dyDescent="0.25">
      <c r="A362">
        <v>1086927329</v>
      </c>
      <c r="B362" t="s">
        <v>5399</v>
      </c>
      <c r="C362">
        <v>252406</v>
      </c>
      <c r="D362" t="s">
        <v>5400</v>
      </c>
      <c r="E362">
        <v>46219.514178240737</v>
      </c>
      <c r="F362" t="s">
        <v>5530</v>
      </c>
      <c r="G362" t="s">
        <v>3668</v>
      </c>
      <c r="H362" t="s">
        <v>5431</v>
      </c>
      <c r="I362" t="s">
        <v>5403</v>
      </c>
      <c r="J362">
        <v>2025</v>
      </c>
      <c r="K362" t="s">
        <v>5531</v>
      </c>
      <c r="L362" t="s">
        <v>5532</v>
      </c>
      <c r="M362" t="s">
        <v>5406</v>
      </c>
      <c r="N362" s="1" t="s">
        <v>4565</v>
      </c>
      <c r="O362">
        <v>45</v>
      </c>
      <c r="P362">
        <v>4.25</v>
      </c>
      <c r="Q362">
        <v>108224</v>
      </c>
      <c r="R362">
        <v>423</v>
      </c>
      <c r="S362">
        <v>9.4</v>
      </c>
      <c r="T362" s="8">
        <v>191.25</v>
      </c>
      <c r="U362">
        <v>108758</v>
      </c>
      <c r="V362" t="s">
        <v>5470</v>
      </c>
      <c r="W362" t="s">
        <v>5409</v>
      </c>
      <c r="X362" t="s">
        <v>5471</v>
      </c>
      <c r="Y362" t="s">
        <v>5411</v>
      </c>
      <c r="Z362" t="s">
        <v>5472</v>
      </c>
      <c r="AA362" t="s">
        <v>5413</v>
      </c>
      <c r="AB362" t="s">
        <v>5414</v>
      </c>
      <c r="AC362" t="s">
        <v>5414</v>
      </c>
      <c r="AD362" t="s">
        <v>5414</v>
      </c>
      <c r="AG362" t="s">
        <v>5427</v>
      </c>
      <c r="AI362" t="s">
        <v>5473</v>
      </c>
      <c r="AJ362" t="s">
        <v>5533</v>
      </c>
      <c r="AL362" t="s">
        <v>5418</v>
      </c>
      <c r="AN362" t="s">
        <v>5419</v>
      </c>
    </row>
    <row r="363" spans="1:40" x14ac:dyDescent="0.25">
      <c r="A363">
        <v>1086924647</v>
      </c>
      <c r="B363" t="s">
        <v>5399</v>
      </c>
      <c r="C363">
        <v>252406</v>
      </c>
      <c r="D363" t="s">
        <v>5400</v>
      </c>
      <c r="E363">
        <v>46219.545729166668</v>
      </c>
      <c r="F363" t="s">
        <v>5556</v>
      </c>
      <c r="G363" t="s">
        <v>3668</v>
      </c>
      <c r="H363" t="s">
        <v>5431</v>
      </c>
      <c r="I363" t="s">
        <v>5403</v>
      </c>
      <c r="J363">
        <v>2026</v>
      </c>
      <c r="K363" t="s">
        <v>5557</v>
      </c>
      <c r="L363" t="s">
        <v>5558</v>
      </c>
      <c r="M363" t="s">
        <v>5406</v>
      </c>
      <c r="N363" s="1" t="s">
        <v>4565</v>
      </c>
      <c r="O363">
        <v>35.119999999999997</v>
      </c>
      <c r="P363">
        <v>4.1890000000000001</v>
      </c>
      <c r="Q363">
        <v>11115</v>
      </c>
      <c r="R363">
        <v>181</v>
      </c>
      <c r="S363">
        <v>5.15</v>
      </c>
      <c r="T363" s="8">
        <v>147.15</v>
      </c>
      <c r="U363">
        <v>11040306</v>
      </c>
      <c r="V363" t="s">
        <v>5408</v>
      </c>
      <c r="W363" t="s">
        <v>5409</v>
      </c>
      <c r="X363" t="s">
        <v>5410</v>
      </c>
      <c r="Y363" t="s">
        <v>5411</v>
      </c>
      <c r="Z363" t="s">
        <v>5412</v>
      </c>
      <c r="AA363" t="s">
        <v>5413</v>
      </c>
      <c r="AB363" t="s">
        <v>5414</v>
      </c>
      <c r="AC363" t="s">
        <v>5414</v>
      </c>
      <c r="AD363" t="s">
        <v>5414</v>
      </c>
      <c r="AG363" t="s">
        <v>5415</v>
      </c>
      <c r="AI363" t="s">
        <v>5460</v>
      </c>
      <c r="AJ363" t="s">
        <v>5559</v>
      </c>
      <c r="AL363" t="s">
        <v>5418</v>
      </c>
      <c r="AN363" t="s">
        <v>5419</v>
      </c>
    </row>
    <row r="364" spans="1:40" x14ac:dyDescent="0.25">
      <c r="A364">
        <v>1086931581</v>
      </c>
      <c r="B364" t="s">
        <v>5399</v>
      </c>
      <c r="C364">
        <v>252406</v>
      </c>
      <c r="D364" t="s">
        <v>5400</v>
      </c>
      <c r="E364">
        <v>46219.570821759262</v>
      </c>
      <c r="F364" t="s">
        <v>5420</v>
      </c>
      <c r="G364" t="s">
        <v>3668</v>
      </c>
      <c r="H364" t="s">
        <v>5421</v>
      </c>
      <c r="I364" t="s">
        <v>5403</v>
      </c>
      <c r="J364">
        <v>2025</v>
      </c>
      <c r="K364" t="s">
        <v>5652</v>
      </c>
      <c r="L364" t="s">
        <v>5653</v>
      </c>
      <c r="M364" t="s">
        <v>5406</v>
      </c>
      <c r="N364" s="1" t="s">
        <v>4565</v>
      </c>
      <c r="O364">
        <v>35.21</v>
      </c>
      <c r="P364">
        <v>4.2889999999999997</v>
      </c>
      <c r="Q364">
        <v>70425</v>
      </c>
      <c r="R364">
        <v>282</v>
      </c>
      <c r="S364">
        <v>8.01</v>
      </c>
      <c r="T364" s="8">
        <v>151.05000000000001</v>
      </c>
      <c r="U364">
        <v>11153887</v>
      </c>
      <c r="V364" t="s">
        <v>5490</v>
      </c>
      <c r="W364" t="s">
        <v>5409</v>
      </c>
      <c r="X364" t="s">
        <v>5491</v>
      </c>
      <c r="Y364" t="s">
        <v>5492</v>
      </c>
      <c r="Z364" t="s">
        <v>5426</v>
      </c>
      <c r="AA364" t="s">
        <v>5413</v>
      </c>
      <c r="AB364" t="s">
        <v>5414</v>
      </c>
      <c r="AC364" t="s">
        <v>5414</v>
      </c>
      <c r="AD364" t="s">
        <v>5414</v>
      </c>
      <c r="AG364" t="s">
        <v>5415</v>
      </c>
      <c r="AI364" t="s">
        <v>5460</v>
      </c>
      <c r="AJ364" t="s">
        <v>5429</v>
      </c>
      <c r="AL364" t="s">
        <v>5418</v>
      </c>
      <c r="AN364" t="s">
        <v>5419</v>
      </c>
    </row>
    <row r="365" spans="1:40" x14ac:dyDescent="0.25">
      <c r="A365">
        <v>1086956817</v>
      </c>
      <c r="B365" t="s">
        <v>5399</v>
      </c>
      <c r="C365">
        <v>252406</v>
      </c>
      <c r="D365" t="s">
        <v>5400</v>
      </c>
      <c r="E365">
        <v>46219.607743055552</v>
      </c>
      <c r="F365" t="s">
        <v>5703</v>
      </c>
      <c r="G365" t="s">
        <v>3668</v>
      </c>
      <c r="H365" t="s">
        <v>5549</v>
      </c>
      <c r="I365" t="s">
        <v>5403</v>
      </c>
      <c r="J365">
        <v>2026</v>
      </c>
      <c r="K365" t="s">
        <v>5704</v>
      </c>
      <c r="L365" t="s">
        <v>5705</v>
      </c>
      <c r="M365" t="s">
        <v>5406</v>
      </c>
      <c r="N365" s="1" t="s">
        <v>4565</v>
      </c>
      <c r="O365">
        <v>33.33</v>
      </c>
      <c r="P365">
        <v>4.29</v>
      </c>
      <c r="Q365">
        <v>32859</v>
      </c>
      <c r="R365">
        <v>293</v>
      </c>
      <c r="S365">
        <v>8.7899999999999991</v>
      </c>
      <c r="T365" s="8">
        <v>142.99</v>
      </c>
      <c r="U365">
        <v>12232063</v>
      </c>
      <c r="V365" t="s">
        <v>5698</v>
      </c>
      <c r="W365" t="s">
        <v>5409</v>
      </c>
      <c r="X365" t="s">
        <v>5699</v>
      </c>
      <c r="Y365" t="s">
        <v>5602</v>
      </c>
      <c r="Z365" t="s">
        <v>5426</v>
      </c>
      <c r="AA365" t="s">
        <v>5413</v>
      </c>
      <c r="AB365" t="s">
        <v>5414</v>
      </c>
      <c r="AC365" t="s">
        <v>5414</v>
      </c>
      <c r="AD365" t="s">
        <v>5414</v>
      </c>
      <c r="AG365" t="s">
        <v>5427</v>
      </c>
      <c r="AI365" t="s">
        <v>5700</v>
      </c>
      <c r="AJ365" t="s">
        <v>5706</v>
      </c>
      <c r="AL365" t="s">
        <v>5418</v>
      </c>
      <c r="AN365" t="s">
        <v>5419</v>
      </c>
    </row>
    <row r="366" spans="1:40" x14ac:dyDescent="0.25">
      <c r="A366">
        <v>1086969316</v>
      </c>
      <c r="B366" t="s">
        <v>5399</v>
      </c>
      <c r="C366">
        <v>252406</v>
      </c>
      <c r="D366" t="s">
        <v>5400</v>
      </c>
      <c r="E366">
        <v>46219.683217592596</v>
      </c>
      <c r="F366" t="s">
        <v>5856</v>
      </c>
      <c r="G366" t="s">
        <v>3668</v>
      </c>
      <c r="H366" t="s">
        <v>5857</v>
      </c>
      <c r="I366" t="s">
        <v>5403</v>
      </c>
      <c r="J366">
        <v>2026</v>
      </c>
      <c r="K366" t="s">
        <v>5858</v>
      </c>
      <c r="L366" t="s">
        <v>5859</v>
      </c>
      <c r="M366" t="s">
        <v>5406</v>
      </c>
      <c r="N366" s="1" t="s">
        <v>4565</v>
      </c>
      <c r="O366">
        <v>50.2</v>
      </c>
      <c r="P366">
        <v>3.919</v>
      </c>
      <c r="Q366">
        <v>3066</v>
      </c>
      <c r="R366">
        <v>0</v>
      </c>
      <c r="S366">
        <v>0</v>
      </c>
      <c r="T366" s="8">
        <v>196.78</v>
      </c>
      <c r="U366">
        <v>490156</v>
      </c>
      <c r="V366" t="s">
        <v>5578</v>
      </c>
      <c r="W366" t="s">
        <v>5409</v>
      </c>
      <c r="X366" t="s">
        <v>5579</v>
      </c>
      <c r="Y366" t="s">
        <v>5458</v>
      </c>
      <c r="Z366" t="s">
        <v>5412</v>
      </c>
      <c r="AA366" t="s">
        <v>5413</v>
      </c>
      <c r="AB366" t="s">
        <v>5414</v>
      </c>
      <c r="AC366" t="s">
        <v>5414</v>
      </c>
      <c r="AD366" t="s">
        <v>5414</v>
      </c>
      <c r="AG366" t="s">
        <v>5415</v>
      </c>
      <c r="AI366" t="s">
        <v>5580</v>
      </c>
      <c r="AJ366" t="s">
        <v>5860</v>
      </c>
      <c r="AL366" t="s">
        <v>5418</v>
      </c>
      <c r="AN366" t="s">
        <v>5419</v>
      </c>
    </row>
    <row r="367" spans="1:40" x14ac:dyDescent="0.25">
      <c r="A367">
        <v>1086993479</v>
      </c>
      <c r="B367" t="s">
        <v>5399</v>
      </c>
      <c r="C367">
        <v>252406</v>
      </c>
      <c r="D367" t="s">
        <v>5400</v>
      </c>
      <c r="E367">
        <v>46219.694409722222</v>
      </c>
      <c r="F367" t="s">
        <v>5551</v>
      </c>
      <c r="G367" t="s">
        <v>3668</v>
      </c>
      <c r="H367" t="s">
        <v>5552</v>
      </c>
      <c r="I367" t="s">
        <v>5403</v>
      </c>
      <c r="J367">
        <v>2026</v>
      </c>
      <c r="K367" t="s">
        <v>5553</v>
      </c>
      <c r="L367" t="s">
        <v>5554</v>
      </c>
      <c r="M367" t="s">
        <v>5406</v>
      </c>
      <c r="N367" s="1" t="s">
        <v>4565</v>
      </c>
      <c r="O367">
        <v>44.87</v>
      </c>
      <c r="P367">
        <v>4.1890000000000001</v>
      </c>
      <c r="Q367">
        <v>25415</v>
      </c>
      <c r="R367">
        <v>204</v>
      </c>
      <c r="S367">
        <v>4.55</v>
      </c>
      <c r="T367" s="8">
        <v>188</v>
      </c>
      <c r="U367">
        <v>11040306</v>
      </c>
      <c r="V367" t="s">
        <v>5408</v>
      </c>
      <c r="W367" t="s">
        <v>5409</v>
      </c>
      <c r="X367" t="s">
        <v>5410</v>
      </c>
      <c r="Y367" t="s">
        <v>5411</v>
      </c>
      <c r="Z367" t="s">
        <v>5412</v>
      </c>
      <c r="AA367" t="s">
        <v>5413</v>
      </c>
      <c r="AB367" t="s">
        <v>5414</v>
      </c>
      <c r="AC367" t="s">
        <v>5414</v>
      </c>
      <c r="AD367" t="s">
        <v>5414</v>
      </c>
      <c r="AG367" t="s">
        <v>5415</v>
      </c>
      <c r="AI367" t="s">
        <v>5522</v>
      </c>
      <c r="AJ367" t="s">
        <v>5555</v>
      </c>
      <c r="AL367" t="s">
        <v>5418</v>
      </c>
      <c r="AN367" t="s">
        <v>5419</v>
      </c>
    </row>
    <row r="368" spans="1:40" x14ac:dyDescent="0.25">
      <c r="A368">
        <v>1086995025</v>
      </c>
      <c r="B368" t="s">
        <v>5399</v>
      </c>
      <c r="C368">
        <v>252406</v>
      </c>
      <c r="D368" t="s">
        <v>5400</v>
      </c>
      <c r="E368">
        <v>46219.698460648149</v>
      </c>
      <c r="F368" t="s">
        <v>5757</v>
      </c>
      <c r="G368" t="s">
        <v>3668</v>
      </c>
      <c r="H368" t="s">
        <v>5421</v>
      </c>
      <c r="I368" t="s">
        <v>5403</v>
      </c>
      <c r="J368">
        <v>2027</v>
      </c>
      <c r="K368" t="s">
        <v>5520</v>
      </c>
      <c r="L368" t="s">
        <v>5521</v>
      </c>
      <c r="M368" t="s">
        <v>5406</v>
      </c>
      <c r="N368" s="1" t="s">
        <v>4565</v>
      </c>
      <c r="O368">
        <v>36.090000000000003</v>
      </c>
      <c r="P368">
        <v>4.1890000000000001</v>
      </c>
      <c r="Q368">
        <v>1706</v>
      </c>
      <c r="R368">
        <v>283</v>
      </c>
      <c r="S368">
        <v>7.84</v>
      </c>
      <c r="T368" s="8">
        <v>151.21</v>
      </c>
      <c r="U368">
        <v>11040306</v>
      </c>
      <c r="V368" t="s">
        <v>5408</v>
      </c>
      <c r="W368" t="s">
        <v>5409</v>
      </c>
      <c r="X368" t="s">
        <v>5410</v>
      </c>
      <c r="Y368" t="s">
        <v>5411</v>
      </c>
      <c r="Z368" t="s">
        <v>5412</v>
      </c>
      <c r="AA368" t="s">
        <v>5413</v>
      </c>
      <c r="AB368" t="s">
        <v>5414</v>
      </c>
      <c r="AC368" t="s">
        <v>5414</v>
      </c>
      <c r="AD368" t="s">
        <v>5414</v>
      </c>
      <c r="AG368" t="s">
        <v>5415</v>
      </c>
      <c r="AI368" t="s">
        <v>5522</v>
      </c>
      <c r="AJ368" t="s">
        <v>5765</v>
      </c>
      <c r="AL368" t="s">
        <v>5418</v>
      </c>
      <c r="AN368" t="s">
        <v>5419</v>
      </c>
    </row>
    <row r="369" spans="1:40" x14ac:dyDescent="0.25">
      <c r="A369">
        <v>1087007352</v>
      </c>
      <c r="B369" t="s">
        <v>5399</v>
      </c>
      <c r="C369">
        <v>252406</v>
      </c>
      <c r="D369" t="s">
        <v>5400</v>
      </c>
      <c r="E369">
        <v>46219.712789351855</v>
      </c>
      <c r="F369" t="s">
        <v>5631</v>
      </c>
      <c r="G369" t="s">
        <v>3668</v>
      </c>
      <c r="H369" t="s">
        <v>5511</v>
      </c>
      <c r="I369" t="s">
        <v>5403</v>
      </c>
      <c r="J369">
        <v>2025</v>
      </c>
      <c r="K369" t="s">
        <v>5632</v>
      </c>
      <c r="L369" t="s">
        <v>5633</v>
      </c>
      <c r="M369" t="s">
        <v>5406</v>
      </c>
      <c r="N369" s="1" t="s">
        <v>4565</v>
      </c>
      <c r="O369">
        <v>37.6</v>
      </c>
      <c r="P369">
        <v>4.1890000000000001</v>
      </c>
      <c r="Q369">
        <v>54477</v>
      </c>
      <c r="R369">
        <v>287</v>
      </c>
      <c r="S369">
        <v>7.63</v>
      </c>
      <c r="T369" s="8">
        <v>157.54</v>
      </c>
      <c r="U369">
        <v>11040306</v>
      </c>
      <c r="V369" t="s">
        <v>5408</v>
      </c>
      <c r="W369" t="s">
        <v>5409</v>
      </c>
      <c r="X369" t="s">
        <v>5410</v>
      </c>
      <c r="Y369" t="s">
        <v>5411</v>
      </c>
      <c r="Z369" t="s">
        <v>5412</v>
      </c>
      <c r="AA369" t="s">
        <v>5413</v>
      </c>
      <c r="AB369" t="s">
        <v>5414</v>
      </c>
      <c r="AC369" t="s">
        <v>5414</v>
      </c>
      <c r="AD369" t="s">
        <v>5414</v>
      </c>
      <c r="AG369" t="s">
        <v>5415</v>
      </c>
      <c r="AI369" t="s">
        <v>5416</v>
      </c>
      <c r="AJ369" t="s">
        <v>5634</v>
      </c>
      <c r="AL369" t="s">
        <v>5418</v>
      </c>
      <c r="AN369" t="s">
        <v>5612</v>
      </c>
    </row>
    <row r="370" spans="1:40" x14ac:dyDescent="0.25">
      <c r="A370">
        <v>1087024350</v>
      </c>
      <c r="B370" t="s">
        <v>5399</v>
      </c>
      <c r="C370">
        <v>252406</v>
      </c>
      <c r="D370" t="s">
        <v>5400</v>
      </c>
      <c r="E370">
        <v>46219.713055555556</v>
      </c>
      <c r="F370" t="s">
        <v>5519</v>
      </c>
      <c r="G370" t="s">
        <v>3668</v>
      </c>
      <c r="H370" t="s">
        <v>5467</v>
      </c>
      <c r="I370" t="s">
        <v>5403</v>
      </c>
      <c r="J370">
        <v>2027</v>
      </c>
      <c r="K370" t="s">
        <v>5512</v>
      </c>
      <c r="L370" t="s">
        <v>5513</v>
      </c>
      <c r="M370" t="s">
        <v>5406</v>
      </c>
      <c r="N370" s="1" t="s">
        <v>4565</v>
      </c>
      <c r="O370">
        <v>41.01</v>
      </c>
      <c r="P370">
        <v>4.2489999999999997</v>
      </c>
      <c r="Q370">
        <v>13215</v>
      </c>
      <c r="R370">
        <v>192</v>
      </c>
      <c r="S370">
        <v>4.68</v>
      </c>
      <c r="T370" s="8">
        <v>174.29</v>
      </c>
      <c r="U370">
        <v>108758</v>
      </c>
      <c r="V370" t="s">
        <v>5470</v>
      </c>
      <c r="W370" t="s">
        <v>5409</v>
      </c>
      <c r="X370" t="s">
        <v>5471</v>
      </c>
      <c r="Y370" t="s">
        <v>5411</v>
      </c>
      <c r="Z370" t="s">
        <v>5472</v>
      </c>
      <c r="AA370" t="s">
        <v>5413</v>
      </c>
      <c r="AB370" t="s">
        <v>5414</v>
      </c>
      <c r="AC370" t="s">
        <v>5414</v>
      </c>
      <c r="AD370" t="s">
        <v>5414</v>
      </c>
      <c r="AG370" t="s">
        <v>5427</v>
      </c>
      <c r="AI370" t="s">
        <v>5473</v>
      </c>
      <c r="AJ370" t="s">
        <v>5523</v>
      </c>
      <c r="AL370" t="s">
        <v>5418</v>
      </c>
      <c r="AN370" t="s">
        <v>5419</v>
      </c>
    </row>
    <row r="371" spans="1:40" x14ac:dyDescent="0.25">
      <c r="A371">
        <v>1087030320</v>
      </c>
      <c r="B371" t="s">
        <v>5399</v>
      </c>
      <c r="C371">
        <v>252406</v>
      </c>
      <c r="D371" t="s">
        <v>5400</v>
      </c>
      <c r="E371">
        <v>46219.729155092595</v>
      </c>
      <c r="F371" t="s">
        <v>5452</v>
      </c>
      <c r="G371" t="s">
        <v>3668</v>
      </c>
      <c r="H371" t="s">
        <v>5453</v>
      </c>
      <c r="I371" t="s">
        <v>5403</v>
      </c>
      <c r="J371">
        <v>2026</v>
      </c>
      <c r="K371" t="s">
        <v>5627</v>
      </c>
      <c r="L371" t="s">
        <v>5628</v>
      </c>
      <c r="M371" t="s">
        <v>5406</v>
      </c>
      <c r="N371" s="1" t="s">
        <v>4565</v>
      </c>
      <c r="O371">
        <v>39.4</v>
      </c>
      <c r="P371">
        <v>4.8899999999999997</v>
      </c>
      <c r="Q371">
        <v>40425</v>
      </c>
      <c r="R371">
        <v>362</v>
      </c>
      <c r="S371">
        <v>9.19</v>
      </c>
      <c r="T371" s="8">
        <v>192.67</v>
      </c>
      <c r="U371">
        <v>11160069</v>
      </c>
      <c r="V371" t="s">
        <v>5728</v>
      </c>
      <c r="W371" t="s">
        <v>5409</v>
      </c>
      <c r="X371" t="s">
        <v>5729</v>
      </c>
      <c r="Y371" t="s">
        <v>5458</v>
      </c>
      <c r="Z371" t="s">
        <v>5730</v>
      </c>
      <c r="AA371" t="s">
        <v>5413</v>
      </c>
      <c r="AB371" t="s">
        <v>5414</v>
      </c>
      <c r="AC371" t="s">
        <v>5414</v>
      </c>
      <c r="AD371" t="s">
        <v>5414</v>
      </c>
      <c r="AG371" t="s">
        <v>5427</v>
      </c>
      <c r="AI371" t="s">
        <v>5731</v>
      </c>
      <c r="AJ371" t="s">
        <v>5461</v>
      </c>
      <c r="AL371" t="s">
        <v>5418</v>
      </c>
      <c r="AN371" t="s">
        <v>5419</v>
      </c>
    </row>
    <row r="372" spans="1:40" x14ac:dyDescent="0.25">
      <c r="A372">
        <v>1087037361</v>
      </c>
      <c r="B372" t="s">
        <v>5399</v>
      </c>
      <c r="C372">
        <v>252406</v>
      </c>
      <c r="D372" t="s">
        <v>5400</v>
      </c>
      <c r="E372">
        <v>46219.751145833332</v>
      </c>
      <c r="F372" t="s">
        <v>5617</v>
      </c>
      <c r="G372" t="s">
        <v>3668</v>
      </c>
      <c r="H372" t="s">
        <v>5467</v>
      </c>
      <c r="I372" t="s">
        <v>5403</v>
      </c>
      <c r="J372">
        <v>2026</v>
      </c>
      <c r="K372" t="s">
        <v>5618</v>
      </c>
      <c r="L372" t="s">
        <v>5619</v>
      </c>
      <c r="M372" t="s">
        <v>5406</v>
      </c>
      <c r="N372" s="1" t="s">
        <v>4565</v>
      </c>
      <c r="O372">
        <v>37.81</v>
      </c>
      <c r="P372">
        <v>4.2889999999999997</v>
      </c>
      <c r="Q372">
        <v>55516</v>
      </c>
      <c r="R372">
        <v>227</v>
      </c>
      <c r="S372">
        <v>6</v>
      </c>
      <c r="T372" s="8">
        <v>162.19999999999999</v>
      </c>
      <c r="U372">
        <v>11198252</v>
      </c>
      <c r="V372" t="s">
        <v>5424</v>
      </c>
      <c r="W372" t="s">
        <v>5409</v>
      </c>
      <c r="X372" t="s">
        <v>5425</v>
      </c>
      <c r="Y372" t="s">
        <v>5411</v>
      </c>
      <c r="Z372" t="s">
        <v>5426</v>
      </c>
      <c r="AA372" t="s">
        <v>5413</v>
      </c>
      <c r="AB372" t="s">
        <v>5414</v>
      </c>
      <c r="AC372" t="s">
        <v>5414</v>
      </c>
      <c r="AD372" t="s">
        <v>5414</v>
      </c>
      <c r="AG372" t="s">
        <v>5427</v>
      </c>
      <c r="AI372" t="s">
        <v>5428</v>
      </c>
      <c r="AJ372" t="s">
        <v>5620</v>
      </c>
      <c r="AL372" t="s">
        <v>5418</v>
      </c>
      <c r="AN372" t="s">
        <v>5419</v>
      </c>
    </row>
    <row r="373" spans="1:40" x14ac:dyDescent="0.25">
      <c r="A373">
        <v>1087039666</v>
      </c>
      <c r="B373" t="s">
        <v>5399</v>
      </c>
      <c r="C373">
        <v>252406</v>
      </c>
      <c r="D373" t="s">
        <v>5400</v>
      </c>
      <c r="E373">
        <v>46219.760763888888</v>
      </c>
      <c r="F373" t="s">
        <v>5401</v>
      </c>
      <c r="G373" t="s">
        <v>3668</v>
      </c>
      <c r="H373" t="s">
        <v>5402</v>
      </c>
      <c r="I373" t="s">
        <v>5403</v>
      </c>
      <c r="J373">
        <v>2026</v>
      </c>
      <c r="K373" t="s">
        <v>5701</v>
      </c>
      <c r="L373" t="s">
        <v>5702</v>
      </c>
      <c r="M373" t="s">
        <v>5406</v>
      </c>
      <c r="N373" s="1" t="s">
        <v>4565</v>
      </c>
      <c r="O373">
        <v>25.89</v>
      </c>
      <c r="P373">
        <v>4.2489999999999997</v>
      </c>
      <c r="Q373">
        <v>35095</v>
      </c>
      <c r="R373">
        <v>210</v>
      </c>
      <c r="S373">
        <v>8.11</v>
      </c>
      <c r="T373" s="8">
        <v>110.03</v>
      </c>
      <c r="U373">
        <v>108758</v>
      </c>
      <c r="V373" t="s">
        <v>5470</v>
      </c>
      <c r="W373" t="s">
        <v>5409</v>
      </c>
      <c r="X373" t="s">
        <v>5471</v>
      </c>
      <c r="Y373" t="s">
        <v>5411</v>
      </c>
      <c r="Z373" t="s">
        <v>5472</v>
      </c>
      <c r="AA373" t="s">
        <v>5413</v>
      </c>
      <c r="AB373" t="s">
        <v>5414</v>
      </c>
      <c r="AC373" t="s">
        <v>5414</v>
      </c>
      <c r="AD373" t="s">
        <v>5414</v>
      </c>
      <c r="AG373" t="s">
        <v>5427</v>
      </c>
      <c r="AI373" t="s">
        <v>5473</v>
      </c>
      <c r="AJ373" t="s">
        <v>5417</v>
      </c>
      <c r="AL373" t="s">
        <v>5418</v>
      </c>
      <c r="AN373" t="s">
        <v>5419</v>
      </c>
    </row>
    <row r="374" spans="1:40" x14ac:dyDescent="0.25">
      <c r="A374">
        <v>1087039735</v>
      </c>
      <c r="B374" t="s">
        <v>5399</v>
      </c>
      <c r="C374">
        <v>252406</v>
      </c>
      <c r="D374" t="s">
        <v>5400</v>
      </c>
      <c r="E374">
        <v>46219.761111111111</v>
      </c>
      <c r="F374" t="s">
        <v>5740</v>
      </c>
      <c r="G374" t="s">
        <v>3668</v>
      </c>
      <c r="H374" t="s">
        <v>5431</v>
      </c>
      <c r="I374" t="s">
        <v>5403</v>
      </c>
      <c r="J374">
        <v>2026</v>
      </c>
      <c r="K374" t="s">
        <v>5744</v>
      </c>
      <c r="L374" t="s">
        <v>5745</v>
      </c>
      <c r="M374" t="s">
        <v>5406</v>
      </c>
      <c r="N374" s="1" t="s">
        <v>4565</v>
      </c>
      <c r="O374">
        <v>27.8</v>
      </c>
      <c r="P374">
        <v>4.2889999999999997</v>
      </c>
      <c r="Q374">
        <v>31214</v>
      </c>
      <c r="R374">
        <v>349</v>
      </c>
      <c r="S374">
        <v>12.55</v>
      </c>
      <c r="T374" s="8">
        <v>119.26</v>
      </c>
      <c r="U374">
        <v>11198252</v>
      </c>
      <c r="V374" t="s">
        <v>5424</v>
      </c>
      <c r="W374" t="s">
        <v>5409</v>
      </c>
      <c r="X374" t="s">
        <v>5425</v>
      </c>
      <c r="Y374" t="s">
        <v>5411</v>
      </c>
      <c r="Z374" t="s">
        <v>5426</v>
      </c>
      <c r="AA374" t="s">
        <v>5413</v>
      </c>
      <c r="AB374" t="s">
        <v>5414</v>
      </c>
      <c r="AC374" t="s">
        <v>5414</v>
      </c>
      <c r="AD374" t="s">
        <v>5414</v>
      </c>
      <c r="AG374" t="s">
        <v>5427</v>
      </c>
      <c r="AI374" t="s">
        <v>5428</v>
      </c>
      <c r="AJ374" t="s">
        <v>5742</v>
      </c>
      <c r="AL374" t="s">
        <v>5418</v>
      </c>
      <c r="AN374" t="s">
        <v>5419</v>
      </c>
    </row>
    <row r="375" spans="1:40" x14ac:dyDescent="0.25">
      <c r="A375">
        <v>1087040491</v>
      </c>
      <c r="B375" t="s">
        <v>5399</v>
      </c>
      <c r="C375">
        <v>252406</v>
      </c>
      <c r="D375" t="s">
        <v>5400</v>
      </c>
      <c r="E375">
        <v>46219.764652777776</v>
      </c>
      <c r="F375" t="s">
        <v>5477</v>
      </c>
      <c r="G375" t="s">
        <v>3668</v>
      </c>
      <c r="H375" t="s">
        <v>5478</v>
      </c>
      <c r="I375" t="s">
        <v>5403</v>
      </c>
      <c r="J375">
        <v>2015</v>
      </c>
      <c r="K375" t="s">
        <v>5479</v>
      </c>
      <c r="L375" t="s">
        <v>5480</v>
      </c>
      <c r="M375" t="s">
        <v>5406</v>
      </c>
      <c r="N375" s="1" t="s">
        <v>4565</v>
      </c>
      <c r="O375">
        <v>49</v>
      </c>
      <c r="P375">
        <v>4.4000000000000004</v>
      </c>
      <c r="Q375">
        <v>249236</v>
      </c>
      <c r="R375">
        <v>337</v>
      </c>
      <c r="S375">
        <v>6.88</v>
      </c>
      <c r="T375" s="8">
        <v>215.6</v>
      </c>
      <c r="U375">
        <v>2691388</v>
      </c>
      <c r="V375" t="s">
        <v>5600</v>
      </c>
      <c r="W375" t="s">
        <v>5409</v>
      </c>
      <c r="X375" t="s">
        <v>5601</v>
      </c>
      <c r="Y375" t="s">
        <v>5602</v>
      </c>
      <c r="Z375" t="s">
        <v>5441</v>
      </c>
      <c r="AA375" t="s">
        <v>5413</v>
      </c>
      <c r="AB375" t="s">
        <v>5414</v>
      </c>
      <c r="AC375" t="s">
        <v>5414</v>
      </c>
      <c r="AD375" t="s">
        <v>5414</v>
      </c>
      <c r="AG375" t="s">
        <v>5427</v>
      </c>
      <c r="AI375" t="s">
        <v>5603</v>
      </c>
      <c r="AJ375" t="s">
        <v>5485</v>
      </c>
      <c r="AL375" t="s">
        <v>5418</v>
      </c>
      <c r="AN375" t="s">
        <v>5419</v>
      </c>
    </row>
    <row r="376" spans="1:40" x14ac:dyDescent="0.25">
      <c r="A376">
        <v>1087042524</v>
      </c>
      <c r="B376" t="s">
        <v>5399</v>
      </c>
      <c r="C376">
        <v>252406</v>
      </c>
      <c r="D376" t="s">
        <v>5400</v>
      </c>
      <c r="E376">
        <v>46219.775219907409</v>
      </c>
      <c r="F376" t="s">
        <v>5466</v>
      </c>
      <c r="G376" t="s">
        <v>3668</v>
      </c>
      <c r="H376" t="s">
        <v>5467</v>
      </c>
      <c r="I376" t="s">
        <v>5403</v>
      </c>
      <c r="J376">
        <v>2025</v>
      </c>
      <c r="K376" t="s">
        <v>5468</v>
      </c>
      <c r="L376" t="s">
        <v>5469</v>
      </c>
      <c r="M376" t="s">
        <v>5406</v>
      </c>
      <c r="N376" s="1" t="s">
        <v>4565</v>
      </c>
      <c r="O376">
        <v>51.34</v>
      </c>
      <c r="P376">
        <v>4.29</v>
      </c>
      <c r="Q376">
        <v>64229</v>
      </c>
      <c r="R376">
        <v>175</v>
      </c>
      <c r="S376">
        <v>3.41</v>
      </c>
      <c r="T376" s="8">
        <v>220.25</v>
      </c>
      <c r="U376">
        <v>11198252</v>
      </c>
      <c r="V376" t="s">
        <v>5424</v>
      </c>
      <c r="W376" t="s">
        <v>5409</v>
      </c>
      <c r="X376" t="s">
        <v>5425</v>
      </c>
      <c r="Y376" t="s">
        <v>5411</v>
      </c>
      <c r="Z376" t="s">
        <v>5426</v>
      </c>
      <c r="AA376" t="s">
        <v>5413</v>
      </c>
      <c r="AB376" t="s">
        <v>5414</v>
      </c>
      <c r="AC376" t="s">
        <v>5414</v>
      </c>
      <c r="AD376" t="s">
        <v>5414</v>
      </c>
      <c r="AG376" t="s">
        <v>5427</v>
      </c>
      <c r="AI376" t="s">
        <v>5428</v>
      </c>
      <c r="AJ376" t="s">
        <v>5474</v>
      </c>
      <c r="AL376" t="s">
        <v>5418</v>
      </c>
      <c r="AN376" t="s">
        <v>5419</v>
      </c>
    </row>
    <row r="377" spans="1:40" x14ac:dyDescent="0.25">
      <c r="A377">
        <v>1087034639</v>
      </c>
      <c r="B377" t="s">
        <v>5399</v>
      </c>
      <c r="C377">
        <v>252406</v>
      </c>
      <c r="D377" t="s">
        <v>5400</v>
      </c>
      <c r="E377">
        <v>46219.786261574074</v>
      </c>
      <c r="F377" t="s">
        <v>5486</v>
      </c>
      <c r="G377" t="s">
        <v>3668</v>
      </c>
      <c r="H377" t="s">
        <v>5487</v>
      </c>
      <c r="I377" t="s">
        <v>5403</v>
      </c>
      <c r="J377">
        <v>2025</v>
      </c>
      <c r="K377" t="s">
        <v>5488</v>
      </c>
      <c r="L377" t="s">
        <v>5489</v>
      </c>
      <c r="M377" t="s">
        <v>5406</v>
      </c>
      <c r="N377" s="1" t="s">
        <v>4565</v>
      </c>
      <c r="O377">
        <v>30.21</v>
      </c>
      <c r="P377">
        <v>4.2889999999999997</v>
      </c>
      <c r="Q377">
        <v>56292</v>
      </c>
      <c r="R377">
        <v>285</v>
      </c>
      <c r="S377">
        <v>9.43</v>
      </c>
      <c r="T377" s="8">
        <v>129.6</v>
      </c>
      <c r="U377">
        <v>11153887</v>
      </c>
      <c r="V377" t="s">
        <v>5490</v>
      </c>
      <c r="W377" t="s">
        <v>5409</v>
      </c>
      <c r="X377" t="s">
        <v>5491</v>
      </c>
      <c r="Y377" t="s">
        <v>5492</v>
      </c>
      <c r="Z377" t="s">
        <v>5426</v>
      </c>
      <c r="AA377" t="s">
        <v>5413</v>
      </c>
      <c r="AB377" t="s">
        <v>5414</v>
      </c>
      <c r="AC377" t="s">
        <v>5414</v>
      </c>
      <c r="AD377" t="s">
        <v>5414</v>
      </c>
      <c r="AG377" t="s">
        <v>5415</v>
      </c>
      <c r="AI377" t="s">
        <v>5460</v>
      </c>
      <c r="AJ377" t="s">
        <v>5493</v>
      </c>
      <c r="AL377" t="s">
        <v>5418</v>
      </c>
      <c r="AN377" t="s">
        <v>5419</v>
      </c>
    </row>
    <row r="378" spans="1:40" x14ac:dyDescent="0.25">
      <c r="A378">
        <v>1087047776</v>
      </c>
      <c r="B378" t="s">
        <v>5399</v>
      </c>
      <c r="C378">
        <v>252406</v>
      </c>
      <c r="D378" t="s">
        <v>5400</v>
      </c>
      <c r="E378">
        <v>46219.794722222221</v>
      </c>
      <c r="F378" t="s">
        <v>5589</v>
      </c>
      <c r="G378" t="s">
        <v>3668</v>
      </c>
      <c r="H378" t="s">
        <v>5431</v>
      </c>
      <c r="I378" t="s">
        <v>5403</v>
      </c>
      <c r="J378">
        <v>2026</v>
      </c>
      <c r="K378" t="s">
        <v>5590</v>
      </c>
      <c r="L378" t="s">
        <v>5591</v>
      </c>
      <c r="M378" t="s">
        <v>5406</v>
      </c>
      <c r="N378" s="1" t="s">
        <v>4565</v>
      </c>
      <c r="O378">
        <v>30</v>
      </c>
      <c r="P378">
        <v>4.29</v>
      </c>
      <c r="Q378">
        <v>5576</v>
      </c>
      <c r="R378">
        <v>99</v>
      </c>
      <c r="S378">
        <v>3.3</v>
      </c>
      <c r="T378" s="8">
        <v>128.69999999999999</v>
      </c>
      <c r="U378">
        <v>11198252</v>
      </c>
      <c r="V378" t="s">
        <v>5424</v>
      </c>
      <c r="W378" t="s">
        <v>5409</v>
      </c>
      <c r="X378" t="s">
        <v>5425</v>
      </c>
      <c r="Y378" t="s">
        <v>5411</v>
      </c>
      <c r="Z378" t="s">
        <v>5426</v>
      </c>
      <c r="AA378" t="s">
        <v>5413</v>
      </c>
      <c r="AB378" t="s">
        <v>5414</v>
      </c>
      <c r="AC378" t="s">
        <v>5414</v>
      </c>
      <c r="AD378" t="s">
        <v>5414</v>
      </c>
      <c r="AG378" t="s">
        <v>5427</v>
      </c>
      <c r="AI378" t="s">
        <v>5428</v>
      </c>
      <c r="AJ378" t="s">
        <v>5592</v>
      </c>
      <c r="AL378" t="s">
        <v>5418</v>
      </c>
      <c r="AN378" t="s">
        <v>5419</v>
      </c>
    </row>
    <row r="379" spans="1:40" x14ac:dyDescent="0.25">
      <c r="A379">
        <v>1087050906</v>
      </c>
      <c r="B379" t="s">
        <v>5399</v>
      </c>
      <c r="C379">
        <v>252406</v>
      </c>
      <c r="D379" t="s">
        <v>5400</v>
      </c>
      <c r="E379">
        <v>46219.819606481484</v>
      </c>
      <c r="F379" t="s">
        <v>5444</v>
      </c>
      <c r="G379" t="s">
        <v>3668</v>
      </c>
      <c r="H379" t="s">
        <v>5431</v>
      </c>
      <c r="I379" t="s">
        <v>5403</v>
      </c>
      <c r="J379">
        <v>2026</v>
      </c>
      <c r="K379" t="s">
        <v>5445</v>
      </c>
      <c r="L379" t="s">
        <v>5446</v>
      </c>
      <c r="M379" t="s">
        <v>5406</v>
      </c>
      <c r="N379" s="1" t="s">
        <v>4565</v>
      </c>
      <c r="O379">
        <v>34.880000000000003</v>
      </c>
      <c r="P379">
        <v>4.2889999999999997</v>
      </c>
      <c r="Q379">
        <v>20135</v>
      </c>
      <c r="R379">
        <v>259</v>
      </c>
      <c r="S379">
        <v>7.43</v>
      </c>
      <c r="T379" s="8">
        <v>149.62</v>
      </c>
      <c r="U379">
        <v>12193017</v>
      </c>
      <c r="V379" t="s">
        <v>5574</v>
      </c>
      <c r="W379" t="s">
        <v>5409</v>
      </c>
      <c r="X379" t="s">
        <v>5575</v>
      </c>
      <c r="Y379" t="s">
        <v>5576</v>
      </c>
      <c r="Z379" t="s">
        <v>5472</v>
      </c>
      <c r="AA379" t="s">
        <v>5413</v>
      </c>
      <c r="AB379" t="s">
        <v>5414</v>
      </c>
      <c r="AC379" t="s">
        <v>5414</v>
      </c>
      <c r="AD379" t="s">
        <v>5414</v>
      </c>
      <c r="AG379" t="s">
        <v>5427</v>
      </c>
      <c r="AI379" t="s">
        <v>5577</v>
      </c>
      <c r="AJ379" t="s">
        <v>5447</v>
      </c>
      <c r="AL379" t="s">
        <v>5418</v>
      </c>
      <c r="AN379" t="s">
        <v>5419</v>
      </c>
    </row>
    <row r="380" spans="1:40" x14ac:dyDescent="0.25">
      <c r="A380">
        <v>1087056230</v>
      </c>
      <c r="B380" t="s">
        <v>5399</v>
      </c>
      <c r="C380">
        <v>252406</v>
      </c>
      <c r="D380" t="s">
        <v>5400</v>
      </c>
      <c r="E380">
        <v>46219.868078703701</v>
      </c>
      <c r="F380" t="s">
        <v>5567</v>
      </c>
      <c r="G380" t="s">
        <v>3668</v>
      </c>
      <c r="H380" t="s">
        <v>5568</v>
      </c>
      <c r="I380" t="s">
        <v>5403</v>
      </c>
      <c r="J380">
        <v>2026</v>
      </c>
      <c r="K380" t="s">
        <v>5436</v>
      </c>
      <c r="L380" t="s">
        <v>5437</v>
      </c>
      <c r="M380" t="s">
        <v>5406</v>
      </c>
      <c r="N380" s="1" t="s">
        <v>4565</v>
      </c>
      <c r="O380">
        <v>42.67</v>
      </c>
      <c r="P380">
        <v>4.2290000000000001</v>
      </c>
      <c r="Q380">
        <v>3712</v>
      </c>
      <c r="R380">
        <v>380</v>
      </c>
      <c r="S380">
        <v>8.91</v>
      </c>
      <c r="T380" s="8">
        <v>180.49</v>
      </c>
      <c r="U380">
        <v>11918417</v>
      </c>
      <c r="V380" t="s">
        <v>5861</v>
      </c>
      <c r="W380" t="s">
        <v>5409</v>
      </c>
      <c r="X380" t="s">
        <v>5862</v>
      </c>
      <c r="Y380" t="s">
        <v>5458</v>
      </c>
      <c r="Z380" t="s">
        <v>5426</v>
      </c>
      <c r="AA380" t="s">
        <v>5413</v>
      </c>
      <c r="AB380" t="s">
        <v>5414</v>
      </c>
      <c r="AC380" t="s">
        <v>5414</v>
      </c>
      <c r="AD380" t="s">
        <v>5414</v>
      </c>
      <c r="AG380" t="s">
        <v>5427</v>
      </c>
      <c r="AI380" t="s">
        <v>5863</v>
      </c>
      <c r="AJ380" t="s">
        <v>5573</v>
      </c>
      <c r="AL380" t="s">
        <v>5418</v>
      </c>
      <c r="AN380" t="s">
        <v>5419</v>
      </c>
    </row>
    <row r="381" spans="1:40" x14ac:dyDescent="0.25">
      <c r="A381">
        <v>1087063419</v>
      </c>
      <c r="B381" t="s">
        <v>5399</v>
      </c>
      <c r="C381">
        <v>252406</v>
      </c>
      <c r="D381" t="s">
        <v>5400</v>
      </c>
      <c r="E381">
        <v>46220.160011574073</v>
      </c>
      <c r="F381" t="s">
        <v>5477</v>
      </c>
      <c r="G381" t="s">
        <v>3668</v>
      </c>
      <c r="H381" t="s">
        <v>5478</v>
      </c>
      <c r="I381" t="s">
        <v>5403</v>
      </c>
      <c r="J381">
        <v>2015</v>
      </c>
      <c r="K381" t="s">
        <v>5479</v>
      </c>
      <c r="L381" t="s">
        <v>5480</v>
      </c>
      <c r="M381" t="s">
        <v>5406</v>
      </c>
      <c r="N381" s="1" t="s">
        <v>4565</v>
      </c>
      <c r="O381">
        <v>43.35</v>
      </c>
      <c r="P381">
        <v>4.1890000000000001</v>
      </c>
      <c r="Q381">
        <v>249571</v>
      </c>
      <c r="R381">
        <v>335</v>
      </c>
      <c r="S381">
        <v>7.73</v>
      </c>
      <c r="T381" s="8">
        <v>181.63</v>
      </c>
      <c r="U381">
        <v>11040306</v>
      </c>
      <c r="V381" t="s">
        <v>5408</v>
      </c>
      <c r="W381" t="s">
        <v>5409</v>
      </c>
      <c r="X381" t="s">
        <v>5410</v>
      </c>
      <c r="Y381" t="s">
        <v>5411</v>
      </c>
      <c r="Z381" t="s">
        <v>5412</v>
      </c>
      <c r="AA381" t="s">
        <v>5413</v>
      </c>
      <c r="AB381" t="s">
        <v>5414</v>
      </c>
      <c r="AC381" t="s">
        <v>5414</v>
      </c>
      <c r="AD381" t="s">
        <v>5414</v>
      </c>
      <c r="AG381" t="s">
        <v>5415</v>
      </c>
      <c r="AI381" t="s">
        <v>5629</v>
      </c>
      <c r="AJ381" t="s">
        <v>5485</v>
      </c>
      <c r="AL381" t="s">
        <v>5418</v>
      </c>
      <c r="AN381" t="s">
        <v>5419</v>
      </c>
    </row>
    <row r="382" spans="1:40" x14ac:dyDescent="0.25">
      <c r="A382">
        <v>1087100401</v>
      </c>
      <c r="B382" t="s">
        <v>5399</v>
      </c>
      <c r="C382">
        <v>252406</v>
      </c>
      <c r="D382" t="s">
        <v>5400</v>
      </c>
      <c r="E382">
        <v>46220.306168981479</v>
      </c>
      <c r="F382" t="s">
        <v>5435</v>
      </c>
      <c r="G382" t="s">
        <v>3668</v>
      </c>
      <c r="H382" t="s">
        <v>5421</v>
      </c>
      <c r="I382" t="s">
        <v>5403</v>
      </c>
      <c r="J382">
        <v>2026</v>
      </c>
      <c r="K382" t="s">
        <v>5436</v>
      </c>
      <c r="L382" t="s">
        <v>5437</v>
      </c>
      <c r="M382" t="s">
        <v>5406</v>
      </c>
      <c r="N382" s="1" t="s">
        <v>4565</v>
      </c>
      <c r="O382">
        <v>29.82</v>
      </c>
      <c r="P382">
        <v>4.6589999999999998</v>
      </c>
      <c r="Q382">
        <v>49388</v>
      </c>
      <c r="R382">
        <v>138</v>
      </c>
      <c r="S382">
        <v>4.63</v>
      </c>
      <c r="T382" s="8">
        <v>138.96</v>
      </c>
      <c r="U382">
        <v>11120083</v>
      </c>
      <c r="V382" t="s">
        <v>5596</v>
      </c>
      <c r="W382" t="s">
        <v>5409</v>
      </c>
      <c r="X382" t="s">
        <v>5597</v>
      </c>
      <c r="Y382" t="s">
        <v>5458</v>
      </c>
      <c r="Z382" t="s">
        <v>5598</v>
      </c>
      <c r="AA382" t="s">
        <v>5413</v>
      </c>
      <c r="AB382" t="s">
        <v>5414</v>
      </c>
      <c r="AC382" t="s">
        <v>5414</v>
      </c>
      <c r="AD382" t="s">
        <v>5414</v>
      </c>
      <c r="AG382" t="s">
        <v>5427</v>
      </c>
      <c r="AI382" t="s">
        <v>5599</v>
      </c>
      <c r="AJ382" t="s">
        <v>5443</v>
      </c>
      <c r="AL382" t="s">
        <v>5418</v>
      </c>
      <c r="AN382" t="s">
        <v>5419</v>
      </c>
    </row>
    <row r="383" spans="1:40" x14ac:dyDescent="0.25">
      <c r="A383">
        <v>1087080640</v>
      </c>
      <c r="B383" t="s">
        <v>5399</v>
      </c>
      <c r="C383">
        <v>252406</v>
      </c>
      <c r="D383" t="s">
        <v>5400</v>
      </c>
      <c r="E383">
        <v>46220.306574074071</v>
      </c>
      <c r="F383" t="s">
        <v>5817</v>
      </c>
      <c r="G383" t="s">
        <v>3668</v>
      </c>
      <c r="H383" t="s">
        <v>5421</v>
      </c>
      <c r="I383" t="s">
        <v>5403</v>
      </c>
      <c r="J383">
        <v>2027</v>
      </c>
      <c r="K383" t="s">
        <v>5614</v>
      </c>
      <c r="L383" t="s">
        <v>5615</v>
      </c>
      <c r="M383" t="s">
        <v>5406</v>
      </c>
      <c r="N383" s="1" t="s">
        <v>4565</v>
      </c>
      <c r="O383">
        <v>34.369999999999997</v>
      </c>
      <c r="P383">
        <v>4.1890000000000001</v>
      </c>
      <c r="Q383">
        <v>1171</v>
      </c>
      <c r="R383">
        <v>221</v>
      </c>
      <c r="S383">
        <v>6.43</v>
      </c>
      <c r="T383" s="8">
        <v>144.01</v>
      </c>
      <c r="U383">
        <v>11040306</v>
      </c>
      <c r="V383" t="s">
        <v>5408</v>
      </c>
      <c r="W383" t="s">
        <v>5409</v>
      </c>
      <c r="X383" t="s">
        <v>5410</v>
      </c>
      <c r="Y383" t="s">
        <v>5411</v>
      </c>
      <c r="Z383" t="s">
        <v>5412</v>
      </c>
      <c r="AA383" t="s">
        <v>5413</v>
      </c>
      <c r="AB383" t="s">
        <v>5414</v>
      </c>
      <c r="AC383" t="s">
        <v>5414</v>
      </c>
      <c r="AD383" t="s">
        <v>5414</v>
      </c>
      <c r="AG383" t="s">
        <v>5415</v>
      </c>
      <c r="AI383" t="s">
        <v>5460</v>
      </c>
      <c r="AJ383" t="s">
        <v>5818</v>
      </c>
      <c r="AL383" t="s">
        <v>5418</v>
      </c>
      <c r="AN383" t="s">
        <v>5419</v>
      </c>
    </row>
    <row r="384" spans="1:40" x14ac:dyDescent="0.25">
      <c r="A384">
        <v>1087088200</v>
      </c>
      <c r="B384" t="s">
        <v>5399</v>
      </c>
      <c r="C384">
        <v>252406</v>
      </c>
      <c r="D384" t="s">
        <v>5400</v>
      </c>
      <c r="E384">
        <v>46220.323518518519</v>
      </c>
      <c r="F384" t="s">
        <v>5613</v>
      </c>
      <c r="G384" t="s">
        <v>3668</v>
      </c>
      <c r="H384" t="s">
        <v>5467</v>
      </c>
      <c r="I384" t="s">
        <v>5403</v>
      </c>
      <c r="J384">
        <v>2025</v>
      </c>
      <c r="K384" t="s">
        <v>5656</v>
      </c>
      <c r="L384" t="s">
        <v>5657</v>
      </c>
      <c r="M384" t="s">
        <v>5406</v>
      </c>
      <c r="N384" s="1" t="s">
        <v>4565</v>
      </c>
      <c r="O384">
        <v>44.22</v>
      </c>
      <c r="P384">
        <v>4.4800000000000004</v>
      </c>
      <c r="Q384">
        <v>73357</v>
      </c>
      <c r="R384">
        <v>488</v>
      </c>
      <c r="S384">
        <v>11.04</v>
      </c>
      <c r="T384" s="8">
        <v>198.11</v>
      </c>
      <c r="U384">
        <v>11413986</v>
      </c>
      <c r="V384" t="s">
        <v>5864</v>
      </c>
      <c r="W384" t="s">
        <v>5409</v>
      </c>
      <c r="X384" t="s">
        <v>5865</v>
      </c>
      <c r="Y384" t="s">
        <v>5866</v>
      </c>
      <c r="Z384" t="s">
        <v>5867</v>
      </c>
      <c r="AA384" t="s">
        <v>5670</v>
      </c>
      <c r="AB384" t="s">
        <v>5414</v>
      </c>
      <c r="AC384" t="s">
        <v>5414</v>
      </c>
      <c r="AD384" t="s">
        <v>5414</v>
      </c>
      <c r="AG384" t="s">
        <v>5415</v>
      </c>
      <c r="AI384" t="s">
        <v>5868</v>
      </c>
      <c r="AJ384" t="s">
        <v>5616</v>
      </c>
      <c r="AL384" t="s">
        <v>5418</v>
      </c>
      <c r="AN384" t="s">
        <v>5419</v>
      </c>
    </row>
    <row r="385" spans="1:40" x14ac:dyDescent="0.25">
      <c r="A385">
        <v>1087089202</v>
      </c>
      <c r="B385" t="s">
        <v>5399</v>
      </c>
      <c r="C385">
        <v>252406</v>
      </c>
      <c r="D385" t="s">
        <v>5400</v>
      </c>
      <c r="E385">
        <v>46220.325914351852</v>
      </c>
      <c r="F385" t="s">
        <v>5420</v>
      </c>
      <c r="G385" t="s">
        <v>3668</v>
      </c>
      <c r="H385" t="s">
        <v>5421</v>
      </c>
      <c r="I385" t="s">
        <v>5403</v>
      </c>
      <c r="J385">
        <v>2025</v>
      </c>
      <c r="K385" t="s">
        <v>5652</v>
      </c>
      <c r="L385" t="s">
        <v>5653</v>
      </c>
      <c r="M385" t="s">
        <v>5406</v>
      </c>
      <c r="N385" s="1" t="s">
        <v>4565</v>
      </c>
      <c r="O385">
        <v>12.73</v>
      </c>
      <c r="P385">
        <v>4.2889999999999997</v>
      </c>
      <c r="Q385">
        <v>70535</v>
      </c>
      <c r="R385">
        <v>110</v>
      </c>
      <c r="S385">
        <v>8.64</v>
      </c>
      <c r="T385" s="8">
        <v>54.61</v>
      </c>
      <c r="U385">
        <v>11153887</v>
      </c>
      <c r="V385" t="s">
        <v>5490</v>
      </c>
      <c r="W385" t="s">
        <v>5409</v>
      </c>
      <c r="X385" t="s">
        <v>5491</v>
      </c>
      <c r="Y385" t="s">
        <v>5492</v>
      </c>
      <c r="Z385" t="s">
        <v>5426</v>
      </c>
      <c r="AA385" t="s">
        <v>5413</v>
      </c>
      <c r="AB385" t="s">
        <v>5414</v>
      </c>
      <c r="AC385" t="s">
        <v>5414</v>
      </c>
      <c r="AD385" t="s">
        <v>5414</v>
      </c>
      <c r="AG385" t="s">
        <v>5415</v>
      </c>
      <c r="AI385" t="s">
        <v>5460</v>
      </c>
      <c r="AJ385" t="s">
        <v>5429</v>
      </c>
      <c r="AL385" t="s">
        <v>5418</v>
      </c>
      <c r="AN385" t="s">
        <v>5419</v>
      </c>
    </row>
    <row r="386" spans="1:40" x14ac:dyDescent="0.25">
      <c r="A386">
        <v>1087120591</v>
      </c>
      <c r="B386" t="s">
        <v>5399</v>
      </c>
      <c r="C386">
        <v>252406</v>
      </c>
      <c r="D386" t="s">
        <v>5400</v>
      </c>
      <c r="E386">
        <v>46220.383402777778</v>
      </c>
      <c r="F386" t="s">
        <v>5462</v>
      </c>
      <c r="G386" t="s">
        <v>3668</v>
      </c>
      <c r="H386" t="s">
        <v>5402</v>
      </c>
      <c r="I386" t="s">
        <v>5403</v>
      </c>
      <c r="J386">
        <v>2026</v>
      </c>
      <c r="K386" t="s">
        <v>5463</v>
      </c>
      <c r="L386" t="s">
        <v>5464</v>
      </c>
      <c r="M386" t="s">
        <v>5406</v>
      </c>
      <c r="N386" s="1" t="s">
        <v>4565</v>
      </c>
      <c r="O386">
        <v>38.35</v>
      </c>
      <c r="P386">
        <v>4.59</v>
      </c>
      <c r="Q386">
        <v>28081</v>
      </c>
      <c r="R386">
        <v>227</v>
      </c>
      <c r="S386">
        <v>5.92</v>
      </c>
      <c r="T386" s="8">
        <v>176.03</v>
      </c>
      <c r="U386">
        <v>11289550</v>
      </c>
      <c r="V386" t="s">
        <v>5565</v>
      </c>
      <c r="W386" t="s">
        <v>5409</v>
      </c>
      <c r="X386" t="s">
        <v>5566</v>
      </c>
      <c r="Y386" t="s">
        <v>5458</v>
      </c>
      <c r="Z386" t="s">
        <v>5426</v>
      </c>
      <c r="AA386" t="s">
        <v>5413</v>
      </c>
      <c r="AB386" t="s">
        <v>5414</v>
      </c>
      <c r="AC386" t="s">
        <v>5414</v>
      </c>
      <c r="AD386" t="s">
        <v>5414</v>
      </c>
      <c r="AG386" t="s">
        <v>5415</v>
      </c>
      <c r="AI386" t="s">
        <v>5460</v>
      </c>
      <c r="AJ386" t="s">
        <v>5465</v>
      </c>
      <c r="AL386" t="s">
        <v>5418</v>
      </c>
      <c r="AN386" t="s">
        <v>5419</v>
      </c>
    </row>
    <row r="387" spans="1:40" x14ac:dyDescent="0.25">
      <c r="A387">
        <v>1087128934</v>
      </c>
      <c r="B387" t="s">
        <v>5399</v>
      </c>
      <c r="C387">
        <v>252406</v>
      </c>
      <c r="D387" t="s">
        <v>5400</v>
      </c>
      <c r="E387">
        <v>46220.399768518517</v>
      </c>
      <c r="F387" t="s">
        <v>5475</v>
      </c>
      <c r="G387" t="s">
        <v>3668</v>
      </c>
      <c r="H387" t="s">
        <v>5467</v>
      </c>
      <c r="I387" t="s">
        <v>5403</v>
      </c>
      <c r="J387">
        <v>2026</v>
      </c>
      <c r="K387" t="s">
        <v>5837</v>
      </c>
      <c r="L387" t="s">
        <v>5838</v>
      </c>
      <c r="M387" t="s">
        <v>5406</v>
      </c>
      <c r="N387" s="1" t="s">
        <v>4565</v>
      </c>
      <c r="O387">
        <v>38.700000000000003</v>
      </c>
      <c r="P387">
        <v>4.2889999999999997</v>
      </c>
      <c r="Q387">
        <v>35430</v>
      </c>
      <c r="R387">
        <v>213</v>
      </c>
      <c r="S387">
        <v>5.5</v>
      </c>
      <c r="T387" s="8">
        <v>166.02</v>
      </c>
      <c r="U387">
        <v>491721</v>
      </c>
      <c r="V387" t="s">
        <v>5438</v>
      </c>
      <c r="W387" t="s">
        <v>5409</v>
      </c>
      <c r="X387" t="s">
        <v>5439</v>
      </c>
      <c r="Y387" t="s">
        <v>5440</v>
      </c>
      <c r="Z387" t="s">
        <v>5441</v>
      </c>
      <c r="AA387" t="s">
        <v>5413</v>
      </c>
      <c r="AB387" t="s">
        <v>5414</v>
      </c>
      <c r="AC387" t="s">
        <v>5414</v>
      </c>
      <c r="AD387" t="s">
        <v>5414</v>
      </c>
      <c r="AG387" t="s">
        <v>5415</v>
      </c>
      <c r="AI387" t="s">
        <v>5460</v>
      </c>
      <c r="AJ387" t="s">
        <v>5697</v>
      </c>
      <c r="AL387" t="s">
        <v>5418</v>
      </c>
      <c r="AN387" t="s">
        <v>5419</v>
      </c>
    </row>
    <row r="388" spans="1:40" x14ac:dyDescent="0.25">
      <c r="A388">
        <v>1087154778</v>
      </c>
      <c r="B388" t="s">
        <v>5399</v>
      </c>
      <c r="C388">
        <v>252406</v>
      </c>
      <c r="D388" t="s">
        <v>5400</v>
      </c>
      <c r="E388">
        <v>46220.418194444443</v>
      </c>
      <c r="F388" t="s">
        <v>5494</v>
      </c>
      <c r="G388" t="s">
        <v>3668</v>
      </c>
      <c r="H388" t="s">
        <v>5495</v>
      </c>
      <c r="I388" t="s">
        <v>5403</v>
      </c>
      <c r="J388">
        <v>2026</v>
      </c>
      <c r="K388" t="s">
        <v>5496</v>
      </c>
      <c r="L388" t="s">
        <v>5497</v>
      </c>
      <c r="M388" t="s">
        <v>5406</v>
      </c>
      <c r="N388" s="1" t="s">
        <v>4565</v>
      </c>
      <c r="O388">
        <v>42.28</v>
      </c>
      <c r="P388">
        <v>4.25</v>
      </c>
      <c r="Q388">
        <v>58320</v>
      </c>
      <c r="R388">
        <v>450</v>
      </c>
      <c r="S388">
        <v>10.64</v>
      </c>
      <c r="T388" s="8">
        <v>179.69</v>
      </c>
      <c r="U388">
        <v>108758</v>
      </c>
      <c r="V388" t="s">
        <v>5470</v>
      </c>
      <c r="W388" t="s">
        <v>5409</v>
      </c>
      <c r="X388" t="s">
        <v>5471</v>
      </c>
      <c r="Y388" t="s">
        <v>5411</v>
      </c>
      <c r="Z388" t="s">
        <v>5472</v>
      </c>
      <c r="AA388" t="s">
        <v>5413</v>
      </c>
      <c r="AB388" t="s">
        <v>5414</v>
      </c>
      <c r="AC388" t="s">
        <v>5414</v>
      </c>
      <c r="AD388" t="s">
        <v>5414</v>
      </c>
      <c r="AG388" t="s">
        <v>5427</v>
      </c>
      <c r="AI388" t="s">
        <v>5473</v>
      </c>
      <c r="AJ388" t="s">
        <v>5504</v>
      </c>
      <c r="AL388" t="s">
        <v>5418</v>
      </c>
      <c r="AN388" t="s">
        <v>5419</v>
      </c>
    </row>
    <row r="389" spans="1:40" x14ac:dyDescent="0.25">
      <c r="A389">
        <v>1087145528</v>
      </c>
      <c r="B389" t="s">
        <v>5399</v>
      </c>
      <c r="C389">
        <v>252406</v>
      </c>
      <c r="D389" t="s">
        <v>5400</v>
      </c>
      <c r="E389">
        <v>46220.437997685185</v>
      </c>
      <c r="F389" t="s">
        <v>5534</v>
      </c>
      <c r="G389" t="s">
        <v>3668</v>
      </c>
      <c r="H389" t="s">
        <v>5421</v>
      </c>
      <c r="I389" t="s">
        <v>5403</v>
      </c>
      <c r="J389">
        <v>2027</v>
      </c>
      <c r="K389" t="s">
        <v>5535</v>
      </c>
      <c r="L389" t="s">
        <v>5536</v>
      </c>
      <c r="M389" t="s">
        <v>5406</v>
      </c>
      <c r="N389" s="1" t="s">
        <v>4565</v>
      </c>
      <c r="O389">
        <v>34.08</v>
      </c>
      <c r="P389">
        <v>4.1890000000000001</v>
      </c>
      <c r="Q389">
        <v>3296</v>
      </c>
      <c r="R389">
        <v>277</v>
      </c>
      <c r="S389">
        <v>8.1300000000000008</v>
      </c>
      <c r="T389" s="8">
        <v>142.79</v>
      </c>
      <c r="U389">
        <v>11040306</v>
      </c>
      <c r="V389" t="s">
        <v>5408</v>
      </c>
      <c r="W389" t="s">
        <v>5409</v>
      </c>
      <c r="X389" t="s">
        <v>5410</v>
      </c>
      <c r="Y389" t="s">
        <v>5411</v>
      </c>
      <c r="Z389" t="s">
        <v>5412</v>
      </c>
      <c r="AA389" t="s">
        <v>5413</v>
      </c>
      <c r="AB389" t="s">
        <v>5414</v>
      </c>
      <c r="AC389" t="s">
        <v>5414</v>
      </c>
      <c r="AD389" t="s">
        <v>5414</v>
      </c>
      <c r="AG389" t="s">
        <v>5415</v>
      </c>
      <c r="AI389" t="s">
        <v>5460</v>
      </c>
      <c r="AJ389" t="s">
        <v>5816</v>
      </c>
      <c r="AL389" t="s">
        <v>5418</v>
      </c>
      <c r="AN389" t="s">
        <v>5419</v>
      </c>
    </row>
    <row r="390" spans="1:40" x14ac:dyDescent="0.25">
      <c r="A390">
        <v>1087163063</v>
      </c>
      <c r="B390" t="s">
        <v>5399</v>
      </c>
      <c r="C390">
        <v>252406</v>
      </c>
      <c r="D390" t="s">
        <v>5400</v>
      </c>
      <c r="E390">
        <v>46220.479907407411</v>
      </c>
      <c r="F390" t="s">
        <v>5524</v>
      </c>
      <c r="G390" t="s">
        <v>3668</v>
      </c>
      <c r="H390" t="s">
        <v>5421</v>
      </c>
      <c r="I390" t="s">
        <v>5524</v>
      </c>
      <c r="J390">
        <v>2025</v>
      </c>
      <c r="K390" t="s">
        <v>5525</v>
      </c>
      <c r="L390" t="s">
        <v>5526</v>
      </c>
      <c r="M390" t="s">
        <v>5406</v>
      </c>
      <c r="N390" s="1" t="s">
        <v>4565</v>
      </c>
      <c r="O390">
        <v>39.54</v>
      </c>
      <c r="P390">
        <v>3.92</v>
      </c>
      <c r="Q390">
        <v>65895</v>
      </c>
      <c r="R390">
        <v>372</v>
      </c>
      <c r="S390">
        <v>9.41</v>
      </c>
      <c r="T390" s="8">
        <v>155</v>
      </c>
      <c r="U390">
        <v>490156</v>
      </c>
      <c r="V390" t="s">
        <v>5578</v>
      </c>
      <c r="W390" t="s">
        <v>5409</v>
      </c>
      <c r="X390" t="s">
        <v>5579</v>
      </c>
      <c r="Y390" t="s">
        <v>5458</v>
      </c>
      <c r="Z390" t="s">
        <v>5412</v>
      </c>
      <c r="AA390" t="s">
        <v>5413</v>
      </c>
      <c r="AB390" t="s">
        <v>5414</v>
      </c>
      <c r="AC390" t="s">
        <v>5414</v>
      </c>
      <c r="AD390" t="s">
        <v>5414</v>
      </c>
      <c r="AG390" t="s">
        <v>5415</v>
      </c>
      <c r="AI390" t="s">
        <v>5580</v>
      </c>
      <c r="AJ390" t="s">
        <v>5527</v>
      </c>
      <c r="AK390" t="s">
        <v>5528</v>
      </c>
      <c r="AL390" t="s">
        <v>5418</v>
      </c>
      <c r="AN390" t="s">
        <v>5529</v>
      </c>
    </row>
    <row r="391" spans="1:40" x14ac:dyDescent="0.25">
      <c r="A391">
        <v>1087164651</v>
      </c>
      <c r="B391" t="s">
        <v>5399</v>
      </c>
      <c r="C391">
        <v>252406</v>
      </c>
      <c r="D391" t="s">
        <v>5400</v>
      </c>
      <c r="E391">
        <v>46220.485497685186</v>
      </c>
      <c r="F391" t="s">
        <v>5689</v>
      </c>
      <c r="G391" t="s">
        <v>3668</v>
      </c>
      <c r="H391" t="s">
        <v>5511</v>
      </c>
      <c r="I391" t="s">
        <v>5403</v>
      </c>
      <c r="J391">
        <v>2026</v>
      </c>
      <c r="K391" t="s">
        <v>5690</v>
      </c>
      <c r="L391" t="s">
        <v>5691</v>
      </c>
      <c r="M391" t="s">
        <v>5406</v>
      </c>
      <c r="N391" s="1" t="s">
        <v>4565</v>
      </c>
      <c r="O391">
        <v>26.46</v>
      </c>
      <c r="P391">
        <v>4.6500000000000004</v>
      </c>
      <c r="Q391">
        <v>10517</v>
      </c>
      <c r="R391">
        <v>274</v>
      </c>
      <c r="S391">
        <v>10.36</v>
      </c>
      <c r="T391" s="8">
        <v>123.04</v>
      </c>
      <c r="U391">
        <v>11040292</v>
      </c>
      <c r="V391" t="s">
        <v>5456</v>
      </c>
      <c r="W391" t="s">
        <v>5409</v>
      </c>
      <c r="X391" t="s">
        <v>5457</v>
      </c>
      <c r="Y391" t="s">
        <v>5458</v>
      </c>
      <c r="Z391" t="s">
        <v>5459</v>
      </c>
      <c r="AA391" t="s">
        <v>5413</v>
      </c>
      <c r="AB391" t="s">
        <v>5414</v>
      </c>
      <c r="AC391" t="s">
        <v>5414</v>
      </c>
      <c r="AD391" t="s">
        <v>5414</v>
      </c>
      <c r="AG391" t="s">
        <v>5415</v>
      </c>
      <c r="AI391" t="s">
        <v>5460</v>
      </c>
      <c r="AJ391" t="s">
        <v>5692</v>
      </c>
      <c r="AL391" t="s">
        <v>5418</v>
      </c>
      <c r="AN391" t="s">
        <v>5419</v>
      </c>
    </row>
    <row r="392" spans="1:40" x14ac:dyDescent="0.25">
      <c r="A392">
        <v>1087201115</v>
      </c>
      <c r="B392" t="s">
        <v>5399</v>
      </c>
      <c r="C392">
        <v>252406</v>
      </c>
      <c r="D392" t="s">
        <v>5400</v>
      </c>
      <c r="E392">
        <v>46220.542303240742</v>
      </c>
      <c r="F392" t="s">
        <v>5585</v>
      </c>
      <c r="G392" t="s">
        <v>3668</v>
      </c>
      <c r="H392" t="s">
        <v>5506</v>
      </c>
      <c r="I392" t="s">
        <v>5403</v>
      </c>
      <c r="J392">
        <v>2026</v>
      </c>
      <c r="K392" t="s">
        <v>5717</v>
      </c>
      <c r="L392" t="s">
        <v>5718</v>
      </c>
      <c r="M392" t="s">
        <v>5406</v>
      </c>
      <c r="N392" s="1" t="s">
        <v>4565</v>
      </c>
      <c r="O392">
        <v>17.27</v>
      </c>
      <c r="P392">
        <v>4.29</v>
      </c>
      <c r="Q392">
        <v>3709</v>
      </c>
      <c r="R392">
        <v>118</v>
      </c>
      <c r="S392">
        <v>6.83</v>
      </c>
      <c r="T392" s="8">
        <v>74.09</v>
      </c>
      <c r="U392">
        <v>11198252</v>
      </c>
      <c r="V392" t="s">
        <v>5424</v>
      </c>
      <c r="W392" t="s">
        <v>5409</v>
      </c>
      <c r="X392" t="s">
        <v>5425</v>
      </c>
      <c r="Y392" t="s">
        <v>5411</v>
      </c>
      <c r="Z392" t="s">
        <v>5426</v>
      </c>
      <c r="AA392" t="s">
        <v>5413</v>
      </c>
      <c r="AB392" t="s">
        <v>5414</v>
      </c>
      <c r="AC392" t="s">
        <v>5414</v>
      </c>
      <c r="AD392" t="s">
        <v>5414</v>
      </c>
      <c r="AG392" t="s">
        <v>5427</v>
      </c>
      <c r="AI392" t="s">
        <v>5428</v>
      </c>
      <c r="AJ392" t="s">
        <v>5588</v>
      </c>
      <c r="AL392" t="s">
        <v>5418</v>
      </c>
      <c r="AN392" t="s">
        <v>5419</v>
      </c>
    </row>
    <row r="393" spans="1:40" x14ac:dyDescent="0.25">
      <c r="A393">
        <v>1087207314</v>
      </c>
      <c r="B393" t="s">
        <v>5399</v>
      </c>
      <c r="C393">
        <v>252406</v>
      </c>
      <c r="D393" t="s">
        <v>5400</v>
      </c>
      <c r="E393">
        <v>46220.559710648151</v>
      </c>
      <c r="F393" t="s">
        <v>5401</v>
      </c>
      <c r="G393" t="s">
        <v>3668</v>
      </c>
      <c r="H393" t="s">
        <v>5402</v>
      </c>
      <c r="I393" t="s">
        <v>5403</v>
      </c>
      <c r="J393">
        <v>2026</v>
      </c>
      <c r="K393" t="s">
        <v>5701</v>
      </c>
      <c r="L393" t="s">
        <v>5702</v>
      </c>
      <c r="M393" t="s">
        <v>5406</v>
      </c>
      <c r="N393" s="1" t="s">
        <v>4565</v>
      </c>
      <c r="O393">
        <v>28.89</v>
      </c>
      <c r="P393">
        <v>4.29</v>
      </c>
      <c r="Q393">
        <v>35291</v>
      </c>
      <c r="R393">
        <v>196</v>
      </c>
      <c r="S393">
        <v>6.78</v>
      </c>
      <c r="T393" s="8">
        <v>123.95</v>
      </c>
      <c r="U393">
        <v>12193017</v>
      </c>
      <c r="V393" t="s">
        <v>5574</v>
      </c>
      <c r="W393" t="s">
        <v>5409</v>
      </c>
      <c r="X393" t="s">
        <v>5575</v>
      </c>
      <c r="Y393" t="s">
        <v>5576</v>
      </c>
      <c r="Z393" t="s">
        <v>5472</v>
      </c>
      <c r="AA393" t="s">
        <v>5413</v>
      </c>
      <c r="AB393" t="s">
        <v>5414</v>
      </c>
      <c r="AC393" t="s">
        <v>5414</v>
      </c>
      <c r="AD393" t="s">
        <v>5414</v>
      </c>
      <c r="AG393" t="s">
        <v>5427</v>
      </c>
      <c r="AI393" t="s">
        <v>5577</v>
      </c>
      <c r="AJ393" t="s">
        <v>5417</v>
      </c>
      <c r="AL393" t="s">
        <v>5418</v>
      </c>
      <c r="AN393" t="s">
        <v>5419</v>
      </c>
    </row>
    <row r="394" spans="1:40" x14ac:dyDescent="0.25">
      <c r="A394">
        <v>1087217037</v>
      </c>
      <c r="B394" t="s">
        <v>5399</v>
      </c>
      <c r="C394">
        <v>252406</v>
      </c>
      <c r="D394" t="s">
        <v>5400</v>
      </c>
      <c r="E394">
        <v>46220.583344907405</v>
      </c>
      <c r="F394" t="s">
        <v>5505</v>
      </c>
      <c r="G394" t="s">
        <v>3668</v>
      </c>
      <c r="H394" t="s">
        <v>5506</v>
      </c>
      <c r="I394" t="s">
        <v>5403</v>
      </c>
      <c r="J394">
        <v>2026</v>
      </c>
      <c r="K394" t="s">
        <v>5507</v>
      </c>
      <c r="L394" t="s">
        <v>5508</v>
      </c>
      <c r="M394" t="s">
        <v>5406</v>
      </c>
      <c r="N394" s="1" t="s">
        <v>4565</v>
      </c>
      <c r="O394">
        <v>37</v>
      </c>
      <c r="P394">
        <v>4.25</v>
      </c>
      <c r="Q394">
        <v>5699</v>
      </c>
      <c r="R394">
        <v>263</v>
      </c>
      <c r="S394">
        <v>7.11</v>
      </c>
      <c r="T394" s="8">
        <v>157.25</v>
      </c>
      <c r="U394">
        <v>108758</v>
      </c>
      <c r="V394" t="s">
        <v>5470</v>
      </c>
      <c r="W394" t="s">
        <v>5409</v>
      </c>
      <c r="X394" t="s">
        <v>5471</v>
      </c>
      <c r="Y394" t="s">
        <v>5411</v>
      </c>
      <c r="Z394" t="s">
        <v>5472</v>
      </c>
      <c r="AA394" t="s">
        <v>5413</v>
      </c>
      <c r="AB394" t="s">
        <v>5414</v>
      </c>
      <c r="AC394" t="s">
        <v>5414</v>
      </c>
      <c r="AD394" t="s">
        <v>5414</v>
      </c>
      <c r="AG394" t="s">
        <v>5427</v>
      </c>
      <c r="AI394" t="s">
        <v>5473</v>
      </c>
      <c r="AJ394" t="s">
        <v>5509</v>
      </c>
      <c r="AL394" t="s">
        <v>5418</v>
      </c>
      <c r="AN394" t="s">
        <v>5419</v>
      </c>
    </row>
    <row r="395" spans="1:40" x14ac:dyDescent="0.25">
      <c r="A395">
        <v>1087209520</v>
      </c>
      <c r="B395" t="s">
        <v>5399</v>
      </c>
      <c r="C395">
        <v>252406</v>
      </c>
      <c r="D395" t="s">
        <v>5400</v>
      </c>
      <c r="E395">
        <v>46220.604814814818</v>
      </c>
      <c r="F395" t="s">
        <v>5477</v>
      </c>
      <c r="G395" t="s">
        <v>3668</v>
      </c>
      <c r="H395" t="s">
        <v>5478</v>
      </c>
      <c r="I395" t="s">
        <v>5403</v>
      </c>
      <c r="J395">
        <v>2015</v>
      </c>
      <c r="K395" t="s">
        <v>5479</v>
      </c>
      <c r="L395" t="s">
        <v>5480</v>
      </c>
      <c r="M395" t="s">
        <v>5406</v>
      </c>
      <c r="N395" s="1" t="s">
        <v>4565</v>
      </c>
      <c r="O395">
        <v>49</v>
      </c>
      <c r="P395">
        <v>4.09</v>
      </c>
      <c r="Q395">
        <v>250033</v>
      </c>
      <c r="R395">
        <v>462</v>
      </c>
      <c r="S395">
        <v>9.43</v>
      </c>
      <c r="T395" s="8">
        <v>200.41</v>
      </c>
      <c r="U395">
        <v>12227426</v>
      </c>
      <c r="V395" t="s">
        <v>5869</v>
      </c>
      <c r="W395" t="s">
        <v>5409</v>
      </c>
      <c r="X395" t="s">
        <v>5870</v>
      </c>
      <c r="Y395" t="s">
        <v>5871</v>
      </c>
      <c r="Z395" t="s">
        <v>5749</v>
      </c>
      <c r="AA395" t="s">
        <v>5413</v>
      </c>
      <c r="AB395" t="s">
        <v>5414</v>
      </c>
      <c r="AC395" t="s">
        <v>5414</v>
      </c>
      <c r="AD395" t="s">
        <v>5414</v>
      </c>
      <c r="AG395" t="s">
        <v>5415</v>
      </c>
      <c r="AI395" t="s">
        <v>5872</v>
      </c>
      <c r="AJ395" t="s">
        <v>5485</v>
      </c>
      <c r="AL395" t="s">
        <v>5418</v>
      </c>
      <c r="AN395" t="s">
        <v>5419</v>
      </c>
    </row>
    <row r="396" spans="1:40" x14ac:dyDescent="0.25">
      <c r="A396">
        <v>1087217016</v>
      </c>
      <c r="B396" t="s">
        <v>5399</v>
      </c>
      <c r="C396">
        <v>252406</v>
      </c>
      <c r="D396" t="s">
        <v>5400</v>
      </c>
      <c r="E396">
        <v>46220.6250462963</v>
      </c>
      <c r="F396" t="s">
        <v>5556</v>
      </c>
      <c r="G396" t="s">
        <v>3668</v>
      </c>
      <c r="H396" t="s">
        <v>5431</v>
      </c>
      <c r="I396" t="s">
        <v>5403</v>
      </c>
      <c r="J396">
        <v>2026</v>
      </c>
      <c r="K396" t="s">
        <v>5873</v>
      </c>
      <c r="L396" t="s">
        <v>5595</v>
      </c>
      <c r="M396" t="s">
        <v>5406</v>
      </c>
      <c r="N396" s="1" t="s">
        <v>4565</v>
      </c>
      <c r="O396">
        <v>19.11</v>
      </c>
      <c r="P396">
        <v>4.1890000000000001</v>
      </c>
      <c r="Q396">
        <v>11217</v>
      </c>
      <c r="R396">
        <v>102</v>
      </c>
      <c r="S396">
        <v>5.34</v>
      </c>
      <c r="T396" s="8">
        <v>80.069999999999993</v>
      </c>
      <c r="U396">
        <v>11040306</v>
      </c>
      <c r="V396" t="s">
        <v>5408</v>
      </c>
      <c r="W396" t="s">
        <v>5409</v>
      </c>
      <c r="X396" t="s">
        <v>5410</v>
      </c>
      <c r="Y396" t="s">
        <v>5411</v>
      </c>
      <c r="Z396" t="s">
        <v>5412</v>
      </c>
      <c r="AA396" t="s">
        <v>5413</v>
      </c>
      <c r="AB396" t="s">
        <v>5414</v>
      </c>
      <c r="AC396" t="s">
        <v>5414</v>
      </c>
      <c r="AD396" t="s">
        <v>5414</v>
      </c>
      <c r="AG396" t="s">
        <v>5415</v>
      </c>
      <c r="AI396" t="s">
        <v>5522</v>
      </c>
      <c r="AJ396" t="s">
        <v>5559</v>
      </c>
      <c r="AL396" t="s">
        <v>5418</v>
      </c>
      <c r="AN396" t="s">
        <v>5419</v>
      </c>
    </row>
    <row r="397" spans="1:40" x14ac:dyDescent="0.25">
      <c r="A397">
        <v>1087236164</v>
      </c>
      <c r="B397" t="s">
        <v>5399</v>
      </c>
      <c r="C397">
        <v>252406</v>
      </c>
      <c r="D397" t="s">
        <v>5400</v>
      </c>
      <c r="E397">
        <v>46220.626250000001</v>
      </c>
      <c r="F397" t="s">
        <v>5635</v>
      </c>
      <c r="G397" t="s">
        <v>3668</v>
      </c>
      <c r="H397" t="s">
        <v>5453</v>
      </c>
      <c r="I397" t="s">
        <v>5403</v>
      </c>
      <c r="J397">
        <v>2026</v>
      </c>
      <c r="K397" t="s">
        <v>5636</v>
      </c>
      <c r="L397" t="s">
        <v>5637</v>
      </c>
      <c r="M397" t="s">
        <v>5406</v>
      </c>
      <c r="N397" s="1" t="s">
        <v>4565</v>
      </c>
      <c r="O397">
        <v>35</v>
      </c>
      <c r="P397">
        <v>4.29</v>
      </c>
      <c r="Q397">
        <v>11628</v>
      </c>
      <c r="R397">
        <v>227</v>
      </c>
      <c r="S397">
        <v>6.49</v>
      </c>
      <c r="T397" s="8">
        <v>150.15</v>
      </c>
      <c r="U397">
        <v>11198252</v>
      </c>
      <c r="V397" t="s">
        <v>5424</v>
      </c>
      <c r="W397" t="s">
        <v>5409</v>
      </c>
      <c r="X397" t="s">
        <v>5425</v>
      </c>
      <c r="Y397" t="s">
        <v>5411</v>
      </c>
      <c r="Z397" t="s">
        <v>5426</v>
      </c>
      <c r="AA397" t="s">
        <v>5413</v>
      </c>
      <c r="AB397" t="s">
        <v>5414</v>
      </c>
      <c r="AC397" t="s">
        <v>5414</v>
      </c>
      <c r="AD397" t="s">
        <v>5414</v>
      </c>
      <c r="AG397" t="s">
        <v>5427</v>
      </c>
      <c r="AI397" t="s">
        <v>5428</v>
      </c>
      <c r="AJ397" t="s">
        <v>5638</v>
      </c>
      <c r="AL397" t="s">
        <v>5418</v>
      </c>
      <c r="AN397" t="s">
        <v>5419</v>
      </c>
    </row>
    <row r="398" spans="1:40" x14ac:dyDescent="0.25">
      <c r="A398">
        <v>1087244013</v>
      </c>
      <c r="B398" t="s">
        <v>5399</v>
      </c>
      <c r="C398">
        <v>252406</v>
      </c>
      <c r="D398" t="s">
        <v>5400</v>
      </c>
      <c r="E398">
        <v>46220.644409722219</v>
      </c>
      <c r="F398" t="s">
        <v>5466</v>
      </c>
      <c r="G398" t="s">
        <v>3668</v>
      </c>
      <c r="H398" t="s">
        <v>5467</v>
      </c>
      <c r="I398" t="s">
        <v>5403</v>
      </c>
      <c r="J398">
        <v>2025</v>
      </c>
      <c r="K398" t="s">
        <v>5837</v>
      </c>
      <c r="L398" t="s">
        <v>5838</v>
      </c>
      <c r="M398" t="s">
        <v>5406</v>
      </c>
      <c r="N398" s="1" t="s">
        <v>4565</v>
      </c>
      <c r="O398">
        <v>36.54</v>
      </c>
      <c r="P398">
        <v>4.29</v>
      </c>
      <c r="Q398">
        <v>64372</v>
      </c>
      <c r="R398">
        <v>143</v>
      </c>
      <c r="S398">
        <v>3.91</v>
      </c>
      <c r="T398" s="8">
        <v>156.76</v>
      </c>
      <c r="U398">
        <v>11198252</v>
      </c>
      <c r="V398" t="s">
        <v>5424</v>
      </c>
      <c r="W398" t="s">
        <v>5409</v>
      </c>
      <c r="X398" t="s">
        <v>5425</v>
      </c>
      <c r="Y398" t="s">
        <v>5411</v>
      </c>
      <c r="Z398" t="s">
        <v>5426</v>
      </c>
      <c r="AA398" t="s">
        <v>5413</v>
      </c>
      <c r="AB398" t="s">
        <v>5414</v>
      </c>
      <c r="AC398" t="s">
        <v>5414</v>
      </c>
      <c r="AD398" t="s">
        <v>5414</v>
      </c>
      <c r="AG398" t="s">
        <v>5427</v>
      </c>
      <c r="AI398" t="s">
        <v>5428</v>
      </c>
      <c r="AJ398" t="s">
        <v>5474</v>
      </c>
      <c r="AL398" t="s">
        <v>5418</v>
      </c>
      <c r="AN398" t="s">
        <v>5419</v>
      </c>
    </row>
    <row r="399" spans="1:40" x14ac:dyDescent="0.25">
      <c r="A399">
        <v>1087239612</v>
      </c>
      <c r="B399" t="s">
        <v>5399</v>
      </c>
      <c r="C399">
        <v>252406</v>
      </c>
      <c r="D399" t="s">
        <v>5400</v>
      </c>
      <c r="E399">
        <v>46220.676296296297</v>
      </c>
      <c r="F399" t="s">
        <v>5655</v>
      </c>
      <c r="G399" t="s">
        <v>3668</v>
      </c>
      <c r="H399" t="s">
        <v>5506</v>
      </c>
      <c r="I399" t="s">
        <v>5403</v>
      </c>
      <c r="J399">
        <v>2026</v>
      </c>
      <c r="K399" t="s">
        <v>5712</v>
      </c>
      <c r="L399" t="s">
        <v>5713</v>
      </c>
      <c r="M399" t="s">
        <v>5406</v>
      </c>
      <c r="N399" s="1" t="s">
        <v>4565</v>
      </c>
      <c r="O399">
        <v>18.88</v>
      </c>
      <c r="P399">
        <v>3.92</v>
      </c>
      <c r="Q399">
        <v>5545</v>
      </c>
      <c r="R399">
        <v>93</v>
      </c>
      <c r="S399">
        <v>4.93</v>
      </c>
      <c r="T399" s="8">
        <v>74.010000000000005</v>
      </c>
      <c r="U399">
        <v>490156</v>
      </c>
      <c r="V399" t="s">
        <v>5578</v>
      </c>
      <c r="W399" t="s">
        <v>5409</v>
      </c>
      <c r="X399" t="s">
        <v>5579</v>
      </c>
      <c r="Y399" t="s">
        <v>5458</v>
      </c>
      <c r="Z399" t="s">
        <v>5412</v>
      </c>
      <c r="AA399" t="s">
        <v>5413</v>
      </c>
      <c r="AB399" t="s">
        <v>5414</v>
      </c>
      <c r="AC399" t="s">
        <v>5414</v>
      </c>
      <c r="AD399" t="s">
        <v>5414</v>
      </c>
      <c r="AG399" t="s">
        <v>5415</v>
      </c>
      <c r="AI399" t="s">
        <v>5580</v>
      </c>
      <c r="AJ399" t="s">
        <v>5658</v>
      </c>
      <c r="AL399" t="s">
        <v>5418</v>
      </c>
      <c r="AN399" t="s">
        <v>5419</v>
      </c>
    </row>
    <row r="400" spans="1:40" x14ac:dyDescent="0.25">
      <c r="A400">
        <v>1087247109</v>
      </c>
      <c r="B400" t="s">
        <v>5399</v>
      </c>
      <c r="C400">
        <v>252406</v>
      </c>
      <c r="D400" t="s">
        <v>5400</v>
      </c>
      <c r="E400">
        <v>46220.690833333334</v>
      </c>
      <c r="F400" t="s">
        <v>5626</v>
      </c>
      <c r="G400" t="s">
        <v>3668</v>
      </c>
      <c r="H400" t="s">
        <v>5552</v>
      </c>
      <c r="I400" t="s">
        <v>5403</v>
      </c>
      <c r="J400">
        <v>2026</v>
      </c>
      <c r="K400" t="s">
        <v>5627</v>
      </c>
      <c r="L400" t="s">
        <v>5628</v>
      </c>
      <c r="M400" t="s">
        <v>5406</v>
      </c>
      <c r="N400" s="1" t="s">
        <v>4565</v>
      </c>
      <c r="O400">
        <v>45.83</v>
      </c>
      <c r="P400">
        <v>4.1890000000000001</v>
      </c>
      <c r="Q400">
        <v>22048</v>
      </c>
      <c r="R400">
        <v>191</v>
      </c>
      <c r="S400">
        <v>4.17</v>
      </c>
      <c r="T400" s="8">
        <v>192.02</v>
      </c>
      <c r="U400">
        <v>11040306</v>
      </c>
      <c r="V400" t="s">
        <v>5408</v>
      </c>
      <c r="W400" t="s">
        <v>5409</v>
      </c>
      <c r="X400" t="s">
        <v>5410</v>
      </c>
      <c r="Y400" t="s">
        <v>5411</v>
      </c>
      <c r="Z400" t="s">
        <v>5412</v>
      </c>
      <c r="AA400" t="s">
        <v>5413</v>
      </c>
      <c r="AB400" t="s">
        <v>5414</v>
      </c>
      <c r="AC400" t="s">
        <v>5414</v>
      </c>
      <c r="AD400" t="s">
        <v>5414</v>
      </c>
      <c r="AG400" t="s">
        <v>5415</v>
      </c>
      <c r="AI400" t="s">
        <v>5522</v>
      </c>
      <c r="AJ400" t="s">
        <v>5630</v>
      </c>
      <c r="AL400" t="s">
        <v>5418</v>
      </c>
      <c r="AN400" t="s">
        <v>5419</v>
      </c>
    </row>
    <row r="401" spans="1:40" x14ac:dyDescent="0.25">
      <c r="A401">
        <v>1087282848</v>
      </c>
      <c r="B401" t="s">
        <v>5399</v>
      </c>
      <c r="C401">
        <v>252406</v>
      </c>
      <c r="D401" t="s">
        <v>5400</v>
      </c>
      <c r="E401">
        <v>46220.729872685188</v>
      </c>
      <c r="F401" t="s">
        <v>5462</v>
      </c>
      <c r="G401" t="s">
        <v>3668</v>
      </c>
      <c r="H401" t="s">
        <v>5402</v>
      </c>
      <c r="I401" t="s">
        <v>5403</v>
      </c>
      <c r="J401">
        <v>2026</v>
      </c>
      <c r="K401" t="s">
        <v>5463</v>
      </c>
      <c r="L401" t="s">
        <v>5464</v>
      </c>
      <c r="M401" t="s">
        <v>5406</v>
      </c>
      <c r="N401" s="1" t="s">
        <v>4565</v>
      </c>
      <c r="O401">
        <v>33.21</v>
      </c>
      <c r="P401">
        <v>4.66</v>
      </c>
      <c r="Q401">
        <v>28221</v>
      </c>
      <c r="R401">
        <v>140</v>
      </c>
      <c r="S401">
        <v>4.22</v>
      </c>
      <c r="T401" s="8">
        <v>154.76</v>
      </c>
      <c r="U401">
        <v>11120083</v>
      </c>
      <c r="V401" t="s">
        <v>5596</v>
      </c>
      <c r="W401" t="s">
        <v>5409</v>
      </c>
      <c r="X401" t="s">
        <v>5597</v>
      </c>
      <c r="Y401" t="s">
        <v>5458</v>
      </c>
      <c r="Z401" t="s">
        <v>5598</v>
      </c>
      <c r="AA401" t="s">
        <v>5413</v>
      </c>
      <c r="AB401" t="s">
        <v>5414</v>
      </c>
      <c r="AC401" t="s">
        <v>5414</v>
      </c>
      <c r="AD401" t="s">
        <v>5414</v>
      </c>
      <c r="AG401" t="s">
        <v>5427</v>
      </c>
      <c r="AI401" t="s">
        <v>5599</v>
      </c>
      <c r="AJ401" t="s">
        <v>5465</v>
      </c>
      <c r="AL401" t="s">
        <v>5418</v>
      </c>
      <c r="AN401" t="s">
        <v>5419</v>
      </c>
    </row>
    <row r="402" spans="1:40" x14ac:dyDescent="0.25">
      <c r="A402">
        <v>1087287259</v>
      </c>
      <c r="B402" t="s">
        <v>5399</v>
      </c>
      <c r="C402">
        <v>252406</v>
      </c>
      <c r="D402" t="s">
        <v>5400</v>
      </c>
      <c r="E402">
        <v>46220.737361111111</v>
      </c>
      <c r="F402" t="s">
        <v>5560</v>
      </c>
      <c r="G402" t="s">
        <v>3668</v>
      </c>
      <c r="H402" t="s">
        <v>5561</v>
      </c>
      <c r="I402" t="s">
        <v>5403</v>
      </c>
      <c r="J402">
        <v>2026</v>
      </c>
      <c r="K402" t="s">
        <v>5562</v>
      </c>
      <c r="L402" t="s">
        <v>5563</v>
      </c>
      <c r="M402" t="s">
        <v>5406</v>
      </c>
      <c r="N402" s="1" t="s">
        <v>4565</v>
      </c>
      <c r="O402">
        <v>44.88</v>
      </c>
      <c r="P402">
        <v>4.6589999999999998</v>
      </c>
      <c r="Q402">
        <v>21299</v>
      </c>
      <c r="R402">
        <v>370</v>
      </c>
      <c r="S402">
        <v>8.24</v>
      </c>
      <c r="T402" s="8">
        <v>209.14</v>
      </c>
      <c r="U402">
        <v>11120083</v>
      </c>
      <c r="V402" t="s">
        <v>5596</v>
      </c>
      <c r="W402" t="s">
        <v>5409</v>
      </c>
      <c r="X402" t="s">
        <v>5597</v>
      </c>
      <c r="Y402" t="s">
        <v>5458</v>
      </c>
      <c r="Z402" t="s">
        <v>5598</v>
      </c>
      <c r="AA402" t="s">
        <v>5413</v>
      </c>
      <c r="AB402" t="s">
        <v>5414</v>
      </c>
      <c r="AC402" t="s">
        <v>5414</v>
      </c>
      <c r="AD402" t="s">
        <v>5414</v>
      </c>
      <c r="AG402" t="s">
        <v>5427</v>
      </c>
      <c r="AI402" t="s">
        <v>5599</v>
      </c>
      <c r="AJ402" t="s">
        <v>5564</v>
      </c>
      <c r="AL402" t="s">
        <v>5418</v>
      </c>
      <c r="AN402" t="s">
        <v>5419</v>
      </c>
    </row>
    <row r="403" spans="1:40" x14ac:dyDescent="0.25">
      <c r="A403">
        <v>1087289063</v>
      </c>
      <c r="B403" t="s">
        <v>5399</v>
      </c>
      <c r="C403">
        <v>252406</v>
      </c>
      <c r="D403" t="s">
        <v>5400</v>
      </c>
      <c r="E403">
        <v>46220.785219907404</v>
      </c>
      <c r="F403" t="s">
        <v>5651</v>
      </c>
      <c r="G403" t="s">
        <v>3668</v>
      </c>
      <c r="H403" t="s">
        <v>5467</v>
      </c>
      <c r="I403" t="s">
        <v>5403</v>
      </c>
      <c r="J403">
        <v>2026</v>
      </c>
      <c r="K403" t="s">
        <v>5738</v>
      </c>
      <c r="L403" t="s">
        <v>5739</v>
      </c>
      <c r="M403" t="s">
        <v>5406</v>
      </c>
      <c r="N403" s="1" t="s">
        <v>4565</v>
      </c>
      <c r="O403">
        <v>43.1</v>
      </c>
      <c r="P403">
        <v>4.29</v>
      </c>
      <c r="Q403">
        <v>48081</v>
      </c>
      <c r="R403">
        <v>404</v>
      </c>
      <c r="S403">
        <v>9.3699999999999992</v>
      </c>
      <c r="T403" s="8">
        <v>184.9</v>
      </c>
      <c r="U403">
        <v>491721</v>
      </c>
      <c r="V403" t="s">
        <v>5438</v>
      </c>
      <c r="W403" t="s">
        <v>5409</v>
      </c>
      <c r="X403" t="s">
        <v>5439</v>
      </c>
      <c r="Y403" t="s">
        <v>5440</v>
      </c>
      <c r="Z403" t="s">
        <v>5441</v>
      </c>
      <c r="AA403" t="s">
        <v>5413</v>
      </c>
      <c r="AB403" t="s">
        <v>5414</v>
      </c>
      <c r="AC403" t="s">
        <v>5414</v>
      </c>
      <c r="AD403" t="s">
        <v>5414</v>
      </c>
      <c r="AG403" t="s">
        <v>5415</v>
      </c>
      <c r="AI403" t="s">
        <v>5460</v>
      </c>
      <c r="AJ403" t="s">
        <v>5654</v>
      </c>
      <c r="AL403" t="s">
        <v>5418</v>
      </c>
      <c r="AN403" t="s">
        <v>5419</v>
      </c>
    </row>
    <row r="404" spans="1:40" x14ac:dyDescent="0.25">
      <c r="A404">
        <v>1087299487</v>
      </c>
      <c r="B404" t="s">
        <v>5399</v>
      </c>
      <c r="C404">
        <v>252406</v>
      </c>
      <c r="D404" t="s">
        <v>5400</v>
      </c>
      <c r="E404">
        <v>46220.827986111108</v>
      </c>
      <c r="F404" t="s">
        <v>5486</v>
      </c>
      <c r="G404" t="s">
        <v>3668</v>
      </c>
      <c r="H404" t="s">
        <v>5487</v>
      </c>
      <c r="I404" t="s">
        <v>5403</v>
      </c>
      <c r="J404">
        <v>2025</v>
      </c>
      <c r="K404" t="s">
        <v>5488</v>
      </c>
      <c r="L404" t="s">
        <v>5489</v>
      </c>
      <c r="M404" t="s">
        <v>5406</v>
      </c>
      <c r="N404" s="1" t="s">
        <v>4565</v>
      </c>
      <c r="O404">
        <v>37.47</v>
      </c>
      <c r="P404">
        <v>4.59</v>
      </c>
      <c r="Q404">
        <v>56726</v>
      </c>
      <c r="R404">
        <v>434</v>
      </c>
      <c r="S404">
        <v>11.58</v>
      </c>
      <c r="T404" s="8">
        <v>171.99</v>
      </c>
      <c r="U404">
        <v>11594379</v>
      </c>
      <c r="V404" t="s">
        <v>5874</v>
      </c>
      <c r="W404" t="s">
        <v>5409</v>
      </c>
      <c r="X404" t="s">
        <v>5875</v>
      </c>
      <c r="Y404" t="s">
        <v>5458</v>
      </c>
      <c r="Z404" t="s">
        <v>5441</v>
      </c>
      <c r="AA404" t="s">
        <v>5413</v>
      </c>
      <c r="AB404" t="s">
        <v>5414</v>
      </c>
      <c r="AC404" t="s">
        <v>5414</v>
      </c>
      <c r="AD404" t="s">
        <v>5414</v>
      </c>
      <c r="AG404" t="s">
        <v>5415</v>
      </c>
      <c r="AI404" t="s">
        <v>5876</v>
      </c>
      <c r="AJ404" t="s">
        <v>5493</v>
      </c>
      <c r="AL404" t="s">
        <v>5418</v>
      </c>
      <c r="AN404" t="s">
        <v>5419</v>
      </c>
    </row>
    <row r="405" spans="1:40" x14ac:dyDescent="0.25">
      <c r="A405">
        <v>1087300511</v>
      </c>
      <c r="B405" t="s">
        <v>5399</v>
      </c>
      <c r="C405">
        <v>252406</v>
      </c>
      <c r="D405" t="s">
        <v>5400</v>
      </c>
      <c r="E405">
        <v>46220.834039351852</v>
      </c>
      <c r="F405" t="s">
        <v>5475</v>
      </c>
      <c r="G405" t="s">
        <v>3668</v>
      </c>
      <c r="H405" t="s">
        <v>5467</v>
      </c>
      <c r="I405" t="s">
        <v>5403</v>
      </c>
      <c r="J405">
        <v>2026</v>
      </c>
      <c r="K405" t="s">
        <v>5468</v>
      </c>
      <c r="L405" t="s">
        <v>5469</v>
      </c>
      <c r="M405" t="s">
        <v>5406</v>
      </c>
      <c r="N405" s="1" t="s">
        <v>4565</v>
      </c>
      <c r="O405">
        <v>49.65</v>
      </c>
      <c r="P405">
        <v>4.49</v>
      </c>
      <c r="Q405">
        <v>35749</v>
      </c>
      <c r="R405">
        <v>319</v>
      </c>
      <c r="S405">
        <v>6.42</v>
      </c>
      <c r="T405" s="8">
        <v>222.93</v>
      </c>
      <c r="U405">
        <v>578355</v>
      </c>
      <c r="V405" t="s">
        <v>5481</v>
      </c>
      <c r="W405" t="s">
        <v>5409</v>
      </c>
      <c r="X405" t="s">
        <v>5482</v>
      </c>
      <c r="Y405" t="s">
        <v>5411</v>
      </c>
      <c r="Z405" t="s">
        <v>5483</v>
      </c>
      <c r="AA405" t="s">
        <v>5413</v>
      </c>
      <c r="AB405" t="s">
        <v>5414</v>
      </c>
      <c r="AC405" t="s">
        <v>5414</v>
      </c>
      <c r="AD405" t="s">
        <v>5414</v>
      </c>
      <c r="AG405" t="s">
        <v>5415</v>
      </c>
      <c r="AI405" t="s">
        <v>5484</v>
      </c>
      <c r="AJ405" t="s">
        <v>5697</v>
      </c>
      <c r="AL405" t="s">
        <v>5418</v>
      </c>
      <c r="AN405" t="s">
        <v>5419</v>
      </c>
    </row>
    <row r="406" spans="1:40" x14ac:dyDescent="0.25">
      <c r="A406">
        <v>1087314094</v>
      </c>
      <c r="B406" t="s">
        <v>5399</v>
      </c>
      <c r="C406">
        <v>252406</v>
      </c>
      <c r="D406" t="s">
        <v>5400</v>
      </c>
      <c r="E406">
        <v>46220.912361111114</v>
      </c>
      <c r="F406" t="s">
        <v>5530</v>
      </c>
      <c r="G406" t="s">
        <v>3668</v>
      </c>
      <c r="H406" t="s">
        <v>5431</v>
      </c>
      <c r="I406" t="s">
        <v>5403</v>
      </c>
      <c r="J406">
        <v>2025</v>
      </c>
      <c r="K406" t="s">
        <v>5531</v>
      </c>
      <c r="L406" t="s">
        <v>5532</v>
      </c>
      <c r="M406" t="s">
        <v>5406</v>
      </c>
      <c r="N406" s="1" t="s">
        <v>4565</v>
      </c>
      <c r="O406">
        <v>41.88</v>
      </c>
      <c r="P406">
        <v>4.25</v>
      </c>
      <c r="Q406">
        <v>108601</v>
      </c>
      <c r="R406">
        <v>377</v>
      </c>
      <c r="S406">
        <v>9</v>
      </c>
      <c r="T406" s="8">
        <v>177.99</v>
      </c>
      <c r="U406">
        <v>108758</v>
      </c>
      <c r="V406" t="s">
        <v>5470</v>
      </c>
      <c r="W406" t="s">
        <v>5409</v>
      </c>
      <c r="X406" t="s">
        <v>5471</v>
      </c>
      <c r="Y406" t="s">
        <v>5411</v>
      </c>
      <c r="Z406" t="s">
        <v>5472</v>
      </c>
      <c r="AA406" t="s">
        <v>5413</v>
      </c>
      <c r="AB406" t="s">
        <v>5414</v>
      </c>
      <c r="AC406" t="s">
        <v>5414</v>
      </c>
      <c r="AD406" t="s">
        <v>5414</v>
      </c>
      <c r="AG406" t="s">
        <v>5427</v>
      </c>
      <c r="AI406" t="s">
        <v>5473</v>
      </c>
      <c r="AJ406" t="s">
        <v>5533</v>
      </c>
      <c r="AL406" t="s">
        <v>5418</v>
      </c>
      <c r="AN406" t="s">
        <v>5419</v>
      </c>
    </row>
    <row r="407" spans="1:40" x14ac:dyDescent="0.25">
      <c r="A407">
        <v>1087313562</v>
      </c>
      <c r="B407" t="s">
        <v>5399</v>
      </c>
      <c r="C407">
        <v>252406</v>
      </c>
      <c r="D407" t="s">
        <v>5400</v>
      </c>
      <c r="E407">
        <v>46220.941886574074</v>
      </c>
      <c r="F407" t="s">
        <v>5477</v>
      </c>
      <c r="G407" t="s">
        <v>3668</v>
      </c>
      <c r="H407" t="s">
        <v>5478</v>
      </c>
      <c r="I407" t="s">
        <v>5403</v>
      </c>
      <c r="J407">
        <v>2015</v>
      </c>
      <c r="K407" t="s">
        <v>5479</v>
      </c>
      <c r="L407" t="s">
        <v>5480</v>
      </c>
      <c r="M407" t="s">
        <v>5406</v>
      </c>
      <c r="N407" s="1" t="s">
        <v>4565</v>
      </c>
      <c r="O407">
        <v>22.28</v>
      </c>
      <c r="P407">
        <v>4.49</v>
      </c>
      <c r="Q407">
        <v>250445</v>
      </c>
      <c r="R407">
        <v>412</v>
      </c>
      <c r="S407">
        <v>18.489999999999998</v>
      </c>
      <c r="T407" s="8">
        <v>100.04</v>
      </c>
      <c r="U407">
        <v>578355</v>
      </c>
      <c r="V407" t="s">
        <v>5481</v>
      </c>
      <c r="W407" t="s">
        <v>5409</v>
      </c>
      <c r="X407" t="s">
        <v>5482</v>
      </c>
      <c r="Y407" t="s">
        <v>5411</v>
      </c>
      <c r="Z407" t="s">
        <v>5483</v>
      </c>
      <c r="AA407" t="s">
        <v>5413</v>
      </c>
      <c r="AB407" t="s">
        <v>5414</v>
      </c>
      <c r="AC407" t="s">
        <v>5414</v>
      </c>
      <c r="AD407" t="s">
        <v>5414</v>
      </c>
      <c r="AG407" t="s">
        <v>5415</v>
      </c>
      <c r="AI407" t="s">
        <v>5484</v>
      </c>
      <c r="AJ407" t="s">
        <v>5485</v>
      </c>
      <c r="AL407" t="s">
        <v>5418</v>
      </c>
      <c r="AN407" t="s">
        <v>5419</v>
      </c>
    </row>
    <row r="408" spans="1:40" x14ac:dyDescent="0.25">
      <c r="A408">
        <v>1087328104</v>
      </c>
      <c r="B408" t="s">
        <v>5399</v>
      </c>
      <c r="C408">
        <v>252406</v>
      </c>
      <c r="D408" t="s">
        <v>5400</v>
      </c>
      <c r="E408">
        <v>46221.255995370368</v>
      </c>
      <c r="F408" t="s">
        <v>5617</v>
      </c>
      <c r="G408" t="s">
        <v>3668</v>
      </c>
      <c r="H408" t="s">
        <v>5467</v>
      </c>
      <c r="I408" t="s">
        <v>5403</v>
      </c>
      <c r="J408">
        <v>2026</v>
      </c>
      <c r="K408" t="s">
        <v>5618</v>
      </c>
      <c r="L408" t="s">
        <v>5619</v>
      </c>
      <c r="M408" t="s">
        <v>5406</v>
      </c>
      <c r="N408" s="1" t="s">
        <v>4565</v>
      </c>
      <c r="O408">
        <v>41.42</v>
      </c>
      <c r="P408">
        <v>4.25</v>
      </c>
      <c r="Q408">
        <v>55768</v>
      </c>
      <c r="R408">
        <v>252</v>
      </c>
      <c r="S408">
        <v>6.08</v>
      </c>
      <c r="T408" s="8">
        <v>176.04</v>
      </c>
      <c r="U408">
        <v>108758</v>
      </c>
      <c r="V408" t="s">
        <v>5470</v>
      </c>
      <c r="W408" t="s">
        <v>5409</v>
      </c>
      <c r="X408" t="s">
        <v>5471</v>
      </c>
      <c r="Y408" t="s">
        <v>5411</v>
      </c>
      <c r="Z408" t="s">
        <v>5472</v>
      </c>
      <c r="AA408" t="s">
        <v>5413</v>
      </c>
      <c r="AB408" t="s">
        <v>5414</v>
      </c>
      <c r="AC408" t="s">
        <v>5414</v>
      </c>
      <c r="AD408" t="s">
        <v>5414</v>
      </c>
      <c r="AG408" t="s">
        <v>5427</v>
      </c>
      <c r="AI408" t="s">
        <v>5473</v>
      </c>
      <c r="AJ408" t="s">
        <v>5620</v>
      </c>
      <c r="AL408" t="s">
        <v>5418</v>
      </c>
      <c r="AN408" t="s">
        <v>5419</v>
      </c>
    </row>
    <row r="409" spans="1:40" x14ac:dyDescent="0.25">
      <c r="A409">
        <v>1087330453</v>
      </c>
      <c r="B409" t="s">
        <v>5399</v>
      </c>
      <c r="C409">
        <v>252406</v>
      </c>
      <c r="D409" t="s">
        <v>5400</v>
      </c>
      <c r="E409">
        <v>46221.271226851852</v>
      </c>
      <c r="F409" t="s">
        <v>5475</v>
      </c>
      <c r="G409" t="s">
        <v>3668</v>
      </c>
      <c r="H409" t="s">
        <v>5467</v>
      </c>
      <c r="I409" t="s">
        <v>5403</v>
      </c>
      <c r="J409">
        <v>2026</v>
      </c>
      <c r="K409" t="s">
        <v>5468</v>
      </c>
      <c r="L409" t="s">
        <v>5469</v>
      </c>
      <c r="M409" t="s">
        <v>5406</v>
      </c>
      <c r="N409" s="1" t="s">
        <v>4565</v>
      </c>
      <c r="O409">
        <v>41.9</v>
      </c>
      <c r="P409">
        <v>4.25</v>
      </c>
      <c r="Q409">
        <v>36050</v>
      </c>
      <c r="R409">
        <v>301</v>
      </c>
      <c r="S409">
        <v>7.18</v>
      </c>
      <c r="T409" s="8">
        <v>178.08</v>
      </c>
      <c r="U409">
        <v>108758</v>
      </c>
      <c r="V409" t="s">
        <v>5470</v>
      </c>
      <c r="W409" t="s">
        <v>5409</v>
      </c>
      <c r="X409" t="s">
        <v>5471</v>
      </c>
      <c r="Y409" t="s">
        <v>5411</v>
      </c>
      <c r="Z409" t="s">
        <v>5472</v>
      </c>
      <c r="AA409" t="s">
        <v>5413</v>
      </c>
      <c r="AB409" t="s">
        <v>5414</v>
      </c>
      <c r="AC409" t="s">
        <v>5414</v>
      </c>
      <c r="AD409" t="s">
        <v>5414</v>
      </c>
      <c r="AG409" t="s">
        <v>5427</v>
      </c>
      <c r="AI409" t="s">
        <v>5473</v>
      </c>
      <c r="AJ409" t="s">
        <v>5697</v>
      </c>
      <c r="AL409" t="s">
        <v>5418</v>
      </c>
      <c r="AN409" t="s">
        <v>5419</v>
      </c>
    </row>
    <row r="410" spans="1:40" x14ac:dyDescent="0.25">
      <c r="A410">
        <v>1087330596</v>
      </c>
      <c r="B410" t="s">
        <v>5399</v>
      </c>
      <c r="C410">
        <v>252406</v>
      </c>
      <c r="D410" t="s">
        <v>5400</v>
      </c>
      <c r="E410">
        <v>46221.271840277775</v>
      </c>
      <c r="F410" t="s">
        <v>5401</v>
      </c>
      <c r="G410" t="s">
        <v>3668</v>
      </c>
      <c r="H410" t="s">
        <v>5402</v>
      </c>
      <c r="I410" t="s">
        <v>5403</v>
      </c>
      <c r="J410">
        <v>2026</v>
      </c>
      <c r="K410" t="s">
        <v>5687</v>
      </c>
      <c r="L410" t="s">
        <v>5688</v>
      </c>
      <c r="M410" t="s">
        <v>5406</v>
      </c>
      <c r="N410" s="1" t="s">
        <v>4565</v>
      </c>
      <c r="O410">
        <v>31.39</v>
      </c>
      <c r="P410">
        <v>4.2889999999999997</v>
      </c>
      <c r="Q410">
        <v>35444</v>
      </c>
      <c r="R410">
        <v>153</v>
      </c>
      <c r="S410">
        <v>4.87</v>
      </c>
      <c r="T410" s="8">
        <v>134.66</v>
      </c>
      <c r="U410">
        <v>11198252</v>
      </c>
      <c r="V410" t="s">
        <v>5424</v>
      </c>
      <c r="W410" t="s">
        <v>5409</v>
      </c>
      <c r="X410" t="s">
        <v>5425</v>
      </c>
      <c r="Y410" t="s">
        <v>5411</v>
      </c>
      <c r="Z410" t="s">
        <v>5426</v>
      </c>
      <c r="AA410" t="s">
        <v>5413</v>
      </c>
      <c r="AB410" t="s">
        <v>5414</v>
      </c>
      <c r="AC410" t="s">
        <v>5414</v>
      </c>
      <c r="AD410" t="s">
        <v>5414</v>
      </c>
      <c r="AG410" t="s">
        <v>5427</v>
      </c>
      <c r="AI410" t="s">
        <v>5428</v>
      </c>
      <c r="AJ410" t="s">
        <v>5417</v>
      </c>
      <c r="AL410" t="s">
        <v>5418</v>
      </c>
      <c r="AN410" t="s">
        <v>5419</v>
      </c>
    </row>
    <row r="411" spans="1:40" x14ac:dyDescent="0.25">
      <c r="A411">
        <v>1087338136</v>
      </c>
      <c r="B411" t="s">
        <v>5399</v>
      </c>
      <c r="C411">
        <v>252406</v>
      </c>
      <c r="D411" t="s">
        <v>5400</v>
      </c>
      <c r="E411">
        <v>46221.306712962964</v>
      </c>
      <c r="F411" t="s">
        <v>5435</v>
      </c>
      <c r="G411" t="s">
        <v>3668</v>
      </c>
      <c r="H411" t="s">
        <v>5421</v>
      </c>
      <c r="I411" t="s">
        <v>5403</v>
      </c>
      <c r="J411">
        <v>2026</v>
      </c>
      <c r="K411" t="s">
        <v>5436</v>
      </c>
      <c r="L411" t="s">
        <v>5437</v>
      </c>
      <c r="M411" t="s">
        <v>5406</v>
      </c>
      <c r="N411" s="1" t="s">
        <v>4565</v>
      </c>
      <c r="O411">
        <v>34.159999999999997</v>
      </c>
      <c r="P411">
        <v>4.66</v>
      </c>
      <c r="Q411">
        <v>49546</v>
      </c>
      <c r="R411">
        <v>158</v>
      </c>
      <c r="S411">
        <v>4.63</v>
      </c>
      <c r="T411" s="8">
        <v>159.19</v>
      </c>
      <c r="U411">
        <v>11120083</v>
      </c>
      <c r="V411" t="s">
        <v>5596</v>
      </c>
      <c r="W411" t="s">
        <v>5409</v>
      </c>
      <c r="X411" t="s">
        <v>5597</v>
      </c>
      <c r="Y411" t="s">
        <v>5458</v>
      </c>
      <c r="Z411" t="s">
        <v>5598</v>
      </c>
      <c r="AA411" t="s">
        <v>5413</v>
      </c>
      <c r="AB411" t="s">
        <v>5414</v>
      </c>
      <c r="AC411" t="s">
        <v>5414</v>
      </c>
      <c r="AD411" t="s">
        <v>5414</v>
      </c>
      <c r="AG411" t="s">
        <v>5427</v>
      </c>
      <c r="AI411" t="s">
        <v>5599</v>
      </c>
      <c r="AJ411" t="s">
        <v>5443</v>
      </c>
      <c r="AL411" t="s">
        <v>5418</v>
      </c>
      <c r="AN411" t="s">
        <v>5419</v>
      </c>
    </row>
    <row r="412" spans="1:40" x14ac:dyDescent="0.25">
      <c r="A412">
        <v>1087329793</v>
      </c>
      <c r="B412" t="s">
        <v>5399</v>
      </c>
      <c r="C412">
        <v>252406</v>
      </c>
      <c r="D412" t="s">
        <v>5400</v>
      </c>
      <c r="E412">
        <v>46221.309328703705</v>
      </c>
      <c r="F412" t="s">
        <v>5420</v>
      </c>
      <c r="G412" t="s">
        <v>3668</v>
      </c>
      <c r="H412" t="s">
        <v>5421</v>
      </c>
      <c r="I412" t="s">
        <v>5403</v>
      </c>
      <c r="J412">
        <v>2025</v>
      </c>
      <c r="K412" t="s">
        <v>5652</v>
      </c>
      <c r="L412" t="s">
        <v>5653</v>
      </c>
      <c r="M412" t="s">
        <v>5406</v>
      </c>
      <c r="N412" s="1" t="s">
        <v>4565</v>
      </c>
      <c r="O412">
        <v>23.06</v>
      </c>
      <c r="P412">
        <v>4.1890000000000001</v>
      </c>
      <c r="Q412">
        <v>70787</v>
      </c>
      <c r="R412">
        <v>252</v>
      </c>
      <c r="S412">
        <v>10.93</v>
      </c>
      <c r="T412" s="8">
        <v>96.62</v>
      </c>
      <c r="U412">
        <v>11040306</v>
      </c>
      <c r="V412" t="s">
        <v>5408</v>
      </c>
      <c r="W412" t="s">
        <v>5409</v>
      </c>
      <c r="X412" t="s">
        <v>5410</v>
      </c>
      <c r="Y412" t="s">
        <v>5411</v>
      </c>
      <c r="Z412" t="s">
        <v>5412</v>
      </c>
      <c r="AA412" t="s">
        <v>5413</v>
      </c>
      <c r="AB412" t="s">
        <v>5414</v>
      </c>
      <c r="AC412" t="s">
        <v>5414</v>
      </c>
      <c r="AD412" t="s">
        <v>5414</v>
      </c>
      <c r="AG412" t="s">
        <v>5415</v>
      </c>
      <c r="AI412" t="s">
        <v>5460</v>
      </c>
      <c r="AJ412" t="s">
        <v>5429</v>
      </c>
      <c r="AL412" t="s">
        <v>5418</v>
      </c>
      <c r="AN412" t="s">
        <v>5419</v>
      </c>
    </row>
    <row r="413" spans="1:40" x14ac:dyDescent="0.25">
      <c r="A413">
        <v>1087330772</v>
      </c>
      <c r="B413" t="s">
        <v>5399</v>
      </c>
      <c r="C413">
        <v>252406</v>
      </c>
      <c r="D413" t="s">
        <v>5400</v>
      </c>
      <c r="E413">
        <v>46221.314629629633</v>
      </c>
      <c r="F413" t="s">
        <v>5740</v>
      </c>
      <c r="G413" t="s">
        <v>3668</v>
      </c>
      <c r="H413" t="s">
        <v>5431</v>
      </c>
      <c r="I413" t="s">
        <v>5403</v>
      </c>
      <c r="J413">
        <v>2026</v>
      </c>
      <c r="K413" t="s">
        <v>5557</v>
      </c>
      <c r="L413" t="s">
        <v>5558</v>
      </c>
      <c r="M413" t="s">
        <v>5406</v>
      </c>
      <c r="N413" s="1" t="s">
        <v>4565</v>
      </c>
      <c r="O413">
        <v>42.86</v>
      </c>
      <c r="P413">
        <v>4.1890000000000001</v>
      </c>
      <c r="Q413">
        <v>31595</v>
      </c>
      <c r="R413">
        <v>381</v>
      </c>
      <c r="S413">
        <v>8.89</v>
      </c>
      <c r="T413" s="8">
        <v>179.58</v>
      </c>
      <c r="U413">
        <v>11040306</v>
      </c>
      <c r="V413" t="s">
        <v>5408</v>
      </c>
      <c r="W413" t="s">
        <v>5409</v>
      </c>
      <c r="X413" t="s">
        <v>5410</v>
      </c>
      <c r="Y413" t="s">
        <v>5411</v>
      </c>
      <c r="Z413" t="s">
        <v>5412</v>
      </c>
      <c r="AA413" t="s">
        <v>5413</v>
      </c>
      <c r="AB413" t="s">
        <v>5414</v>
      </c>
      <c r="AC413" t="s">
        <v>5414</v>
      </c>
      <c r="AD413" t="s">
        <v>5414</v>
      </c>
      <c r="AG413" t="s">
        <v>5415</v>
      </c>
      <c r="AI413" t="s">
        <v>5460</v>
      </c>
      <c r="AJ413" t="s">
        <v>5742</v>
      </c>
      <c r="AL413" t="s">
        <v>5418</v>
      </c>
      <c r="AN413" t="s">
        <v>5419</v>
      </c>
    </row>
    <row r="414" spans="1:40" x14ac:dyDescent="0.25">
      <c r="A414">
        <v>1087338333</v>
      </c>
      <c r="B414" t="s">
        <v>5399</v>
      </c>
      <c r="C414">
        <v>252406</v>
      </c>
      <c r="D414" t="s">
        <v>5400</v>
      </c>
      <c r="E414">
        <v>46221.349537037036</v>
      </c>
      <c r="F414" t="s">
        <v>5693</v>
      </c>
      <c r="G414" t="s">
        <v>3668</v>
      </c>
      <c r="H414" t="s">
        <v>5431</v>
      </c>
      <c r="I414" t="s">
        <v>5403</v>
      </c>
      <c r="J414">
        <v>2025</v>
      </c>
      <c r="K414" t="s">
        <v>5694</v>
      </c>
      <c r="L414" t="s">
        <v>5695</v>
      </c>
      <c r="M414" t="s">
        <v>5406</v>
      </c>
      <c r="N414" s="1" t="s">
        <v>4565</v>
      </c>
      <c r="O414">
        <v>42.7</v>
      </c>
      <c r="P414">
        <v>4.1890000000000001</v>
      </c>
      <c r="Q414">
        <v>55104</v>
      </c>
      <c r="R414">
        <v>305</v>
      </c>
      <c r="S414">
        <v>7.14</v>
      </c>
      <c r="T414" s="8">
        <v>178.91</v>
      </c>
      <c r="U414">
        <v>11040306</v>
      </c>
      <c r="V414" t="s">
        <v>5408</v>
      </c>
      <c r="W414" t="s">
        <v>5409</v>
      </c>
      <c r="X414" t="s">
        <v>5410</v>
      </c>
      <c r="Y414" t="s">
        <v>5411</v>
      </c>
      <c r="Z414" t="s">
        <v>5412</v>
      </c>
      <c r="AA414" t="s">
        <v>5413</v>
      </c>
      <c r="AB414" t="s">
        <v>5414</v>
      </c>
      <c r="AC414" t="s">
        <v>5414</v>
      </c>
      <c r="AD414" t="s">
        <v>5414</v>
      </c>
      <c r="AG414" t="s">
        <v>5415</v>
      </c>
      <c r="AI414" t="s">
        <v>5460</v>
      </c>
      <c r="AJ414" t="s">
        <v>5696</v>
      </c>
      <c r="AL414" t="s">
        <v>5418</v>
      </c>
      <c r="AN414" t="s">
        <v>5419</v>
      </c>
    </row>
    <row r="415" spans="1:40" x14ac:dyDescent="0.25">
      <c r="A415">
        <v>1087338625</v>
      </c>
      <c r="B415" t="s">
        <v>5399</v>
      </c>
      <c r="C415">
        <v>252406</v>
      </c>
      <c r="D415" t="s">
        <v>5400</v>
      </c>
      <c r="E415">
        <v>46221.350891203707</v>
      </c>
      <c r="F415" t="s">
        <v>5462</v>
      </c>
      <c r="G415" t="s">
        <v>3668</v>
      </c>
      <c r="H415" t="s">
        <v>5402</v>
      </c>
      <c r="I415" t="s">
        <v>5403</v>
      </c>
      <c r="J415">
        <v>2026</v>
      </c>
      <c r="K415" t="s">
        <v>5463</v>
      </c>
      <c r="L415" t="s">
        <v>5464</v>
      </c>
      <c r="M415" t="s">
        <v>5406</v>
      </c>
      <c r="N415" s="1" t="s">
        <v>4565</v>
      </c>
      <c r="O415">
        <v>24</v>
      </c>
      <c r="P415">
        <v>4.29</v>
      </c>
      <c r="Q415">
        <v>28405</v>
      </c>
      <c r="R415">
        <v>184</v>
      </c>
      <c r="S415">
        <v>7.67</v>
      </c>
      <c r="T415" s="8">
        <v>102.96</v>
      </c>
      <c r="U415">
        <v>491721</v>
      </c>
      <c r="V415" t="s">
        <v>5438</v>
      </c>
      <c r="W415" t="s">
        <v>5409</v>
      </c>
      <c r="X415" t="s">
        <v>5439</v>
      </c>
      <c r="Y415" t="s">
        <v>5440</v>
      </c>
      <c r="Z415" t="s">
        <v>5441</v>
      </c>
      <c r="AA415" t="s">
        <v>5413</v>
      </c>
      <c r="AB415" t="s">
        <v>5414</v>
      </c>
      <c r="AC415" t="s">
        <v>5414</v>
      </c>
      <c r="AD415" t="s">
        <v>5414</v>
      </c>
      <c r="AG415" t="s">
        <v>5415</v>
      </c>
      <c r="AI415" t="s">
        <v>5460</v>
      </c>
      <c r="AJ415" t="s">
        <v>5465</v>
      </c>
      <c r="AL415" t="s">
        <v>5418</v>
      </c>
      <c r="AN415" t="s">
        <v>5419</v>
      </c>
    </row>
    <row r="416" spans="1:40" x14ac:dyDescent="0.25">
      <c r="A416">
        <v>1087355480</v>
      </c>
      <c r="B416" t="s">
        <v>5399</v>
      </c>
      <c r="C416">
        <v>252406</v>
      </c>
      <c r="D416" t="s">
        <v>5400</v>
      </c>
      <c r="E416">
        <v>46221.358668981484</v>
      </c>
      <c r="F416" t="s">
        <v>5647</v>
      </c>
      <c r="G416" t="s">
        <v>3668</v>
      </c>
      <c r="H416" t="s">
        <v>5568</v>
      </c>
      <c r="I416" t="s">
        <v>5403</v>
      </c>
      <c r="J416">
        <v>2025</v>
      </c>
      <c r="K416" t="s">
        <v>5648</v>
      </c>
      <c r="L416" t="s">
        <v>5649</v>
      </c>
      <c r="M416" t="s">
        <v>5406</v>
      </c>
      <c r="N416" s="1" t="s">
        <v>4565</v>
      </c>
      <c r="O416">
        <v>47.2</v>
      </c>
      <c r="P416">
        <v>3.919</v>
      </c>
      <c r="Q416">
        <v>17320</v>
      </c>
      <c r="R416">
        <v>305</v>
      </c>
      <c r="S416">
        <v>6.46</v>
      </c>
      <c r="T416" s="8">
        <v>185.02</v>
      </c>
      <c r="U416">
        <v>490156</v>
      </c>
      <c r="V416" t="s">
        <v>5578</v>
      </c>
      <c r="W416" t="s">
        <v>5409</v>
      </c>
      <c r="X416" t="s">
        <v>5579</v>
      </c>
      <c r="Y416" t="s">
        <v>5458</v>
      </c>
      <c r="Z416" t="s">
        <v>5412</v>
      </c>
      <c r="AA416" t="s">
        <v>5413</v>
      </c>
      <c r="AB416" t="s">
        <v>5414</v>
      </c>
      <c r="AC416" t="s">
        <v>5414</v>
      </c>
      <c r="AD416" t="s">
        <v>5414</v>
      </c>
      <c r="AG416" t="s">
        <v>5415</v>
      </c>
      <c r="AI416" t="s">
        <v>5580</v>
      </c>
      <c r="AJ416" t="s">
        <v>5650</v>
      </c>
      <c r="AL416" t="s">
        <v>5418</v>
      </c>
      <c r="AN416" t="s">
        <v>5419</v>
      </c>
    </row>
    <row r="417" spans="1:40" x14ac:dyDescent="0.25">
      <c r="A417">
        <v>1087369853</v>
      </c>
      <c r="B417" t="s">
        <v>5399</v>
      </c>
      <c r="C417">
        <v>252406</v>
      </c>
      <c r="D417" t="s">
        <v>5400</v>
      </c>
      <c r="E417">
        <v>46221.416956018518</v>
      </c>
      <c r="F417" t="s">
        <v>5757</v>
      </c>
      <c r="G417" t="s">
        <v>3668</v>
      </c>
      <c r="H417" t="s">
        <v>5421</v>
      </c>
      <c r="I417" t="s">
        <v>5403</v>
      </c>
      <c r="J417">
        <v>2027</v>
      </c>
      <c r="K417" t="s">
        <v>5520</v>
      </c>
      <c r="L417" t="s">
        <v>5521</v>
      </c>
      <c r="M417" t="s">
        <v>5406</v>
      </c>
      <c r="N417" s="1" t="s">
        <v>4565</v>
      </c>
      <c r="O417">
        <v>27.82</v>
      </c>
      <c r="P417">
        <v>4.1890000000000001</v>
      </c>
      <c r="Q417">
        <v>1918</v>
      </c>
      <c r="R417">
        <v>212</v>
      </c>
      <c r="S417">
        <v>7.62</v>
      </c>
      <c r="T417" s="8">
        <v>116.56</v>
      </c>
      <c r="U417">
        <v>11040306</v>
      </c>
      <c r="V417" t="s">
        <v>5408</v>
      </c>
      <c r="W417" t="s">
        <v>5409</v>
      </c>
      <c r="X417" t="s">
        <v>5410</v>
      </c>
      <c r="Y417" t="s">
        <v>5411</v>
      </c>
      <c r="Z417" t="s">
        <v>5412</v>
      </c>
      <c r="AA417" t="s">
        <v>5413</v>
      </c>
      <c r="AB417" t="s">
        <v>5414</v>
      </c>
      <c r="AC417" t="s">
        <v>5414</v>
      </c>
      <c r="AD417" t="s">
        <v>5414</v>
      </c>
      <c r="AG417" t="s">
        <v>5415</v>
      </c>
      <c r="AI417" t="s">
        <v>5522</v>
      </c>
      <c r="AJ417" t="s">
        <v>5765</v>
      </c>
      <c r="AL417" t="s">
        <v>5418</v>
      </c>
      <c r="AN417" t="s">
        <v>5419</v>
      </c>
    </row>
    <row r="418" spans="1:40" x14ac:dyDescent="0.25">
      <c r="A418">
        <v>1087383928</v>
      </c>
      <c r="B418" t="s">
        <v>5399</v>
      </c>
      <c r="C418">
        <v>252406</v>
      </c>
      <c r="D418" t="s">
        <v>5400</v>
      </c>
      <c r="E418">
        <v>46221.438206018516</v>
      </c>
      <c r="F418" t="s">
        <v>5593</v>
      </c>
      <c r="G418" t="s">
        <v>3668</v>
      </c>
      <c r="H418" t="s">
        <v>5431</v>
      </c>
      <c r="I418" t="s">
        <v>5593</v>
      </c>
      <c r="J418">
        <v>2025</v>
      </c>
      <c r="K418" t="s">
        <v>5873</v>
      </c>
      <c r="L418" t="s">
        <v>5595</v>
      </c>
      <c r="M418" t="s">
        <v>5406</v>
      </c>
      <c r="N418" s="1" t="s">
        <v>4565</v>
      </c>
      <c r="O418">
        <v>36.43</v>
      </c>
      <c r="P418">
        <v>4.399</v>
      </c>
      <c r="Q418">
        <v>54671</v>
      </c>
      <c r="R418">
        <v>384</v>
      </c>
      <c r="S418">
        <v>10.54</v>
      </c>
      <c r="T418" s="8">
        <v>160.29</v>
      </c>
      <c r="U418">
        <v>2691388</v>
      </c>
      <c r="V418" t="s">
        <v>5600</v>
      </c>
      <c r="W418" t="s">
        <v>5409</v>
      </c>
      <c r="X418" t="s">
        <v>5601</v>
      </c>
      <c r="Y418" t="s">
        <v>5602</v>
      </c>
      <c r="Z418" t="s">
        <v>5441</v>
      </c>
      <c r="AA418" t="s">
        <v>5413</v>
      </c>
      <c r="AB418" t="s">
        <v>5414</v>
      </c>
      <c r="AC418" t="s">
        <v>5414</v>
      </c>
      <c r="AD418" t="s">
        <v>5414</v>
      </c>
      <c r="AG418" t="s">
        <v>5427</v>
      </c>
      <c r="AI418" t="s">
        <v>5603</v>
      </c>
      <c r="AJ418" t="s">
        <v>5594</v>
      </c>
      <c r="AK418" t="s">
        <v>5528</v>
      </c>
      <c r="AL418" t="s">
        <v>5418</v>
      </c>
      <c r="AN418" t="s">
        <v>5595</v>
      </c>
    </row>
    <row r="419" spans="1:40" x14ac:dyDescent="0.25">
      <c r="A419">
        <v>1087376041</v>
      </c>
      <c r="B419" t="s">
        <v>5399</v>
      </c>
      <c r="C419">
        <v>252406</v>
      </c>
      <c r="D419" t="s">
        <v>5400</v>
      </c>
      <c r="E419">
        <v>46221.443437499998</v>
      </c>
      <c r="F419" t="s">
        <v>5755</v>
      </c>
      <c r="G419" t="s">
        <v>3668</v>
      </c>
      <c r="H419" t="s">
        <v>167</v>
      </c>
      <c r="I419" t="s">
        <v>5403</v>
      </c>
      <c r="J419">
        <v>2026</v>
      </c>
      <c r="K419" t="s">
        <v>5436</v>
      </c>
      <c r="L419" t="s">
        <v>5437</v>
      </c>
      <c r="M419" t="s">
        <v>5406</v>
      </c>
      <c r="N419" s="1" t="s">
        <v>4565</v>
      </c>
      <c r="O419">
        <v>41.38</v>
      </c>
      <c r="P419">
        <v>4.1890000000000001</v>
      </c>
      <c r="Q419">
        <v>1867</v>
      </c>
      <c r="R419">
        <v>274</v>
      </c>
      <c r="S419">
        <v>6.62</v>
      </c>
      <c r="T419" s="8">
        <v>173.38</v>
      </c>
      <c r="U419">
        <v>11040306</v>
      </c>
      <c r="V419" t="s">
        <v>5408</v>
      </c>
      <c r="W419" t="s">
        <v>5409</v>
      </c>
      <c r="X419" t="s">
        <v>5410</v>
      </c>
      <c r="Y419" t="s">
        <v>5411</v>
      </c>
      <c r="Z419" t="s">
        <v>5412</v>
      </c>
      <c r="AA419" t="s">
        <v>5413</v>
      </c>
      <c r="AB419" t="s">
        <v>5414</v>
      </c>
      <c r="AC419" t="s">
        <v>5414</v>
      </c>
      <c r="AD419" t="s">
        <v>5414</v>
      </c>
      <c r="AG419" t="s">
        <v>5415</v>
      </c>
      <c r="AI419" t="s">
        <v>5522</v>
      </c>
      <c r="AJ419" t="s">
        <v>5756</v>
      </c>
      <c r="AL419" t="s">
        <v>5418</v>
      </c>
      <c r="AN419" t="s">
        <v>5419</v>
      </c>
    </row>
    <row r="420" spans="1:40" x14ac:dyDescent="0.25">
      <c r="A420">
        <v>1087382654</v>
      </c>
      <c r="B420" t="s">
        <v>5399</v>
      </c>
      <c r="C420">
        <v>252406</v>
      </c>
      <c r="D420" t="s">
        <v>5400</v>
      </c>
      <c r="E420">
        <v>46221.473553240743</v>
      </c>
      <c r="F420" t="s">
        <v>5847</v>
      </c>
      <c r="G420" t="s">
        <v>3668</v>
      </c>
      <c r="H420" t="s">
        <v>5421</v>
      </c>
      <c r="I420" t="s">
        <v>5403</v>
      </c>
      <c r="J420">
        <v>2027</v>
      </c>
      <c r="K420" t="s">
        <v>5694</v>
      </c>
      <c r="L420" t="s">
        <v>5695</v>
      </c>
      <c r="M420" t="s">
        <v>5406</v>
      </c>
      <c r="N420" s="1" t="s">
        <v>4565</v>
      </c>
      <c r="O420">
        <v>38.270000000000003</v>
      </c>
      <c r="P420">
        <v>3.92</v>
      </c>
      <c r="Q420">
        <v>776</v>
      </c>
      <c r="R420">
        <v>471</v>
      </c>
      <c r="S420">
        <v>12.31</v>
      </c>
      <c r="T420" s="8">
        <v>150.02000000000001</v>
      </c>
      <c r="U420">
        <v>490156</v>
      </c>
      <c r="V420" t="s">
        <v>5578</v>
      </c>
      <c r="W420" t="s">
        <v>5409</v>
      </c>
      <c r="X420" t="s">
        <v>5579</v>
      </c>
      <c r="Y420" t="s">
        <v>5458</v>
      </c>
      <c r="Z420" t="s">
        <v>5412</v>
      </c>
      <c r="AA420" t="s">
        <v>5413</v>
      </c>
      <c r="AB420" t="s">
        <v>5414</v>
      </c>
      <c r="AC420" t="s">
        <v>5414</v>
      </c>
      <c r="AD420" t="s">
        <v>5414</v>
      </c>
      <c r="AG420" t="s">
        <v>5415</v>
      </c>
      <c r="AI420" t="s">
        <v>5580</v>
      </c>
      <c r="AJ420" t="s">
        <v>5855</v>
      </c>
      <c r="AL420" t="s">
        <v>5418</v>
      </c>
      <c r="AN420" t="s">
        <v>5419</v>
      </c>
    </row>
    <row r="421" spans="1:40" x14ac:dyDescent="0.25">
      <c r="A421">
        <v>1087399092</v>
      </c>
      <c r="B421" t="s">
        <v>5399</v>
      </c>
      <c r="C421">
        <v>252406</v>
      </c>
      <c r="D421" t="s">
        <v>5400</v>
      </c>
      <c r="E421">
        <v>46221.524375000001</v>
      </c>
      <c r="F421" t="s">
        <v>5505</v>
      </c>
      <c r="G421" t="s">
        <v>3668</v>
      </c>
      <c r="H421" t="s">
        <v>5506</v>
      </c>
      <c r="I421" t="s">
        <v>5403</v>
      </c>
      <c r="J421">
        <v>2026</v>
      </c>
      <c r="K421" t="s">
        <v>5507</v>
      </c>
      <c r="L421" t="s">
        <v>5508</v>
      </c>
      <c r="M421" t="s">
        <v>5406</v>
      </c>
      <c r="N421" s="1" t="s">
        <v>4565</v>
      </c>
      <c r="O421">
        <v>32.47</v>
      </c>
      <c r="P421">
        <v>4.25</v>
      </c>
      <c r="Q421">
        <v>5990</v>
      </c>
      <c r="R421">
        <v>291</v>
      </c>
      <c r="S421">
        <v>8.9600000000000009</v>
      </c>
      <c r="T421" s="8">
        <v>138</v>
      </c>
      <c r="U421">
        <v>108758</v>
      </c>
      <c r="V421" t="s">
        <v>5470</v>
      </c>
      <c r="W421" t="s">
        <v>5409</v>
      </c>
      <c r="X421" t="s">
        <v>5471</v>
      </c>
      <c r="Y421" t="s">
        <v>5411</v>
      </c>
      <c r="Z421" t="s">
        <v>5472</v>
      </c>
      <c r="AA421" t="s">
        <v>5413</v>
      </c>
      <c r="AB421" t="s">
        <v>5414</v>
      </c>
      <c r="AC421" t="s">
        <v>5414</v>
      </c>
      <c r="AD421" t="s">
        <v>5414</v>
      </c>
      <c r="AG421" t="s">
        <v>5427</v>
      </c>
      <c r="AI421" t="s">
        <v>5473</v>
      </c>
      <c r="AJ421" t="s">
        <v>5509</v>
      </c>
      <c r="AL421" t="s">
        <v>5418</v>
      </c>
      <c r="AN421" t="s">
        <v>5419</v>
      </c>
    </row>
    <row r="422" spans="1:40" x14ac:dyDescent="0.25">
      <c r="A422">
        <v>1087394851</v>
      </c>
      <c r="B422" t="s">
        <v>5399</v>
      </c>
      <c r="C422">
        <v>252406</v>
      </c>
      <c r="D422" t="s">
        <v>5400</v>
      </c>
      <c r="E422">
        <v>46221.543020833335</v>
      </c>
      <c r="F422" t="s">
        <v>5817</v>
      </c>
      <c r="G422" t="s">
        <v>3668</v>
      </c>
      <c r="H422" t="s">
        <v>5421</v>
      </c>
      <c r="I422" t="s">
        <v>5403</v>
      </c>
      <c r="J422">
        <v>2027</v>
      </c>
      <c r="K422" t="s">
        <v>5614</v>
      </c>
      <c r="L422" t="s">
        <v>5615</v>
      </c>
      <c r="M422" t="s">
        <v>5406</v>
      </c>
      <c r="N422" s="1" t="s">
        <v>4565</v>
      </c>
      <c r="O422">
        <v>41.56</v>
      </c>
      <c r="P422">
        <v>4.1890000000000001</v>
      </c>
      <c r="Q422">
        <v>1407</v>
      </c>
      <c r="R422">
        <v>236</v>
      </c>
      <c r="S422">
        <v>5.68</v>
      </c>
      <c r="T422" s="8">
        <v>174.13</v>
      </c>
      <c r="U422">
        <v>11040306</v>
      </c>
      <c r="V422" t="s">
        <v>5408</v>
      </c>
      <c r="W422" t="s">
        <v>5409</v>
      </c>
      <c r="X422" t="s">
        <v>5410</v>
      </c>
      <c r="Y422" t="s">
        <v>5411</v>
      </c>
      <c r="Z422" t="s">
        <v>5412</v>
      </c>
      <c r="AA422" t="s">
        <v>5413</v>
      </c>
      <c r="AB422" t="s">
        <v>5414</v>
      </c>
      <c r="AC422" t="s">
        <v>5414</v>
      </c>
      <c r="AD422" t="s">
        <v>5414</v>
      </c>
      <c r="AG422" t="s">
        <v>5415</v>
      </c>
      <c r="AI422" t="s">
        <v>5460</v>
      </c>
      <c r="AJ422" t="s">
        <v>5818</v>
      </c>
      <c r="AL422" t="s">
        <v>5418</v>
      </c>
      <c r="AN422" t="s">
        <v>5419</v>
      </c>
    </row>
    <row r="423" spans="1:40" x14ac:dyDescent="0.25">
      <c r="A423">
        <v>1087405520</v>
      </c>
      <c r="B423" t="s">
        <v>5399</v>
      </c>
      <c r="C423">
        <v>252406</v>
      </c>
      <c r="D423" t="s">
        <v>5400</v>
      </c>
      <c r="E423">
        <v>46221.566064814811</v>
      </c>
      <c r="F423" t="s">
        <v>5567</v>
      </c>
      <c r="G423" t="s">
        <v>3668</v>
      </c>
      <c r="H423" t="s">
        <v>5568</v>
      </c>
      <c r="I423" t="s">
        <v>5403</v>
      </c>
      <c r="J423">
        <v>2026</v>
      </c>
      <c r="K423" t="s">
        <v>5436</v>
      </c>
      <c r="L423" t="s">
        <v>5437</v>
      </c>
      <c r="M423" t="s">
        <v>5406</v>
      </c>
      <c r="N423" s="1" t="s">
        <v>4565</v>
      </c>
      <c r="O423">
        <v>42.34</v>
      </c>
      <c r="P423">
        <v>3.589</v>
      </c>
      <c r="Q423">
        <v>4160</v>
      </c>
      <c r="R423">
        <v>448</v>
      </c>
      <c r="S423">
        <v>10.58</v>
      </c>
      <c r="T423" s="8">
        <v>152</v>
      </c>
      <c r="U423">
        <v>12815000</v>
      </c>
      <c r="V423" t="s">
        <v>5448</v>
      </c>
      <c r="W423" t="s">
        <v>5409</v>
      </c>
      <c r="X423" t="s">
        <v>5449</v>
      </c>
      <c r="Y423" t="s">
        <v>5450</v>
      </c>
      <c r="Z423" t="s">
        <v>5426</v>
      </c>
      <c r="AA423" t="s">
        <v>5413</v>
      </c>
      <c r="AB423" t="s">
        <v>5414</v>
      </c>
      <c r="AC423" t="s">
        <v>5414</v>
      </c>
      <c r="AD423" t="s">
        <v>5414</v>
      </c>
      <c r="AG423" t="s">
        <v>5427</v>
      </c>
      <c r="AI423" t="s">
        <v>5451</v>
      </c>
      <c r="AJ423" t="s">
        <v>5573</v>
      </c>
      <c r="AL423" t="s">
        <v>5418</v>
      </c>
      <c r="AN423" t="s">
        <v>5419</v>
      </c>
    </row>
    <row r="424" spans="1:40" x14ac:dyDescent="0.25">
      <c r="A424">
        <v>1087405046</v>
      </c>
      <c r="B424" t="s">
        <v>5399</v>
      </c>
      <c r="C424">
        <v>252406</v>
      </c>
      <c r="D424" t="s">
        <v>5400</v>
      </c>
      <c r="E424">
        <v>46221.60434027778</v>
      </c>
      <c r="F424" t="s">
        <v>5621</v>
      </c>
      <c r="G424" t="s">
        <v>3668</v>
      </c>
      <c r="H424" t="s">
        <v>5421</v>
      </c>
      <c r="I424" t="s">
        <v>5621</v>
      </c>
      <c r="J424">
        <v>2024</v>
      </c>
      <c r="K424" t="s">
        <v>5622</v>
      </c>
      <c r="L424" t="s">
        <v>5623</v>
      </c>
      <c r="M424" t="s">
        <v>5406</v>
      </c>
      <c r="N424" s="1" t="s">
        <v>4565</v>
      </c>
      <c r="O424">
        <v>35.58</v>
      </c>
      <c r="P424">
        <v>4.29</v>
      </c>
      <c r="Q424">
        <v>98576</v>
      </c>
      <c r="R424">
        <v>276</v>
      </c>
      <c r="S424">
        <v>7.76</v>
      </c>
      <c r="T424" s="8">
        <v>152.63999999999999</v>
      </c>
      <c r="U424">
        <v>11153887</v>
      </c>
      <c r="V424" t="s">
        <v>5490</v>
      </c>
      <c r="W424" t="s">
        <v>5409</v>
      </c>
      <c r="X424" t="s">
        <v>5491</v>
      </c>
      <c r="Y424" t="s">
        <v>5492</v>
      </c>
      <c r="Z424" t="s">
        <v>5426</v>
      </c>
      <c r="AA424" t="s">
        <v>5413</v>
      </c>
      <c r="AB424" t="s">
        <v>5414</v>
      </c>
      <c r="AC424" t="s">
        <v>5414</v>
      </c>
      <c r="AD424" t="s">
        <v>5414</v>
      </c>
      <c r="AG424" t="s">
        <v>5415</v>
      </c>
      <c r="AI424" t="s">
        <v>5460</v>
      </c>
      <c r="AJ424" t="s">
        <v>5624</v>
      </c>
      <c r="AK424" t="s">
        <v>5528</v>
      </c>
      <c r="AL424" t="s">
        <v>5418</v>
      </c>
      <c r="AN424" t="s">
        <v>5625</v>
      </c>
    </row>
    <row r="425" spans="1:40" x14ac:dyDescent="0.25">
      <c r="A425">
        <v>1087413047</v>
      </c>
      <c r="B425" t="s">
        <v>5399</v>
      </c>
      <c r="C425">
        <v>252406</v>
      </c>
      <c r="D425" t="s">
        <v>5400</v>
      </c>
      <c r="E425">
        <v>46221.607546296298</v>
      </c>
      <c r="F425" t="s">
        <v>5420</v>
      </c>
      <c r="G425" t="s">
        <v>3668</v>
      </c>
      <c r="H425" t="s">
        <v>5421</v>
      </c>
      <c r="I425" t="s">
        <v>5403</v>
      </c>
      <c r="J425">
        <v>2025</v>
      </c>
      <c r="K425" t="s">
        <v>5652</v>
      </c>
      <c r="L425" t="s">
        <v>5653</v>
      </c>
      <c r="M425" t="s">
        <v>5406</v>
      </c>
      <c r="N425" s="1" t="s">
        <v>4565</v>
      </c>
      <c r="O425">
        <v>34.83</v>
      </c>
      <c r="P425">
        <v>4.66</v>
      </c>
      <c r="Q425">
        <v>71132</v>
      </c>
      <c r="R425">
        <v>345</v>
      </c>
      <c r="S425">
        <v>9.91</v>
      </c>
      <c r="T425" s="8">
        <v>162.31</v>
      </c>
      <c r="U425">
        <v>11120083</v>
      </c>
      <c r="V425" t="s">
        <v>5596</v>
      </c>
      <c r="W425" t="s">
        <v>5409</v>
      </c>
      <c r="X425" t="s">
        <v>5597</v>
      </c>
      <c r="Y425" t="s">
        <v>5458</v>
      </c>
      <c r="Z425" t="s">
        <v>5598</v>
      </c>
      <c r="AA425" t="s">
        <v>5413</v>
      </c>
      <c r="AB425" t="s">
        <v>5414</v>
      </c>
      <c r="AC425" t="s">
        <v>5414</v>
      </c>
      <c r="AD425" t="s">
        <v>5414</v>
      </c>
      <c r="AG425" t="s">
        <v>5427</v>
      </c>
      <c r="AI425" t="s">
        <v>5599</v>
      </c>
      <c r="AJ425" t="s">
        <v>5429</v>
      </c>
      <c r="AL425" t="s">
        <v>5418</v>
      </c>
      <c r="AN425" t="s">
        <v>5419</v>
      </c>
    </row>
    <row r="426" spans="1:40" x14ac:dyDescent="0.25">
      <c r="A426">
        <v>1087414915</v>
      </c>
      <c r="B426" t="s">
        <v>5399</v>
      </c>
      <c r="C426">
        <v>252406</v>
      </c>
      <c r="D426" t="s">
        <v>5400</v>
      </c>
      <c r="E426">
        <v>46221.622187499997</v>
      </c>
      <c r="F426" t="s">
        <v>5494</v>
      </c>
      <c r="G426" t="s">
        <v>3668</v>
      </c>
      <c r="H426" t="s">
        <v>5495</v>
      </c>
      <c r="I426" t="s">
        <v>5403</v>
      </c>
      <c r="J426">
        <v>2026</v>
      </c>
      <c r="K426" t="s">
        <v>5496</v>
      </c>
      <c r="L426" t="s">
        <v>5497</v>
      </c>
      <c r="M426" t="s">
        <v>5406</v>
      </c>
      <c r="N426" s="1" t="s">
        <v>4565</v>
      </c>
      <c r="O426">
        <v>46</v>
      </c>
      <c r="P426">
        <v>4.25</v>
      </c>
      <c r="Q426">
        <v>58675</v>
      </c>
      <c r="R426">
        <v>355</v>
      </c>
      <c r="S426">
        <v>7.72</v>
      </c>
      <c r="T426" s="8">
        <v>195.5</v>
      </c>
      <c r="U426">
        <v>108758</v>
      </c>
      <c r="V426" t="s">
        <v>5470</v>
      </c>
      <c r="W426" t="s">
        <v>5409</v>
      </c>
      <c r="X426" t="s">
        <v>5471</v>
      </c>
      <c r="Y426" t="s">
        <v>5411</v>
      </c>
      <c r="Z426" t="s">
        <v>5472</v>
      </c>
      <c r="AA426" t="s">
        <v>5413</v>
      </c>
      <c r="AB426" t="s">
        <v>5414</v>
      </c>
      <c r="AC426" t="s">
        <v>5414</v>
      </c>
      <c r="AD426" t="s">
        <v>5414</v>
      </c>
      <c r="AG426" t="s">
        <v>5427</v>
      </c>
      <c r="AI426" t="s">
        <v>5473</v>
      </c>
      <c r="AJ426" t="s">
        <v>5504</v>
      </c>
      <c r="AL426" t="s">
        <v>5418</v>
      </c>
      <c r="AN426" t="s">
        <v>5419</v>
      </c>
    </row>
    <row r="427" spans="1:40" x14ac:dyDescent="0.25">
      <c r="A427">
        <v>1087412928</v>
      </c>
      <c r="B427" t="s">
        <v>5399</v>
      </c>
      <c r="C427">
        <v>252406</v>
      </c>
      <c r="D427" t="s">
        <v>5400</v>
      </c>
      <c r="E427">
        <v>46221.648460648146</v>
      </c>
      <c r="F427" t="s">
        <v>5585</v>
      </c>
      <c r="G427" t="s">
        <v>3668</v>
      </c>
      <c r="H427" t="s">
        <v>5506</v>
      </c>
      <c r="I427" t="s">
        <v>5403</v>
      </c>
      <c r="J427">
        <v>2026</v>
      </c>
      <c r="K427" t="s">
        <v>5717</v>
      </c>
      <c r="L427" t="s">
        <v>5718</v>
      </c>
      <c r="M427" t="s">
        <v>5406</v>
      </c>
      <c r="N427" s="1" t="s">
        <v>4565</v>
      </c>
      <c r="O427">
        <v>24.49</v>
      </c>
      <c r="P427">
        <v>3.919</v>
      </c>
      <c r="Q427">
        <v>3972</v>
      </c>
      <c r="R427">
        <v>263</v>
      </c>
      <c r="S427">
        <v>10.74</v>
      </c>
      <c r="T427" s="8">
        <v>96</v>
      </c>
      <c r="U427">
        <v>490156</v>
      </c>
      <c r="V427" t="s">
        <v>5578</v>
      </c>
      <c r="W427" t="s">
        <v>5409</v>
      </c>
      <c r="X427" t="s">
        <v>5579</v>
      </c>
      <c r="Y427" t="s">
        <v>5458</v>
      </c>
      <c r="Z427" t="s">
        <v>5412</v>
      </c>
      <c r="AA427" t="s">
        <v>5413</v>
      </c>
      <c r="AB427" t="s">
        <v>5414</v>
      </c>
      <c r="AC427" t="s">
        <v>5414</v>
      </c>
      <c r="AD427" t="s">
        <v>5414</v>
      </c>
      <c r="AG427" t="s">
        <v>5415</v>
      </c>
      <c r="AI427" t="s">
        <v>5580</v>
      </c>
      <c r="AJ427" t="s">
        <v>5588</v>
      </c>
      <c r="AL427" t="s">
        <v>5418</v>
      </c>
      <c r="AN427" t="s">
        <v>5419</v>
      </c>
    </row>
    <row r="428" spans="1:40" x14ac:dyDescent="0.25">
      <c r="A428">
        <v>1087428965</v>
      </c>
      <c r="B428" t="s">
        <v>5399</v>
      </c>
      <c r="C428">
        <v>252406</v>
      </c>
      <c r="D428" t="s">
        <v>5400</v>
      </c>
      <c r="E428">
        <v>46221.746886574074</v>
      </c>
      <c r="F428" t="s">
        <v>5475</v>
      </c>
      <c r="G428" t="s">
        <v>3668</v>
      </c>
      <c r="H428" t="s">
        <v>5467</v>
      </c>
      <c r="I428" t="s">
        <v>5403</v>
      </c>
      <c r="J428">
        <v>2026</v>
      </c>
      <c r="K428" t="s">
        <v>5837</v>
      </c>
      <c r="L428" t="s">
        <v>5838</v>
      </c>
      <c r="M428" t="s">
        <v>5406</v>
      </c>
      <c r="N428" s="1" t="s">
        <v>4565</v>
      </c>
      <c r="O428">
        <v>40.74</v>
      </c>
      <c r="P428">
        <v>4.2889999999999997</v>
      </c>
      <c r="Q428">
        <v>36258</v>
      </c>
      <c r="R428">
        <v>208</v>
      </c>
      <c r="S428">
        <v>5.1100000000000003</v>
      </c>
      <c r="T428" s="8">
        <v>174.77</v>
      </c>
      <c r="U428">
        <v>491721</v>
      </c>
      <c r="V428" t="s">
        <v>5438</v>
      </c>
      <c r="W428" t="s">
        <v>5409</v>
      </c>
      <c r="X428" t="s">
        <v>5439</v>
      </c>
      <c r="Y428" t="s">
        <v>5440</v>
      </c>
      <c r="Z428" t="s">
        <v>5441</v>
      </c>
      <c r="AA428" t="s">
        <v>5413</v>
      </c>
      <c r="AB428" t="s">
        <v>5414</v>
      </c>
      <c r="AC428" t="s">
        <v>5414</v>
      </c>
      <c r="AD428" t="s">
        <v>5414</v>
      </c>
      <c r="AG428" t="s">
        <v>5415</v>
      </c>
      <c r="AI428" t="s">
        <v>5522</v>
      </c>
      <c r="AJ428" t="s">
        <v>5697</v>
      </c>
      <c r="AL428" t="s">
        <v>5418</v>
      </c>
      <c r="AN428" t="s">
        <v>5419</v>
      </c>
    </row>
    <row r="429" spans="1:40" x14ac:dyDescent="0.25">
      <c r="A429">
        <v>1087435965</v>
      </c>
      <c r="B429" t="s">
        <v>5399</v>
      </c>
      <c r="C429">
        <v>252406</v>
      </c>
      <c r="D429" t="s">
        <v>5400</v>
      </c>
      <c r="E429">
        <v>46221.76458333333</v>
      </c>
      <c r="F429" t="s">
        <v>5466</v>
      </c>
      <c r="G429" t="s">
        <v>3668</v>
      </c>
      <c r="H429" t="s">
        <v>5467</v>
      </c>
      <c r="I429" t="s">
        <v>5403</v>
      </c>
      <c r="J429">
        <v>2025</v>
      </c>
      <c r="K429" t="s">
        <v>5468</v>
      </c>
      <c r="L429" t="s">
        <v>5469</v>
      </c>
      <c r="M429" t="s">
        <v>5406</v>
      </c>
      <c r="N429" s="1" t="s">
        <v>4565</v>
      </c>
      <c r="O429">
        <v>51.01</v>
      </c>
      <c r="P429">
        <v>4.2889999999999997</v>
      </c>
      <c r="Q429">
        <v>64644</v>
      </c>
      <c r="R429">
        <v>272</v>
      </c>
      <c r="S429">
        <v>5.33</v>
      </c>
      <c r="T429" s="8">
        <v>218.83</v>
      </c>
      <c r="U429">
        <v>11198252</v>
      </c>
      <c r="V429" t="s">
        <v>5424</v>
      </c>
      <c r="W429" t="s">
        <v>5409</v>
      </c>
      <c r="X429" t="s">
        <v>5425</v>
      </c>
      <c r="Y429" t="s">
        <v>5411</v>
      </c>
      <c r="Z429" t="s">
        <v>5426</v>
      </c>
      <c r="AA429" t="s">
        <v>5413</v>
      </c>
      <c r="AB429" t="s">
        <v>5414</v>
      </c>
      <c r="AC429" t="s">
        <v>5414</v>
      </c>
      <c r="AD429" t="s">
        <v>5414</v>
      </c>
      <c r="AG429" t="s">
        <v>5427</v>
      </c>
      <c r="AI429" t="s">
        <v>5428</v>
      </c>
      <c r="AJ429" t="s">
        <v>5474</v>
      </c>
      <c r="AL429" t="s">
        <v>5418</v>
      </c>
      <c r="AN429" t="s">
        <v>5419</v>
      </c>
    </row>
    <row r="430" spans="1:40" x14ac:dyDescent="0.25">
      <c r="A430">
        <v>1087431964</v>
      </c>
      <c r="B430" t="s">
        <v>5399</v>
      </c>
      <c r="C430">
        <v>252406</v>
      </c>
      <c r="D430" t="s">
        <v>5400</v>
      </c>
      <c r="E430">
        <v>46221.773819444446</v>
      </c>
      <c r="F430" t="s">
        <v>5462</v>
      </c>
      <c r="G430" t="s">
        <v>3668</v>
      </c>
      <c r="H430" t="s">
        <v>5402</v>
      </c>
      <c r="I430" t="s">
        <v>5403</v>
      </c>
      <c r="J430">
        <v>2026</v>
      </c>
      <c r="K430" t="s">
        <v>5463</v>
      </c>
      <c r="L430" t="s">
        <v>5464</v>
      </c>
      <c r="M430" t="s">
        <v>5406</v>
      </c>
      <c r="N430" s="1" t="s">
        <v>4565</v>
      </c>
      <c r="O430">
        <v>33.26</v>
      </c>
      <c r="P430">
        <v>4.5890000000000004</v>
      </c>
      <c r="Q430">
        <v>28578</v>
      </c>
      <c r="R430">
        <v>173</v>
      </c>
      <c r="S430">
        <v>5.2</v>
      </c>
      <c r="T430" s="8">
        <v>152.66</v>
      </c>
      <c r="U430">
        <v>11289550</v>
      </c>
      <c r="V430" t="s">
        <v>5565</v>
      </c>
      <c r="W430" t="s">
        <v>5409</v>
      </c>
      <c r="X430" t="s">
        <v>5566</v>
      </c>
      <c r="Y430" t="s">
        <v>5458</v>
      </c>
      <c r="Z430" t="s">
        <v>5426</v>
      </c>
      <c r="AA430" t="s">
        <v>5413</v>
      </c>
      <c r="AB430" t="s">
        <v>5414</v>
      </c>
      <c r="AC430" t="s">
        <v>5414</v>
      </c>
      <c r="AD430" t="s">
        <v>5414</v>
      </c>
      <c r="AG430" t="s">
        <v>5415</v>
      </c>
      <c r="AI430" t="s">
        <v>5460</v>
      </c>
      <c r="AJ430" t="s">
        <v>5465</v>
      </c>
      <c r="AL430" t="s">
        <v>5418</v>
      </c>
      <c r="AN430" t="s">
        <v>5419</v>
      </c>
    </row>
    <row r="431" spans="1:40" x14ac:dyDescent="0.25">
      <c r="A431">
        <v>1087440138</v>
      </c>
      <c r="B431" t="s">
        <v>5399</v>
      </c>
      <c r="C431">
        <v>252406</v>
      </c>
      <c r="D431" t="s">
        <v>5400</v>
      </c>
      <c r="E431">
        <v>46221.810543981483</v>
      </c>
      <c r="F431" t="s">
        <v>5589</v>
      </c>
      <c r="G431" t="s">
        <v>3668</v>
      </c>
      <c r="H431" t="s">
        <v>5431</v>
      </c>
      <c r="I431" t="s">
        <v>5403</v>
      </c>
      <c r="J431">
        <v>2026</v>
      </c>
      <c r="K431" t="s">
        <v>5590</v>
      </c>
      <c r="L431" t="s">
        <v>5591</v>
      </c>
      <c r="M431" t="s">
        <v>5406</v>
      </c>
      <c r="N431" s="1" t="s">
        <v>4565</v>
      </c>
      <c r="O431">
        <v>41.73</v>
      </c>
      <c r="P431">
        <v>4.2889999999999997</v>
      </c>
      <c r="Q431">
        <v>5765</v>
      </c>
      <c r="R431">
        <v>189</v>
      </c>
      <c r="S431">
        <v>4.53</v>
      </c>
      <c r="T431" s="8">
        <v>179.02</v>
      </c>
      <c r="U431">
        <v>11198252</v>
      </c>
      <c r="V431" t="s">
        <v>5424</v>
      </c>
      <c r="W431" t="s">
        <v>5409</v>
      </c>
      <c r="X431" t="s">
        <v>5425</v>
      </c>
      <c r="Y431" t="s">
        <v>5411</v>
      </c>
      <c r="Z431" t="s">
        <v>5426</v>
      </c>
      <c r="AA431" t="s">
        <v>5413</v>
      </c>
      <c r="AB431" t="s">
        <v>5414</v>
      </c>
      <c r="AC431" t="s">
        <v>5414</v>
      </c>
      <c r="AD431" t="s">
        <v>5414</v>
      </c>
      <c r="AG431" t="s">
        <v>5427</v>
      </c>
      <c r="AI431" t="s">
        <v>5428</v>
      </c>
      <c r="AJ431" t="s">
        <v>5592</v>
      </c>
      <c r="AL431" t="s">
        <v>5418</v>
      </c>
      <c r="AN431" t="s">
        <v>5419</v>
      </c>
    </row>
    <row r="432" spans="1:40" x14ac:dyDescent="0.25">
      <c r="A432">
        <v>1087442378</v>
      </c>
      <c r="B432" t="s">
        <v>5399</v>
      </c>
      <c r="C432">
        <v>252406</v>
      </c>
      <c r="D432" t="s">
        <v>5400</v>
      </c>
      <c r="E432">
        <v>46221.853263888886</v>
      </c>
      <c r="F432" t="s">
        <v>5530</v>
      </c>
      <c r="G432" t="s">
        <v>3668</v>
      </c>
      <c r="H432" t="s">
        <v>5431</v>
      </c>
      <c r="I432" t="s">
        <v>5403</v>
      </c>
      <c r="J432">
        <v>2025</v>
      </c>
      <c r="K432" t="s">
        <v>5531</v>
      </c>
      <c r="L432" t="s">
        <v>5532</v>
      </c>
      <c r="M432" t="s">
        <v>5406</v>
      </c>
      <c r="N432" s="1" t="s">
        <v>4565</v>
      </c>
      <c r="O432">
        <v>42.47</v>
      </c>
      <c r="P432">
        <v>4.25</v>
      </c>
      <c r="Q432">
        <v>109068</v>
      </c>
      <c r="R432">
        <v>467</v>
      </c>
      <c r="S432">
        <v>11</v>
      </c>
      <c r="T432" s="8">
        <v>180.5</v>
      </c>
      <c r="U432">
        <v>108758</v>
      </c>
      <c r="V432" t="s">
        <v>5470</v>
      </c>
      <c r="W432" t="s">
        <v>5409</v>
      </c>
      <c r="X432" t="s">
        <v>5471</v>
      </c>
      <c r="Y432" t="s">
        <v>5411</v>
      </c>
      <c r="Z432" t="s">
        <v>5472</v>
      </c>
      <c r="AA432" t="s">
        <v>5413</v>
      </c>
      <c r="AB432" t="s">
        <v>5414</v>
      </c>
      <c r="AC432" t="s">
        <v>5414</v>
      </c>
      <c r="AD432" t="s">
        <v>5414</v>
      </c>
      <c r="AG432" t="s">
        <v>5427</v>
      </c>
      <c r="AI432" t="s">
        <v>5473</v>
      </c>
      <c r="AJ432" t="s">
        <v>5533</v>
      </c>
      <c r="AL432" t="s">
        <v>5418</v>
      </c>
      <c r="AN432" t="s">
        <v>5419</v>
      </c>
    </row>
    <row r="433" spans="1:40" x14ac:dyDescent="0.25">
      <c r="A433">
        <v>1087455970</v>
      </c>
      <c r="B433" t="s">
        <v>5399</v>
      </c>
      <c r="C433">
        <v>252406</v>
      </c>
      <c r="D433" t="s">
        <v>5400</v>
      </c>
      <c r="E433">
        <v>46222.286296296297</v>
      </c>
      <c r="F433" t="s">
        <v>5401</v>
      </c>
      <c r="G433" t="s">
        <v>3668</v>
      </c>
      <c r="H433" t="s">
        <v>5402</v>
      </c>
      <c r="I433" t="s">
        <v>5403</v>
      </c>
      <c r="J433">
        <v>2026</v>
      </c>
      <c r="K433" t="s">
        <v>5404</v>
      </c>
      <c r="L433" t="s">
        <v>5405</v>
      </c>
      <c r="M433" t="s">
        <v>5406</v>
      </c>
      <c r="N433" s="1" t="s">
        <v>4565</v>
      </c>
      <c r="O433">
        <v>35.29</v>
      </c>
      <c r="P433">
        <v>4.2889999999999997</v>
      </c>
      <c r="Q433">
        <v>35708</v>
      </c>
      <c r="R433">
        <v>264</v>
      </c>
      <c r="S433">
        <v>7.48</v>
      </c>
      <c r="T433" s="8">
        <v>151.38999999999999</v>
      </c>
      <c r="U433">
        <v>11198252</v>
      </c>
      <c r="V433" t="s">
        <v>5424</v>
      </c>
      <c r="W433" t="s">
        <v>5409</v>
      </c>
      <c r="X433" t="s">
        <v>5425</v>
      </c>
      <c r="Y433" t="s">
        <v>5411</v>
      </c>
      <c r="Z433" t="s">
        <v>5426</v>
      </c>
      <c r="AA433" t="s">
        <v>5413</v>
      </c>
      <c r="AB433" t="s">
        <v>5414</v>
      </c>
      <c r="AC433" t="s">
        <v>5414</v>
      </c>
      <c r="AD433" t="s">
        <v>5414</v>
      </c>
      <c r="AG433" t="s">
        <v>5427</v>
      </c>
      <c r="AI433" t="s">
        <v>5428</v>
      </c>
      <c r="AJ433" t="s">
        <v>5417</v>
      </c>
      <c r="AL433" t="s">
        <v>5418</v>
      </c>
      <c r="AN433" t="s">
        <v>5419</v>
      </c>
    </row>
    <row r="434" spans="1:40" x14ac:dyDescent="0.25">
      <c r="A434">
        <v>1087456088</v>
      </c>
      <c r="B434" t="s">
        <v>5399</v>
      </c>
      <c r="C434">
        <v>252406</v>
      </c>
      <c r="D434" t="s">
        <v>5400</v>
      </c>
      <c r="E434">
        <v>46222.28769675926</v>
      </c>
      <c r="F434" t="s">
        <v>5617</v>
      </c>
      <c r="G434" t="s">
        <v>3668</v>
      </c>
      <c r="H434" t="s">
        <v>5467</v>
      </c>
      <c r="I434" t="s">
        <v>5403</v>
      </c>
      <c r="J434">
        <v>2026</v>
      </c>
      <c r="K434" t="s">
        <v>5618</v>
      </c>
      <c r="L434" t="s">
        <v>5619</v>
      </c>
      <c r="M434" t="s">
        <v>5406</v>
      </c>
      <c r="N434" s="1" t="s">
        <v>4565</v>
      </c>
      <c r="O434">
        <v>42.21</v>
      </c>
      <c r="P434">
        <v>4.2889999999999997</v>
      </c>
      <c r="Q434">
        <v>56072</v>
      </c>
      <c r="R434">
        <v>304</v>
      </c>
      <c r="S434">
        <v>7.2</v>
      </c>
      <c r="T434" s="8">
        <v>181.08</v>
      </c>
      <c r="U434">
        <v>11198252</v>
      </c>
      <c r="V434" t="s">
        <v>5424</v>
      </c>
      <c r="W434" t="s">
        <v>5409</v>
      </c>
      <c r="X434" t="s">
        <v>5425</v>
      </c>
      <c r="Y434" t="s">
        <v>5411</v>
      </c>
      <c r="Z434" t="s">
        <v>5426</v>
      </c>
      <c r="AA434" t="s">
        <v>5413</v>
      </c>
      <c r="AB434" t="s">
        <v>5414</v>
      </c>
      <c r="AC434" t="s">
        <v>5414</v>
      </c>
      <c r="AD434" t="s">
        <v>5414</v>
      </c>
      <c r="AG434" t="s">
        <v>5427</v>
      </c>
      <c r="AI434" t="s">
        <v>5428</v>
      </c>
      <c r="AJ434" t="s">
        <v>5620</v>
      </c>
      <c r="AL434" t="s">
        <v>5418</v>
      </c>
      <c r="AN434" t="s">
        <v>5419</v>
      </c>
    </row>
    <row r="435" spans="1:40" x14ac:dyDescent="0.25">
      <c r="A435">
        <v>1087456627</v>
      </c>
      <c r="B435" t="s">
        <v>5399</v>
      </c>
      <c r="C435">
        <v>252406</v>
      </c>
      <c r="D435" t="s">
        <v>5400</v>
      </c>
      <c r="E435">
        <v>46222.295023148145</v>
      </c>
      <c r="F435" t="s">
        <v>5585</v>
      </c>
      <c r="G435" t="s">
        <v>3668</v>
      </c>
      <c r="H435" t="s">
        <v>5506</v>
      </c>
      <c r="I435" t="s">
        <v>5403</v>
      </c>
      <c r="J435">
        <v>2026</v>
      </c>
      <c r="K435" t="s">
        <v>5717</v>
      </c>
      <c r="L435" t="s">
        <v>5718</v>
      </c>
      <c r="M435" t="s">
        <v>5406</v>
      </c>
      <c r="N435" s="1" t="s">
        <v>4565</v>
      </c>
      <c r="O435">
        <v>31.49</v>
      </c>
      <c r="P435">
        <v>4.2889999999999997</v>
      </c>
      <c r="Q435">
        <v>4275</v>
      </c>
      <c r="R435">
        <v>303</v>
      </c>
      <c r="S435">
        <v>9.6199999999999992</v>
      </c>
      <c r="T435" s="8">
        <v>135.09</v>
      </c>
      <c r="U435">
        <v>11198252</v>
      </c>
      <c r="V435" t="s">
        <v>5424</v>
      </c>
      <c r="W435" t="s">
        <v>5409</v>
      </c>
      <c r="X435" t="s">
        <v>5425</v>
      </c>
      <c r="Y435" t="s">
        <v>5411</v>
      </c>
      <c r="Z435" t="s">
        <v>5426</v>
      </c>
      <c r="AA435" t="s">
        <v>5413</v>
      </c>
      <c r="AB435" t="s">
        <v>5414</v>
      </c>
      <c r="AC435" t="s">
        <v>5414</v>
      </c>
      <c r="AD435" t="s">
        <v>5414</v>
      </c>
      <c r="AG435" t="s">
        <v>5427</v>
      </c>
      <c r="AI435" t="s">
        <v>5428</v>
      </c>
      <c r="AJ435" t="s">
        <v>5588</v>
      </c>
      <c r="AL435" t="s">
        <v>5418</v>
      </c>
      <c r="AN435" t="s">
        <v>5419</v>
      </c>
    </row>
    <row r="436" spans="1:40" x14ac:dyDescent="0.25">
      <c r="A436">
        <v>1087453382</v>
      </c>
      <c r="B436" t="s">
        <v>5399</v>
      </c>
      <c r="C436">
        <v>252406</v>
      </c>
      <c r="D436" t="s">
        <v>5400</v>
      </c>
      <c r="E436">
        <v>46222.305844907409</v>
      </c>
      <c r="F436" t="s">
        <v>5800</v>
      </c>
      <c r="G436" t="s">
        <v>3668</v>
      </c>
      <c r="H436" t="s">
        <v>5421</v>
      </c>
      <c r="I436" t="s">
        <v>5403</v>
      </c>
      <c r="J436">
        <v>2027</v>
      </c>
      <c r="K436" t="s">
        <v>5741</v>
      </c>
      <c r="L436" t="s">
        <v>5529</v>
      </c>
      <c r="M436" t="s">
        <v>5406</v>
      </c>
      <c r="N436" s="1" t="s">
        <v>4565</v>
      </c>
      <c r="O436">
        <v>37.630000000000003</v>
      </c>
      <c r="P436">
        <v>4.1890000000000001</v>
      </c>
      <c r="Q436">
        <v>1167</v>
      </c>
      <c r="R436">
        <v>213</v>
      </c>
      <c r="S436">
        <v>5.66</v>
      </c>
      <c r="T436" s="8">
        <v>157.66</v>
      </c>
      <c r="U436">
        <v>11040306</v>
      </c>
      <c r="V436" t="s">
        <v>5408</v>
      </c>
      <c r="W436" t="s">
        <v>5409</v>
      </c>
      <c r="X436" t="s">
        <v>5410</v>
      </c>
      <c r="Y436" t="s">
        <v>5411</v>
      </c>
      <c r="Z436" t="s">
        <v>5412</v>
      </c>
      <c r="AA436" t="s">
        <v>5413</v>
      </c>
      <c r="AB436" t="s">
        <v>5414</v>
      </c>
      <c r="AC436" t="s">
        <v>5414</v>
      </c>
      <c r="AD436" t="s">
        <v>5414</v>
      </c>
      <c r="AG436" t="s">
        <v>5415</v>
      </c>
      <c r="AI436" t="s">
        <v>5460</v>
      </c>
      <c r="AJ436" t="s">
        <v>5806</v>
      </c>
      <c r="AL436" t="s">
        <v>5418</v>
      </c>
      <c r="AN436" t="s">
        <v>5419</v>
      </c>
    </row>
    <row r="437" spans="1:40" x14ac:dyDescent="0.25">
      <c r="A437">
        <v>1087459374</v>
      </c>
      <c r="B437" t="s">
        <v>5399</v>
      </c>
      <c r="C437">
        <v>252406</v>
      </c>
      <c r="D437" t="s">
        <v>5400</v>
      </c>
      <c r="E437">
        <v>46222.326064814813</v>
      </c>
      <c r="F437" t="s">
        <v>5435</v>
      </c>
      <c r="G437" t="s">
        <v>3668</v>
      </c>
      <c r="H437" t="s">
        <v>5421</v>
      </c>
      <c r="I437" t="s">
        <v>5403</v>
      </c>
      <c r="J437">
        <v>2026</v>
      </c>
      <c r="K437" t="s">
        <v>5436</v>
      </c>
      <c r="L437" t="s">
        <v>5437</v>
      </c>
      <c r="M437" t="s">
        <v>5406</v>
      </c>
      <c r="N437" s="1" t="s">
        <v>4565</v>
      </c>
      <c r="O437">
        <v>27.61</v>
      </c>
      <c r="P437">
        <v>4.6589999999999998</v>
      </c>
      <c r="Q437">
        <v>49709</v>
      </c>
      <c r="R437">
        <v>163</v>
      </c>
      <c r="S437">
        <v>5.9</v>
      </c>
      <c r="T437" s="8">
        <v>128.66</v>
      </c>
      <c r="U437">
        <v>11120083</v>
      </c>
      <c r="V437" t="s">
        <v>5596</v>
      </c>
      <c r="W437" t="s">
        <v>5409</v>
      </c>
      <c r="X437" t="s">
        <v>5597</v>
      </c>
      <c r="Y437" t="s">
        <v>5458</v>
      </c>
      <c r="Z437" t="s">
        <v>5598</v>
      </c>
      <c r="AA437" t="s">
        <v>5413</v>
      </c>
      <c r="AB437" t="s">
        <v>5414</v>
      </c>
      <c r="AC437" t="s">
        <v>5414</v>
      </c>
      <c r="AD437" t="s">
        <v>5414</v>
      </c>
      <c r="AG437" t="s">
        <v>5427</v>
      </c>
      <c r="AI437" t="s">
        <v>5599</v>
      </c>
      <c r="AJ437" t="s">
        <v>5443</v>
      </c>
      <c r="AL437" t="s">
        <v>5418</v>
      </c>
      <c r="AN437" t="s">
        <v>5419</v>
      </c>
    </row>
    <row r="438" spans="1:40" x14ac:dyDescent="0.25">
      <c r="A438">
        <v>1087462510</v>
      </c>
      <c r="B438" t="s">
        <v>5399</v>
      </c>
      <c r="C438">
        <v>252406</v>
      </c>
      <c r="D438" t="s">
        <v>5400</v>
      </c>
      <c r="E438">
        <v>46222.350023148145</v>
      </c>
      <c r="F438" t="s">
        <v>5475</v>
      </c>
      <c r="G438" t="s">
        <v>3668</v>
      </c>
      <c r="H438" t="s">
        <v>5467</v>
      </c>
      <c r="I438" t="s">
        <v>5403</v>
      </c>
      <c r="J438">
        <v>2026</v>
      </c>
      <c r="K438" t="s">
        <v>5837</v>
      </c>
      <c r="L438" t="s">
        <v>5838</v>
      </c>
      <c r="M438" t="s">
        <v>5406</v>
      </c>
      <c r="N438" s="1" t="s">
        <v>4565</v>
      </c>
      <c r="O438">
        <v>28.55</v>
      </c>
      <c r="P438">
        <v>4.6589999999999998</v>
      </c>
      <c r="Q438">
        <v>36459</v>
      </c>
      <c r="R438">
        <v>201</v>
      </c>
      <c r="S438">
        <v>7.04</v>
      </c>
      <c r="T438" s="8">
        <v>133.04</v>
      </c>
      <c r="U438">
        <v>11120083</v>
      </c>
      <c r="V438" t="s">
        <v>5596</v>
      </c>
      <c r="W438" t="s">
        <v>5409</v>
      </c>
      <c r="X438" t="s">
        <v>5597</v>
      </c>
      <c r="Y438" t="s">
        <v>5458</v>
      </c>
      <c r="Z438" t="s">
        <v>5598</v>
      </c>
      <c r="AA438" t="s">
        <v>5413</v>
      </c>
      <c r="AB438" t="s">
        <v>5414</v>
      </c>
      <c r="AC438" t="s">
        <v>5414</v>
      </c>
      <c r="AD438" t="s">
        <v>5414</v>
      </c>
      <c r="AG438" t="s">
        <v>5427</v>
      </c>
      <c r="AI438" t="s">
        <v>5599</v>
      </c>
      <c r="AJ438" t="s">
        <v>5697</v>
      </c>
      <c r="AL438" t="s">
        <v>5418</v>
      </c>
      <c r="AN438" t="s">
        <v>5419</v>
      </c>
    </row>
    <row r="439" spans="1:40" x14ac:dyDescent="0.25">
      <c r="A439">
        <v>1087458444</v>
      </c>
      <c r="B439" t="s">
        <v>5399</v>
      </c>
      <c r="C439">
        <v>252406</v>
      </c>
      <c r="D439" t="s">
        <v>5400</v>
      </c>
      <c r="E439">
        <v>46222.357083333336</v>
      </c>
      <c r="F439" t="s">
        <v>5420</v>
      </c>
      <c r="G439" t="s">
        <v>3668</v>
      </c>
      <c r="H439" t="s">
        <v>5421</v>
      </c>
      <c r="I439" t="s">
        <v>5403</v>
      </c>
      <c r="J439">
        <v>2025</v>
      </c>
      <c r="K439" t="s">
        <v>5652</v>
      </c>
      <c r="L439" t="s">
        <v>5653</v>
      </c>
      <c r="M439" t="s">
        <v>5406</v>
      </c>
      <c r="N439" s="1" t="s">
        <v>4565</v>
      </c>
      <c r="O439">
        <v>37.840000000000003</v>
      </c>
      <c r="P439">
        <v>3.919</v>
      </c>
      <c r="Q439">
        <v>71546</v>
      </c>
      <c r="R439">
        <v>414</v>
      </c>
      <c r="S439">
        <v>10.94</v>
      </c>
      <c r="T439" s="8">
        <v>148.33000000000001</v>
      </c>
      <c r="U439">
        <v>490156</v>
      </c>
      <c r="V439" t="s">
        <v>5578</v>
      </c>
      <c r="W439" t="s">
        <v>5409</v>
      </c>
      <c r="X439" t="s">
        <v>5579</v>
      </c>
      <c r="Y439" t="s">
        <v>5458</v>
      </c>
      <c r="Z439" t="s">
        <v>5412</v>
      </c>
      <c r="AA439" t="s">
        <v>5413</v>
      </c>
      <c r="AB439" t="s">
        <v>5414</v>
      </c>
      <c r="AC439" t="s">
        <v>5414</v>
      </c>
      <c r="AD439" t="s">
        <v>5414</v>
      </c>
      <c r="AG439" t="s">
        <v>5415</v>
      </c>
      <c r="AI439" t="s">
        <v>5580</v>
      </c>
      <c r="AJ439" t="s">
        <v>5429</v>
      </c>
      <c r="AL439" t="s">
        <v>5418</v>
      </c>
      <c r="AN439" t="s">
        <v>5419</v>
      </c>
    </row>
    <row r="440" spans="1:40" x14ac:dyDescent="0.25">
      <c r="A440">
        <v>1087459794</v>
      </c>
      <c r="B440" t="s">
        <v>5399</v>
      </c>
      <c r="C440">
        <v>252406</v>
      </c>
      <c r="D440" t="s">
        <v>5400</v>
      </c>
      <c r="E440">
        <v>46222.372465277775</v>
      </c>
      <c r="F440" t="s">
        <v>5524</v>
      </c>
      <c r="G440" t="s">
        <v>3668</v>
      </c>
      <c r="H440" t="s">
        <v>5421</v>
      </c>
      <c r="I440" t="s">
        <v>5524</v>
      </c>
      <c r="J440">
        <v>2025</v>
      </c>
      <c r="K440" t="s">
        <v>5525</v>
      </c>
      <c r="L440" t="s">
        <v>5526</v>
      </c>
      <c r="M440" t="s">
        <v>5406</v>
      </c>
      <c r="N440" s="1" t="s">
        <v>4565</v>
      </c>
      <c r="O440">
        <v>36.92</v>
      </c>
      <c r="P440">
        <v>4.1890000000000001</v>
      </c>
      <c r="Q440">
        <v>66210</v>
      </c>
      <c r="R440">
        <v>315</v>
      </c>
      <c r="S440">
        <v>8.5299999999999994</v>
      </c>
      <c r="T440" s="8">
        <v>154.69</v>
      </c>
      <c r="U440">
        <v>11040306</v>
      </c>
      <c r="V440" t="s">
        <v>5408</v>
      </c>
      <c r="W440" t="s">
        <v>5409</v>
      </c>
      <c r="X440" t="s">
        <v>5410</v>
      </c>
      <c r="Y440" t="s">
        <v>5411</v>
      </c>
      <c r="Z440" t="s">
        <v>5412</v>
      </c>
      <c r="AA440" t="s">
        <v>5413</v>
      </c>
      <c r="AB440" t="s">
        <v>5414</v>
      </c>
      <c r="AC440" t="s">
        <v>5414</v>
      </c>
      <c r="AD440" t="s">
        <v>5414</v>
      </c>
      <c r="AG440" t="s">
        <v>5415</v>
      </c>
      <c r="AI440" t="s">
        <v>5460</v>
      </c>
      <c r="AJ440" t="s">
        <v>5527</v>
      </c>
      <c r="AK440" t="s">
        <v>5528</v>
      </c>
      <c r="AL440" t="s">
        <v>5418</v>
      </c>
      <c r="AN440" t="s">
        <v>5529</v>
      </c>
    </row>
    <row r="441" spans="1:40" x14ac:dyDescent="0.25">
      <c r="A441">
        <v>1087466997</v>
      </c>
      <c r="B441" t="s">
        <v>5399</v>
      </c>
      <c r="C441">
        <v>252406</v>
      </c>
      <c r="D441" t="s">
        <v>5400</v>
      </c>
      <c r="E441">
        <v>46222.443472222221</v>
      </c>
      <c r="F441" t="s">
        <v>5551</v>
      </c>
      <c r="G441" t="s">
        <v>3668</v>
      </c>
      <c r="H441" t="s">
        <v>5552</v>
      </c>
      <c r="I441" t="s">
        <v>5403</v>
      </c>
      <c r="J441">
        <v>2026</v>
      </c>
      <c r="K441" t="s">
        <v>5553</v>
      </c>
      <c r="L441" t="s">
        <v>5554</v>
      </c>
      <c r="M441" t="s">
        <v>5406</v>
      </c>
      <c r="N441" s="1" t="s">
        <v>4565</v>
      </c>
      <c r="O441">
        <v>46</v>
      </c>
      <c r="P441">
        <v>4.1900000000000004</v>
      </c>
      <c r="Q441">
        <v>25651</v>
      </c>
      <c r="R441">
        <v>236</v>
      </c>
      <c r="S441">
        <v>5.13</v>
      </c>
      <c r="T441" s="8">
        <v>192.74</v>
      </c>
      <c r="U441">
        <v>11040306</v>
      </c>
      <c r="V441" t="s">
        <v>5408</v>
      </c>
      <c r="W441" t="s">
        <v>5409</v>
      </c>
      <c r="X441" t="s">
        <v>5410</v>
      </c>
      <c r="Y441" t="s">
        <v>5411</v>
      </c>
      <c r="Z441" t="s">
        <v>5412</v>
      </c>
      <c r="AA441" t="s">
        <v>5413</v>
      </c>
      <c r="AB441" t="s">
        <v>5414</v>
      </c>
      <c r="AC441" t="s">
        <v>5414</v>
      </c>
      <c r="AD441" t="s">
        <v>5414</v>
      </c>
      <c r="AG441" t="s">
        <v>5415</v>
      </c>
      <c r="AI441" t="s">
        <v>5522</v>
      </c>
      <c r="AJ441" t="s">
        <v>5555</v>
      </c>
      <c r="AL441" t="s">
        <v>5418</v>
      </c>
      <c r="AN441" t="s">
        <v>5419</v>
      </c>
    </row>
    <row r="442" spans="1:40" x14ac:dyDescent="0.25">
      <c r="A442">
        <v>1087475104</v>
      </c>
      <c r="B442" t="s">
        <v>5399</v>
      </c>
      <c r="C442">
        <v>252406</v>
      </c>
      <c r="D442" t="s">
        <v>5400</v>
      </c>
      <c r="E442">
        <v>46222.490370370368</v>
      </c>
      <c r="F442" t="s">
        <v>5466</v>
      </c>
      <c r="G442" t="s">
        <v>3668</v>
      </c>
      <c r="H442" t="s">
        <v>5467</v>
      </c>
      <c r="I442" t="s">
        <v>5403</v>
      </c>
      <c r="J442">
        <v>2025</v>
      </c>
      <c r="K442" t="s">
        <v>5468</v>
      </c>
      <c r="L442" t="s">
        <v>5469</v>
      </c>
      <c r="M442" t="s">
        <v>5406</v>
      </c>
      <c r="N442" s="1" t="s">
        <v>4565</v>
      </c>
      <c r="O442">
        <v>29.61</v>
      </c>
      <c r="P442">
        <v>4.29</v>
      </c>
      <c r="Q442">
        <v>64828</v>
      </c>
      <c r="R442">
        <v>184</v>
      </c>
      <c r="S442">
        <v>6.21</v>
      </c>
      <c r="T442" s="8">
        <v>127.03</v>
      </c>
      <c r="U442">
        <v>11198252</v>
      </c>
      <c r="V442" t="s">
        <v>5424</v>
      </c>
      <c r="W442" t="s">
        <v>5409</v>
      </c>
      <c r="X442" t="s">
        <v>5425</v>
      </c>
      <c r="Y442" t="s">
        <v>5411</v>
      </c>
      <c r="Z442" t="s">
        <v>5426</v>
      </c>
      <c r="AA442" t="s">
        <v>5413</v>
      </c>
      <c r="AB442" t="s">
        <v>5414</v>
      </c>
      <c r="AC442" t="s">
        <v>5414</v>
      </c>
      <c r="AD442" t="s">
        <v>5414</v>
      </c>
      <c r="AG442" t="s">
        <v>5427</v>
      </c>
      <c r="AI442" t="s">
        <v>5428</v>
      </c>
      <c r="AJ442" t="s">
        <v>5474</v>
      </c>
      <c r="AL442" t="s">
        <v>5418</v>
      </c>
      <c r="AN442" t="s">
        <v>5419</v>
      </c>
    </row>
    <row r="443" spans="1:40" x14ac:dyDescent="0.25">
      <c r="A443">
        <v>1087482484</v>
      </c>
      <c r="B443" t="s">
        <v>5399</v>
      </c>
      <c r="C443">
        <v>252406</v>
      </c>
      <c r="D443" t="s">
        <v>5400</v>
      </c>
      <c r="E443">
        <v>46222.565694444442</v>
      </c>
      <c r="F443" t="s">
        <v>5505</v>
      </c>
      <c r="G443" t="s">
        <v>3668</v>
      </c>
      <c r="H443" t="s">
        <v>5506</v>
      </c>
      <c r="I443" t="s">
        <v>5403</v>
      </c>
      <c r="J443">
        <v>2026</v>
      </c>
      <c r="K443" t="s">
        <v>5507</v>
      </c>
      <c r="L443" t="s">
        <v>5508</v>
      </c>
      <c r="M443" t="s">
        <v>5406</v>
      </c>
      <c r="N443" s="1" t="s">
        <v>4565</v>
      </c>
      <c r="O443">
        <v>34.130000000000003</v>
      </c>
      <c r="P443">
        <v>4.2489999999999997</v>
      </c>
      <c r="Q443">
        <v>6274</v>
      </c>
      <c r="R443">
        <v>284</v>
      </c>
      <c r="S443">
        <v>8.32</v>
      </c>
      <c r="T443" s="8">
        <v>145.05000000000001</v>
      </c>
      <c r="U443">
        <v>108758</v>
      </c>
      <c r="V443" t="s">
        <v>5470</v>
      </c>
      <c r="W443" t="s">
        <v>5409</v>
      </c>
      <c r="X443" t="s">
        <v>5471</v>
      </c>
      <c r="Y443" t="s">
        <v>5411</v>
      </c>
      <c r="Z443" t="s">
        <v>5472</v>
      </c>
      <c r="AA443" t="s">
        <v>5413</v>
      </c>
      <c r="AB443" t="s">
        <v>5414</v>
      </c>
      <c r="AC443" t="s">
        <v>5414</v>
      </c>
      <c r="AD443" t="s">
        <v>5414</v>
      </c>
      <c r="AG443" t="s">
        <v>5427</v>
      </c>
      <c r="AI443" t="s">
        <v>5473</v>
      </c>
      <c r="AJ443" t="s">
        <v>5509</v>
      </c>
      <c r="AL443" t="s">
        <v>5418</v>
      </c>
      <c r="AN443" t="s">
        <v>5419</v>
      </c>
    </row>
    <row r="444" spans="1:40" x14ac:dyDescent="0.25">
      <c r="A444">
        <v>1087489084</v>
      </c>
      <c r="B444" t="s">
        <v>5399</v>
      </c>
      <c r="C444">
        <v>252406</v>
      </c>
      <c r="D444" t="s">
        <v>5400</v>
      </c>
      <c r="E444">
        <v>46222.649895833332</v>
      </c>
      <c r="F444" t="s">
        <v>5430</v>
      </c>
      <c r="G444" t="s">
        <v>3668</v>
      </c>
      <c r="H444" t="s">
        <v>5431</v>
      </c>
      <c r="I444" t="s">
        <v>5403</v>
      </c>
      <c r="J444">
        <v>2025</v>
      </c>
      <c r="K444" t="s">
        <v>5432</v>
      </c>
      <c r="L444" t="s">
        <v>5433</v>
      </c>
      <c r="M444" t="s">
        <v>5406</v>
      </c>
      <c r="N444" s="1" t="s">
        <v>4565</v>
      </c>
      <c r="O444">
        <v>40.19</v>
      </c>
      <c r="P444">
        <v>4.29</v>
      </c>
      <c r="Q444">
        <v>64387</v>
      </c>
      <c r="R444">
        <v>320</v>
      </c>
      <c r="S444">
        <v>7.96</v>
      </c>
      <c r="T444" s="8">
        <v>172.42</v>
      </c>
      <c r="U444">
        <v>11198252</v>
      </c>
      <c r="V444" t="s">
        <v>5424</v>
      </c>
      <c r="W444" t="s">
        <v>5409</v>
      </c>
      <c r="X444" t="s">
        <v>5425</v>
      </c>
      <c r="Y444" t="s">
        <v>5411</v>
      </c>
      <c r="Z444" t="s">
        <v>5426</v>
      </c>
      <c r="AA444" t="s">
        <v>5413</v>
      </c>
      <c r="AB444" t="s">
        <v>5414</v>
      </c>
      <c r="AC444" t="s">
        <v>5414</v>
      </c>
      <c r="AD444" t="s">
        <v>5414</v>
      </c>
      <c r="AG444" t="s">
        <v>5427</v>
      </c>
      <c r="AI444" t="s">
        <v>5428</v>
      </c>
      <c r="AJ444" t="s">
        <v>5434</v>
      </c>
      <c r="AL444" t="s">
        <v>5418</v>
      </c>
      <c r="AN444" t="s">
        <v>5419</v>
      </c>
    </row>
    <row r="445" spans="1:40" x14ac:dyDescent="0.25">
      <c r="A445">
        <v>1087494755</v>
      </c>
      <c r="B445" t="s">
        <v>5399</v>
      </c>
      <c r="C445">
        <v>252406</v>
      </c>
      <c r="D445" t="s">
        <v>5400</v>
      </c>
      <c r="E445">
        <v>46222.704942129632</v>
      </c>
      <c r="F445" t="s">
        <v>5462</v>
      </c>
      <c r="G445" t="s">
        <v>3668</v>
      </c>
      <c r="H445" t="s">
        <v>5402</v>
      </c>
      <c r="I445" t="s">
        <v>5403</v>
      </c>
      <c r="J445">
        <v>2026</v>
      </c>
      <c r="K445" t="s">
        <v>5604</v>
      </c>
      <c r="L445" t="s">
        <v>5605</v>
      </c>
      <c r="M445" t="s">
        <v>5406</v>
      </c>
      <c r="N445" s="1" t="s">
        <v>4565</v>
      </c>
      <c r="O445">
        <v>37.21</v>
      </c>
      <c r="P445">
        <v>4.069</v>
      </c>
      <c r="Q445">
        <v>28730</v>
      </c>
      <c r="R445">
        <v>152</v>
      </c>
      <c r="S445">
        <v>4.08</v>
      </c>
      <c r="T445" s="8">
        <v>151.44</v>
      </c>
      <c r="U445">
        <v>12192843</v>
      </c>
      <c r="V445" t="s">
        <v>5723</v>
      </c>
      <c r="W445" t="s">
        <v>5409</v>
      </c>
      <c r="X445" t="s">
        <v>5724</v>
      </c>
      <c r="Y445" t="s">
        <v>5725</v>
      </c>
      <c r="Z445" t="s">
        <v>5726</v>
      </c>
      <c r="AA445" t="s">
        <v>5413</v>
      </c>
      <c r="AB445" t="s">
        <v>5414</v>
      </c>
      <c r="AC445" t="s">
        <v>5414</v>
      </c>
      <c r="AD445" t="s">
        <v>5414</v>
      </c>
      <c r="AG445" t="s">
        <v>5427</v>
      </c>
      <c r="AI445" t="s">
        <v>5727</v>
      </c>
      <c r="AJ445" t="s">
        <v>5465</v>
      </c>
      <c r="AL445" t="s">
        <v>5418</v>
      </c>
      <c r="AN445" t="s">
        <v>5419</v>
      </c>
    </row>
    <row r="446" spans="1:40" x14ac:dyDescent="0.25">
      <c r="A446">
        <v>1087495427</v>
      </c>
      <c r="B446" t="s">
        <v>5399</v>
      </c>
      <c r="C446">
        <v>252406</v>
      </c>
      <c r="D446" t="s">
        <v>5400</v>
      </c>
      <c r="E446">
        <v>46222.716273148151</v>
      </c>
      <c r="F446" t="s">
        <v>5401</v>
      </c>
      <c r="G446" t="s">
        <v>3668</v>
      </c>
      <c r="H446" t="s">
        <v>5402</v>
      </c>
      <c r="I446" t="s">
        <v>5403</v>
      </c>
      <c r="J446">
        <v>2026</v>
      </c>
      <c r="K446" t="s">
        <v>5404</v>
      </c>
      <c r="L446" t="s">
        <v>5405</v>
      </c>
      <c r="M446" t="s">
        <v>5406</v>
      </c>
      <c r="N446" s="1" t="s">
        <v>4565</v>
      </c>
      <c r="O446">
        <v>31</v>
      </c>
      <c r="P446">
        <v>4.8899999999999997</v>
      </c>
      <c r="Q446">
        <v>35903</v>
      </c>
      <c r="R446">
        <v>195</v>
      </c>
      <c r="S446">
        <v>6.29</v>
      </c>
      <c r="T446" s="8">
        <v>151.59</v>
      </c>
      <c r="U446">
        <v>11160069</v>
      </c>
      <c r="V446" t="s">
        <v>5728</v>
      </c>
      <c r="W446" t="s">
        <v>5409</v>
      </c>
      <c r="X446" t="s">
        <v>5729</v>
      </c>
      <c r="Y446" t="s">
        <v>5458</v>
      </c>
      <c r="Z446" t="s">
        <v>5730</v>
      </c>
      <c r="AA446" t="s">
        <v>5413</v>
      </c>
      <c r="AB446" t="s">
        <v>5414</v>
      </c>
      <c r="AC446" t="s">
        <v>5414</v>
      </c>
      <c r="AD446" t="s">
        <v>5414</v>
      </c>
      <c r="AG446" t="s">
        <v>5427</v>
      </c>
      <c r="AI446" t="s">
        <v>5731</v>
      </c>
      <c r="AJ446" t="s">
        <v>5417</v>
      </c>
      <c r="AL446" t="s">
        <v>5418</v>
      </c>
      <c r="AN446" t="s">
        <v>5419</v>
      </c>
    </row>
    <row r="447" spans="1:40" x14ac:dyDescent="0.25">
      <c r="A447">
        <v>1087495678</v>
      </c>
      <c r="B447" t="s">
        <v>5399</v>
      </c>
      <c r="C447">
        <v>252406</v>
      </c>
      <c r="D447" t="s">
        <v>5400</v>
      </c>
      <c r="E447">
        <v>46222.720590277779</v>
      </c>
      <c r="F447" t="s">
        <v>5560</v>
      </c>
      <c r="G447" t="s">
        <v>3668</v>
      </c>
      <c r="H447" t="s">
        <v>5561</v>
      </c>
      <c r="I447" t="s">
        <v>5403</v>
      </c>
      <c r="J447">
        <v>2026</v>
      </c>
      <c r="K447" t="s">
        <v>5562</v>
      </c>
      <c r="L447" t="s">
        <v>5563</v>
      </c>
      <c r="M447" t="s">
        <v>5406</v>
      </c>
      <c r="N447" s="1" t="s">
        <v>4565</v>
      </c>
      <c r="O447">
        <v>45.07</v>
      </c>
      <c r="P447">
        <v>4.66</v>
      </c>
      <c r="Q447">
        <v>21666</v>
      </c>
      <c r="R447">
        <v>367</v>
      </c>
      <c r="S447">
        <v>8.14</v>
      </c>
      <c r="T447" s="8">
        <v>210.03</v>
      </c>
      <c r="U447">
        <v>11120083</v>
      </c>
      <c r="V447" t="s">
        <v>5596</v>
      </c>
      <c r="W447" t="s">
        <v>5409</v>
      </c>
      <c r="X447" t="s">
        <v>5597</v>
      </c>
      <c r="Y447" t="s">
        <v>5458</v>
      </c>
      <c r="Z447" t="s">
        <v>5598</v>
      </c>
      <c r="AA447" t="s">
        <v>5413</v>
      </c>
      <c r="AB447" t="s">
        <v>5414</v>
      </c>
      <c r="AC447" t="s">
        <v>5414</v>
      </c>
      <c r="AD447" t="s">
        <v>5414</v>
      </c>
      <c r="AG447" t="s">
        <v>5427</v>
      </c>
      <c r="AI447" t="s">
        <v>5599</v>
      </c>
      <c r="AJ447" t="s">
        <v>5564</v>
      </c>
      <c r="AL447" t="s">
        <v>5418</v>
      </c>
      <c r="AN447" t="s">
        <v>5419</v>
      </c>
    </row>
    <row r="448" spans="1:40" x14ac:dyDescent="0.25">
      <c r="A448">
        <v>1087499494</v>
      </c>
      <c r="B448" t="s">
        <v>5399</v>
      </c>
      <c r="C448">
        <v>252406</v>
      </c>
      <c r="D448" t="s">
        <v>5400</v>
      </c>
      <c r="E448">
        <v>46222.768576388888</v>
      </c>
      <c r="F448" t="s">
        <v>5635</v>
      </c>
      <c r="G448" t="s">
        <v>3668</v>
      </c>
      <c r="H448" t="s">
        <v>5453</v>
      </c>
      <c r="I448" t="s">
        <v>5403</v>
      </c>
      <c r="J448">
        <v>2026</v>
      </c>
      <c r="K448" t="s">
        <v>5636</v>
      </c>
      <c r="L448" t="s">
        <v>5637</v>
      </c>
      <c r="M448" t="s">
        <v>5406</v>
      </c>
      <c r="N448" s="1" t="s">
        <v>4565</v>
      </c>
      <c r="O448">
        <v>37.299999999999997</v>
      </c>
      <c r="P448">
        <v>4.29</v>
      </c>
      <c r="Q448">
        <v>11912</v>
      </c>
      <c r="R448">
        <v>284</v>
      </c>
      <c r="S448">
        <v>7.61</v>
      </c>
      <c r="T448" s="8">
        <v>160.02000000000001</v>
      </c>
      <c r="U448">
        <v>11198252</v>
      </c>
      <c r="V448" t="s">
        <v>5424</v>
      </c>
      <c r="W448" t="s">
        <v>5409</v>
      </c>
      <c r="X448" t="s">
        <v>5425</v>
      </c>
      <c r="Y448" t="s">
        <v>5411</v>
      </c>
      <c r="Z448" t="s">
        <v>5426</v>
      </c>
      <c r="AA448" t="s">
        <v>5413</v>
      </c>
      <c r="AB448" t="s">
        <v>5414</v>
      </c>
      <c r="AC448" t="s">
        <v>5414</v>
      </c>
      <c r="AD448" t="s">
        <v>5414</v>
      </c>
      <c r="AG448" t="s">
        <v>5427</v>
      </c>
      <c r="AI448" t="s">
        <v>5428</v>
      </c>
      <c r="AJ448" t="s">
        <v>5638</v>
      </c>
      <c r="AL448" t="s">
        <v>5418</v>
      </c>
      <c r="AN448" t="s">
        <v>5419</v>
      </c>
    </row>
    <row r="449" spans="1:40" x14ac:dyDescent="0.25">
      <c r="A449">
        <v>1087499158</v>
      </c>
      <c r="B449" t="s">
        <v>5399</v>
      </c>
      <c r="C449">
        <v>252406</v>
      </c>
      <c r="D449" t="s">
        <v>5400</v>
      </c>
      <c r="E449">
        <v>46222.805891203701</v>
      </c>
      <c r="F449" t="s">
        <v>5613</v>
      </c>
      <c r="G449" t="s">
        <v>3668</v>
      </c>
      <c r="H449" t="s">
        <v>5467</v>
      </c>
      <c r="I449" t="s">
        <v>5403</v>
      </c>
      <c r="J449">
        <v>2025</v>
      </c>
      <c r="K449" t="s">
        <v>5656</v>
      </c>
      <c r="L449" t="s">
        <v>5657</v>
      </c>
      <c r="M449" t="s">
        <v>5406</v>
      </c>
      <c r="N449" s="1" t="s">
        <v>4565</v>
      </c>
      <c r="O449">
        <v>40.57</v>
      </c>
      <c r="P449">
        <v>4.4790000000000001</v>
      </c>
      <c r="Q449">
        <v>73754</v>
      </c>
      <c r="R449">
        <v>397</v>
      </c>
      <c r="S449">
        <v>9.7899999999999991</v>
      </c>
      <c r="T449" s="8">
        <v>181.75</v>
      </c>
      <c r="U449">
        <v>11413986</v>
      </c>
      <c r="V449" t="s">
        <v>5864</v>
      </c>
      <c r="W449" t="s">
        <v>5409</v>
      </c>
      <c r="X449" t="s">
        <v>5865</v>
      </c>
      <c r="Y449" t="s">
        <v>5866</v>
      </c>
      <c r="Z449" t="s">
        <v>5867</v>
      </c>
      <c r="AA449" t="s">
        <v>5670</v>
      </c>
      <c r="AB449" t="s">
        <v>5414</v>
      </c>
      <c r="AC449" t="s">
        <v>5414</v>
      </c>
      <c r="AD449" t="s">
        <v>5414</v>
      </c>
      <c r="AG449" t="s">
        <v>5415</v>
      </c>
      <c r="AI449" t="s">
        <v>5764</v>
      </c>
      <c r="AJ449" t="s">
        <v>5616</v>
      </c>
      <c r="AL449" t="s">
        <v>5418</v>
      </c>
      <c r="AN449" t="s">
        <v>5419</v>
      </c>
    </row>
    <row r="450" spans="1:40" x14ac:dyDescent="0.25">
      <c r="A450">
        <v>1087502361</v>
      </c>
      <c r="B450" t="s">
        <v>5399</v>
      </c>
      <c r="C450">
        <v>252406</v>
      </c>
      <c r="D450" t="s">
        <v>5400</v>
      </c>
      <c r="E450">
        <v>46222.809386574074</v>
      </c>
      <c r="F450" t="s">
        <v>5589</v>
      </c>
      <c r="G450" t="s">
        <v>3668</v>
      </c>
      <c r="H450" t="s">
        <v>5431</v>
      </c>
      <c r="I450" t="s">
        <v>5403</v>
      </c>
      <c r="J450">
        <v>2026</v>
      </c>
      <c r="K450" t="s">
        <v>5590</v>
      </c>
      <c r="L450" t="s">
        <v>5591</v>
      </c>
      <c r="M450" t="s">
        <v>5406</v>
      </c>
      <c r="N450" s="1" t="s">
        <v>4565</v>
      </c>
      <c r="O450">
        <v>27.81</v>
      </c>
      <c r="P450">
        <v>4.2889999999999997</v>
      </c>
      <c r="Q450">
        <v>5940</v>
      </c>
      <c r="R450">
        <v>175</v>
      </c>
      <c r="S450">
        <v>6.29</v>
      </c>
      <c r="T450" s="8">
        <v>119.3</v>
      </c>
      <c r="U450">
        <v>11198252</v>
      </c>
      <c r="V450" t="s">
        <v>5424</v>
      </c>
      <c r="W450" t="s">
        <v>5409</v>
      </c>
      <c r="X450" t="s">
        <v>5425</v>
      </c>
      <c r="Y450" t="s">
        <v>5411</v>
      </c>
      <c r="Z450" t="s">
        <v>5426</v>
      </c>
      <c r="AA450" t="s">
        <v>5413</v>
      </c>
      <c r="AB450" t="s">
        <v>5414</v>
      </c>
      <c r="AC450" t="s">
        <v>5414</v>
      </c>
      <c r="AD450" t="s">
        <v>5414</v>
      </c>
      <c r="AG450" t="s">
        <v>5427</v>
      </c>
      <c r="AI450" t="s">
        <v>5428</v>
      </c>
      <c r="AJ450" t="s">
        <v>5592</v>
      </c>
      <c r="AL450" t="s">
        <v>5418</v>
      </c>
      <c r="AN450" t="s">
        <v>5419</v>
      </c>
    </row>
    <row r="451" spans="1:40" x14ac:dyDescent="0.25">
      <c r="A451">
        <v>1087514472</v>
      </c>
      <c r="B451" t="s">
        <v>5399</v>
      </c>
      <c r="C451">
        <v>252406</v>
      </c>
      <c r="D451" t="s">
        <v>5400</v>
      </c>
      <c r="E451">
        <v>46223.218078703707</v>
      </c>
      <c r="F451" t="s">
        <v>5743</v>
      </c>
      <c r="G451" t="s">
        <v>3668</v>
      </c>
      <c r="H451" t="s">
        <v>5539</v>
      </c>
      <c r="I451" t="s">
        <v>5403</v>
      </c>
      <c r="J451">
        <v>2026</v>
      </c>
      <c r="K451" t="s">
        <v>5753</v>
      </c>
      <c r="L451" t="s">
        <v>5754</v>
      </c>
      <c r="M451" t="s">
        <v>5406</v>
      </c>
      <c r="N451" s="1" t="s">
        <v>4565</v>
      </c>
      <c r="O451">
        <v>18.5</v>
      </c>
      <c r="P451">
        <v>3.4889999999999999</v>
      </c>
      <c r="Q451">
        <v>18197</v>
      </c>
      <c r="R451">
        <v>127</v>
      </c>
      <c r="S451">
        <v>6.86</v>
      </c>
      <c r="T451" s="8">
        <v>64.56</v>
      </c>
      <c r="U451">
        <v>10016339</v>
      </c>
      <c r="V451" t="s">
        <v>5877</v>
      </c>
      <c r="W451" t="s">
        <v>5409</v>
      </c>
      <c r="X451" t="s">
        <v>5878</v>
      </c>
      <c r="Y451" t="s">
        <v>5798</v>
      </c>
      <c r="Z451" t="s">
        <v>5879</v>
      </c>
      <c r="AA451" t="s">
        <v>5670</v>
      </c>
      <c r="AB451" t="s">
        <v>5414</v>
      </c>
      <c r="AC451" t="s">
        <v>5414</v>
      </c>
      <c r="AD451" t="s">
        <v>5414</v>
      </c>
      <c r="AG451" t="s">
        <v>5415</v>
      </c>
      <c r="AI451" t="s">
        <v>5416</v>
      </c>
      <c r="AJ451" t="s">
        <v>5746</v>
      </c>
      <c r="AL451" t="s">
        <v>5418</v>
      </c>
      <c r="AN451" t="s">
        <v>5419</v>
      </c>
    </row>
    <row r="452" spans="1:40" x14ac:dyDescent="0.25">
      <c r="A452">
        <v>1087523256</v>
      </c>
      <c r="B452" t="s">
        <v>5399</v>
      </c>
      <c r="C452">
        <v>252406</v>
      </c>
      <c r="D452" t="s">
        <v>5400</v>
      </c>
      <c r="E452">
        <v>46223.237500000003</v>
      </c>
      <c r="F452" t="s">
        <v>5651</v>
      </c>
      <c r="G452" t="s">
        <v>3668</v>
      </c>
      <c r="H452" t="s">
        <v>5467</v>
      </c>
      <c r="I452" t="s">
        <v>5403</v>
      </c>
      <c r="J452">
        <v>2026</v>
      </c>
      <c r="K452" t="s">
        <v>5738</v>
      </c>
      <c r="L452" t="s">
        <v>5739</v>
      </c>
      <c r="M452" t="s">
        <v>5406</v>
      </c>
      <c r="N452" s="1" t="s">
        <v>4565</v>
      </c>
      <c r="O452">
        <v>35.15</v>
      </c>
      <c r="P452">
        <v>4.66</v>
      </c>
      <c r="Q452">
        <v>48389</v>
      </c>
      <c r="R452">
        <v>308</v>
      </c>
      <c r="S452">
        <v>8.76</v>
      </c>
      <c r="T452" s="8">
        <v>163.80000000000001</v>
      </c>
      <c r="U452">
        <v>11120083</v>
      </c>
      <c r="V452" t="s">
        <v>5596</v>
      </c>
      <c r="W452" t="s">
        <v>5409</v>
      </c>
      <c r="X452" t="s">
        <v>5597</v>
      </c>
      <c r="Y452" t="s">
        <v>5458</v>
      </c>
      <c r="Z452" t="s">
        <v>5598</v>
      </c>
      <c r="AA452" t="s">
        <v>5413</v>
      </c>
      <c r="AB452" t="s">
        <v>5414</v>
      </c>
      <c r="AC452" t="s">
        <v>5414</v>
      </c>
      <c r="AD452" t="s">
        <v>5414</v>
      </c>
      <c r="AG452" t="s">
        <v>5427</v>
      </c>
      <c r="AI452" t="s">
        <v>5599</v>
      </c>
      <c r="AJ452" t="s">
        <v>5654</v>
      </c>
      <c r="AL452" t="s">
        <v>5418</v>
      </c>
      <c r="AN452" t="s">
        <v>5419</v>
      </c>
    </row>
    <row r="453" spans="1:40" x14ac:dyDescent="0.25">
      <c r="A453">
        <v>1087559890</v>
      </c>
      <c r="B453" t="s">
        <v>5399</v>
      </c>
      <c r="C453">
        <v>252406</v>
      </c>
      <c r="D453" t="s">
        <v>5400</v>
      </c>
      <c r="E453">
        <v>46223.303576388891</v>
      </c>
      <c r="F453" t="s">
        <v>5475</v>
      </c>
      <c r="G453" t="s">
        <v>3668</v>
      </c>
      <c r="H453" t="s">
        <v>5467</v>
      </c>
      <c r="I453" t="s">
        <v>5403</v>
      </c>
      <c r="J453">
        <v>2026</v>
      </c>
      <c r="K453" t="s">
        <v>5837</v>
      </c>
      <c r="L453" t="s">
        <v>5838</v>
      </c>
      <c r="M453" t="s">
        <v>5406</v>
      </c>
      <c r="N453" s="1" t="s">
        <v>4565</v>
      </c>
      <c r="O453">
        <v>34.74</v>
      </c>
      <c r="P453">
        <v>4.2889999999999997</v>
      </c>
      <c r="Q453">
        <v>36623</v>
      </c>
      <c r="R453">
        <v>164</v>
      </c>
      <c r="S453">
        <v>4.72</v>
      </c>
      <c r="T453" s="8">
        <v>149.03</v>
      </c>
      <c r="U453">
        <v>11198252</v>
      </c>
      <c r="V453" t="s">
        <v>5424</v>
      </c>
      <c r="W453" t="s">
        <v>5409</v>
      </c>
      <c r="X453" t="s">
        <v>5425</v>
      </c>
      <c r="Y453" t="s">
        <v>5411</v>
      </c>
      <c r="Z453" t="s">
        <v>5426</v>
      </c>
      <c r="AA453" t="s">
        <v>5413</v>
      </c>
      <c r="AB453" t="s">
        <v>5414</v>
      </c>
      <c r="AC453" t="s">
        <v>5414</v>
      </c>
      <c r="AD453" t="s">
        <v>5414</v>
      </c>
      <c r="AG453" t="s">
        <v>5427</v>
      </c>
      <c r="AI453" t="s">
        <v>5428</v>
      </c>
      <c r="AJ453" t="s">
        <v>5697</v>
      </c>
      <c r="AL453" t="s">
        <v>5418</v>
      </c>
      <c r="AN453" t="s">
        <v>5419</v>
      </c>
    </row>
    <row r="454" spans="1:40" x14ac:dyDescent="0.25">
      <c r="A454">
        <v>1087559599</v>
      </c>
      <c r="B454" t="s">
        <v>5399</v>
      </c>
      <c r="C454">
        <v>252406</v>
      </c>
      <c r="D454" t="s">
        <v>5400</v>
      </c>
      <c r="E454">
        <v>46223.3046875</v>
      </c>
      <c r="F454" t="s">
        <v>5435</v>
      </c>
      <c r="G454" t="s">
        <v>3668</v>
      </c>
      <c r="H454" t="s">
        <v>5421</v>
      </c>
      <c r="I454" t="s">
        <v>5403</v>
      </c>
      <c r="J454">
        <v>2026</v>
      </c>
      <c r="K454" t="s">
        <v>5436</v>
      </c>
      <c r="L454" t="s">
        <v>5437</v>
      </c>
      <c r="M454" t="s">
        <v>5406</v>
      </c>
      <c r="N454" s="1" t="s">
        <v>4565</v>
      </c>
      <c r="O454">
        <v>31.7</v>
      </c>
      <c r="P454">
        <v>4.6589999999999998</v>
      </c>
      <c r="Q454">
        <v>49808</v>
      </c>
      <c r="R454">
        <v>99</v>
      </c>
      <c r="S454">
        <v>3.12</v>
      </c>
      <c r="T454" s="8">
        <v>147.72</v>
      </c>
      <c r="U454">
        <v>11120083</v>
      </c>
      <c r="V454" t="s">
        <v>5596</v>
      </c>
      <c r="W454" t="s">
        <v>5409</v>
      </c>
      <c r="X454" t="s">
        <v>5597</v>
      </c>
      <c r="Y454" t="s">
        <v>5458</v>
      </c>
      <c r="Z454" t="s">
        <v>5598</v>
      </c>
      <c r="AA454" t="s">
        <v>5413</v>
      </c>
      <c r="AB454" t="s">
        <v>5414</v>
      </c>
      <c r="AC454" t="s">
        <v>5414</v>
      </c>
      <c r="AD454" t="s">
        <v>5414</v>
      </c>
      <c r="AG454" t="s">
        <v>5427</v>
      </c>
      <c r="AI454" t="s">
        <v>5599</v>
      </c>
      <c r="AJ454" t="s">
        <v>5443</v>
      </c>
      <c r="AL454" t="s">
        <v>5418</v>
      </c>
      <c r="AN454" t="s">
        <v>5419</v>
      </c>
    </row>
    <row r="455" spans="1:40" x14ac:dyDescent="0.25">
      <c r="A455">
        <v>1087546413</v>
      </c>
      <c r="B455" t="s">
        <v>5399</v>
      </c>
      <c r="C455">
        <v>252406</v>
      </c>
      <c r="D455" t="s">
        <v>5400</v>
      </c>
      <c r="E455">
        <v>46223.327777777777</v>
      </c>
      <c r="F455" t="s">
        <v>5757</v>
      </c>
      <c r="G455" t="s">
        <v>3668</v>
      </c>
      <c r="H455" t="s">
        <v>5421</v>
      </c>
      <c r="I455" t="s">
        <v>5403</v>
      </c>
      <c r="J455">
        <v>2027</v>
      </c>
      <c r="K455" t="s">
        <v>5520</v>
      </c>
      <c r="L455" t="s">
        <v>5521</v>
      </c>
      <c r="M455" t="s">
        <v>5406</v>
      </c>
      <c r="N455" s="1" t="s">
        <v>4565</v>
      </c>
      <c r="O455">
        <v>29.83</v>
      </c>
      <c r="P455">
        <v>4.1890000000000001</v>
      </c>
      <c r="Q455">
        <v>2137</v>
      </c>
      <c r="R455">
        <v>219</v>
      </c>
      <c r="S455">
        <v>7.34</v>
      </c>
      <c r="T455" s="8">
        <v>124.98</v>
      </c>
      <c r="U455">
        <v>11040306</v>
      </c>
      <c r="V455" t="s">
        <v>5408</v>
      </c>
      <c r="W455" t="s">
        <v>5409</v>
      </c>
      <c r="X455" t="s">
        <v>5410</v>
      </c>
      <c r="Y455" t="s">
        <v>5411</v>
      </c>
      <c r="Z455" t="s">
        <v>5412</v>
      </c>
      <c r="AA455" t="s">
        <v>5413</v>
      </c>
      <c r="AB455" t="s">
        <v>5414</v>
      </c>
      <c r="AC455" t="s">
        <v>5414</v>
      </c>
      <c r="AD455" t="s">
        <v>5414</v>
      </c>
      <c r="AG455" t="s">
        <v>5415</v>
      </c>
      <c r="AI455" t="s">
        <v>5460</v>
      </c>
      <c r="AJ455" t="s">
        <v>5765</v>
      </c>
      <c r="AL455" t="s">
        <v>5418</v>
      </c>
      <c r="AN455" t="s">
        <v>5419</v>
      </c>
    </row>
    <row r="456" spans="1:40" x14ac:dyDescent="0.25">
      <c r="A456">
        <v>1087559029</v>
      </c>
      <c r="B456" t="s">
        <v>5399</v>
      </c>
      <c r="C456">
        <v>252406</v>
      </c>
      <c r="D456" t="s">
        <v>5400</v>
      </c>
      <c r="E456">
        <v>46223.345069444447</v>
      </c>
      <c r="F456" t="s">
        <v>5743</v>
      </c>
      <c r="G456" t="s">
        <v>3668</v>
      </c>
      <c r="H456" t="s">
        <v>5539</v>
      </c>
      <c r="I456" t="s">
        <v>5403</v>
      </c>
      <c r="J456">
        <v>2026</v>
      </c>
      <c r="K456" t="s">
        <v>5753</v>
      </c>
      <c r="L456" t="s">
        <v>5754</v>
      </c>
      <c r="M456" t="s">
        <v>5406</v>
      </c>
      <c r="N456" s="1" t="s">
        <v>4565</v>
      </c>
      <c r="O456">
        <v>23.13</v>
      </c>
      <c r="P456">
        <v>3.8690000000000002</v>
      </c>
      <c r="Q456">
        <v>18442</v>
      </c>
      <c r="R456">
        <v>245</v>
      </c>
      <c r="S456">
        <v>10.59</v>
      </c>
      <c r="T456" s="8">
        <v>89.51</v>
      </c>
      <c r="U456">
        <v>12002947</v>
      </c>
      <c r="V456" t="s">
        <v>5880</v>
      </c>
      <c r="W456" t="s">
        <v>5409</v>
      </c>
      <c r="X456" t="s">
        <v>5881</v>
      </c>
      <c r="Y456" t="s">
        <v>5882</v>
      </c>
      <c r="Z456" t="s">
        <v>5883</v>
      </c>
      <c r="AA456" t="s">
        <v>5413</v>
      </c>
      <c r="AB456" t="s">
        <v>5414</v>
      </c>
      <c r="AC456" t="s">
        <v>5414</v>
      </c>
      <c r="AD456" t="s">
        <v>5414</v>
      </c>
      <c r="AG456" t="s">
        <v>5415</v>
      </c>
      <c r="AI456" t="s">
        <v>5884</v>
      </c>
      <c r="AJ456" t="s">
        <v>5746</v>
      </c>
      <c r="AL456" t="s">
        <v>5418</v>
      </c>
      <c r="AN456" t="s">
        <v>5419</v>
      </c>
    </row>
    <row r="457" spans="1:40" x14ac:dyDescent="0.25">
      <c r="A457">
        <v>1087564891</v>
      </c>
      <c r="B457" t="s">
        <v>5399</v>
      </c>
      <c r="C457">
        <v>252406</v>
      </c>
      <c r="D457" t="s">
        <v>5400</v>
      </c>
      <c r="E457">
        <v>46223.350694444445</v>
      </c>
      <c r="F457" t="s">
        <v>5556</v>
      </c>
      <c r="G457" t="s">
        <v>3668</v>
      </c>
      <c r="H457" t="s">
        <v>5431</v>
      </c>
      <c r="I457" t="s">
        <v>5403</v>
      </c>
      <c r="J457">
        <v>2026</v>
      </c>
      <c r="K457" t="s">
        <v>5873</v>
      </c>
      <c r="L457" t="s">
        <v>5595</v>
      </c>
      <c r="M457" t="s">
        <v>5406</v>
      </c>
      <c r="N457" s="1" t="s">
        <v>4565</v>
      </c>
      <c r="O457">
        <v>38.06</v>
      </c>
      <c r="P457">
        <v>4.29</v>
      </c>
      <c r="Q457">
        <v>11598</v>
      </c>
      <c r="R457">
        <v>381</v>
      </c>
      <c r="S457">
        <v>10.01</v>
      </c>
      <c r="T457" s="8">
        <v>163.28</v>
      </c>
      <c r="U457">
        <v>11153887</v>
      </c>
      <c r="V457" t="s">
        <v>5490</v>
      </c>
      <c r="W457" t="s">
        <v>5409</v>
      </c>
      <c r="X457" t="s">
        <v>5491</v>
      </c>
      <c r="Y457" t="s">
        <v>5492</v>
      </c>
      <c r="Z457" t="s">
        <v>5426</v>
      </c>
      <c r="AA457" t="s">
        <v>5413</v>
      </c>
      <c r="AB457" t="s">
        <v>5414</v>
      </c>
      <c r="AC457" t="s">
        <v>5414</v>
      </c>
      <c r="AD457" t="s">
        <v>5414</v>
      </c>
      <c r="AG457" t="s">
        <v>5415</v>
      </c>
      <c r="AI457" t="s">
        <v>5460</v>
      </c>
      <c r="AJ457" t="s">
        <v>5559</v>
      </c>
      <c r="AL457" t="s">
        <v>5418</v>
      </c>
      <c r="AN457" t="s">
        <v>5419</v>
      </c>
    </row>
    <row r="458" spans="1:40" x14ac:dyDescent="0.25">
      <c r="A458">
        <v>1087596355</v>
      </c>
      <c r="B458" t="s">
        <v>5399</v>
      </c>
      <c r="C458">
        <v>252406</v>
      </c>
      <c r="D458" t="s">
        <v>5400</v>
      </c>
      <c r="E458">
        <v>46223.357349537036</v>
      </c>
      <c r="F458" t="s">
        <v>5444</v>
      </c>
      <c r="G458" t="s">
        <v>3668</v>
      </c>
      <c r="H458" t="s">
        <v>5431</v>
      </c>
      <c r="I458" t="s">
        <v>5403</v>
      </c>
      <c r="J458">
        <v>2026</v>
      </c>
      <c r="K458" t="s">
        <v>5445</v>
      </c>
      <c r="L458" t="s">
        <v>5446</v>
      </c>
      <c r="M458" t="s">
        <v>5406</v>
      </c>
      <c r="N458" s="1" t="s">
        <v>4565</v>
      </c>
      <c r="O458">
        <v>35.96</v>
      </c>
      <c r="P458">
        <v>4.2889999999999997</v>
      </c>
      <c r="Q458">
        <v>20330</v>
      </c>
      <c r="R458">
        <v>195</v>
      </c>
      <c r="S458">
        <v>5.42</v>
      </c>
      <c r="T458" s="8">
        <v>154.25</v>
      </c>
      <c r="U458">
        <v>12193017</v>
      </c>
      <c r="V458" t="s">
        <v>5574</v>
      </c>
      <c r="W458" t="s">
        <v>5409</v>
      </c>
      <c r="X458" t="s">
        <v>5575</v>
      </c>
      <c r="Y458" t="s">
        <v>5576</v>
      </c>
      <c r="Z458" t="s">
        <v>5472</v>
      </c>
      <c r="AA458" t="s">
        <v>5413</v>
      </c>
      <c r="AB458" t="s">
        <v>5414</v>
      </c>
      <c r="AC458" t="s">
        <v>5414</v>
      </c>
      <c r="AD458" t="s">
        <v>5414</v>
      </c>
      <c r="AG458" t="s">
        <v>5427</v>
      </c>
      <c r="AI458" t="s">
        <v>5577</v>
      </c>
      <c r="AJ458" t="s">
        <v>5447</v>
      </c>
      <c r="AL458" t="s">
        <v>5418</v>
      </c>
      <c r="AN458" t="s">
        <v>5419</v>
      </c>
    </row>
    <row r="459" spans="1:40" x14ac:dyDescent="0.25">
      <c r="A459">
        <v>1087571191</v>
      </c>
      <c r="B459" t="s">
        <v>5399</v>
      </c>
      <c r="C459">
        <v>252406</v>
      </c>
      <c r="D459" t="s">
        <v>5400</v>
      </c>
      <c r="E459">
        <v>46223.359861111108</v>
      </c>
      <c r="F459" t="s">
        <v>5817</v>
      </c>
      <c r="G459" t="s">
        <v>3668</v>
      </c>
      <c r="H459" t="s">
        <v>5421</v>
      </c>
      <c r="I459" t="s">
        <v>5403</v>
      </c>
      <c r="J459">
        <v>2027</v>
      </c>
      <c r="K459" t="s">
        <v>5614</v>
      </c>
      <c r="L459" t="s">
        <v>5615</v>
      </c>
      <c r="M459" t="s">
        <v>5406</v>
      </c>
      <c r="N459" s="1" t="s">
        <v>4565</v>
      </c>
      <c r="O459">
        <v>39.1</v>
      </c>
      <c r="P459">
        <v>4.1890000000000001</v>
      </c>
      <c r="Q459">
        <v>1672</v>
      </c>
      <c r="R459">
        <v>265</v>
      </c>
      <c r="S459">
        <v>6.78</v>
      </c>
      <c r="T459" s="8">
        <v>163.82</v>
      </c>
      <c r="U459">
        <v>11040306</v>
      </c>
      <c r="V459" t="s">
        <v>5408</v>
      </c>
      <c r="W459" t="s">
        <v>5409</v>
      </c>
      <c r="X459" t="s">
        <v>5410</v>
      </c>
      <c r="Y459" t="s">
        <v>5411</v>
      </c>
      <c r="Z459" t="s">
        <v>5412</v>
      </c>
      <c r="AA459" t="s">
        <v>5413</v>
      </c>
      <c r="AB459" t="s">
        <v>5414</v>
      </c>
      <c r="AC459" t="s">
        <v>5414</v>
      </c>
      <c r="AD459" t="s">
        <v>5414</v>
      </c>
      <c r="AG459" t="s">
        <v>5415</v>
      </c>
      <c r="AI459" t="s">
        <v>5460</v>
      </c>
      <c r="AJ459" t="s">
        <v>5818</v>
      </c>
      <c r="AL459" t="s">
        <v>5418</v>
      </c>
      <c r="AN459" t="s">
        <v>5419</v>
      </c>
    </row>
    <row r="460" spans="1:40" x14ac:dyDescent="0.25">
      <c r="A460">
        <v>1087598526</v>
      </c>
      <c r="B460" t="s">
        <v>5399</v>
      </c>
      <c r="C460">
        <v>252406</v>
      </c>
      <c r="D460" t="s">
        <v>5400</v>
      </c>
      <c r="E460">
        <v>46223.402106481481</v>
      </c>
      <c r="F460" t="s">
        <v>5534</v>
      </c>
      <c r="G460" t="s">
        <v>3668</v>
      </c>
      <c r="H460" t="s">
        <v>5421</v>
      </c>
      <c r="I460" t="s">
        <v>5403</v>
      </c>
      <c r="J460">
        <v>2027</v>
      </c>
      <c r="K460" t="s">
        <v>5535</v>
      </c>
      <c r="L460" t="s">
        <v>5536</v>
      </c>
      <c r="M460" t="s">
        <v>5406</v>
      </c>
      <c r="N460" s="1" t="s">
        <v>4565</v>
      </c>
      <c r="O460">
        <v>32.840000000000003</v>
      </c>
      <c r="P460">
        <v>4.1890000000000001</v>
      </c>
      <c r="Q460">
        <v>3515</v>
      </c>
      <c r="R460">
        <v>219</v>
      </c>
      <c r="S460">
        <v>6.67</v>
      </c>
      <c r="T460" s="8">
        <v>137.59</v>
      </c>
      <c r="U460">
        <v>11040306</v>
      </c>
      <c r="V460" t="s">
        <v>5408</v>
      </c>
      <c r="W460" t="s">
        <v>5409</v>
      </c>
      <c r="X460" t="s">
        <v>5410</v>
      </c>
      <c r="Y460" t="s">
        <v>5411</v>
      </c>
      <c r="Z460" t="s">
        <v>5412</v>
      </c>
      <c r="AA460" t="s">
        <v>5413</v>
      </c>
      <c r="AB460" t="s">
        <v>5414</v>
      </c>
      <c r="AC460" t="s">
        <v>5414</v>
      </c>
      <c r="AD460" t="s">
        <v>5414</v>
      </c>
      <c r="AG460" t="s">
        <v>5415</v>
      </c>
      <c r="AI460" t="s">
        <v>5522</v>
      </c>
      <c r="AJ460" t="s">
        <v>5816</v>
      </c>
      <c r="AL460" t="s">
        <v>5418</v>
      </c>
      <c r="AN460" t="s">
        <v>5419</v>
      </c>
    </row>
    <row r="461" spans="1:40" x14ac:dyDescent="0.25">
      <c r="A461">
        <v>1087600186</v>
      </c>
      <c r="B461" t="s">
        <v>5399</v>
      </c>
      <c r="C461">
        <v>252406</v>
      </c>
      <c r="D461" t="s">
        <v>5400</v>
      </c>
      <c r="E461">
        <v>46223.406145833331</v>
      </c>
      <c r="F461" t="s">
        <v>5477</v>
      </c>
      <c r="G461" t="s">
        <v>3668</v>
      </c>
      <c r="H461" t="s">
        <v>5478</v>
      </c>
      <c r="I461" t="s">
        <v>5403</v>
      </c>
      <c r="J461">
        <v>2015</v>
      </c>
      <c r="K461" t="s">
        <v>5479</v>
      </c>
      <c r="L461" t="s">
        <v>5480</v>
      </c>
      <c r="M461" t="s">
        <v>5406</v>
      </c>
      <c r="N461" s="1" t="s">
        <v>4565</v>
      </c>
      <c r="O461">
        <v>51.04</v>
      </c>
      <c r="P461">
        <v>4.1890000000000001</v>
      </c>
      <c r="Q461">
        <v>250593</v>
      </c>
      <c r="R461">
        <v>148</v>
      </c>
      <c r="S461">
        <v>2.9</v>
      </c>
      <c r="T461" s="8">
        <v>213.85</v>
      </c>
      <c r="U461">
        <v>11040306</v>
      </c>
      <c r="V461" t="s">
        <v>5408</v>
      </c>
      <c r="W461" t="s">
        <v>5409</v>
      </c>
      <c r="X461" t="s">
        <v>5410</v>
      </c>
      <c r="Y461" t="s">
        <v>5411</v>
      </c>
      <c r="Z461" t="s">
        <v>5412</v>
      </c>
      <c r="AA461" t="s">
        <v>5413</v>
      </c>
      <c r="AB461" t="s">
        <v>5414</v>
      </c>
      <c r="AC461" t="s">
        <v>5414</v>
      </c>
      <c r="AD461" t="s">
        <v>5414</v>
      </c>
      <c r="AG461" t="s">
        <v>5415</v>
      </c>
      <c r="AI461" t="s">
        <v>5460</v>
      </c>
      <c r="AJ461" t="s">
        <v>5485</v>
      </c>
      <c r="AL461" t="s">
        <v>5418</v>
      </c>
      <c r="AN461" t="s">
        <v>5419</v>
      </c>
    </row>
    <row r="462" spans="1:40" x14ac:dyDescent="0.25">
      <c r="A462">
        <v>1087632703</v>
      </c>
      <c r="B462" t="s">
        <v>5399</v>
      </c>
      <c r="C462">
        <v>252406</v>
      </c>
      <c r="D462" t="s">
        <v>5400</v>
      </c>
      <c r="E462">
        <v>46223.467060185183</v>
      </c>
      <c r="F462" t="s">
        <v>5613</v>
      </c>
      <c r="G462" t="s">
        <v>3668</v>
      </c>
      <c r="H462" t="s">
        <v>5467</v>
      </c>
      <c r="I462" t="s">
        <v>5403</v>
      </c>
      <c r="J462">
        <v>2025</v>
      </c>
      <c r="K462" t="s">
        <v>5656</v>
      </c>
      <c r="L462" t="s">
        <v>5657</v>
      </c>
      <c r="M462" t="s">
        <v>5406</v>
      </c>
      <c r="N462" s="1" t="s">
        <v>4565</v>
      </c>
      <c r="O462">
        <v>43.74</v>
      </c>
      <c r="P462">
        <v>3.7890000000000001</v>
      </c>
      <c r="Q462">
        <v>74172</v>
      </c>
      <c r="R462">
        <v>418</v>
      </c>
      <c r="S462">
        <v>9.56</v>
      </c>
      <c r="T462" s="8">
        <v>165.77</v>
      </c>
      <c r="U462">
        <v>11588743</v>
      </c>
      <c r="V462" t="s">
        <v>5885</v>
      </c>
      <c r="W462" t="s">
        <v>5409</v>
      </c>
      <c r="X462" t="s">
        <v>5886</v>
      </c>
      <c r="Y462" t="s">
        <v>5887</v>
      </c>
      <c r="Z462" t="s">
        <v>5888</v>
      </c>
      <c r="AA462" t="s">
        <v>5502</v>
      </c>
      <c r="AB462" t="s">
        <v>5414</v>
      </c>
      <c r="AC462" t="s">
        <v>5414</v>
      </c>
      <c r="AD462" t="s">
        <v>5414</v>
      </c>
      <c r="AG462" t="s">
        <v>5415</v>
      </c>
      <c r="AI462" t="s">
        <v>5889</v>
      </c>
      <c r="AJ462" t="s">
        <v>5616</v>
      </c>
      <c r="AL462" t="s">
        <v>5418</v>
      </c>
      <c r="AN462" t="s">
        <v>5419</v>
      </c>
    </row>
    <row r="463" spans="1:40" x14ac:dyDescent="0.25">
      <c r="A463">
        <v>1087662418</v>
      </c>
      <c r="B463" t="s">
        <v>5399</v>
      </c>
      <c r="C463">
        <v>252406</v>
      </c>
      <c r="D463" t="s">
        <v>5400</v>
      </c>
      <c r="E463">
        <v>46223.512141203704</v>
      </c>
      <c r="F463" t="s">
        <v>5466</v>
      </c>
      <c r="G463" t="s">
        <v>3668</v>
      </c>
      <c r="H463" t="s">
        <v>5467</v>
      </c>
      <c r="I463" t="s">
        <v>5403</v>
      </c>
      <c r="J463">
        <v>2025</v>
      </c>
      <c r="K463" t="s">
        <v>5468</v>
      </c>
      <c r="L463" t="s">
        <v>5469</v>
      </c>
      <c r="M463" t="s">
        <v>5406</v>
      </c>
      <c r="N463" s="1" t="s">
        <v>4565</v>
      </c>
      <c r="O463">
        <v>41.19</v>
      </c>
      <c r="P463">
        <v>4.29</v>
      </c>
      <c r="Q463">
        <v>64980</v>
      </c>
      <c r="R463">
        <v>152</v>
      </c>
      <c r="S463">
        <v>3.69</v>
      </c>
      <c r="T463" s="8">
        <v>176.71</v>
      </c>
      <c r="U463">
        <v>11198252</v>
      </c>
      <c r="V463" t="s">
        <v>5424</v>
      </c>
      <c r="W463" t="s">
        <v>5409</v>
      </c>
      <c r="X463" t="s">
        <v>5425</v>
      </c>
      <c r="Y463" t="s">
        <v>5411</v>
      </c>
      <c r="Z463" t="s">
        <v>5426</v>
      </c>
      <c r="AA463" t="s">
        <v>5413</v>
      </c>
      <c r="AB463" t="s">
        <v>5414</v>
      </c>
      <c r="AC463" t="s">
        <v>5414</v>
      </c>
      <c r="AD463" t="s">
        <v>5414</v>
      </c>
      <c r="AG463" t="s">
        <v>5427</v>
      </c>
      <c r="AI463" t="s">
        <v>5428</v>
      </c>
      <c r="AJ463" t="s">
        <v>5474</v>
      </c>
      <c r="AL463" t="s">
        <v>5418</v>
      </c>
      <c r="AN463" t="s">
        <v>5419</v>
      </c>
    </row>
    <row r="464" spans="1:40" x14ac:dyDescent="0.25">
      <c r="A464">
        <v>1087665340</v>
      </c>
      <c r="B464" t="s">
        <v>5399</v>
      </c>
      <c r="C464">
        <v>252406</v>
      </c>
      <c r="D464" t="s">
        <v>5400</v>
      </c>
      <c r="E464">
        <v>46223.565023148149</v>
      </c>
      <c r="F464" t="s">
        <v>5556</v>
      </c>
      <c r="G464" t="s">
        <v>3668</v>
      </c>
      <c r="H464" t="s">
        <v>5431</v>
      </c>
      <c r="I464" t="s">
        <v>5403</v>
      </c>
      <c r="J464">
        <v>2026</v>
      </c>
      <c r="K464" t="s">
        <v>5873</v>
      </c>
      <c r="L464" t="s">
        <v>5595</v>
      </c>
      <c r="M464" t="s">
        <v>5406</v>
      </c>
      <c r="N464" s="1" t="s">
        <v>4565</v>
      </c>
      <c r="O464">
        <v>5.0599999999999996</v>
      </c>
      <c r="P464">
        <v>4.29</v>
      </c>
      <c r="Q464">
        <v>11641</v>
      </c>
      <c r="R464">
        <v>43</v>
      </c>
      <c r="S464">
        <v>8.5</v>
      </c>
      <c r="T464" s="8">
        <v>21.71</v>
      </c>
      <c r="U464">
        <v>11153887</v>
      </c>
      <c r="V464" t="s">
        <v>5490</v>
      </c>
      <c r="W464" t="s">
        <v>5409</v>
      </c>
      <c r="X464" t="s">
        <v>5491</v>
      </c>
      <c r="Y464" t="s">
        <v>5492</v>
      </c>
      <c r="Z464" t="s">
        <v>5426</v>
      </c>
      <c r="AA464" t="s">
        <v>5413</v>
      </c>
      <c r="AB464" t="s">
        <v>5414</v>
      </c>
      <c r="AC464" t="s">
        <v>5414</v>
      </c>
      <c r="AD464" t="s">
        <v>5414</v>
      </c>
      <c r="AG464" t="s">
        <v>5415</v>
      </c>
      <c r="AI464" t="s">
        <v>5460</v>
      </c>
      <c r="AJ464" t="s">
        <v>5559</v>
      </c>
      <c r="AL464" t="s">
        <v>5418</v>
      </c>
      <c r="AN464" t="s">
        <v>5419</v>
      </c>
    </row>
    <row r="465" spans="1:40" x14ac:dyDescent="0.25">
      <c r="A465">
        <v>1087680725</v>
      </c>
      <c r="B465" t="s">
        <v>5399</v>
      </c>
      <c r="C465">
        <v>252406</v>
      </c>
      <c r="D465" t="s">
        <v>5400</v>
      </c>
      <c r="E465">
        <v>46223.567824074074</v>
      </c>
      <c r="F465" t="s">
        <v>5444</v>
      </c>
      <c r="G465" t="s">
        <v>3668</v>
      </c>
      <c r="H465" t="s">
        <v>5431</v>
      </c>
      <c r="I465" t="s">
        <v>5403</v>
      </c>
      <c r="J465">
        <v>2026</v>
      </c>
      <c r="K465" t="s">
        <v>5445</v>
      </c>
      <c r="L465" t="s">
        <v>5446</v>
      </c>
      <c r="M465" t="s">
        <v>5406</v>
      </c>
      <c r="N465" s="1" t="s">
        <v>4565</v>
      </c>
      <c r="O465">
        <v>26.88</v>
      </c>
      <c r="P465">
        <v>3.59</v>
      </c>
      <c r="Q465">
        <v>20613</v>
      </c>
      <c r="R465">
        <v>283</v>
      </c>
      <c r="S465">
        <v>10.53</v>
      </c>
      <c r="T465" s="8">
        <v>96.5</v>
      </c>
      <c r="U465">
        <v>12815000</v>
      </c>
      <c r="V465" t="s">
        <v>5448</v>
      </c>
      <c r="W465" t="s">
        <v>5409</v>
      </c>
      <c r="X465" t="s">
        <v>5449</v>
      </c>
      <c r="Y465" t="s">
        <v>5450</v>
      </c>
      <c r="Z465" t="s">
        <v>5426</v>
      </c>
      <c r="AA465" t="s">
        <v>5413</v>
      </c>
      <c r="AB465" t="s">
        <v>5414</v>
      </c>
      <c r="AC465" t="s">
        <v>5414</v>
      </c>
      <c r="AD465" t="s">
        <v>5414</v>
      </c>
      <c r="AG465" t="s">
        <v>5427</v>
      </c>
      <c r="AI465" t="s">
        <v>5451</v>
      </c>
      <c r="AJ465" t="s">
        <v>5447</v>
      </c>
      <c r="AL465" t="s">
        <v>5418</v>
      </c>
      <c r="AN465" t="s">
        <v>5419</v>
      </c>
    </row>
    <row r="466" spans="1:40" x14ac:dyDescent="0.25">
      <c r="A466">
        <v>1087688782</v>
      </c>
      <c r="B466" t="s">
        <v>5399</v>
      </c>
      <c r="C466">
        <v>252406</v>
      </c>
      <c r="D466" t="s">
        <v>5400</v>
      </c>
      <c r="E466">
        <v>46223.632245370369</v>
      </c>
      <c r="F466" t="s">
        <v>5626</v>
      </c>
      <c r="G466" t="s">
        <v>3668</v>
      </c>
      <c r="H466" t="s">
        <v>5552</v>
      </c>
      <c r="I466" t="s">
        <v>5403</v>
      </c>
      <c r="J466">
        <v>2026</v>
      </c>
      <c r="K466" t="s">
        <v>5627</v>
      </c>
      <c r="L466" t="s">
        <v>5628</v>
      </c>
      <c r="M466" t="s">
        <v>5406</v>
      </c>
      <c r="N466" s="1" t="s">
        <v>4565</v>
      </c>
      <c r="O466">
        <v>48.8</v>
      </c>
      <c r="P466">
        <v>4.1890000000000001</v>
      </c>
      <c r="Q466">
        <v>22226</v>
      </c>
      <c r="R466">
        <v>178</v>
      </c>
      <c r="S466">
        <v>3.65</v>
      </c>
      <c r="T466" s="8">
        <v>204.47</v>
      </c>
      <c r="U466">
        <v>11040306</v>
      </c>
      <c r="V466" t="s">
        <v>5408</v>
      </c>
      <c r="W466" t="s">
        <v>5409</v>
      </c>
      <c r="X466" t="s">
        <v>5410</v>
      </c>
      <c r="Y466" t="s">
        <v>5411</v>
      </c>
      <c r="Z466" t="s">
        <v>5412</v>
      </c>
      <c r="AA466" t="s">
        <v>5413</v>
      </c>
      <c r="AB466" t="s">
        <v>5414</v>
      </c>
      <c r="AC466" t="s">
        <v>5414</v>
      </c>
      <c r="AD466" t="s">
        <v>5414</v>
      </c>
      <c r="AG466" t="s">
        <v>5415</v>
      </c>
      <c r="AI466" t="s">
        <v>5460</v>
      </c>
      <c r="AJ466" t="s">
        <v>5630</v>
      </c>
      <c r="AL466" t="s">
        <v>5418</v>
      </c>
      <c r="AN466" t="s">
        <v>5419</v>
      </c>
    </row>
    <row r="467" spans="1:40" x14ac:dyDescent="0.25">
      <c r="A467">
        <v>1087693959</v>
      </c>
      <c r="B467" t="s">
        <v>5399</v>
      </c>
      <c r="C467">
        <v>252406</v>
      </c>
      <c r="D467" t="s">
        <v>5400</v>
      </c>
      <c r="E467">
        <v>46223.644907407404</v>
      </c>
      <c r="F467" t="s">
        <v>5617</v>
      </c>
      <c r="G467" t="s">
        <v>3668</v>
      </c>
      <c r="H467" t="s">
        <v>5467</v>
      </c>
      <c r="I467" t="s">
        <v>5403</v>
      </c>
      <c r="J467">
        <v>2026</v>
      </c>
      <c r="K467" t="s">
        <v>5618</v>
      </c>
      <c r="L467" t="s">
        <v>5619</v>
      </c>
      <c r="M467" t="s">
        <v>5406</v>
      </c>
      <c r="N467" s="1" t="s">
        <v>4565</v>
      </c>
      <c r="O467">
        <v>47.37</v>
      </c>
      <c r="P467">
        <v>4.29</v>
      </c>
      <c r="Q467">
        <v>56367</v>
      </c>
      <c r="R467">
        <v>295</v>
      </c>
      <c r="S467">
        <v>6.23</v>
      </c>
      <c r="T467" s="8">
        <v>203.22</v>
      </c>
      <c r="U467">
        <v>491721</v>
      </c>
      <c r="V467" t="s">
        <v>5438</v>
      </c>
      <c r="W467" t="s">
        <v>5409</v>
      </c>
      <c r="X467" t="s">
        <v>5439</v>
      </c>
      <c r="Y467" t="s">
        <v>5440</v>
      </c>
      <c r="Z467" t="s">
        <v>5441</v>
      </c>
      <c r="AA467" t="s">
        <v>5413</v>
      </c>
      <c r="AB467" t="s">
        <v>5414</v>
      </c>
      <c r="AC467" t="s">
        <v>5414</v>
      </c>
      <c r="AD467" t="s">
        <v>5414</v>
      </c>
      <c r="AG467" t="s">
        <v>5415</v>
      </c>
      <c r="AI467" t="s">
        <v>5460</v>
      </c>
      <c r="AJ467" t="s">
        <v>5620</v>
      </c>
      <c r="AL467" t="s">
        <v>5418</v>
      </c>
      <c r="AN467" t="s">
        <v>5419</v>
      </c>
    </row>
    <row r="468" spans="1:40" x14ac:dyDescent="0.25">
      <c r="A468">
        <v>1087715725</v>
      </c>
      <c r="B468" t="s">
        <v>5399</v>
      </c>
      <c r="C468">
        <v>252406</v>
      </c>
      <c r="D468" t="s">
        <v>5400</v>
      </c>
      <c r="E468">
        <v>46223.706770833334</v>
      </c>
      <c r="F468" t="s">
        <v>5462</v>
      </c>
      <c r="G468" t="s">
        <v>3668</v>
      </c>
      <c r="H468" t="s">
        <v>5402</v>
      </c>
      <c r="I468" t="s">
        <v>5403</v>
      </c>
      <c r="J468">
        <v>2026</v>
      </c>
      <c r="K468" t="s">
        <v>5463</v>
      </c>
      <c r="L468" t="s">
        <v>5464</v>
      </c>
      <c r="M468" t="s">
        <v>5406</v>
      </c>
      <c r="N468" s="1" t="s">
        <v>4565</v>
      </c>
      <c r="O468">
        <v>38.01</v>
      </c>
      <c r="P468">
        <v>4.59</v>
      </c>
      <c r="Q468">
        <v>28931</v>
      </c>
      <c r="R468">
        <v>201</v>
      </c>
      <c r="S468">
        <v>5.29</v>
      </c>
      <c r="T468" s="8">
        <v>174.47</v>
      </c>
      <c r="U468">
        <v>11289550</v>
      </c>
      <c r="V468" t="s">
        <v>5565</v>
      </c>
      <c r="W468" t="s">
        <v>5409</v>
      </c>
      <c r="X468" t="s">
        <v>5566</v>
      </c>
      <c r="Y468" t="s">
        <v>5458</v>
      </c>
      <c r="Z468" t="s">
        <v>5426</v>
      </c>
      <c r="AA468" t="s">
        <v>5413</v>
      </c>
      <c r="AB468" t="s">
        <v>5414</v>
      </c>
      <c r="AC468" t="s">
        <v>5414</v>
      </c>
      <c r="AD468" t="s">
        <v>5414</v>
      </c>
      <c r="AG468" t="s">
        <v>5415</v>
      </c>
      <c r="AI468" t="s">
        <v>5460</v>
      </c>
      <c r="AJ468" t="s">
        <v>5465</v>
      </c>
      <c r="AL468" t="s">
        <v>5418</v>
      </c>
      <c r="AN468" t="s">
        <v>5419</v>
      </c>
    </row>
    <row r="469" spans="1:40" x14ac:dyDescent="0.25">
      <c r="A469">
        <v>1087741968</v>
      </c>
      <c r="B469" t="s">
        <v>5399</v>
      </c>
      <c r="C469">
        <v>252406</v>
      </c>
      <c r="D469" t="s">
        <v>5400</v>
      </c>
      <c r="E469">
        <v>46223.736238425925</v>
      </c>
      <c r="F469" t="s">
        <v>5401</v>
      </c>
      <c r="G469" t="s">
        <v>3668</v>
      </c>
      <c r="H469" t="s">
        <v>5402</v>
      </c>
      <c r="I469" t="s">
        <v>5403</v>
      </c>
      <c r="J469">
        <v>2026</v>
      </c>
      <c r="K469" t="s">
        <v>5404</v>
      </c>
      <c r="L469" t="s">
        <v>5405</v>
      </c>
      <c r="M469" t="s">
        <v>5406</v>
      </c>
      <c r="N469" s="1" t="s">
        <v>4565</v>
      </c>
      <c r="O469">
        <v>36.369999999999997</v>
      </c>
      <c r="P469">
        <v>4.2889999999999997</v>
      </c>
      <c r="Q469">
        <v>36168</v>
      </c>
      <c r="R469">
        <v>265</v>
      </c>
      <c r="S469">
        <v>7.29</v>
      </c>
      <c r="T469" s="8">
        <v>156.02000000000001</v>
      </c>
      <c r="U469">
        <v>12193017</v>
      </c>
      <c r="V469" t="s">
        <v>5574</v>
      </c>
      <c r="W469" t="s">
        <v>5409</v>
      </c>
      <c r="X469" t="s">
        <v>5575</v>
      </c>
      <c r="Y469" t="s">
        <v>5576</v>
      </c>
      <c r="Z469" t="s">
        <v>5472</v>
      </c>
      <c r="AA469" t="s">
        <v>5413</v>
      </c>
      <c r="AB469" t="s">
        <v>5414</v>
      </c>
      <c r="AC469" t="s">
        <v>5414</v>
      </c>
      <c r="AD469" t="s">
        <v>5414</v>
      </c>
      <c r="AG469" t="s">
        <v>5427</v>
      </c>
      <c r="AI469" t="s">
        <v>5577</v>
      </c>
      <c r="AJ469" t="s">
        <v>5417</v>
      </c>
      <c r="AL469" t="s">
        <v>5418</v>
      </c>
      <c r="AN469" t="s">
        <v>5419</v>
      </c>
    </row>
    <row r="470" spans="1:40" x14ac:dyDescent="0.25">
      <c r="A470">
        <v>1087730709</v>
      </c>
      <c r="B470" t="s">
        <v>5399</v>
      </c>
      <c r="C470">
        <v>252406</v>
      </c>
      <c r="D470" t="s">
        <v>5400</v>
      </c>
      <c r="E470">
        <v>46223.743194444447</v>
      </c>
      <c r="F470" t="s">
        <v>5524</v>
      </c>
      <c r="G470" t="s">
        <v>3668</v>
      </c>
      <c r="H470" t="s">
        <v>5421</v>
      </c>
      <c r="I470" t="s">
        <v>5524</v>
      </c>
      <c r="J470">
        <v>2025</v>
      </c>
      <c r="K470" t="s">
        <v>5525</v>
      </c>
      <c r="L470" t="s">
        <v>5526</v>
      </c>
      <c r="M470" t="s">
        <v>5406</v>
      </c>
      <c r="N470" s="1" t="s">
        <v>4565</v>
      </c>
      <c r="O470">
        <v>40.840000000000003</v>
      </c>
      <c r="P470">
        <v>3.919</v>
      </c>
      <c r="Q470">
        <v>66611</v>
      </c>
      <c r="R470">
        <v>401</v>
      </c>
      <c r="S470">
        <v>9.82</v>
      </c>
      <c r="T470" s="8">
        <v>160.09</v>
      </c>
      <c r="U470">
        <v>490156</v>
      </c>
      <c r="V470" t="s">
        <v>5578</v>
      </c>
      <c r="W470" t="s">
        <v>5409</v>
      </c>
      <c r="X470" t="s">
        <v>5579</v>
      </c>
      <c r="Y470" t="s">
        <v>5458</v>
      </c>
      <c r="Z470" t="s">
        <v>5412</v>
      </c>
      <c r="AA470" t="s">
        <v>5413</v>
      </c>
      <c r="AB470" t="s">
        <v>5414</v>
      </c>
      <c r="AC470" t="s">
        <v>5414</v>
      </c>
      <c r="AD470" t="s">
        <v>5414</v>
      </c>
      <c r="AG470" t="s">
        <v>5415</v>
      </c>
      <c r="AI470" t="s">
        <v>5580</v>
      </c>
      <c r="AJ470" t="s">
        <v>5527</v>
      </c>
      <c r="AK470" t="s">
        <v>5528</v>
      </c>
      <c r="AL470" t="s">
        <v>5418</v>
      </c>
      <c r="AN470" t="s">
        <v>5529</v>
      </c>
    </row>
    <row r="471" spans="1:40" x14ac:dyDescent="0.25">
      <c r="A471">
        <v>1087734376</v>
      </c>
      <c r="B471" t="s">
        <v>5399</v>
      </c>
      <c r="C471">
        <v>252406</v>
      </c>
      <c r="D471" t="s">
        <v>5400</v>
      </c>
      <c r="E471">
        <v>46223.754502314812</v>
      </c>
      <c r="F471" t="s">
        <v>5613</v>
      </c>
      <c r="G471" t="s">
        <v>3668</v>
      </c>
      <c r="H471" t="s">
        <v>5467</v>
      </c>
      <c r="I471" t="s">
        <v>5403</v>
      </c>
      <c r="J471">
        <v>2025</v>
      </c>
      <c r="K471" t="s">
        <v>5656</v>
      </c>
      <c r="L471" t="s">
        <v>5657</v>
      </c>
      <c r="M471" t="s">
        <v>5406</v>
      </c>
      <c r="N471" s="1" t="s">
        <v>4565</v>
      </c>
      <c r="O471">
        <v>46.23</v>
      </c>
      <c r="P471">
        <v>3.69</v>
      </c>
      <c r="Q471">
        <v>74666</v>
      </c>
      <c r="R471">
        <v>494</v>
      </c>
      <c r="S471">
        <v>10.69</v>
      </c>
      <c r="T471" s="8">
        <v>170.59</v>
      </c>
      <c r="U471">
        <v>11450300</v>
      </c>
      <c r="V471" t="s">
        <v>5812</v>
      </c>
      <c r="W471" t="s">
        <v>5409</v>
      </c>
      <c r="X471" t="s">
        <v>5813</v>
      </c>
      <c r="Y471" t="s">
        <v>5411</v>
      </c>
      <c r="Z471" t="s">
        <v>5814</v>
      </c>
      <c r="AA471" t="s">
        <v>5502</v>
      </c>
      <c r="AB471" t="s">
        <v>5414</v>
      </c>
      <c r="AC471" t="s">
        <v>5414</v>
      </c>
      <c r="AD471" t="s">
        <v>5414</v>
      </c>
      <c r="AG471" t="s">
        <v>5427</v>
      </c>
      <c r="AI471" t="s">
        <v>5815</v>
      </c>
      <c r="AJ471" t="s">
        <v>5616</v>
      </c>
      <c r="AL471" t="s">
        <v>5418</v>
      </c>
      <c r="AN471" t="s">
        <v>5419</v>
      </c>
    </row>
    <row r="472" spans="1:40" x14ac:dyDescent="0.25">
      <c r="A472">
        <v>1087747024</v>
      </c>
      <c r="B472" t="s">
        <v>5399</v>
      </c>
      <c r="C472">
        <v>252406</v>
      </c>
      <c r="D472" t="s">
        <v>5400</v>
      </c>
      <c r="E472">
        <v>46223.754525462966</v>
      </c>
      <c r="F472" t="s">
        <v>5420</v>
      </c>
      <c r="G472" t="s">
        <v>3668</v>
      </c>
      <c r="H472" t="s">
        <v>5421</v>
      </c>
      <c r="I472" t="s">
        <v>5403</v>
      </c>
      <c r="J472">
        <v>2025</v>
      </c>
      <c r="K472" t="s">
        <v>5652</v>
      </c>
      <c r="L472" t="s">
        <v>5653</v>
      </c>
      <c r="M472" t="s">
        <v>5406</v>
      </c>
      <c r="N472" s="1" t="s">
        <v>4565</v>
      </c>
      <c r="O472">
        <v>38.200000000000003</v>
      </c>
      <c r="P472">
        <v>4.29</v>
      </c>
      <c r="Q472">
        <v>71851</v>
      </c>
      <c r="R472">
        <v>305</v>
      </c>
      <c r="S472">
        <v>7.98</v>
      </c>
      <c r="T472" s="8">
        <v>163.88</v>
      </c>
      <c r="U472">
        <v>11198252</v>
      </c>
      <c r="V472" t="s">
        <v>5424</v>
      </c>
      <c r="W472" t="s">
        <v>5409</v>
      </c>
      <c r="X472" t="s">
        <v>5425</v>
      </c>
      <c r="Y472" t="s">
        <v>5411</v>
      </c>
      <c r="Z472" t="s">
        <v>5426</v>
      </c>
      <c r="AA472" t="s">
        <v>5413</v>
      </c>
      <c r="AB472" t="s">
        <v>5414</v>
      </c>
      <c r="AC472" t="s">
        <v>5414</v>
      </c>
      <c r="AD472" t="s">
        <v>5414</v>
      </c>
      <c r="AG472" t="s">
        <v>5427</v>
      </c>
      <c r="AI472" t="s">
        <v>5428</v>
      </c>
      <c r="AJ472" t="s">
        <v>5429</v>
      </c>
      <c r="AL472" t="s">
        <v>5418</v>
      </c>
      <c r="AN472" t="s">
        <v>5419</v>
      </c>
    </row>
    <row r="473" spans="1:40" x14ac:dyDescent="0.25">
      <c r="A473">
        <v>1087735074</v>
      </c>
      <c r="B473" t="s">
        <v>5399</v>
      </c>
      <c r="C473">
        <v>252406</v>
      </c>
      <c r="D473" t="s">
        <v>5400</v>
      </c>
      <c r="E473">
        <v>46223.757037037038</v>
      </c>
      <c r="F473" t="s">
        <v>5847</v>
      </c>
      <c r="G473" t="s">
        <v>3668</v>
      </c>
      <c r="H473" t="s">
        <v>5421</v>
      </c>
      <c r="I473" t="s">
        <v>5403</v>
      </c>
      <c r="J473">
        <v>2027</v>
      </c>
      <c r="K473" t="s">
        <v>5694</v>
      </c>
      <c r="L473" t="s">
        <v>5695</v>
      </c>
      <c r="M473" t="s">
        <v>5406</v>
      </c>
      <c r="N473" s="1" t="s">
        <v>4565</v>
      </c>
      <c r="O473">
        <v>39.4</v>
      </c>
      <c r="P473">
        <v>4.1890000000000001</v>
      </c>
      <c r="Q473">
        <v>1067</v>
      </c>
      <c r="R473">
        <v>291</v>
      </c>
      <c r="S473">
        <v>7.39</v>
      </c>
      <c r="T473" s="8">
        <v>165.08</v>
      </c>
      <c r="U473">
        <v>11040306</v>
      </c>
      <c r="V473" t="s">
        <v>5408</v>
      </c>
      <c r="W473" t="s">
        <v>5409</v>
      </c>
      <c r="X473" t="s">
        <v>5410</v>
      </c>
      <c r="Y473" t="s">
        <v>5411</v>
      </c>
      <c r="Z473" t="s">
        <v>5412</v>
      </c>
      <c r="AA473" t="s">
        <v>5413</v>
      </c>
      <c r="AB473" t="s">
        <v>5414</v>
      </c>
      <c r="AC473" t="s">
        <v>5414</v>
      </c>
      <c r="AD473" t="s">
        <v>5414</v>
      </c>
      <c r="AG473" t="s">
        <v>5415</v>
      </c>
      <c r="AI473" t="s">
        <v>5629</v>
      </c>
      <c r="AJ473" t="s">
        <v>5855</v>
      </c>
      <c r="AL473" t="s">
        <v>5418</v>
      </c>
      <c r="AN473" t="s">
        <v>5419</v>
      </c>
    </row>
    <row r="474" spans="1:40" x14ac:dyDescent="0.25">
      <c r="A474">
        <v>1087740234</v>
      </c>
      <c r="B474" t="s">
        <v>5399</v>
      </c>
      <c r="C474">
        <v>252406</v>
      </c>
      <c r="D474" t="s">
        <v>5400</v>
      </c>
      <c r="E474">
        <v>46223.775266203702</v>
      </c>
      <c r="F474" t="s">
        <v>5740</v>
      </c>
      <c r="G474" t="s">
        <v>3668</v>
      </c>
      <c r="H474" t="s">
        <v>5431</v>
      </c>
      <c r="I474" t="s">
        <v>5403</v>
      </c>
      <c r="J474">
        <v>2026</v>
      </c>
      <c r="K474" t="s">
        <v>5557</v>
      </c>
      <c r="L474" t="s">
        <v>5558</v>
      </c>
      <c r="M474" t="s">
        <v>5406</v>
      </c>
      <c r="N474" s="1" t="s">
        <v>4565</v>
      </c>
      <c r="O474">
        <v>42.61</v>
      </c>
      <c r="P474">
        <v>4.1890000000000001</v>
      </c>
      <c r="Q474">
        <v>31747</v>
      </c>
      <c r="R474">
        <v>152</v>
      </c>
      <c r="S474">
        <v>3.57</v>
      </c>
      <c r="T474" s="8">
        <v>178.53</v>
      </c>
      <c r="U474">
        <v>11040306</v>
      </c>
      <c r="V474" t="s">
        <v>5408</v>
      </c>
      <c r="W474" t="s">
        <v>5409</v>
      </c>
      <c r="X474" t="s">
        <v>5410</v>
      </c>
      <c r="Y474" t="s">
        <v>5411</v>
      </c>
      <c r="Z474" t="s">
        <v>5412</v>
      </c>
      <c r="AA474" t="s">
        <v>5413</v>
      </c>
      <c r="AB474" t="s">
        <v>5414</v>
      </c>
      <c r="AC474" t="s">
        <v>5414</v>
      </c>
      <c r="AD474" t="s">
        <v>5414</v>
      </c>
      <c r="AG474" t="s">
        <v>5415</v>
      </c>
      <c r="AI474" t="s">
        <v>5460</v>
      </c>
      <c r="AJ474" t="s">
        <v>5742</v>
      </c>
      <c r="AL474" t="s">
        <v>5418</v>
      </c>
      <c r="AN474" t="s">
        <v>5419</v>
      </c>
    </row>
    <row r="475" spans="1:40" x14ac:dyDescent="0.25">
      <c r="A475">
        <v>1087757636</v>
      </c>
      <c r="B475" t="s">
        <v>5399</v>
      </c>
      <c r="C475">
        <v>252406</v>
      </c>
      <c r="D475" t="s">
        <v>5400</v>
      </c>
      <c r="E475">
        <v>46223.816932870373</v>
      </c>
      <c r="F475" t="s">
        <v>5743</v>
      </c>
      <c r="G475" t="s">
        <v>3668</v>
      </c>
      <c r="H475" t="s">
        <v>5539</v>
      </c>
      <c r="I475" t="s">
        <v>5403</v>
      </c>
      <c r="J475">
        <v>2026</v>
      </c>
      <c r="K475" t="s">
        <v>5753</v>
      </c>
      <c r="L475" t="s">
        <v>5754</v>
      </c>
      <c r="M475" t="s">
        <v>5406</v>
      </c>
      <c r="N475" s="1" t="s">
        <v>4565</v>
      </c>
      <c r="O475">
        <v>44.14</v>
      </c>
      <c r="P475">
        <v>4.2889999999999997</v>
      </c>
      <c r="Q475">
        <v>18790</v>
      </c>
      <c r="R475">
        <v>348</v>
      </c>
      <c r="S475">
        <v>7.88</v>
      </c>
      <c r="T475" s="8">
        <v>189.36</v>
      </c>
      <c r="U475">
        <v>11198252</v>
      </c>
      <c r="V475" t="s">
        <v>5424</v>
      </c>
      <c r="W475" t="s">
        <v>5409</v>
      </c>
      <c r="X475" t="s">
        <v>5425</v>
      </c>
      <c r="Y475" t="s">
        <v>5411</v>
      </c>
      <c r="Z475" t="s">
        <v>5426</v>
      </c>
      <c r="AA475" t="s">
        <v>5413</v>
      </c>
      <c r="AB475" t="s">
        <v>5414</v>
      </c>
      <c r="AC475" t="s">
        <v>5414</v>
      </c>
      <c r="AD475" t="s">
        <v>5414</v>
      </c>
      <c r="AG475" t="s">
        <v>5427</v>
      </c>
      <c r="AI475" t="s">
        <v>5428</v>
      </c>
      <c r="AJ475" t="s">
        <v>5746</v>
      </c>
      <c r="AL475" t="s">
        <v>5418</v>
      </c>
      <c r="AN475" t="s">
        <v>5419</v>
      </c>
    </row>
    <row r="476" spans="1:40" x14ac:dyDescent="0.25">
      <c r="A476">
        <v>1087763407</v>
      </c>
      <c r="B476" t="s">
        <v>5399</v>
      </c>
      <c r="C476">
        <v>252406</v>
      </c>
      <c r="D476" t="s">
        <v>5400</v>
      </c>
      <c r="E476">
        <v>46223.88</v>
      </c>
      <c r="F476" t="s">
        <v>5477</v>
      </c>
      <c r="G476" t="s">
        <v>3668</v>
      </c>
      <c r="H476" t="s">
        <v>5478</v>
      </c>
      <c r="I476" t="s">
        <v>5403</v>
      </c>
      <c r="J476">
        <v>2015</v>
      </c>
      <c r="K476" t="s">
        <v>5479</v>
      </c>
      <c r="L476" t="s">
        <v>5480</v>
      </c>
      <c r="M476" t="s">
        <v>5406</v>
      </c>
      <c r="N476" s="1" t="s">
        <v>4565</v>
      </c>
      <c r="O476">
        <v>49</v>
      </c>
      <c r="P476">
        <v>3.59</v>
      </c>
      <c r="Q476">
        <v>250997</v>
      </c>
      <c r="R476">
        <v>404</v>
      </c>
      <c r="S476">
        <v>8.24</v>
      </c>
      <c r="T476" s="8">
        <v>175.91</v>
      </c>
      <c r="U476">
        <v>12815000</v>
      </c>
      <c r="V476" t="s">
        <v>5448</v>
      </c>
      <c r="W476" t="s">
        <v>5409</v>
      </c>
      <c r="X476" t="s">
        <v>5449</v>
      </c>
      <c r="Y476" t="s">
        <v>5450</v>
      </c>
      <c r="Z476" t="s">
        <v>5426</v>
      </c>
      <c r="AA476" t="s">
        <v>5413</v>
      </c>
      <c r="AB476" t="s">
        <v>5414</v>
      </c>
      <c r="AC476" t="s">
        <v>5414</v>
      </c>
      <c r="AD476" t="s">
        <v>5414</v>
      </c>
      <c r="AG476" t="s">
        <v>5427</v>
      </c>
      <c r="AI476" t="s">
        <v>5451</v>
      </c>
      <c r="AJ476" t="s">
        <v>5485</v>
      </c>
      <c r="AL476" t="s">
        <v>5418</v>
      </c>
      <c r="AN476" t="s">
        <v>5419</v>
      </c>
    </row>
    <row r="477" spans="1:40" x14ac:dyDescent="0.25">
      <c r="A477">
        <v>1087794738</v>
      </c>
      <c r="B477" t="s">
        <v>5399</v>
      </c>
      <c r="C477">
        <v>252406</v>
      </c>
      <c r="D477" t="s">
        <v>5400</v>
      </c>
      <c r="E477">
        <v>46224.282673611109</v>
      </c>
      <c r="F477" t="s">
        <v>5475</v>
      </c>
      <c r="G477" t="s">
        <v>3668</v>
      </c>
      <c r="H477" t="s">
        <v>5467</v>
      </c>
      <c r="I477" t="s">
        <v>5403</v>
      </c>
      <c r="J477">
        <v>2026</v>
      </c>
      <c r="K477" t="s">
        <v>5837</v>
      </c>
      <c r="L477" t="s">
        <v>5838</v>
      </c>
      <c r="M477" t="s">
        <v>5406</v>
      </c>
      <c r="N477" s="1" t="s">
        <v>4565</v>
      </c>
      <c r="O477">
        <v>40.4</v>
      </c>
      <c r="P477">
        <v>4.29</v>
      </c>
      <c r="Q477">
        <v>36823</v>
      </c>
      <c r="R477">
        <v>200</v>
      </c>
      <c r="S477">
        <v>4.95</v>
      </c>
      <c r="T477" s="8">
        <v>173.32</v>
      </c>
      <c r="U477">
        <v>11198252</v>
      </c>
      <c r="V477" t="s">
        <v>5424</v>
      </c>
      <c r="W477" t="s">
        <v>5409</v>
      </c>
      <c r="X477" t="s">
        <v>5425</v>
      </c>
      <c r="Y477" t="s">
        <v>5411</v>
      </c>
      <c r="Z477" t="s">
        <v>5426</v>
      </c>
      <c r="AA477" t="s">
        <v>5413</v>
      </c>
      <c r="AB477" t="s">
        <v>5414</v>
      </c>
      <c r="AC477" t="s">
        <v>5414</v>
      </c>
      <c r="AD477" t="s">
        <v>5414</v>
      </c>
      <c r="AG477" t="s">
        <v>5427</v>
      </c>
      <c r="AI477" t="s">
        <v>5428</v>
      </c>
      <c r="AJ477" t="s">
        <v>5697</v>
      </c>
      <c r="AL477" t="s">
        <v>5418</v>
      </c>
      <c r="AN477" t="s">
        <v>5419</v>
      </c>
    </row>
    <row r="478" spans="1:40" x14ac:dyDescent="0.25">
      <c r="A478">
        <v>1087794745</v>
      </c>
      <c r="B478" t="s">
        <v>5399</v>
      </c>
      <c r="C478">
        <v>252406</v>
      </c>
      <c r="D478" t="s">
        <v>5400</v>
      </c>
      <c r="E478">
        <v>46224.282673611109</v>
      </c>
      <c r="F478" t="s">
        <v>5435</v>
      </c>
      <c r="G478" t="s">
        <v>3668</v>
      </c>
      <c r="H478" t="s">
        <v>5421</v>
      </c>
      <c r="I478" t="s">
        <v>5403</v>
      </c>
      <c r="J478">
        <v>2026</v>
      </c>
      <c r="K478" t="s">
        <v>5436</v>
      </c>
      <c r="L478" t="s">
        <v>5437</v>
      </c>
      <c r="M478" t="s">
        <v>5406</v>
      </c>
      <c r="N478" s="1" t="s">
        <v>4565</v>
      </c>
      <c r="O478">
        <v>24.92</v>
      </c>
      <c r="P478">
        <v>4.66</v>
      </c>
      <c r="Q478">
        <v>49915</v>
      </c>
      <c r="R478">
        <v>107</v>
      </c>
      <c r="S478">
        <v>4.29</v>
      </c>
      <c r="T478" s="8">
        <v>116.13</v>
      </c>
      <c r="U478">
        <v>11120083</v>
      </c>
      <c r="V478" t="s">
        <v>5596</v>
      </c>
      <c r="W478" t="s">
        <v>5409</v>
      </c>
      <c r="X478" t="s">
        <v>5597</v>
      </c>
      <c r="Y478" t="s">
        <v>5458</v>
      </c>
      <c r="Z478" t="s">
        <v>5598</v>
      </c>
      <c r="AA478" t="s">
        <v>5413</v>
      </c>
      <c r="AB478" t="s">
        <v>5414</v>
      </c>
      <c r="AC478" t="s">
        <v>5414</v>
      </c>
      <c r="AD478" t="s">
        <v>5414</v>
      </c>
      <c r="AG478" t="s">
        <v>5427</v>
      </c>
      <c r="AI478" t="s">
        <v>5599</v>
      </c>
      <c r="AJ478" t="s">
        <v>5443</v>
      </c>
      <c r="AL478" t="s">
        <v>5418</v>
      </c>
      <c r="AN478" t="s">
        <v>5419</v>
      </c>
    </row>
    <row r="479" spans="1:40" x14ac:dyDescent="0.25">
      <c r="A479">
        <v>1087785640</v>
      </c>
      <c r="B479" t="s">
        <v>5399</v>
      </c>
      <c r="C479">
        <v>252406</v>
      </c>
      <c r="D479" t="s">
        <v>5400</v>
      </c>
      <c r="E479">
        <v>46224.306793981479</v>
      </c>
      <c r="F479" t="s">
        <v>5505</v>
      </c>
      <c r="G479" t="s">
        <v>3668</v>
      </c>
      <c r="H479" t="s">
        <v>5506</v>
      </c>
      <c r="I479" t="s">
        <v>5403</v>
      </c>
      <c r="J479">
        <v>2026</v>
      </c>
      <c r="K479" t="s">
        <v>5507</v>
      </c>
      <c r="L479" t="s">
        <v>5508</v>
      </c>
      <c r="M479" t="s">
        <v>5406</v>
      </c>
      <c r="N479" s="1" t="s">
        <v>4565</v>
      </c>
      <c r="O479">
        <v>35.619999999999997</v>
      </c>
      <c r="P479">
        <v>4.29</v>
      </c>
      <c r="Q479">
        <v>6557</v>
      </c>
      <c r="R479">
        <v>283</v>
      </c>
      <c r="S479">
        <v>7.94</v>
      </c>
      <c r="T479" s="8">
        <v>152.81</v>
      </c>
      <c r="U479">
        <v>11153887</v>
      </c>
      <c r="V479" t="s">
        <v>5490</v>
      </c>
      <c r="W479" t="s">
        <v>5409</v>
      </c>
      <c r="X479" t="s">
        <v>5491</v>
      </c>
      <c r="Y479" t="s">
        <v>5492</v>
      </c>
      <c r="Z479" t="s">
        <v>5426</v>
      </c>
      <c r="AA479" t="s">
        <v>5413</v>
      </c>
      <c r="AB479" t="s">
        <v>5414</v>
      </c>
      <c r="AC479" t="s">
        <v>5414</v>
      </c>
      <c r="AD479" t="s">
        <v>5414</v>
      </c>
      <c r="AG479" t="s">
        <v>5415</v>
      </c>
      <c r="AI479" t="s">
        <v>5460</v>
      </c>
      <c r="AJ479" t="s">
        <v>5509</v>
      </c>
      <c r="AL479" t="s">
        <v>5418</v>
      </c>
      <c r="AN479" t="s">
        <v>5419</v>
      </c>
    </row>
    <row r="480" spans="1:40" x14ac:dyDescent="0.25">
      <c r="A480">
        <v>1087803870</v>
      </c>
      <c r="B480" t="s">
        <v>5399</v>
      </c>
      <c r="C480">
        <v>252406</v>
      </c>
      <c r="D480" t="s">
        <v>5400</v>
      </c>
      <c r="E480">
        <v>46224.339097222219</v>
      </c>
      <c r="F480" t="s">
        <v>5757</v>
      </c>
      <c r="G480" t="s">
        <v>3668</v>
      </c>
      <c r="H480" t="s">
        <v>5421</v>
      </c>
      <c r="I480" t="s">
        <v>5403</v>
      </c>
      <c r="J480">
        <v>2027</v>
      </c>
      <c r="K480" t="s">
        <v>5520</v>
      </c>
      <c r="L480" t="s">
        <v>5521</v>
      </c>
      <c r="M480" t="s">
        <v>5406</v>
      </c>
      <c r="N480" s="1" t="s">
        <v>4565</v>
      </c>
      <c r="O480">
        <v>32.090000000000003</v>
      </c>
      <c r="P480">
        <v>4.1890000000000001</v>
      </c>
      <c r="Q480">
        <v>2400</v>
      </c>
      <c r="R480">
        <v>263</v>
      </c>
      <c r="S480">
        <v>8.1999999999999993</v>
      </c>
      <c r="T480" s="8">
        <v>134.44999999999999</v>
      </c>
      <c r="U480">
        <v>11040306</v>
      </c>
      <c r="V480" t="s">
        <v>5408</v>
      </c>
      <c r="W480" t="s">
        <v>5409</v>
      </c>
      <c r="X480" t="s">
        <v>5410</v>
      </c>
      <c r="Y480" t="s">
        <v>5411</v>
      </c>
      <c r="Z480" t="s">
        <v>5412</v>
      </c>
      <c r="AA480" t="s">
        <v>5413</v>
      </c>
      <c r="AB480" t="s">
        <v>5414</v>
      </c>
      <c r="AC480" t="s">
        <v>5414</v>
      </c>
      <c r="AD480" t="s">
        <v>5414</v>
      </c>
      <c r="AG480" t="s">
        <v>5415</v>
      </c>
      <c r="AI480" t="s">
        <v>5522</v>
      </c>
      <c r="AJ480" t="s">
        <v>5765</v>
      </c>
      <c r="AL480" t="s">
        <v>5418</v>
      </c>
      <c r="AN480" t="s">
        <v>5419</v>
      </c>
    </row>
    <row r="481" spans="1:40" x14ac:dyDescent="0.25">
      <c r="A481">
        <v>1087844061</v>
      </c>
      <c r="B481" t="s">
        <v>5399</v>
      </c>
      <c r="C481">
        <v>252406</v>
      </c>
      <c r="D481" t="s">
        <v>5400</v>
      </c>
      <c r="E481">
        <v>46224.376157407409</v>
      </c>
      <c r="F481" t="s">
        <v>5530</v>
      </c>
      <c r="G481" t="s">
        <v>3668</v>
      </c>
      <c r="H481" t="s">
        <v>5431</v>
      </c>
      <c r="I481" t="s">
        <v>5403</v>
      </c>
      <c r="J481">
        <v>2025</v>
      </c>
      <c r="K481" t="s">
        <v>5531</v>
      </c>
      <c r="L481" t="s">
        <v>5532</v>
      </c>
      <c r="M481" t="s">
        <v>5406</v>
      </c>
      <c r="N481" s="1" t="s">
        <v>4565</v>
      </c>
      <c r="O481">
        <v>38</v>
      </c>
      <c r="P481">
        <v>4.25</v>
      </c>
      <c r="Q481">
        <v>109316</v>
      </c>
      <c r="R481">
        <v>248</v>
      </c>
      <c r="S481">
        <v>6.53</v>
      </c>
      <c r="T481" s="8">
        <v>161.5</v>
      </c>
      <c r="U481">
        <v>108758</v>
      </c>
      <c r="V481" t="s">
        <v>5470</v>
      </c>
      <c r="W481" t="s">
        <v>5409</v>
      </c>
      <c r="X481" t="s">
        <v>5471</v>
      </c>
      <c r="Y481" t="s">
        <v>5411</v>
      </c>
      <c r="Z481" t="s">
        <v>5472</v>
      </c>
      <c r="AA481" t="s">
        <v>5413</v>
      </c>
      <c r="AB481" t="s">
        <v>5414</v>
      </c>
      <c r="AC481" t="s">
        <v>5414</v>
      </c>
      <c r="AD481" t="s">
        <v>5414</v>
      </c>
      <c r="AG481" t="s">
        <v>5427</v>
      </c>
      <c r="AI481" t="s">
        <v>5473</v>
      </c>
      <c r="AJ481" t="s">
        <v>5533</v>
      </c>
      <c r="AL481" t="s">
        <v>5418</v>
      </c>
      <c r="AN481" t="s">
        <v>5419</v>
      </c>
    </row>
    <row r="482" spans="1:40" x14ac:dyDescent="0.25">
      <c r="A482">
        <v>1087848798</v>
      </c>
      <c r="B482" t="s">
        <v>5399</v>
      </c>
      <c r="C482">
        <v>252406</v>
      </c>
      <c r="D482" t="s">
        <v>5400</v>
      </c>
      <c r="E482">
        <v>46224.432442129626</v>
      </c>
      <c r="F482" t="s">
        <v>5589</v>
      </c>
      <c r="G482" t="s">
        <v>3668</v>
      </c>
      <c r="H482" t="s">
        <v>5431</v>
      </c>
      <c r="I482" t="s">
        <v>5403</v>
      </c>
      <c r="J482">
        <v>2026</v>
      </c>
      <c r="K482" t="s">
        <v>5590</v>
      </c>
      <c r="L482" t="s">
        <v>5591</v>
      </c>
      <c r="M482" t="s">
        <v>5406</v>
      </c>
      <c r="N482" s="1" t="s">
        <v>4565</v>
      </c>
      <c r="O482">
        <v>39.729999999999997</v>
      </c>
      <c r="P482">
        <v>4.2889999999999997</v>
      </c>
      <c r="Q482">
        <v>6259</v>
      </c>
      <c r="R482">
        <v>319</v>
      </c>
      <c r="S482">
        <v>8.0299999999999994</v>
      </c>
      <c r="T482" s="8">
        <v>170.44</v>
      </c>
      <c r="U482">
        <v>11153887</v>
      </c>
      <c r="V482" t="s">
        <v>5490</v>
      </c>
      <c r="W482" t="s">
        <v>5409</v>
      </c>
      <c r="X482" t="s">
        <v>5491</v>
      </c>
      <c r="Y482" t="s">
        <v>5492</v>
      </c>
      <c r="Z482" t="s">
        <v>5426</v>
      </c>
      <c r="AA482" t="s">
        <v>5413</v>
      </c>
      <c r="AB482" t="s">
        <v>5414</v>
      </c>
      <c r="AC482" t="s">
        <v>5414</v>
      </c>
      <c r="AD482" t="s">
        <v>5414</v>
      </c>
      <c r="AG482" t="s">
        <v>5415</v>
      </c>
      <c r="AI482" t="s">
        <v>5460</v>
      </c>
      <c r="AJ482" t="s">
        <v>5890</v>
      </c>
      <c r="AL482" t="s">
        <v>5418</v>
      </c>
      <c r="AN482" t="s">
        <v>5419</v>
      </c>
    </row>
    <row r="483" spans="1:40" x14ac:dyDescent="0.25">
      <c r="A483">
        <v>1087874670</v>
      </c>
      <c r="B483" t="s">
        <v>5399</v>
      </c>
      <c r="C483">
        <v>252406</v>
      </c>
      <c r="D483" t="s">
        <v>5400</v>
      </c>
      <c r="E483">
        <v>46224.461342592593</v>
      </c>
      <c r="F483" t="s">
        <v>5494</v>
      </c>
      <c r="G483" t="s">
        <v>3668</v>
      </c>
      <c r="H483" t="s">
        <v>5495</v>
      </c>
      <c r="I483" t="s">
        <v>5403</v>
      </c>
      <c r="J483">
        <v>2026</v>
      </c>
      <c r="K483" t="s">
        <v>5496</v>
      </c>
      <c r="L483" t="s">
        <v>5497</v>
      </c>
      <c r="M483" t="s">
        <v>5406</v>
      </c>
      <c r="N483" s="1" t="s">
        <v>4565</v>
      </c>
      <c r="O483">
        <v>36.090000000000003</v>
      </c>
      <c r="P483">
        <v>4.2489999999999997</v>
      </c>
      <c r="Q483">
        <v>59125</v>
      </c>
      <c r="R483">
        <v>450</v>
      </c>
      <c r="S483">
        <v>12.47</v>
      </c>
      <c r="T483" s="8">
        <v>153.38</v>
      </c>
      <c r="U483">
        <v>108758</v>
      </c>
      <c r="V483" t="s">
        <v>5470</v>
      </c>
      <c r="W483" t="s">
        <v>5409</v>
      </c>
      <c r="X483" t="s">
        <v>5471</v>
      </c>
      <c r="Y483" t="s">
        <v>5411</v>
      </c>
      <c r="Z483" t="s">
        <v>5472</v>
      </c>
      <c r="AA483" t="s">
        <v>5413</v>
      </c>
      <c r="AB483" t="s">
        <v>5414</v>
      </c>
      <c r="AC483" t="s">
        <v>5414</v>
      </c>
      <c r="AD483" t="s">
        <v>5414</v>
      </c>
      <c r="AG483" t="s">
        <v>5427</v>
      </c>
      <c r="AI483" t="s">
        <v>5473</v>
      </c>
      <c r="AJ483" t="s">
        <v>5504</v>
      </c>
      <c r="AL483" t="s">
        <v>5418</v>
      </c>
      <c r="AN483" t="s">
        <v>5419</v>
      </c>
    </row>
    <row r="484" spans="1:40" x14ac:dyDescent="0.25">
      <c r="A484">
        <v>1087865513</v>
      </c>
      <c r="B484" t="s">
        <v>5399</v>
      </c>
      <c r="C484">
        <v>252406</v>
      </c>
      <c r="D484" t="s">
        <v>5400</v>
      </c>
      <c r="E484">
        <v>46224.475277777776</v>
      </c>
      <c r="F484" t="s">
        <v>5755</v>
      </c>
      <c r="G484" t="s">
        <v>3668</v>
      </c>
      <c r="H484" t="s">
        <v>167</v>
      </c>
      <c r="I484" t="s">
        <v>5403</v>
      </c>
      <c r="J484">
        <v>2026</v>
      </c>
      <c r="K484" t="s">
        <v>5891</v>
      </c>
      <c r="L484" t="s">
        <v>5892</v>
      </c>
      <c r="M484" t="s">
        <v>5406</v>
      </c>
      <c r="N484" s="1" t="s">
        <v>4565</v>
      </c>
      <c r="O484">
        <v>40.44</v>
      </c>
      <c r="P484">
        <v>3.919</v>
      </c>
      <c r="Q484">
        <v>2126</v>
      </c>
      <c r="R484">
        <v>259</v>
      </c>
      <c r="S484">
        <v>6.4</v>
      </c>
      <c r="T484" s="8">
        <v>158.52000000000001</v>
      </c>
      <c r="U484">
        <v>490156</v>
      </c>
      <c r="V484" t="s">
        <v>5578</v>
      </c>
      <c r="W484" t="s">
        <v>5409</v>
      </c>
      <c r="X484" t="s">
        <v>5579</v>
      </c>
      <c r="Y484" t="s">
        <v>5458</v>
      </c>
      <c r="Z484" t="s">
        <v>5412</v>
      </c>
      <c r="AA484" t="s">
        <v>5413</v>
      </c>
      <c r="AB484" t="s">
        <v>5414</v>
      </c>
      <c r="AC484" t="s">
        <v>5414</v>
      </c>
      <c r="AD484" t="s">
        <v>5414</v>
      </c>
      <c r="AG484" t="s">
        <v>5415</v>
      </c>
      <c r="AI484" t="s">
        <v>5580</v>
      </c>
      <c r="AJ484" t="s">
        <v>5756</v>
      </c>
      <c r="AL484" t="s">
        <v>5418</v>
      </c>
      <c r="AN484" t="s">
        <v>5419</v>
      </c>
    </row>
    <row r="485" spans="1:40" x14ac:dyDescent="0.25">
      <c r="A485">
        <v>1087869020</v>
      </c>
      <c r="B485" t="s">
        <v>5399</v>
      </c>
      <c r="C485">
        <v>252406</v>
      </c>
      <c r="D485" t="s">
        <v>5400</v>
      </c>
      <c r="E485">
        <v>46224.480578703704</v>
      </c>
      <c r="F485" t="s">
        <v>5817</v>
      </c>
      <c r="G485" t="s">
        <v>3668</v>
      </c>
      <c r="H485" t="s">
        <v>5421</v>
      </c>
      <c r="I485" t="s">
        <v>5403</v>
      </c>
      <c r="J485">
        <v>2027</v>
      </c>
      <c r="K485" t="s">
        <v>5614</v>
      </c>
      <c r="L485" t="s">
        <v>5615</v>
      </c>
      <c r="M485" t="s">
        <v>5406</v>
      </c>
      <c r="N485" s="1" t="s">
        <v>4565</v>
      </c>
      <c r="O485">
        <v>37.54</v>
      </c>
      <c r="P485">
        <v>4.1890000000000001</v>
      </c>
      <c r="Q485">
        <v>1925</v>
      </c>
      <c r="R485">
        <v>253</v>
      </c>
      <c r="S485">
        <v>6.74</v>
      </c>
      <c r="T485" s="8">
        <v>157.29</v>
      </c>
      <c r="U485">
        <v>11040306</v>
      </c>
      <c r="V485" t="s">
        <v>5408</v>
      </c>
      <c r="W485" t="s">
        <v>5409</v>
      </c>
      <c r="X485" t="s">
        <v>5410</v>
      </c>
      <c r="Y485" t="s">
        <v>5411</v>
      </c>
      <c r="Z485" t="s">
        <v>5412</v>
      </c>
      <c r="AA485" t="s">
        <v>5413</v>
      </c>
      <c r="AB485" t="s">
        <v>5414</v>
      </c>
      <c r="AC485" t="s">
        <v>5414</v>
      </c>
      <c r="AD485" t="s">
        <v>5414</v>
      </c>
      <c r="AG485" t="s">
        <v>5415</v>
      </c>
      <c r="AI485" t="s">
        <v>5460</v>
      </c>
      <c r="AJ485" t="s">
        <v>5818</v>
      </c>
      <c r="AL485" t="s">
        <v>5418</v>
      </c>
      <c r="AN485" t="s">
        <v>5419</v>
      </c>
    </row>
    <row r="486" spans="1:40" x14ac:dyDescent="0.25">
      <c r="A486">
        <v>1087885756</v>
      </c>
      <c r="B486" t="s">
        <v>5399</v>
      </c>
      <c r="C486">
        <v>252406</v>
      </c>
      <c r="D486" t="s">
        <v>5400</v>
      </c>
      <c r="E486">
        <v>46224.493148148147</v>
      </c>
      <c r="F486" t="s">
        <v>5703</v>
      </c>
      <c r="G486" t="s">
        <v>3668</v>
      </c>
      <c r="H486" t="s">
        <v>5549</v>
      </c>
      <c r="I486" t="s">
        <v>5403</v>
      </c>
      <c r="J486">
        <v>2026</v>
      </c>
      <c r="K486" t="s">
        <v>5704</v>
      </c>
      <c r="L486" t="s">
        <v>5705</v>
      </c>
      <c r="M486" t="s">
        <v>5406</v>
      </c>
      <c r="N486" s="1" t="s">
        <v>4565</v>
      </c>
      <c r="O486">
        <v>33.08</v>
      </c>
      <c r="P486">
        <v>4.2889999999999997</v>
      </c>
      <c r="Q486">
        <v>33114</v>
      </c>
      <c r="R486">
        <v>255</v>
      </c>
      <c r="S486">
        <v>7.71</v>
      </c>
      <c r="T486" s="8">
        <v>141.91</v>
      </c>
      <c r="U486">
        <v>11198252</v>
      </c>
      <c r="V486" t="s">
        <v>5424</v>
      </c>
      <c r="W486" t="s">
        <v>5409</v>
      </c>
      <c r="X486" t="s">
        <v>5425</v>
      </c>
      <c r="Y486" t="s">
        <v>5411</v>
      </c>
      <c r="Z486" t="s">
        <v>5426</v>
      </c>
      <c r="AA486" t="s">
        <v>5413</v>
      </c>
      <c r="AB486" t="s">
        <v>5414</v>
      </c>
      <c r="AC486" t="s">
        <v>5414</v>
      </c>
      <c r="AD486" t="s">
        <v>5414</v>
      </c>
      <c r="AG486" t="s">
        <v>5427</v>
      </c>
      <c r="AI486" t="s">
        <v>5428</v>
      </c>
      <c r="AJ486" t="s">
        <v>5706</v>
      </c>
      <c r="AL486" t="s">
        <v>5418</v>
      </c>
      <c r="AN486" t="s">
        <v>5419</v>
      </c>
    </row>
    <row r="487" spans="1:40" x14ac:dyDescent="0.25">
      <c r="A487">
        <v>1087890498</v>
      </c>
      <c r="B487" t="s">
        <v>5399</v>
      </c>
      <c r="C487">
        <v>252406</v>
      </c>
      <c r="D487" t="s">
        <v>5400</v>
      </c>
      <c r="E487">
        <v>46224.509652777779</v>
      </c>
      <c r="F487" t="s">
        <v>5635</v>
      </c>
      <c r="G487" t="s">
        <v>3668</v>
      </c>
      <c r="H487" t="s">
        <v>5453</v>
      </c>
      <c r="I487" t="s">
        <v>5403</v>
      </c>
      <c r="J487">
        <v>2026</v>
      </c>
      <c r="K487" t="s">
        <v>5636</v>
      </c>
      <c r="L487" t="s">
        <v>5637</v>
      </c>
      <c r="M487" t="s">
        <v>5406</v>
      </c>
      <c r="N487" s="1" t="s">
        <v>4565</v>
      </c>
      <c r="O487">
        <v>38</v>
      </c>
      <c r="P487">
        <v>4.29</v>
      </c>
      <c r="Q487">
        <v>12237</v>
      </c>
      <c r="R487">
        <v>325</v>
      </c>
      <c r="S487">
        <v>8.5500000000000007</v>
      </c>
      <c r="T487" s="8">
        <v>163.02000000000001</v>
      </c>
      <c r="U487">
        <v>11198252</v>
      </c>
      <c r="V487" t="s">
        <v>5424</v>
      </c>
      <c r="W487" t="s">
        <v>5409</v>
      </c>
      <c r="X487" t="s">
        <v>5425</v>
      </c>
      <c r="Y487" t="s">
        <v>5411</v>
      </c>
      <c r="Z487" t="s">
        <v>5426</v>
      </c>
      <c r="AA487" t="s">
        <v>5413</v>
      </c>
      <c r="AB487" t="s">
        <v>5414</v>
      </c>
      <c r="AC487" t="s">
        <v>5414</v>
      </c>
      <c r="AD487" t="s">
        <v>5414</v>
      </c>
      <c r="AG487" t="s">
        <v>5427</v>
      </c>
      <c r="AI487" t="s">
        <v>5428</v>
      </c>
      <c r="AJ487" t="s">
        <v>5638</v>
      </c>
      <c r="AL487" t="s">
        <v>5418</v>
      </c>
      <c r="AN487" t="s">
        <v>5419</v>
      </c>
    </row>
    <row r="488" spans="1:40" x14ac:dyDescent="0.25">
      <c r="A488">
        <v>1087901168</v>
      </c>
      <c r="B488" t="s">
        <v>5399</v>
      </c>
      <c r="C488">
        <v>252406</v>
      </c>
      <c r="D488" t="s">
        <v>5400</v>
      </c>
      <c r="E488">
        <v>46224.544849537036</v>
      </c>
      <c r="F488" t="s">
        <v>5444</v>
      </c>
      <c r="G488" t="s">
        <v>3668</v>
      </c>
      <c r="H488" t="s">
        <v>5431</v>
      </c>
      <c r="I488" t="s">
        <v>5403</v>
      </c>
      <c r="J488">
        <v>2026</v>
      </c>
      <c r="K488" t="s">
        <v>5445</v>
      </c>
      <c r="L488" t="s">
        <v>5446</v>
      </c>
      <c r="M488" t="s">
        <v>5406</v>
      </c>
      <c r="N488" s="1" t="s">
        <v>4565</v>
      </c>
      <c r="O488">
        <v>32</v>
      </c>
      <c r="P488">
        <v>4.25</v>
      </c>
      <c r="Q488">
        <v>20900</v>
      </c>
      <c r="R488">
        <v>287</v>
      </c>
      <c r="S488">
        <v>8.9700000000000006</v>
      </c>
      <c r="T488" s="8">
        <v>136</v>
      </c>
      <c r="U488">
        <v>108758</v>
      </c>
      <c r="V488" t="s">
        <v>5470</v>
      </c>
      <c r="W488" t="s">
        <v>5409</v>
      </c>
      <c r="X488" t="s">
        <v>5471</v>
      </c>
      <c r="Y488" t="s">
        <v>5411</v>
      </c>
      <c r="Z488" t="s">
        <v>5472</v>
      </c>
      <c r="AA488" t="s">
        <v>5413</v>
      </c>
      <c r="AB488" t="s">
        <v>5414</v>
      </c>
      <c r="AC488" t="s">
        <v>5414</v>
      </c>
      <c r="AD488" t="s">
        <v>5414</v>
      </c>
      <c r="AG488" t="s">
        <v>5427</v>
      </c>
      <c r="AI488" t="s">
        <v>5473</v>
      </c>
      <c r="AJ488" t="s">
        <v>5447</v>
      </c>
      <c r="AL488" t="s">
        <v>5418</v>
      </c>
      <c r="AN488" t="s">
        <v>5419</v>
      </c>
    </row>
    <row r="489" spans="1:40" x14ac:dyDescent="0.25">
      <c r="A489">
        <v>1087893171</v>
      </c>
      <c r="B489" t="s">
        <v>5399</v>
      </c>
      <c r="C489">
        <v>252406</v>
      </c>
      <c r="D489" t="s">
        <v>5400</v>
      </c>
      <c r="E489">
        <v>46224.562048611115</v>
      </c>
      <c r="F489" t="s">
        <v>5551</v>
      </c>
      <c r="G489" t="s">
        <v>3668</v>
      </c>
      <c r="H489" t="s">
        <v>5552</v>
      </c>
      <c r="I489" t="s">
        <v>5403</v>
      </c>
      <c r="J489">
        <v>2026</v>
      </c>
      <c r="K489" t="s">
        <v>5553</v>
      </c>
      <c r="L489" t="s">
        <v>5554</v>
      </c>
      <c r="M489" t="s">
        <v>5406</v>
      </c>
      <c r="N489" s="1" t="s">
        <v>4565</v>
      </c>
      <c r="O489">
        <v>44.8</v>
      </c>
      <c r="P489">
        <v>3.92</v>
      </c>
      <c r="Q489">
        <v>25921</v>
      </c>
      <c r="R489">
        <v>270</v>
      </c>
      <c r="S489">
        <v>6.03</v>
      </c>
      <c r="T489" s="8">
        <v>175.62</v>
      </c>
      <c r="U489">
        <v>490156</v>
      </c>
      <c r="V489" t="s">
        <v>5578</v>
      </c>
      <c r="W489" t="s">
        <v>5409</v>
      </c>
      <c r="X489" t="s">
        <v>5579</v>
      </c>
      <c r="Y489" t="s">
        <v>5458</v>
      </c>
      <c r="Z489" t="s">
        <v>5412</v>
      </c>
      <c r="AA489" t="s">
        <v>5413</v>
      </c>
      <c r="AB489" t="s">
        <v>5414</v>
      </c>
      <c r="AC489" t="s">
        <v>5414</v>
      </c>
      <c r="AD489" t="s">
        <v>5414</v>
      </c>
      <c r="AG489" t="s">
        <v>5415</v>
      </c>
      <c r="AI489" t="s">
        <v>5580</v>
      </c>
      <c r="AJ489" t="s">
        <v>5555</v>
      </c>
      <c r="AL489" t="s">
        <v>5418</v>
      </c>
      <c r="AN489" t="s">
        <v>5419</v>
      </c>
    </row>
    <row r="490" spans="1:40" x14ac:dyDescent="0.25">
      <c r="A490">
        <v>1087913584</v>
      </c>
      <c r="B490" t="s">
        <v>5399</v>
      </c>
      <c r="C490">
        <v>252406</v>
      </c>
      <c r="D490" t="s">
        <v>5400</v>
      </c>
      <c r="E490">
        <v>46224.575856481482</v>
      </c>
      <c r="F490" t="s">
        <v>5581</v>
      </c>
      <c r="G490" t="s">
        <v>3668</v>
      </c>
      <c r="H490" t="s">
        <v>5467</v>
      </c>
      <c r="I490" t="s">
        <v>5403</v>
      </c>
      <c r="J490">
        <v>2026</v>
      </c>
      <c r="K490" t="s">
        <v>5582</v>
      </c>
      <c r="L490" t="s">
        <v>5583</v>
      </c>
      <c r="M490" t="s">
        <v>5406</v>
      </c>
      <c r="N490" s="1" t="s">
        <v>4565</v>
      </c>
      <c r="O490">
        <v>48.98</v>
      </c>
      <c r="P490">
        <v>4.55</v>
      </c>
      <c r="Q490">
        <v>31755</v>
      </c>
      <c r="R490">
        <v>358</v>
      </c>
      <c r="S490">
        <v>7.31</v>
      </c>
      <c r="T490" s="8">
        <v>222.86</v>
      </c>
      <c r="U490">
        <v>11321003</v>
      </c>
      <c r="V490" t="s">
        <v>5893</v>
      </c>
      <c r="W490" t="s">
        <v>5409</v>
      </c>
      <c r="X490" t="s">
        <v>5894</v>
      </c>
      <c r="Y490" t="s">
        <v>5895</v>
      </c>
      <c r="Z490" t="s">
        <v>5426</v>
      </c>
      <c r="AA490" t="s">
        <v>5413</v>
      </c>
      <c r="AB490" t="s">
        <v>5414</v>
      </c>
      <c r="AC490" t="s">
        <v>5414</v>
      </c>
      <c r="AD490" t="s">
        <v>5414</v>
      </c>
      <c r="AG490" t="s">
        <v>5427</v>
      </c>
      <c r="AI490" t="s">
        <v>5896</v>
      </c>
      <c r="AJ490" t="s">
        <v>5584</v>
      </c>
      <c r="AL490" t="s">
        <v>5418</v>
      </c>
      <c r="AN490" t="s">
        <v>5419</v>
      </c>
    </row>
    <row r="491" spans="1:40" x14ac:dyDescent="0.25">
      <c r="A491">
        <v>1087899241</v>
      </c>
      <c r="B491" t="s">
        <v>5399</v>
      </c>
      <c r="C491">
        <v>252406</v>
      </c>
      <c r="D491" t="s">
        <v>5400</v>
      </c>
      <c r="E491">
        <v>46224.580185185187</v>
      </c>
      <c r="F491" t="s">
        <v>5897</v>
      </c>
      <c r="G491" t="s">
        <v>3668</v>
      </c>
      <c r="H491" t="s">
        <v>5898</v>
      </c>
      <c r="I491" t="s">
        <v>5403</v>
      </c>
      <c r="J491">
        <v>2026</v>
      </c>
      <c r="K491" t="s">
        <v>5899</v>
      </c>
      <c r="L491" t="s">
        <v>5900</v>
      </c>
      <c r="M491" t="s">
        <v>5406</v>
      </c>
      <c r="N491" s="1" t="s">
        <v>4565</v>
      </c>
      <c r="O491">
        <v>36.229999999999997</v>
      </c>
      <c r="P491">
        <v>3.919</v>
      </c>
      <c r="Q491">
        <v>3876</v>
      </c>
      <c r="R491">
        <v>462</v>
      </c>
      <c r="S491">
        <v>12.75</v>
      </c>
      <c r="T491" s="8">
        <v>142.02000000000001</v>
      </c>
      <c r="U491">
        <v>490156</v>
      </c>
      <c r="V491" t="s">
        <v>5578</v>
      </c>
      <c r="W491" t="s">
        <v>5409</v>
      </c>
      <c r="X491" t="s">
        <v>5579</v>
      </c>
      <c r="Y491" t="s">
        <v>5458</v>
      </c>
      <c r="Z491" t="s">
        <v>5412</v>
      </c>
      <c r="AA491" t="s">
        <v>5413</v>
      </c>
      <c r="AB491" t="s">
        <v>5414</v>
      </c>
      <c r="AC491" t="s">
        <v>5414</v>
      </c>
      <c r="AD491" t="s">
        <v>5414</v>
      </c>
      <c r="AG491" t="s">
        <v>5415</v>
      </c>
      <c r="AI491" t="s">
        <v>5580</v>
      </c>
      <c r="AJ491" t="s">
        <v>5901</v>
      </c>
      <c r="AL491" t="s">
        <v>5418</v>
      </c>
      <c r="AN491" t="s">
        <v>5419</v>
      </c>
    </row>
    <row r="492" spans="1:40" x14ac:dyDescent="0.25">
      <c r="A492">
        <v>1087918548</v>
      </c>
      <c r="B492" t="s">
        <v>5399</v>
      </c>
      <c r="C492">
        <v>252406</v>
      </c>
      <c r="D492" t="s">
        <v>5400</v>
      </c>
      <c r="E492">
        <v>46224.591041666667</v>
      </c>
      <c r="F492" t="s">
        <v>5621</v>
      </c>
      <c r="G492" t="s">
        <v>3668</v>
      </c>
      <c r="H492" t="s">
        <v>5421</v>
      </c>
      <c r="I492" t="s">
        <v>5621</v>
      </c>
      <c r="J492">
        <v>2024</v>
      </c>
      <c r="K492" t="s">
        <v>5645</v>
      </c>
      <c r="L492" t="s">
        <v>5646</v>
      </c>
      <c r="M492" t="s">
        <v>5406</v>
      </c>
      <c r="N492" s="1" t="s">
        <v>4565</v>
      </c>
      <c r="O492">
        <v>31.01</v>
      </c>
      <c r="P492">
        <v>4.2889999999999997</v>
      </c>
      <c r="Q492">
        <v>98797</v>
      </c>
      <c r="R492">
        <v>221</v>
      </c>
      <c r="S492">
        <v>7.13</v>
      </c>
      <c r="T492" s="8">
        <v>133.03</v>
      </c>
      <c r="U492">
        <v>11198252</v>
      </c>
      <c r="V492" t="s">
        <v>5424</v>
      </c>
      <c r="W492" t="s">
        <v>5409</v>
      </c>
      <c r="X492" t="s">
        <v>5425</v>
      </c>
      <c r="Y492" t="s">
        <v>5411</v>
      </c>
      <c r="Z492" t="s">
        <v>5426</v>
      </c>
      <c r="AA492" t="s">
        <v>5413</v>
      </c>
      <c r="AB492" t="s">
        <v>5414</v>
      </c>
      <c r="AC492" t="s">
        <v>5414</v>
      </c>
      <c r="AD492" t="s">
        <v>5414</v>
      </c>
      <c r="AG492" t="s">
        <v>5427</v>
      </c>
      <c r="AI492" t="s">
        <v>5428</v>
      </c>
      <c r="AJ492" t="s">
        <v>5624</v>
      </c>
      <c r="AK492" t="s">
        <v>5528</v>
      </c>
      <c r="AL492" t="s">
        <v>5418</v>
      </c>
      <c r="AN492" t="s">
        <v>5625</v>
      </c>
    </row>
    <row r="493" spans="1:40" x14ac:dyDescent="0.25">
      <c r="A493">
        <v>1087909139</v>
      </c>
      <c r="B493" t="s">
        <v>5399</v>
      </c>
      <c r="C493">
        <v>252406</v>
      </c>
      <c r="D493" t="s">
        <v>5400</v>
      </c>
      <c r="E493">
        <v>46224.609699074077</v>
      </c>
      <c r="F493" t="s">
        <v>5800</v>
      </c>
      <c r="G493" t="s">
        <v>3668</v>
      </c>
      <c r="H493" t="s">
        <v>5421</v>
      </c>
      <c r="I493" t="s">
        <v>5403</v>
      </c>
      <c r="J493">
        <v>2027</v>
      </c>
      <c r="K493" t="s">
        <v>5741</v>
      </c>
      <c r="L493" t="s">
        <v>5529</v>
      </c>
      <c r="M493" t="s">
        <v>5406</v>
      </c>
      <c r="N493" s="1" t="s">
        <v>4565</v>
      </c>
      <c r="O493">
        <v>38.18</v>
      </c>
      <c r="P493">
        <v>4.1890000000000001</v>
      </c>
      <c r="Q493">
        <v>1394</v>
      </c>
      <c r="R493">
        <v>227</v>
      </c>
      <c r="S493">
        <v>5.95</v>
      </c>
      <c r="T493" s="8">
        <v>159.97</v>
      </c>
      <c r="U493">
        <v>11040306</v>
      </c>
      <c r="V493" t="s">
        <v>5408</v>
      </c>
      <c r="W493" t="s">
        <v>5409</v>
      </c>
      <c r="X493" t="s">
        <v>5410</v>
      </c>
      <c r="Y493" t="s">
        <v>5411</v>
      </c>
      <c r="Z493" t="s">
        <v>5412</v>
      </c>
      <c r="AA493" t="s">
        <v>5413</v>
      </c>
      <c r="AB493" t="s">
        <v>5414</v>
      </c>
      <c r="AC493" t="s">
        <v>5414</v>
      </c>
      <c r="AD493" t="s">
        <v>5414</v>
      </c>
      <c r="AG493" t="s">
        <v>5415</v>
      </c>
      <c r="AI493" t="s">
        <v>5522</v>
      </c>
      <c r="AJ493" t="s">
        <v>5806</v>
      </c>
      <c r="AL493" t="s">
        <v>5418</v>
      </c>
      <c r="AN493" t="s">
        <v>5419</v>
      </c>
    </row>
    <row r="494" spans="1:40" x14ac:dyDescent="0.25">
      <c r="A494">
        <v>1087914521</v>
      </c>
      <c r="B494" t="s">
        <v>5399</v>
      </c>
      <c r="C494">
        <v>252406</v>
      </c>
      <c r="D494" t="s">
        <v>5400</v>
      </c>
      <c r="E494">
        <v>46224.620381944442</v>
      </c>
      <c r="F494" t="s">
        <v>5655</v>
      </c>
      <c r="G494" t="s">
        <v>3668</v>
      </c>
      <c r="H494" t="s">
        <v>5506</v>
      </c>
      <c r="I494" t="s">
        <v>5403</v>
      </c>
      <c r="J494">
        <v>2026</v>
      </c>
      <c r="K494" t="s">
        <v>5712</v>
      </c>
      <c r="L494" t="s">
        <v>5713</v>
      </c>
      <c r="M494" t="s">
        <v>5406</v>
      </c>
      <c r="N494" s="1" t="s">
        <v>4565</v>
      </c>
      <c r="O494">
        <v>32.14</v>
      </c>
      <c r="P494">
        <v>4.649</v>
      </c>
      <c r="Q494">
        <v>5753</v>
      </c>
      <c r="R494">
        <v>208</v>
      </c>
      <c r="S494">
        <v>6.47</v>
      </c>
      <c r="T494" s="8">
        <v>149.44999999999999</v>
      </c>
      <c r="U494">
        <v>11040292</v>
      </c>
      <c r="V494" t="s">
        <v>5456</v>
      </c>
      <c r="W494" t="s">
        <v>5409</v>
      </c>
      <c r="X494" t="s">
        <v>5457</v>
      </c>
      <c r="Y494" t="s">
        <v>5458</v>
      </c>
      <c r="Z494" t="s">
        <v>5459</v>
      </c>
      <c r="AA494" t="s">
        <v>5413</v>
      </c>
      <c r="AB494" t="s">
        <v>5414</v>
      </c>
      <c r="AC494" t="s">
        <v>5414</v>
      </c>
      <c r="AD494" t="s">
        <v>5414</v>
      </c>
      <c r="AG494" t="s">
        <v>5415</v>
      </c>
      <c r="AI494" t="s">
        <v>5460</v>
      </c>
      <c r="AJ494" t="s">
        <v>5658</v>
      </c>
      <c r="AL494" t="s">
        <v>5418</v>
      </c>
      <c r="AN494" t="s">
        <v>5419</v>
      </c>
    </row>
    <row r="495" spans="1:40" x14ac:dyDescent="0.25">
      <c r="A495">
        <v>1087916066</v>
      </c>
      <c r="B495" t="s">
        <v>5399</v>
      </c>
      <c r="C495">
        <v>252406</v>
      </c>
      <c r="D495" t="s">
        <v>5400</v>
      </c>
      <c r="E495">
        <v>46224.624965277777</v>
      </c>
      <c r="F495" t="s">
        <v>5659</v>
      </c>
      <c r="G495" t="s">
        <v>3668</v>
      </c>
      <c r="H495" t="s">
        <v>5431</v>
      </c>
      <c r="I495" t="s">
        <v>5403</v>
      </c>
      <c r="J495">
        <v>2026</v>
      </c>
      <c r="K495" t="s">
        <v>5660</v>
      </c>
      <c r="L495" t="s">
        <v>5661</v>
      </c>
      <c r="M495" t="s">
        <v>5406</v>
      </c>
      <c r="N495" s="1" t="s">
        <v>4565</v>
      </c>
      <c r="O495">
        <v>40.61</v>
      </c>
      <c r="P495">
        <v>4.1890000000000001</v>
      </c>
      <c r="Q495">
        <v>7448</v>
      </c>
      <c r="R495">
        <v>222</v>
      </c>
      <c r="S495">
        <v>5.47</v>
      </c>
      <c r="T495" s="8">
        <v>170.15</v>
      </c>
      <c r="U495">
        <v>11040306</v>
      </c>
      <c r="V495" t="s">
        <v>5408</v>
      </c>
      <c r="W495" t="s">
        <v>5409</v>
      </c>
      <c r="X495" t="s">
        <v>5410</v>
      </c>
      <c r="Y495" t="s">
        <v>5411</v>
      </c>
      <c r="Z495" t="s">
        <v>5412</v>
      </c>
      <c r="AA495" t="s">
        <v>5413</v>
      </c>
      <c r="AB495" t="s">
        <v>5414</v>
      </c>
      <c r="AC495" t="s">
        <v>5414</v>
      </c>
      <c r="AD495" t="s">
        <v>5414</v>
      </c>
      <c r="AG495" t="s">
        <v>5415</v>
      </c>
      <c r="AI495" t="s">
        <v>5629</v>
      </c>
      <c r="AJ495" t="s">
        <v>5662</v>
      </c>
      <c r="AL495" t="s">
        <v>5418</v>
      </c>
      <c r="AN495" t="s">
        <v>5419</v>
      </c>
    </row>
    <row r="496" spans="1:40" x14ac:dyDescent="0.25">
      <c r="A496">
        <v>1087951502</v>
      </c>
      <c r="B496" t="s">
        <v>5399</v>
      </c>
      <c r="C496">
        <v>252406</v>
      </c>
      <c r="D496" t="s">
        <v>5400</v>
      </c>
      <c r="E496">
        <v>46224.715474537035</v>
      </c>
      <c r="F496" t="s">
        <v>5420</v>
      </c>
      <c r="G496" t="s">
        <v>3668</v>
      </c>
      <c r="H496" t="s">
        <v>5421</v>
      </c>
      <c r="I496" t="s">
        <v>5403</v>
      </c>
      <c r="J496">
        <v>2025</v>
      </c>
      <c r="K496" t="s">
        <v>5608</v>
      </c>
      <c r="L496" t="s">
        <v>5609</v>
      </c>
      <c r="M496" t="s">
        <v>5406</v>
      </c>
      <c r="N496" s="1" t="s">
        <v>4565</v>
      </c>
      <c r="O496">
        <v>36.479999999999997</v>
      </c>
      <c r="P496">
        <v>4.6500000000000004</v>
      </c>
      <c r="Q496">
        <v>72146</v>
      </c>
      <c r="R496">
        <v>295</v>
      </c>
      <c r="S496">
        <v>8.09</v>
      </c>
      <c r="T496" s="8">
        <v>169.64</v>
      </c>
      <c r="U496">
        <v>11040292</v>
      </c>
      <c r="V496" t="s">
        <v>5456</v>
      </c>
      <c r="W496" t="s">
        <v>5409</v>
      </c>
      <c r="X496" t="s">
        <v>5457</v>
      </c>
      <c r="Y496" t="s">
        <v>5458</v>
      </c>
      <c r="Z496" t="s">
        <v>5459</v>
      </c>
      <c r="AA496" t="s">
        <v>5413</v>
      </c>
      <c r="AB496" t="s">
        <v>5414</v>
      </c>
      <c r="AC496" t="s">
        <v>5414</v>
      </c>
      <c r="AD496" t="s">
        <v>5414</v>
      </c>
      <c r="AG496" t="s">
        <v>5415</v>
      </c>
      <c r="AI496" t="s">
        <v>5460</v>
      </c>
      <c r="AJ496" t="s">
        <v>5429</v>
      </c>
      <c r="AL496" t="s">
        <v>5418</v>
      </c>
      <c r="AN496" t="s">
        <v>5419</v>
      </c>
    </row>
    <row r="497" spans="1:40" x14ac:dyDescent="0.25">
      <c r="A497">
        <v>1087973013</v>
      </c>
      <c r="B497" t="s">
        <v>5399</v>
      </c>
      <c r="C497">
        <v>252406</v>
      </c>
      <c r="D497" t="s">
        <v>5400</v>
      </c>
      <c r="E497">
        <v>46224.732916666668</v>
      </c>
      <c r="F497" t="s">
        <v>5475</v>
      </c>
      <c r="G497" t="s">
        <v>3668</v>
      </c>
      <c r="H497" t="s">
        <v>5467</v>
      </c>
      <c r="I497" t="s">
        <v>5403</v>
      </c>
      <c r="J497">
        <v>2026</v>
      </c>
      <c r="K497" t="s">
        <v>5837</v>
      </c>
      <c r="L497" t="s">
        <v>5838</v>
      </c>
      <c r="M497" t="s">
        <v>5406</v>
      </c>
      <c r="N497" s="1" t="s">
        <v>4565</v>
      </c>
      <c r="O497">
        <v>41.21</v>
      </c>
      <c r="P497">
        <v>4.2889999999999997</v>
      </c>
      <c r="Q497">
        <v>37009</v>
      </c>
      <c r="R497">
        <v>186</v>
      </c>
      <c r="S497">
        <v>4.51</v>
      </c>
      <c r="T497" s="8">
        <v>176.79</v>
      </c>
      <c r="U497">
        <v>12232063</v>
      </c>
      <c r="V497" t="s">
        <v>5698</v>
      </c>
      <c r="W497" t="s">
        <v>5409</v>
      </c>
      <c r="X497" t="s">
        <v>5699</v>
      </c>
      <c r="Y497" t="s">
        <v>5602</v>
      </c>
      <c r="Z497" t="s">
        <v>5426</v>
      </c>
      <c r="AA497" t="s">
        <v>5413</v>
      </c>
      <c r="AB497" t="s">
        <v>5414</v>
      </c>
      <c r="AC497" t="s">
        <v>5414</v>
      </c>
      <c r="AD497" t="s">
        <v>5414</v>
      </c>
      <c r="AG497" t="s">
        <v>5427</v>
      </c>
      <c r="AI497" t="s">
        <v>5700</v>
      </c>
      <c r="AJ497" t="s">
        <v>5697</v>
      </c>
      <c r="AL497" t="s">
        <v>5418</v>
      </c>
      <c r="AN497" t="s">
        <v>5419</v>
      </c>
    </row>
    <row r="498" spans="1:40" x14ac:dyDescent="0.25">
      <c r="A498">
        <v>1087961711</v>
      </c>
      <c r="B498" t="s">
        <v>5399</v>
      </c>
      <c r="C498">
        <v>252406</v>
      </c>
      <c r="D498" t="s">
        <v>5400</v>
      </c>
      <c r="E498">
        <v>46224.745000000003</v>
      </c>
      <c r="F498" t="s">
        <v>5477</v>
      </c>
      <c r="G498" t="s">
        <v>3668</v>
      </c>
      <c r="H498" t="s">
        <v>5478</v>
      </c>
      <c r="I498" t="s">
        <v>5403</v>
      </c>
      <c r="J498">
        <v>2015</v>
      </c>
      <c r="K498" t="s">
        <v>5479</v>
      </c>
      <c r="L498" t="s">
        <v>5480</v>
      </c>
      <c r="M498" t="s">
        <v>5406</v>
      </c>
      <c r="N498" s="1" t="s">
        <v>4565</v>
      </c>
      <c r="O498">
        <v>49</v>
      </c>
      <c r="P498">
        <v>4.1900000000000004</v>
      </c>
      <c r="Q498">
        <v>251318</v>
      </c>
      <c r="R498">
        <v>321</v>
      </c>
      <c r="S498">
        <v>6.55</v>
      </c>
      <c r="T498" s="8">
        <v>205.31</v>
      </c>
      <c r="U498">
        <v>11040306</v>
      </c>
      <c r="V498" t="s">
        <v>5408</v>
      </c>
      <c r="W498" t="s">
        <v>5409</v>
      </c>
      <c r="X498" t="s">
        <v>5410</v>
      </c>
      <c r="Y498" t="s">
        <v>5411</v>
      </c>
      <c r="Z498" t="s">
        <v>5412</v>
      </c>
      <c r="AA498" t="s">
        <v>5413</v>
      </c>
      <c r="AB498" t="s">
        <v>5414</v>
      </c>
      <c r="AC498" t="s">
        <v>5414</v>
      </c>
      <c r="AD498" t="s">
        <v>5414</v>
      </c>
      <c r="AG498" t="s">
        <v>5415</v>
      </c>
      <c r="AI498" t="s">
        <v>5416</v>
      </c>
      <c r="AJ498" t="s">
        <v>5485</v>
      </c>
      <c r="AL498" t="s">
        <v>5418</v>
      </c>
      <c r="AN498" t="s">
        <v>5419</v>
      </c>
    </row>
    <row r="499" spans="1:40" x14ac:dyDescent="0.25">
      <c r="A499">
        <v>1087976592</v>
      </c>
      <c r="B499" t="s">
        <v>5399</v>
      </c>
      <c r="C499">
        <v>252406</v>
      </c>
      <c r="D499" t="s">
        <v>5400</v>
      </c>
      <c r="E499">
        <v>46224.747615740744</v>
      </c>
      <c r="F499" t="s">
        <v>5462</v>
      </c>
      <c r="G499" t="s">
        <v>3668</v>
      </c>
      <c r="H499" t="s">
        <v>5402</v>
      </c>
      <c r="I499" t="s">
        <v>5403</v>
      </c>
      <c r="J499">
        <v>2026</v>
      </c>
      <c r="K499" t="s">
        <v>5604</v>
      </c>
      <c r="L499" t="s">
        <v>5605</v>
      </c>
      <c r="M499" t="s">
        <v>5406</v>
      </c>
      <c r="N499" s="1" t="s">
        <v>4565</v>
      </c>
      <c r="O499">
        <v>34.18</v>
      </c>
      <c r="P499">
        <v>4.2889999999999997</v>
      </c>
      <c r="Q499">
        <v>29073</v>
      </c>
      <c r="R499">
        <v>142</v>
      </c>
      <c r="S499">
        <v>4.1500000000000004</v>
      </c>
      <c r="T499" s="8">
        <v>146.63</v>
      </c>
      <c r="U499">
        <v>609951</v>
      </c>
      <c r="V499" t="s">
        <v>5819</v>
      </c>
      <c r="W499" t="s">
        <v>5409</v>
      </c>
      <c r="X499" t="s">
        <v>5820</v>
      </c>
      <c r="Y499" t="s">
        <v>5458</v>
      </c>
      <c r="Z499" t="s">
        <v>5426</v>
      </c>
      <c r="AA499" t="s">
        <v>5413</v>
      </c>
      <c r="AB499" t="s">
        <v>5414</v>
      </c>
      <c r="AC499" t="s">
        <v>5414</v>
      </c>
      <c r="AD499" t="s">
        <v>5414</v>
      </c>
      <c r="AG499" t="s">
        <v>5427</v>
      </c>
      <c r="AI499" t="s">
        <v>5821</v>
      </c>
      <c r="AJ499" t="s">
        <v>5465</v>
      </c>
      <c r="AL499" t="s">
        <v>5418</v>
      </c>
      <c r="AN499" t="s">
        <v>5419</v>
      </c>
    </row>
    <row r="500" spans="1:40" x14ac:dyDescent="0.25">
      <c r="A500">
        <v>1087977289</v>
      </c>
      <c r="B500" t="s">
        <v>5399</v>
      </c>
      <c r="C500">
        <v>252406</v>
      </c>
      <c r="D500" t="s">
        <v>5400</v>
      </c>
      <c r="E500">
        <v>46224.750648148147</v>
      </c>
      <c r="F500" t="s">
        <v>5466</v>
      </c>
      <c r="G500" t="s">
        <v>3668</v>
      </c>
      <c r="H500" t="s">
        <v>5467</v>
      </c>
      <c r="I500" t="s">
        <v>5403</v>
      </c>
      <c r="J500">
        <v>2025</v>
      </c>
      <c r="K500" t="s">
        <v>5468</v>
      </c>
      <c r="L500" t="s">
        <v>5469</v>
      </c>
      <c r="M500" t="s">
        <v>5406</v>
      </c>
      <c r="N500" s="1" t="s">
        <v>4565</v>
      </c>
      <c r="O500">
        <v>50.67</v>
      </c>
      <c r="P500">
        <v>4.2889999999999997</v>
      </c>
      <c r="Q500">
        <v>65190</v>
      </c>
      <c r="R500">
        <v>210</v>
      </c>
      <c r="S500">
        <v>4.1399999999999997</v>
      </c>
      <c r="T500" s="8">
        <v>217.37</v>
      </c>
      <c r="U500">
        <v>11198252</v>
      </c>
      <c r="V500" t="s">
        <v>5424</v>
      </c>
      <c r="W500" t="s">
        <v>5409</v>
      </c>
      <c r="X500" t="s">
        <v>5425</v>
      </c>
      <c r="Y500" t="s">
        <v>5411</v>
      </c>
      <c r="Z500" t="s">
        <v>5426</v>
      </c>
      <c r="AA500" t="s">
        <v>5413</v>
      </c>
      <c r="AB500" t="s">
        <v>5414</v>
      </c>
      <c r="AC500" t="s">
        <v>5414</v>
      </c>
      <c r="AD500" t="s">
        <v>5414</v>
      </c>
      <c r="AG500" t="s">
        <v>5427</v>
      </c>
      <c r="AI500" t="s">
        <v>5428</v>
      </c>
      <c r="AJ500" t="s">
        <v>5474</v>
      </c>
      <c r="AL500" t="s">
        <v>5418</v>
      </c>
      <c r="AN500" t="s">
        <v>5419</v>
      </c>
    </row>
    <row r="501" spans="1:40" x14ac:dyDescent="0.25">
      <c r="A501">
        <v>1087977613</v>
      </c>
      <c r="B501" t="s">
        <v>5399</v>
      </c>
      <c r="C501">
        <v>252406</v>
      </c>
      <c r="D501" t="s">
        <v>5400</v>
      </c>
      <c r="E501">
        <v>46224.751967592594</v>
      </c>
      <c r="F501" t="s">
        <v>5617</v>
      </c>
      <c r="G501" t="s">
        <v>3668</v>
      </c>
      <c r="H501" t="s">
        <v>5467</v>
      </c>
      <c r="I501" t="s">
        <v>5403</v>
      </c>
      <c r="J501">
        <v>2026</v>
      </c>
      <c r="K501" t="s">
        <v>5618</v>
      </c>
      <c r="L501" t="s">
        <v>5619</v>
      </c>
      <c r="M501" t="s">
        <v>5406</v>
      </c>
      <c r="N501" s="1" t="s">
        <v>4565</v>
      </c>
      <c r="O501">
        <v>44.41</v>
      </c>
      <c r="P501">
        <v>3.589</v>
      </c>
      <c r="Q501">
        <v>56662</v>
      </c>
      <c r="R501">
        <v>295</v>
      </c>
      <c r="S501">
        <v>6.64</v>
      </c>
      <c r="T501" s="8">
        <v>159.43</v>
      </c>
      <c r="U501">
        <v>12815000</v>
      </c>
      <c r="V501" t="s">
        <v>5448</v>
      </c>
      <c r="W501" t="s">
        <v>5409</v>
      </c>
      <c r="X501" t="s">
        <v>5449</v>
      </c>
      <c r="Y501" t="s">
        <v>5450</v>
      </c>
      <c r="Z501" t="s">
        <v>5426</v>
      </c>
      <c r="AA501" t="s">
        <v>5413</v>
      </c>
      <c r="AB501" t="s">
        <v>5414</v>
      </c>
      <c r="AC501" t="s">
        <v>5414</v>
      </c>
      <c r="AD501" t="s">
        <v>5414</v>
      </c>
      <c r="AG501" t="s">
        <v>5427</v>
      </c>
      <c r="AI501" t="s">
        <v>5451</v>
      </c>
      <c r="AJ501" t="s">
        <v>5620</v>
      </c>
      <c r="AL501" t="s">
        <v>5418</v>
      </c>
      <c r="AN501" t="s">
        <v>5419</v>
      </c>
    </row>
    <row r="502" spans="1:40" x14ac:dyDescent="0.25">
      <c r="A502">
        <v>1087982737</v>
      </c>
      <c r="B502" t="s">
        <v>5399</v>
      </c>
      <c r="C502">
        <v>252406</v>
      </c>
      <c r="D502" t="s">
        <v>5400</v>
      </c>
      <c r="E502">
        <v>46224.770844907405</v>
      </c>
      <c r="F502" t="s">
        <v>5567</v>
      </c>
      <c r="G502" t="s">
        <v>3668</v>
      </c>
      <c r="H502" t="s">
        <v>5568</v>
      </c>
      <c r="I502" t="s">
        <v>5403</v>
      </c>
      <c r="J502">
        <v>2026</v>
      </c>
      <c r="K502" t="s">
        <v>5436</v>
      </c>
      <c r="L502" t="s">
        <v>5437</v>
      </c>
      <c r="M502" t="s">
        <v>5406</v>
      </c>
      <c r="N502" s="1" t="s">
        <v>4565</v>
      </c>
      <c r="O502">
        <v>41.61</v>
      </c>
      <c r="P502">
        <v>4.2290000000000001</v>
      </c>
      <c r="Q502">
        <v>4524</v>
      </c>
      <c r="R502">
        <v>364</v>
      </c>
      <c r="S502">
        <v>8.75</v>
      </c>
      <c r="T502" s="8">
        <v>176.01</v>
      </c>
      <c r="U502">
        <v>11918417</v>
      </c>
      <c r="V502" t="s">
        <v>5861</v>
      </c>
      <c r="W502" t="s">
        <v>5409</v>
      </c>
      <c r="X502" t="s">
        <v>5862</v>
      </c>
      <c r="Y502" t="s">
        <v>5458</v>
      </c>
      <c r="Z502" t="s">
        <v>5426</v>
      </c>
      <c r="AA502" t="s">
        <v>5413</v>
      </c>
      <c r="AB502" t="s">
        <v>5414</v>
      </c>
      <c r="AC502" t="s">
        <v>5414</v>
      </c>
      <c r="AD502" t="s">
        <v>5414</v>
      </c>
      <c r="AG502" t="s">
        <v>5427</v>
      </c>
      <c r="AI502" t="s">
        <v>5863</v>
      </c>
      <c r="AJ502" t="s">
        <v>5902</v>
      </c>
      <c r="AL502" t="s">
        <v>5418</v>
      </c>
      <c r="AN502" t="s">
        <v>5419</v>
      </c>
    </row>
    <row r="503" spans="1:40" x14ac:dyDescent="0.25">
      <c r="A503">
        <v>1087996839</v>
      </c>
      <c r="B503" t="s">
        <v>5399</v>
      </c>
      <c r="C503">
        <v>252406</v>
      </c>
      <c r="D503" t="s">
        <v>5400</v>
      </c>
      <c r="E503">
        <v>46224.920729166668</v>
      </c>
      <c r="F503" t="s">
        <v>5486</v>
      </c>
      <c r="G503" t="s">
        <v>3668</v>
      </c>
      <c r="H503" t="s">
        <v>5487</v>
      </c>
      <c r="I503" t="s">
        <v>5403</v>
      </c>
      <c r="J503">
        <v>2025</v>
      </c>
      <c r="K503" t="s">
        <v>5488</v>
      </c>
      <c r="L503" t="s">
        <v>5489</v>
      </c>
      <c r="M503" t="s">
        <v>5406</v>
      </c>
      <c r="N503" s="1" t="s">
        <v>4565</v>
      </c>
      <c r="O503">
        <v>36.869999999999997</v>
      </c>
      <c r="P503">
        <v>4.2889999999999997</v>
      </c>
      <c r="Q503">
        <v>57058</v>
      </c>
      <c r="R503">
        <v>332</v>
      </c>
      <c r="S503">
        <v>9</v>
      </c>
      <c r="T503" s="8">
        <v>158.16999999999999</v>
      </c>
      <c r="U503">
        <v>491721</v>
      </c>
      <c r="V503" t="s">
        <v>5438</v>
      </c>
      <c r="W503" t="s">
        <v>5409</v>
      </c>
      <c r="X503" t="s">
        <v>5439</v>
      </c>
      <c r="Y503" t="s">
        <v>5440</v>
      </c>
      <c r="Z503" t="s">
        <v>5441</v>
      </c>
      <c r="AA503" t="s">
        <v>5413</v>
      </c>
      <c r="AB503" t="s">
        <v>5414</v>
      </c>
      <c r="AC503" t="s">
        <v>5414</v>
      </c>
      <c r="AD503" t="s">
        <v>5414</v>
      </c>
      <c r="AG503" t="s">
        <v>5415</v>
      </c>
      <c r="AI503" t="s">
        <v>5522</v>
      </c>
      <c r="AJ503" t="s">
        <v>5493</v>
      </c>
      <c r="AL503" t="s">
        <v>5418</v>
      </c>
      <c r="AN503" t="s">
        <v>5419</v>
      </c>
    </row>
    <row r="504" spans="1:40" x14ac:dyDescent="0.25">
      <c r="A504">
        <v>1088004278</v>
      </c>
      <c r="B504" t="s">
        <v>5399</v>
      </c>
      <c r="C504">
        <v>252406</v>
      </c>
      <c r="D504" t="s">
        <v>5400</v>
      </c>
      <c r="E504">
        <v>46225.151446759257</v>
      </c>
      <c r="F504" t="s">
        <v>5589</v>
      </c>
      <c r="G504" t="s">
        <v>3668</v>
      </c>
      <c r="H504" t="s">
        <v>5431</v>
      </c>
      <c r="I504" t="s">
        <v>5403</v>
      </c>
      <c r="J504">
        <v>2026</v>
      </c>
      <c r="K504" t="s">
        <v>5590</v>
      </c>
      <c r="L504" t="s">
        <v>5591</v>
      </c>
      <c r="M504" t="s">
        <v>5406</v>
      </c>
      <c r="N504" s="1" t="s">
        <v>4565</v>
      </c>
      <c r="O504">
        <v>23.31</v>
      </c>
      <c r="P504">
        <v>4.1890000000000001</v>
      </c>
      <c r="Q504">
        <v>6520</v>
      </c>
      <c r="R504">
        <v>261</v>
      </c>
      <c r="S504">
        <v>11.2</v>
      </c>
      <c r="T504" s="8">
        <v>97.66</v>
      </c>
      <c r="U504">
        <v>11040306</v>
      </c>
      <c r="V504" t="s">
        <v>5408</v>
      </c>
      <c r="W504" t="s">
        <v>5409</v>
      </c>
      <c r="X504" t="s">
        <v>5410</v>
      </c>
      <c r="Y504" t="s">
        <v>5411</v>
      </c>
      <c r="Z504" t="s">
        <v>5412</v>
      </c>
      <c r="AA504" t="s">
        <v>5413</v>
      </c>
      <c r="AB504" t="s">
        <v>5414</v>
      </c>
      <c r="AC504" t="s">
        <v>5414</v>
      </c>
      <c r="AD504" t="s">
        <v>5414</v>
      </c>
      <c r="AG504" t="s">
        <v>5415</v>
      </c>
      <c r="AI504" t="s">
        <v>5629</v>
      </c>
      <c r="AJ504" t="s">
        <v>5890</v>
      </c>
      <c r="AL504" t="s">
        <v>5418</v>
      </c>
      <c r="AN504" t="s">
        <v>5419</v>
      </c>
    </row>
    <row r="505" spans="1:40" x14ac:dyDescent="0.25">
      <c r="A505">
        <v>1088046000</v>
      </c>
      <c r="B505" t="s">
        <v>5399</v>
      </c>
      <c r="C505">
        <v>252406</v>
      </c>
      <c r="D505" t="s">
        <v>5400</v>
      </c>
      <c r="E505">
        <v>46225.284988425927</v>
      </c>
      <c r="F505" t="s">
        <v>5435</v>
      </c>
      <c r="G505" t="s">
        <v>3668</v>
      </c>
      <c r="H505" t="s">
        <v>5421</v>
      </c>
      <c r="I505" t="s">
        <v>5403</v>
      </c>
      <c r="J505">
        <v>2026</v>
      </c>
      <c r="K505" t="s">
        <v>5436</v>
      </c>
      <c r="L505" t="s">
        <v>5437</v>
      </c>
      <c r="M505" t="s">
        <v>5406</v>
      </c>
      <c r="N505" s="1" t="s">
        <v>4565</v>
      </c>
      <c r="O505">
        <v>13.96</v>
      </c>
      <c r="P505">
        <v>4.6589999999999998</v>
      </c>
      <c r="Q505">
        <v>50012</v>
      </c>
      <c r="R505">
        <v>97</v>
      </c>
      <c r="S505">
        <v>6.95</v>
      </c>
      <c r="T505" s="8">
        <v>65.05</v>
      </c>
      <c r="U505">
        <v>11120083</v>
      </c>
      <c r="V505" t="s">
        <v>5596</v>
      </c>
      <c r="W505" t="s">
        <v>5409</v>
      </c>
      <c r="X505" t="s">
        <v>5597</v>
      </c>
      <c r="Y505" t="s">
        <v>5458</v>
      </c>
      <c r="Z505" t="s">
        <v>5598</v>
      </c>
      <c r="AA505" t="s">
        <v>5413</v>
      </c>
      <c r="AB505" t="s">
        <v>5414</v>
      </c>
      <c r="AC505" t="s">
        <v>5414</v>
      </c>
      <c r="AD505" t="s">
        <v>5414</v>
      </c>
      <c r="AG505" t="s">
        <v>5427</v>
      </c>
      <c r="AI505" t="s">
        <v>5599</v>
      </c>
      <c r="AJ505" t="s">
        <v>5443</v>
      </c>
      <c r="AL505" t="s">
        <v>5418</v>
      </c>
      <c r="AN505" t="s">
        <v>5419</v>
      </c>
    </row>
    <row r="506" spans="1:40" x14ac:dyDescent="0.25">
      <c r="A506">
        <v>1088051674</v>
      </c>
      <c r="B506" t="s">
        <v>5399</v>
      </c>
      <c r="C506">
        <v>252406</v>
      </c>
      <c r="D506" t="s">
        <v>5400</v>
      </c>
      <c r="E506">
        <v>46225.295798611114</v>
      </c>
      <c r="F506" t="s">
        <v>5401</v>
      </c>
      <c r="G506" t="s">
        <v>3668</v>
      </c>
      <c r="H506" t="s">
        <v>5402</v>
      </c>
      <c r="I506" t="s">
        <v>5403</v>
      </c>
      <c r="J506">
        <v>2026</v>
      </c>
      <c r="K506" t="s">
        <v>5404</v>
      </c>
      <c r="L506" t="s">
        <v>5405</v>
      </c>
      <c r="M506" t="s">
        <v>5406</v>
      </c>
      <c r="N506" s="1" t="s">
        <v>4565</v>
      </c>
      <c r="O506">
        <v>38.42</v>
      </c>
      <c r="P506">
        <v>4.2889999999999997</v>
      </c>
      <c r="Q506">
        <v>36437</v>
      </c>
      <c r="R506">
        <v>269</v>
      </c>
      <c r="S506">
        <v>7</v>
      </c>
      <c r="T506" s="8">
        <v>164.8</v>
      </c>
      <c r="U506">
        <v>12193017</v>
      </c>
      <c r="V506" t="s">
        <v>5574</v>
      </c>
      <c r="W506" t="s">
        <v>5409</v>
      </c>
      <c r="X506" t="s">
        <v>5575</v>
      </c>
      <c r="Y506" t="s">
        <v>5576</v>
      </c>
      <c r="Z506" t="s">
        <v>5472</v>
      </c>
      <c r="AA506" t="s">
        <v>5413</v>
      </c>
      <c r="AB506" t="s">
        <v>5414</v>
      </c>
      <c r="AC506" t="s">
        <v>5414</v>
      </c>
      <c r="AD506" t="s">
        <v>5414</v>
      </c>
      <c r="AG506" t="s">
        <v>5427</v>
      </c>
      <c r="AI506" t="s">
        <v>5577</v>
      </c>
      <c r="AJ506" t="s">
        <v>5417</v>
      </c>
      <c r="AL506" t="s">
        <v>5418</v>
      </c>
      <c r="AN506" t="s">
        <v>5419</v>
      </c>
    </row>
    <row r="507" spans="1:40" x14ac:dyDescent="0.25">
      <c r="A507">
        <v>1088068902</v>
      </c>
      <c r="B507" t="s">
        <v>5399</v>
      </c>
      <c r="C507">
        <v>252406</v>
      </c>
      <c r="D507" t="s">
        <v>5400</v>
      </c>
      <c r="E507">
        <v>46225.32440972222</v>
      </c>
      <c r="F507" t="s">
        <v>5560</v>
      </c>
      <c r="G507" t="s">
        <v>3668</v>
      </c>
      <c r="H507" t="s">
        <v>5561</v>
      </c>
      <c r="I507" t="s">
        <v>5403</v>
      </c>
      <c r="J507">
        <v>2026</v>
      </c>
      <c r="K507" t="s">
        <v>5562</v>
      </c>
      <c r="L507" t="s">
        <v>5563</v>
      </c>
      <c r="M507" t="s">
        <v>5406</v>
      </c>
      <c r="N507" s="1" t="s">
        <v>4565</v>
      </c>
      <c r="O507">
        <v>43.73</v>
      </c>
      <c r="P507">
        <v>3.9889999999999999</v>
      </c>
      <c r="Q507">
        <v>22092</v>
      </c>
      <c r="R507">
        <v>426</v>
      </c>
      <c r="S507">
        <v>9.74</v>
      </c>
      <c r="T507" s="8">
        <v>174.48</v>
      </c>
      <c r="U507">
        <v>11032680</v>
      </c>
      <c r="V507" t="s">
        <v>5903</v>
      </c>
      <c r="W507" t="s">
        <v>5409</v>
      </c>
      <c r="X507" t="s">
        <v>5904</v>
      </c>
      <c r="Y507" t="s">
        <v>5411</v>
      </c>
      <c r="Z507" t="s">
        <v>5905</v>
      </c>
      <c r="AA507" t="s">
        <v>5413</v>
      </c>
      <c r="AB507" t="s">
        <v>5414</v>
      </c>
      <c r="AC507" t="s">
        <v>5414</v>
      </c>
      <c r="AD507" t="s">
        <v>5414</v>
      </c>
      <c r="AG507" t="s">
        <v>5427</v>
      </c>
      <c r="AI507" t="s">
        <v>5906</v>
      </c>
      <c r="AJ507" t="s">
        <v>5564</v>
      </c>
      <c r="AL507" t="s">
        <v>5418</v>
      </c>
      <c r="AN507" t="s">
        <v>5419</v>
      </c>
    </row>
    <row r="508" spans="1:40" x14ac:dyDescent="0.25">
      <c r="A508">
        <v>1088095421</v>
      </c>
      <c r="B508" t="s">
        <v>5399</v>
      </c>
      <c r="C508">
        <v>252406</v>
      </c>
      <c r="D508" t="s">
        <v>5400</v>
      </c>
      <c r="E508">
        <v>46225.381979166668</v>
      </c>
      <c r="F508" t="s">
        <v>5585</v>
      </c>
      <c r="G508" t="s">
        <v>3668</v>
      </c>
      <c r="H508" t="s">
        <v>5506</v>
      </c>
      <c r="I508" t="s">
        <v>5403</v>
      </c>
      <c r="J508">
        <v>2026</v>
      </c>
      <c r="K508" t="s">
        <v>5717</v>
      </c>
      <c r="L508" t="s">
        <v>5718</v>
      </c>
      <c r="M508" t="s">
        <v>5406</v>
      </c>
      <c r="N508" s="1" t="s">
        <v>4565</v>
      </c>
      <c r="O508">
        <v>38.35</v>
      </c>
      <c r="P508">
        <v>4.2889999999999997</v>
      </c>
      <c r="Q508">
        <v>4543</v>
      </c>
      <c r="R508">
        <v>268</v>
      </c>
      <c r="S508">
        <v>6.99</v>
      </c>
      <c r="T508" s="8">
        <v>164.52</v>
      </c>
      <c r="U508">
        <v>11198252</v>
      </c>
      <c r="V508" t="s">
        <v>5424</v>
      </c>
      <c r="W508" t="s">
        <v>5409</v>
      </c>
      <c r="X508" t="s">
        <v>5425</v>
      </c>
      <c r="Y508" t="s">
        <v>5411</v>
      </c>
      <c r="Z508" t="s">
        <v>5426</v>
      </c>
      <c r="AA508" t="s">
        <v>5413</v>
      </c>
      <c r="AB508" t="s">
        <v>5414</v>
      </c>
      <c r="AC508" t="s">
        <v>5414</v>
      </c>
      <c r="AD508" t="s">
        <v>5414</v>
      </c>
      <c r="AG508" t="s">
        <v>5427</v>
      </c>
      <c r="AI508" t="s">
        <v>5428</v>
      </c>
      <c r="AJ508" t="s">
        <v>5588</v>
      </c>
      <c r="AL508" t="s">
        <v>5418</v>
      </c>
      <c r="AN508" t="s">
        <v>5419</v>
      </c>
    </row>
    <row r="509" spans="1:40" x14ac:dyDescent="0.25">
      <c r="A509">
        <v>1088082501</v>
      </c>
      <c r="B509" t="s">
        <v>5399</v>
      </c>
      <c r="C509">
        <v>252406</v>
      </c>
      <c r="D509" t="s">
        <v>5400</v>
      </c>
      <c r="E509">
        <v>46225.396585648145</v>
      </c>
      <c r="F509" t="s">
        <v>5757</v>
      </c>
      <c r="G509" t="s">
        <v>3668</v>
      </c>
      <c r="H509" t="s">
        <v>5421</v>
      </c>
      <c r="I509" t="s">
        <v>5403</v>
      </c>
      <c r="J509">
        <v>2027</v>
      </c>
      <c r="K509" t="s">
        <v>5520</v>
      </c>
      <c r="L509" t="s">
        <v>5521</v>
      </c>
      <c r="M509" t="s">
        <v>5406</v>
      </c>
      <c r="N509" s="1" t="s">
        <v>4565</v>
      </c>
      <c r="O509">
        <v>29.36</v>
      </c>
      <c r="P509">
        <v>4.1890000000000001</v>
      </c>
      <c r="Q509">
        <v>2594</v>
      </c>
      <c r="R509">
        <v>194</v>
      </c>
      <c r="S509">
        <v>6.61</v>
      </c>
      <c r="T509" s="8">
        <v>123.01</v>
      </c>
      <c r="U509">
        <v>11040306</v>
      </c>
      <c r="V509" t="s">
        <v>5408</v>
      </c>
      <c r="W509" t="s">
        <v>5409</v>
      </c>
      <c r="X509" t="s">
        <v>5410</v>
      </c>
      <c r="Y509" t="s">
        <v>5411</v>
      </c>
      <c r="Z509" t="s">
        <v>5412</v>
      </c>
      <c r="AA509" t="s">
        <v>5413</v>
      </c>
      <c r="AB509" t="s">
        <v>5414</v>
      </c>
      <c r="AC509" t="s">
        <v>5414</v>
      </c>
      <c r="AD509" t="s">
        <v>5414</v>
      </c>
      <c r="AG509" t="s">
        <v>5415</v>
      </c>
      <c r="AI509" t="s">
        <v>5460</v>
      </c>
      <c r="AJ509" t="s">
        <v>5765</v>
      </c>
      <c r="AL509" t="s">
        <v>5418</v>
      </c>
      <c r="AN509" t="s">
        <v>5419</v>
      </c>
    </row>
    <row r="510" spans="1:40" x14ac:dyDescent="0.25">
      <c r="A510">
        <v>1088085483</v>
      </c>
      <c r="B510" t="s">
        <v>5399</v>
      </c>
      <c r="C510">
        <v>252406</v>
      </c>
      <c r="D510" t="s">
        <v>5400</v>
      </c>
      <c r="E510">
        <v>46225.398958333331</v>
      </c>
      <c r="F510" t="s">
        <v>5856</v>
      </c>
      <c r="G510" t="s">
        <v>3668</v>
      </c>
      <c r="H510" t="s">
        <v>5857</v>
      </c>
      <c r="I510" t="s">
        <v>5403</v>
      </c>
      <c r="J510">
        <v>2026</v>
      </c>
      <c r="K510" t="s">
        <v>5858</v>
      </c>
      <c r="L510" t="s">
        <v>5859</v>
      </c>
      <c r="M510" t="s">
        <v>5406</v>
      </c>
      <c r="N510" s="1" t="s">
        <v>4565</v>
      </c>
      <c r="O510">
        <v>46</v>
      </c>
      <c r="P510">
        <v>4.1900000000000004</v>
      </c>
      <c r="Q510">
        <v>3480</v>
      </c>
      <c r="R510">
        <v>414</v>
      </c>
      <c r="S510">
        <v>9</v>
      </c>
      <c r="T510" s="8">
        <v>192.74</v>
      </c>
      <c r="U510">
        <v>11040306</v>
      </c>
      <c r="V510" t="s">
        <v>5408</v>
      </c>
      <c r="W510" t="s">
        <v>5409</v>
      </c>
      <c r="X510" t="s">
        <v>5410</v>
      </c>
      <c r="Y510" t="s">
        <v>5411</v>
      </c>
      <c r="Z510" t="s">
        <v>5412</v>
      </c>
      <c r="AA510" t="s">
        <v>5413</v>
      </c>
      <c r="AB510" t="s">
        <v>5414</v>
      </c>
      <c r="AC510" t="s">
        <v>5414</v>
      </c>
      <c r="AD510" t="s">
        <v>5414</v>
      </c>
      <c r="AG510" t="s">
        <v>5415</v>
      </c>
      <c r="AI510" t="s">
        <v>5460</v>
      </c>
      <c r="AJ510" t="s">
        <v>5860</v>
      </c>
      <c r="AL510" t="s">
        <v>5418</v>
      </c>
      <c r="AN510" t="s">
        <v>5419</v>
      </c>
    </row>
    <row r="511" spans="1:40" x14ac:dyDescent="0.25">
      <c r="A511">
        <v>1088115849</v>
      </c>
      <c r="B511" t="s">
        <v>5399</v>
      </c>
      <c r="C511">
        <v>252406</v>
      </c>
      <c r="D511" t="s">
        <v>5400</v>
      </c>
      <c r="E511">
        <v>46225.478750000002</v>
      </c>
      <c r="F511" t="s">
        <v>5534</v>
      </c>
      <c r="G511" t="s">
        <v>3668</v>
      </c>
      <c r="H511" t="s">
        <v>5421</v>
      </c>
      <c r="I511" t="s">
        <v>5403</v>
      </c>
      <c r="J511">
        <v>2027</v>
      </c>
      <c r="K511" t="s">
        <v>5535</v>
      </c>
      <c r="L511" t="s">
        <v>5536</v>
      </c>
      <c r="M511" t="s">
        <v>5406</v>
      </c>
      <c r="N511" s="1" t="s">
        <v>4565</v>
      </c>
      <c r="O511">
        <v>36.090000000000003</v>
      </c>
      <c r="P511">
        <v>4.1890000000000001</v>
      </c>
      <c r="Q511">
        <v>3765</v>
      </c>
      <c r="R511">
        <v>250</v>
      </c>
      <c r="S511">
        <v>6.93</v>
      </c>
      <c r="T511" s="8">
        <v>151.21</v>
      </c>
      <c r="U511">
        <v>11040306</v>
      </c>
      <c r="V511" t="s">
        <v>5408</v>
      </c>
      <c r="W511" t="s">
        <v>5409</v>
      </c>
      <c r="X511" t="s">
        <v>5410</v>
      </c>
      <c r="Y511" t="s">
        <v>5411</v>
      </c>
      <c r="Z511" t="s">
        <v>5412</v>
      </c>
      <c r="AA511" t="s">
        <v>5413</v>
      </c>
      <c r="AB511" t="s">
        <v>5414</v>
      </c>
      <c r="AC511" t="s">
        <v>5414</v>
      </c>
      <c r="AD511" t="s">
        <v>5414</v>
      </c>
      <c r="AG511" t="s">
        <v>5415</v>
      </c>
      <c r="AI511" t="s">
        <v>5416</v>
      </c>
      <c r="AJ511" t="s">
        <v>5816</v>
      </c>
      <c r="AL511" t="s">
        <v>5418</v>
      </c>
      <c r="AN511" t="s">
        <v>5419</v>
      </c>
    </row>
    <row r="512" spans="1:40" x14ac:dyDescent="0.25">
      <c r="A512">
        <v>1088122780</v>
      </c>
      <c r="B512" t="s">
        <v>5399</v>
      </c>
      <c r="C512">
        <v>252406</v>
      </c>
      <c r="D512" t="s">
        <v>5400</v>
      </c>
      <c r="E512">
        <v>46225.497337962966</v>
      </c>
      <c r="F512" t="s">
        <v>5477</v>
      </c>
      <c r="G512" t="s">
        <v>3668</v>
      </c>
      <c r="H512" t="s">
        <v>5478</v>
      </c>
      <c r="I512" t="s">
        <v>5403</v>
      </c>
      <c r="J512">
        <v>2015</v>
      </c>
      <c r="K512" t="s">
        <v>5479</v>
      </c>
      <c r="L512" t="s">
        <v>5480</v>
      </c>
      <c r="M512" t="s">
        <v>5406</v>
      </c>
      <c r="N512" s="1" t="s">
        <v>4565</v>
      </c>
      <c r="O512">
        <v>49</v>
      </c>
      <c r="P512">
        <v>4.29</v>
      </c>
      <c r="Q512">
        <v>251683</v>
      </c>
      <c r="R512">
        <v>365</v>
      </c>
      <c r="S512">
        <v>7.45</v>
      </c>
      <c r="T512" s="8">
        <v>210.21</v>
      </c>
      <c r="U512">
        <v>491721</v>
      </c>
      <c r="V512" t="s">
        <v>5438</v>
      </c>
      <c r="W512" t="s">
        <v>5409</v>
      </c>
      <c r="X512" t="s">
        <v>5439</v>
      </c>
      <c r="Y512" t="s">
        <v>5440</v>
      </c>
      <c r="Z512" t="s">
        <v>5441</v>
      </c>
      <c r="AA512" t="s">
        <v>5413</v>
      </c>
      <c r="AB512" t="s">
        <v>5414</v>
      </c>
      <c r="AC512" t="s">
        <v>5414</v>
      </c>
      <c r="AD512" t="s">
        <v>5414</v>
      </c>
      <c r="AG512" t="s">
        <v>5415</v>
      </c>
      <c r="AI512" t="s">
        <v>5522</v>
      </c>
      <c r="AJ512" t="s">
        <v>5485</v>
      </c>
      <c r="AL512" t="s">
        <v>5418</v>
      </c>
      <c r="AN512" t="s">
        <v>5419</v>
      </c>
    </row>
    <row r="513" spans="1:40" x14ac:dyDescent="0.25">
      <c r="A513">
        <v>1088139619</v>
      </c>
      <c r="B513" t="s">
        <v>5399</v>
      </c>
      <c r="C513">
        <v>252406</v>
      </c>
      <c r="D513" t="s">
        <v>5400</v>
      </c>
      <c r="E513">
        <v>46225.506701388891</v>
      </c>
      <c r="F513" t="s">
        <v>5486</v>
      </c>
      <c r="G513" t="s">
        <v>3668</v>
      </c>
      <c r="H513" t="s">
        <v>5487</v>
      </c>
      <c r="I513" t="s">
        <v>5403</v>
      </c>
      <c r="J513">
        <v>2025</v>
      </c>
      <c r="K513" t="s">
        <v>5488</v>
      </c>
      <c r="L513" t="s">
        <v>5489</v>
      </c>
      <c r="M513" t="s">
        <v>5406</v>
      </c>
      <c r="N513" s="1" t="s">
        <v>4565</v>
      </c>
      <c r="O513">
        <v>35.65</v>
      </c>
      <c r="P513">
        <v>4.07</v>
      </c>
      <c r="Q513">
        <v>57411</v>
      </c>
      <c r="R513">
        <v>353</v>
      </c>
      <c r="S513">
        <v>9.9</v>
      </c>
      <c r="T513" s="8">
        <v>145.1</v>
      </c>
      <c r="U513">
        <v>12192843</v>
      </c>
      <c r="V513" t="s">
        <v>5723</v>
      </c>
      <c r="W513" t="s">
        <v>5409</v>
      </c>
      <c r="X513" t="s">
        <v>5724</v>
      </c>
      <c r="Y513" t="s">
        <v>5725</v>
      </c>
      <c r="Z513" t="s">
        <v>5726</v>
      </c>
      <c r="AA513" t="s">
        <v>5413</v>
      </c>
      <c r="AB513" t="s">
        <v>5414</v>
      </c>
      <c r="AC513" t="s">
        <v>5414</v>
      </c>
      <c r="AD513" t="s">
        <v>5414</v>
      </c>
      <c r="AG513" t="s">
        <v>5427</v>
      </c>
      <c r="AI513" t="s">
        <v>5727</v>
      </c>
      <c r="AJ513" t="s">
        <v>5493</v>
      </c>
      <c r="AL513" t="s">
        <v>5418</v>
      </c>
      <c r="AN513" t="s">
        <v>5419</v>
      </c>
    </row>
    <row r="514" spans="1:40" x14ac:dyDescent="0.25">
      <c r="A514">
        <v>1088142632</v>
      </c>
      <c r="B514" t="s">
        <v>5399</v>
      </c>
      <c r="C514">
        <v>252406</v>
      </c>
      <c r="D514" t="s">
        <v>5400</v>
      </c>
      <c r="E514">
        <v>46225.518020833333</v>
      </c>
      <c r="F514" t="s">
        <v>5621</v>
      </c>
      <c r="G514" t="s">
        <v>3668</v>
      </c>
      <c r="H514" t="s">
        <v>5421</v>
      </c>
      <c r="I514" t="s">
        <v>5621</v>
      </c>
      <c r="J514">
        <v>2024</v>
      </c>
      <c r="K514" t="s">
        <v>5622</v>
      </c>
      <c r="L514" t="s">
        <v>5623</v>
      </c>
      <c r="M514" t="s">
        <v>5406</v>
      </c>
      <c r="N514" s="1" t="s">
        <v>4565</v>
      </c>
      <c r="O514">
        <v>39.1</v>
      </c>
      <c r="P514">
        <v>4.79</v>
      </c>
      <c r="Q514">
        <v>99139</v>
      </c>
      <c r="R514">
        <v>342</v>
      </c>
      <c r="S514">
        <v>8.75</v>
      </c>
      <c r="T514" s="8">
        <v>187.31</v>
      </c>
      <c r="U514">
        <v>12535317</v>
      </c>
      <c r="V514" t="s">
        <v>5843</v>
      </c>
      <c r="W514" t="s">
        <v>5409</v>
      </c>
      <c r="X514" t="s">
        <v>5844</v>
      </c>
      <c r="Y514" t="s">
        <v>5845</v>
      </c>
      <c r="Z514" t="s">
        <v>5598</v>
      </c>
      <c r="AA514" t="s">
        <v>5413</v>
      </c>
      <c r="AB514" t="s">
        <v>5414</v>
      </c>
      <c r="AC514" t="s">
        <v>5414</v>
      </c>
      <c r="AD514" t="s">
        <v>5414</v>
      </c>
      <c r="AG514" t="s">
        <v>5427</v>
      </c>
      <c r="AI514" t="s">
        <v>5846</v>
      </c>
      <c r="AJ514" t="s">
        <v>5624</v>
      </c>
      <c r="AK514" t="s">
        <v>5528</v>
      </c>
      <c r="AL514" t="s">
        <v>5418</v>
      </c>
      <c r="AN514" t="s">
        <v>5625</v>
      </c>
    </row>
    <row r="515" spans="1:40" x14ac:dyDescent="0.25">
      <c r="A515">
        <v>1088158807</v>
      </c>
      <c r="B515" t="s">
        <v>5399</v>
      </c>
      <c r="C515">
        <v>252406</v>
      </c>
      <c r="D515" t="s">
        <v>5400</v>
      </c>
      <c r="E515">
        <v>46225.565833333334</v>
      </c>
      <c r="F515" t="s">
        <v>5651</v>
      </c>
      <c r="G515" t="s">
        <v>3668</v>
      </c>
      <c r="H515" t="s">
        <v>5467</v>
      </c>
      <c r="I515" t="s">
        <v>5403</v>
      </c>
      <c r="J515">
        <v>2026</v>
      </c>
      <c r="K515" t="s">
        <v>5738</v>
      </c>
      <c r="L515" t="s">
        <v>5739</v>
      </c>
      <c r="M515" t="s">
        <v>5406</v>
      </c>
      <c r="N515" s="1" t="s">
        <v>4565</v>
      </c>
      <c r="O515">
        <v>36</v>
      </c>
      <c r="P515">
        <v>3.99</v>
      </c>
      <c r="Q515">
        <v>48711</v>
      </c>
      <c r="R515">
        <v>322</v>
      </c>
      <c r="S515">
        <v>8.94</v>
      </c>
      <c r="T515" s="8">
        <v>143.63999999999999</v>
      </c>
      <c r="U515">
        <v>11032680</v>
      </c>
      <c r="V515" t="s">
        <v>5903</v>
      </c>
      <c r="W515" t="s">
        <v>5409</v>
      </c>
      <c r="X515" t="s">
        <v>5904</v>
      </c>
      <c r="Y515" t="s">
        <v>5411</v>
      </c>
      <c r="Z515" t="s">
        <v>5905</v>
      </c>
      <c r="AA515" t="s">
        <v>5413</v>
      </c>
      <c r="AB515" t="s">
        <v>5414</v>
      </c>
      <c r="AC515" t="s">
        <v>5414</v>
      </c>
      <c r="AD515" t="s">
        <v>5414</v>
      </c>
      <c r="AG515" t="s">
        <v>5427</v>
      </c>
      <c r="AI515" t="s">
        <v>5906</v>
      </c>
      <c r="AJ515" t="s">
        <v>5654</v>
      </c>
      <c r="AL515" t="s">
        <v>5418</v>
      </c>
      <c r="AN515" t="s">
        <v>5419</v>
      </c>
    </row>
    <row r="516" spans="1:40" x14ac:dyDescent="0.25">
      <c r="A516">
        <v>1088175337</v>
      </c>
      <c r="B516" t="s">
        <v>5399</v>
      </c>
      <c r="C516">
        <v>252406</v>
      </c>
      <c r="D516" t="s">
        <v>5400</v>
      </c>
      <c r="E516">
        <v>46225.65452546296</v>
      </c>
      <c r="F516" t="s">
        <v>5589</v>
      </c>
      <c r="G516" t="s">
        <v>3668</v>
      </c>
      <c r="H516" t="s">
        <v>5431</v>
      </c>
      <c r="I516" t="s">
        <v>5403</v>
      </c>
      <c r="J516">
        <v>2026</v>
      </c>
      <c r="K516" t="s">
        <v>5590</v>
      </c>
      <c r="L516" t="s">
        <v>5591</v>
      </c>
      <c r="M516" t="s">
        <v>5406</v>
      </c>
      <c r="N516" s="1" t="s">
        <v>4565</v>
      </c>
      <c r="O516">
        <v>38</v>
      </c>
      <c r="P516">
        <v>4.29</v>
      </c>
      <c r="Q516">
        <v>6885</v>
      </c>
      <c r="R516">
        <v>365</v>
      </c>
      <c r="S516">
        <v>9.61</v>
      </c>
      <c r="T516" s="8">
        <v>163.02000000000001</v>
      </c>
      <c r="U516">
        <v>11153887</v>
      </c>
      <c r="V516" t="s">
        <v>5490</v>
      </c>
      <c r="W516" t="s">
        <v>5409</v>
      </c>
      <c r="X516" t="s">
        <v>5491</v>
      </c>
      <c r="Y516" t="s">
        <v>5492</v>
      </c>
      <c r="Z516" t="s">
        <v>5426</v>
      </c>
      <c r="AA516" t="s">
        <v>5413</v>
      </c>
      <c r="AB516" t="s">
        <v>5414</v>
      </c>
      <c r="AC516" t="s">
        <v>5414</v>
      </c>
      <c r="AD516" t="s">
        <v>5414</v>
      </c>
      <c r="AG516" t="s">
        <v>5415</v>
      </c>
      <c r="AI516" t="s">
        <v>5460</v>
      </c>
      <c r="AJ516" t="s">
        <v>5890</v>
      </c>
      <c r="AL516" t="s">
        <v>5418</v>
      </c>
      <c r="AN516" t="s">
        <v>5419</v>
      </c>
    </row>
    <row r="517" spans="1:40" x14ac:dyDescent="0.25">
      <c r="A517">
        <v>1088191995</v>
      </c>
      <c r="B517" t="s">
        <v>5399</v>
      </c>
      <c r="C517">
        <v>252406</v>
      </c>
      <c r="D517" t="s">
        <v>5400</v>
      </c>
      <c r="E517">
        <v>46225.655092592591</v>
      </c>
      <c r="F517" t="s">
        <v>5519</v>
      </c>
      <c r="G517" t="s">
        <v>3668</v>
      </c>
      <c r="H517" t="s">
        <v>5467</v>
      </c>
      <c r="I517" t="s">
        <v>5403</v>
      </c>
      <c r="J517">
        <v>2027</v>
      </c>
      <c r="K517" t="s">
        <v>5512</v>
      </c>
      <c r="L517" t="s">
        <v>5513</v>
      </c>
      <c r="M517" t="s">
        <v>5406</v>
      </c>
      <c r="N517" s="1" t="s">
        <v>4565</v>
      </c>
      <c r="O517">
        <v>36.6</v>
      </c>
      <c r="P517">
        <v>4.25</v>
      </c>
      <c r="Q517">
        <v>13351</v>
      </c>
      <c r="R517">
        <v>136</v>
      </c>
      <c r="S517">
        <v>3.72</v>
      </c>
      <c r="T517" s="8">
        <v>155.55000000000001</v>
      </c>
      <c r="U517">
        <v>108758</v>
      </c>
      <c r="V517" t="s">
        <v>5470</v>
      </c>
      <c r="W517" t="s">
        <v>5409</v>
      </c>
      <c r="X517" t="s">
        <v>5471</v>
      </c>
      <c r="Y517" t="s">
        <v>5411</v>
      </c>
      <c r="Z517" t="s">
        <v>5472</v>
      </c>
      <c r="AA517" t="s">
        <v>5413</v>
      </c>
      <c r="AB517" t="s">
        <v>5414</v>
      </c>
      <c r="AC517" t="s">
        <v>5414</v>
      </c>
      <c r="AD517" t="s">
        <v>5414</v>
      </c>
      <c r="AG517" t="s">
        <v>5427</v>
      </c>
      <c r="AI517" t="s">
        <v>5473</v>
      </c>
      <c r="AJ517" t="s">
        <v>5523</v>
      </c>
      <c r="AL517" t="s">
        <v>5418</v>
      </c>
      <c r="AN517" t="s">
        <v>5419</v>
      </c>
    </row>
    <row r="518" spans="1:40" x14ac:dyDescent="0.25">
      <c r="A518">
        <v>1088205224</v>
      </c>
      <c r="B518" t="s">
        <v>5399</v>
      </c>
      <c r="C518">
        <v>252406</v>
      </c>
      <c r="D518" t="s">
        <v>5400</v>
      </c>
      <c r="E518">
        <v>46225.688206018516</v>
      </c>
      <c r="F518" t="s">
        <v>5505</v>
      </c>
      <c r="G518" t="s">
        <v>3668</v>
      </c>
      <c r="H518" t="s">
        <v>5506</v>
      </c>
      <c r="I518" t="s">
        <v>5403</v>
      </c>
      <c r="J518">
        <v>2026</v>
      </c>
      <c r="K518" t="s">
        <v>5507</v>
      </c>
      <c r="L518" t="s">
        <v>5508</v>
      </c>
      <c r="M518" t="s">
        <v>5406</v>
      </c>
      <c r="N518" s="1" t="s">
        <v>4565</v>
      </c>
      <c r="O518">
        <v>36.22</v>
      </c>
      <c r="P518">
        <v>4.2889999999999997</v>
      </c>
      <c r="Q518">
        <v>6983</v>
      </c>
      <c r="R518">
        <v>426</v>
      </c>
      <c r="S518">
        <v>11.76</v>
      </c>
      <c r="T518" s="8">
        <v>155.38</v>
      </c>
      <c r="U518">
        <v>11198252</v>
      </c>
      <c r="V518" t="s">
        <v>5424</v>
      </c>
      <c r="W518" t="s">
        <v>5409</v>
      </c>
      <c r="X518" t="s">
        <v>5425</v>
      </c>
      <c r="Y518" t="s">
        <v>5411</v>
      </c>
      <c r="Z518" t="s">
        <v>5426</v>
      </c>
      <c r="AA518" t="s">
        <v>5413</v>
      </c>
      <c r="AB518" t="s">
        <v>5414</v>
      </c>
      <c r="AC518" t="s">
        <v>5414</v>
      </c>
      <c r="AD518" t="s">
        <v>5414</v>
      </c>
      <c r="AG518" t="s">
        <v>5427</v>
      </c>
      <c r="AI518" t="s">
        <v>5428</v>
      </c>
      <c r="AJ518" t="s">
        <v>5509</v>
      </c>
      <c r="AL518" t="s">
        <v>5418</v>
      </c>
      <c r="AN518" t="s">
        <v>5419</v>
      </c>
    </row>
    <row r="519" spans="1:40" x14ac:dyDescent="0.25">
      <c r="A519">
        <v>1088188663</v>
      </c>
      <c r="B519" t="s">
        <v>5399</v>
      </c>
      <c r="C519">
        <v>252406</v>
      </c>
      <c r="D519" t="s">
        <v>5400</v>
      </c>
      <c r="E519">
        <v>46225.688344907408</v>
      </c>
      <c r="F519" t="s">
        <v>5647</v>
      </c>
      <c r="G519" t="s">
        <v>3668</v>
      </c>
      <c r="H519" t="s">
        <v>5568</v>
      </c>
      <c r="I519" t="s">
        <v>5403</v>
      </c>
      <c r="J519">
        <v>2025</v>
      </c>
      <c r="K519" t="s">
        <v>5648</v>
      </c>
      <c r="L519" t="s">
        <v>5649</v>
      </c>
      <c r="M519" t="s">
        <v>5406</v>
      </c>
      <c r="N519" s="1" t="s">
        <v>4565</v>
      </c>
      <c r="O519">
        <v>47.12</v>
      </c>
      <c r="P519">
        <v>3.82</v>
      </c>
      <c r="Q519">
        <v>17641</v>
      </c>
      <c r="R519">
        <v>321</v>
      </c>
      <c r="S519">
        <v>6.81</v>
      </c>
      <c r="T519" s="8">
        <v>180</v>
      </c>
      <c r="U519">
        <v>490156</v>
      </c>
      <c r="V519" t="s">
        <v>5578</v>
      </c>
      <c r="W519" t="s">
        <v>5409</v>
      </c>
      <c r="X519" t="s">
        <v>5579</v>
      </c>
      <c r="Y519" t="s">
        <v>5458</v>
      </c>
      <c r="Z519" t="s">
        <v>5412</v>
      </c>
      <c r="AA519" t="s">
        <v>5413</v>
      </c>
      <c r="AB519" t="s">
        <v>5414</v>
      </c>
      <c r="AC519" t="s">
        <v>5414</v>
      </c>
      <c r="AD519" t="s">
        <v>5414</v>
      </c>
      <c r="AG519" t="s">
        <v>5415</v>
      </c>
      <c r="AI519" t="s">
        <v>5580</v>
      </c>
      <c r="AJ519" t="s">
        <v>5650</v>
      </c>
      <c r="AL519" t="s">
        <v>5418</v>
      </c>
      <c r="AN519" t="s">
        <v>5419</v>
      </c>
    </row>
    <row r="520" spans="1:40" x14ac:dyDescent="0.25">
      <c r="A520">
        <v>1088208533</v>
      </c>
      <c r="B520" t="s">
        <v>5399</v>
      </c>
      <c r="C520">
        <v>252406</v>
      </c>
      <c r="D520" t="s">
        <v>5400</v>
      </c>
      <c r="E520">
        <v>46225.694965277777</v>
      </c>
      <c r="F520" t="s">
        <v>5462</v>
      </c>
      <c r="G520" t="s">
        <v>3668</v>
      </c>
      <c r="H520" t="s">
        <v>5402</v>
      </c>
      <c r="I520" t="s">
        <v>5403</v>
      </c>
      <c r="J520">
        <v>2026</v>
      </c>
      <c r="K520" t="s">
        <v>5604</v>
      </c>
      <c r="L520" t="s">
        <v>5605</v>
      </c>
      <c r="M520" t="s">
        <v>5406</v>
      </c>
      <c r="N520" s="1" t="s">
        <v>4565</v>
      </c>
      <c r="O520">
        <v>34.869999999999997</v>
      </c>
      <c r="P520">
        <v>4.2889999999999997</v>
      </c>
      <c r="Q520">
        <v>29215</v>
      </c>
      <c r="R520">
        <v>142</v>
      </c>
      <c r="S520">
        <v>4.07</v>
      </c>
      <c r="T520" s="8">
        <v>149.59</v>
      </c>
      <c r="U520">
        <v>609951</v>
      </c>
      <c r="V520" t="s">
        <v>5819</v>
      </c>
      <c r="W520" t="s">
        <v>5409</v>
      </c>
      <c r="X520" t="s">
        <v>5820</v>
      </c>
      <c r="Y520" t="s">
        <v>5458</v>
      </c>
      <c r="Z520" t="s">
        <v>5426</v>
      </c>
      <c r="AA520" t="s">
        <v>5413</v>
      </c>
      <c r="AB520" t="s">
        <v>5414</v>
      </c>
      <c r="AC520" t="s">
        <v>5414</v>
      </c>
      <c r="AD520" t="s">
        <v>5414</v>
      </c>
      <c r="AG520" t="s">
        <v>5427</v>
      </c>
      <c r="AI520" t="s">
        <v>5821</v>
      </c>
      <c r="AJ520" t="s">
        <v>5465</v>
      </c>
      <c r="AL520" t="s">
        <v>5418</v>
      </c>
      <c r="AN520" t="s">
        <v>5419</v>
      </c>
    </row>
    <row r="521" spans="1:40" x14ac:dyDescent="0.25">
      <c r="A521">
        <v>1088212131</v>
      </c>
      <c r="B521" t="s">
        <v>5399</v>
      </c>
      <c r="C521">
        <v>252406</v>
      </c>
      <c r="D521" t="s">
        <v>5400</v>
      </c>
      <c r="E521">
        <v>46225.747164351851</v>
      </c>
      <c r="F521" t="s">
        <v>5617</v>
      </c>
      <c r="G521" t="s">
        <v>3668</v>
      </c>
      <c r="H521" t="s">
        <v>5467</v>
      </c>
      <c r="I521" t="s">
        <v>5403</v>
      </c>
      <c r="J521">
        <v>2026</v>
      </c>
      <c r="K521" t="s">
        <v>5618</v>
      </c>
      <c r="L521" t="s">
        <v>5619</v>
      </c>
      <c r="M521" t="s">
        <v>5406</v>
      </c>
      <c r="N521" s="1" t="s">
        <v>4565</v>
      </c>
      <c r="O521">
        <v>35.299999999999997</v>
      </c>
      <c r="P521">
        <v>4.29</v>
      </c>
      <c r="Q521">
        <v>56959</v>
      </c>
      <c r="R521">
        <v>297</v>
      </c>
      <c r="S521">
        <v>8.41</v>
      </c>
      <c r="T521" s="8">
        <v>151.44</v>
      </c>
      <c r="U521">
        <v>491721</v>
      </c>
      <c r="V521" t="s">
        <v>5438</v>
      </c>
      <c r="W521" t="s">
        <v>5409</v>
      </c>
      <c r="X521" t="s">
        <v>5439</v>
      </c>
      <c r="Y521" t="s">
        <v>5440</v>
      </c>
      <c r="Z521" t="s">
        <v>5441</v>
      </c>
      <c r="AA521" t="s">
        <v>5413</v>
      </c>
      <c r="AB521" t="s">
        <v>5414</v>
      </c>
      <c r="AC521" t="s">
        <v>5414</v>
      </c>
      <c r="AD521" t="s">
        <v>5414</v>
      </c>
      <c r="AG521" t="s">
        <v>5415</v>
      </c>
      <c r="AI521" t="s">
        <v>5522</v>
      </c>
      <c r="AJ521" t="s">
        <v>5620</v>
      </c>
      <c r="AL521" t="s">
        <v>5418</v>
      </c>
      <c r="AN521" t="s">
        <v>5419</v>
      </c>
    </row>
    <row r="522" spans="1:40" x14ac:dyDescent="0.25">
      <c r="A522">
        <v>1088234857</v>
      </c>
      <c r="B522" t="s">
        <v>5399</v>
      </c>
      <c r="C522">
        <v>252406</v>
      </c>
      <c r="D522" t="s">
        <v>5400</v>
      </c>
      <c r="E522">
        <v>46225.79184027778</v>
      </c>
      <c r="F522" t="s">
        <v>5567</v>
      </c>
      <c r="G522" t="s">
        <v>3668</v>
      </c>
      <c r="H522" t="s">
        <v>5568</v>
      </c>
      <c r="I522" t="s">
        <v>5403</v>
      </c>
      <c r="J522">
        <v>2026</v>
      </c>
      <c r="K522" t="s">
        <v>5436</v>
      </c>
      <c r="L522" t="s">
        <v>5437</v>
      </c>
      <c r="M522" t="s">
        <v>5406</v>
      </c>
      <c r="N522" s="1" t="s">
        <v>4565</v>
      </c>
      <c r="O522">
        <v>35.51</v>
      </c>
      <c r="P522">
        <v>3.569</v>
      </c>
      <c r="Q522">
        <v>4854</v>
      </c>
      <c r="R522">
        <v>330</v>
      </c>
      <c r="S522">
        <v>9.2899999999999991</v>
      </c>
      <c r="T522" s="8">
        <v>126.77</v>
      </c>
      <c r="U522">
        <v>13081441</v>
      </c>
      <c r="V522" t="s">
        <v>5907</v>
      </c>
      <c r="W522" t="s">
        <v>5409</v>
      </c>
      <c r="X522" t="s">
        <v>5908</v>
      </c>
      <c r="Y522" t="s">
        <v>5458</v>
      </c>
      <c r="Z522" t="s">
        <v>5483</v>
      </c>
      <c r="AA522" t="s">
        <v>5413</v>
      </c>
      <c r="AB522" t="s">
        <v>5414</v>
      </c>
      <c r="AC522" t="s">
        <v>5414</v>
      </c>
      <c r="AD522" t="s">
        <v>5414</v>
      </c>
      <c r="AG522" t="s">
        <v>5427</v>
      </c>
      <c r="AI522" t="s">
        <v>5909</v>
      </c>
      <c r="AJ522" t="s">
        <v>5902</v>
      </c>
      <c r="AL522" t="s">
        <v>5418</v>
      </c>
      <c r="AN522" t="s">
        <v>5419</v>
      </c>
    </row>
    <row r="523" spans="1:40" x14ac:dyDescent="0.25">
      <c r="A523">
        <v>1088238627</v>
      </c>
      <c r="B523" t="s">
        <v>5399</v>
      </c>
      <c r="C523">
        <v>252406</v>
      </c>
      <c r="D523" t="s">
        <v>5400</v>
      </c>
      <c r="E523">
        <v>46225.813888888886</v>
      </c>
      <c r="F523" t="s">
        <v>5530</v>
      </c>
      <c r="G523" t="s">
        <v>3668</v>
      </c>
      <c r="H523" t="s">
        <v>5431</v>
      </c>
      <c r="I523" t="s">
        <v>5403</v>
      </c>
      <c r="J523">
        <v>2025</v>
      </c>
      <c r="K523" t="s">
        <v>5531</v>
      </c>
      <c r="L523" t="s">
        <v>5532</v>
      </c>
      <c r="M523" t="s">
        <v>5406</v>
      </c>
      <c r="N523" s="1" t="s">
        <v>4565</v>
      </c>
      <c r="O523">
        <v>33.72</v>
      </c>
      <c r="P523">
        <v>4.5</v>
      </c>
      <c r="Q523">
        <v>109663</v>
      </c>
      <c r="R523">
        <v>347</v>
      </c>
      <c r="S523">
        <v>10.29</v>
      </c>
      <c r="T523" s="8">
        <v>151.74</v>
      </c>
      <c r="U523">
        <v>11032621</v>
      </c>
      <c r="V523" t="s">
        <v>5569</v>
      </c>
      <c r="W523" t="s">
        <v>5409</v>
      </c>
      <c r="X523" t="s">
        <v>5570</v>
      </c>
      <c r="Y523" t="s">
        <v>5458</v>
      </c>
      <c r="Z523" t="s">
        <v>5571</v>
      </c>
      <c r="AA523" t="s">
        <v>5413</v>
      </c>
      <c r="AB523" t="s">
        <v>5414</v>
      </c>
      <c r="AC523" t="s">
        <v>5414</v>
      </c>
      <c r="AD523" t="s">
        <v>5414</v>
      </c>
      <c r="AG523" t="s">
        <v>5427</v>
      </c>
      <c r="AI523" t="s">
        <v>5572</v>
      </c>
      <c r="AJ523" t="s">
        <v>5533</v>
      </c>
      <c r="AL523" t="s">
        <v>5418</v>
      </c>
      <c r="AN523" t="s">
        <v>5419</v>
      </c>
    </row>
    <row r="524" spans="1:40" x14ac:dyDescent="0.25">
      <c r="A524">
        <v>1088242922</v>
      </c>
      <c r="B524" t="s">
        <v>5399</v>
      </c>
      <c r="C524">
        <v>252406</v>
      </c>
      <c r="D524" t="s">
        <v>5400</v>
      </c>
      <c r="E524">
        <v>46225.83803240741</v>
      </c>
      <c r="F524" t="s">
        <v>5477</v>
      </c>
      <c r="G524" t="s">
        <v>3668</v>
      </c>
      <c r="H524" t="s">
        <v>5478</v>
      </c>
      <c r="I524" t="s">
        <v>5403</v>
      </c>
      <c r="J524">
        <v>2015</v>
      </c>
      <c r="K524" t="s">
        <v>5479</v>
      </c>
      <c r="L524" t="s">
        <v>5480</v>
      </c>
      <c r="M524" t="s">
        <v>5406</v>
      </c>
      <c r="N524" s="1" t="s">
        <v>4565</v>
      </c>
      <c r="O524">
        <v>36.78</v>
      </c>
      <c r="P524">
        <v>3.589</v>
      </c>
      <c r="Q524">
        <v>251962</v>
      </c>
      <c r="R524">
        <v>279</v>
      </c>
      <c r="S524">
        <v>7.59</v>
      </c>
      <c r="T524" s="8">
        <v>132.04</v>
      </c>
      <c r="U524">
        <v>12815000</v>
      </c>
      <c r="V524" t="s">
        <v>5448</v>
      </c>
      <c r="W524" t="s">
        <v>5409</v>
      </c>
      <c r="X524" t="s">
        <v>5449</v>
      </c>
      <c r="Y524" t="s">
        <v>5450</v>
      </c>
      <c r="Z524" t="s">
        <v>5426</v>
      </c>
      <c r="AA524" t="s">
        <v>5413</v>
      </c>
      <c r="AB524" t="s">
        <v>5414</v>
      </c>
      <c r="AC524" t="s">
        <v>5414</v>
      </c>
      <c r="AD524" t="s">
        <v>5414</v>
      </c>
      <c r="AG524" t="s">
        <v>5427</v>
      </c>
      <c r="AI524" t="s">
        <v>5451</v>
      </c>
      <c r="AJ524" t="s">
        <v>5485</v>
      </c>
      <c r="AL524" t="s">
        <v>5418</v>
      </c>
      <c r="AN524" t="s">
        <v>5419</v>
      </c>
    </row>
    <row r="525" spans="1:40" x14ac:dyDescent="0.25">
      <c r="A525">
        <v>1088243878</v>
      </c>
      <c r="B525" t="s">
        <v>5399</v>
      </c>
      <c r="C525">
        <v>252406</v>
      </c>
      <c r="D525" t="s">
        <v>5400</v>
      </c>
      <c r="E525">
        <v>46225.889074074075</v>
      </c>
      <c r="F525" t="s">
        <v>5631</v>
      </c>
      <c r="G525" t="s">
        <v>3668</v>
      </c>
      <c r="H525" t="s">
        <v>5511</v>
      </c>
      <c r="I525" t="s">
        <v>5403</v>
      </c>
      <c r="J525">
        <v>2025</v>
      </c>
      <c r="K525" t="s">
        <v>5910</v>
      </c>
      <c r="L525" t="s">
        <v>5911</v>
      </c>
      <c r="M525" t="s">
        <v>5406</v>
      </c>
      <c r="N525" s="1" t="s">
        <v>4565</v>
      </c>
      <c r="O525">
        <v>37.5</v>
      </c>
      <c r="P525">
        <v>3.82</v>
      </c>
      <c r="Q525">
        <v>54705</v>
      </c>
      <c r="R525">
        <v>228</v>
      </c>
      <c r="S525">
        <v>6.08</v>
      </c>
      <c r="T525" s="8">
        <v>143.25</v>
      </c>
      <c r="U525">
        <v>490156</v>
      </c>
      <c r="V525" t="s">
        <v>5578</v>
      </c>
      <c r="W525" t="s">
        <v>5409</v>
      </c>
      <c r="X525" t="s">
        <v>5579</v>
      </c>
      <c r="Y525" t="s">
        <v>5458</v>
      </c>
      <c r="Z525" t="s">
        <v>5412</v>
      </c>
      <c r="AA525" t="s">
        <v>5413</v>
      </c>
      <c r="AB525" t="s">
        <v>5414</v>
      </c>
      <c r="AC525" t="s">
        <v>5414</v>
      </c>
      <c r="AD525" t="s">
        <v>5414</v>
      </c>
      <c r="AG525" t="s">
        <v>5415</v>
      </c>
      <c r="AI525" t="s">
        <v>5580</v>
      </c>
      <c r="AJ525" t="s">
        <v>5634</v>
      </c>
      <c r="AL525" t="s">
        <v>5418</v>
      </c>
      <c r="AN525" t="s">
        <v>5612</v>
      </c>
    </row>
    <row r="526" spans="1:40" x14ac:dyDescent="0.25">
      <c r="A526">
        <v>1088264179</v>
      </c>
      <c r="B526" t="s">
        <v>5399</v>
      </c>
      <c r="C526">
        <v>252406</v>
      </c>
      <c r="D526" t="s">
        <v>5400</v>
      </c>
      <c r="E526">
        <v>46226.249918981484</v>
      </c>
      <c r="F526" t="s">
        <v>5743</v>
      </c>
      <c r="G526" t="s">
        <v>3668</v>
      </c>
      <c r="H526" t="s">
        <v>5539</v>
      </c>
      <c r="I526" t="s">
        <v>5403</v>
      </c>
      <c r="J526">
        <v>2026</v>
      </c>
      <c r="K526" t="s">
        <v>5753</v>
      </c>
      <c r="L526" t="s">
        <v>5754</v>
      </c>
      <c r="M526" t="s">
        <v>5406</v>
      </c>
      <c r="N526" s="1" t="s">
        <v>4565</v>
      </c>
      <c r="O526">
        <v>34.979999999999997</v>
      </c>
      <c r="P526">
        <v>4.2889999999999997</v>
      </c>
      <c r="Q526">
        <v>19043</v>
      </c>
      <c r="R526">
        <v>253</v>
      </c>
      <c r="S526">
        <v>7.23</v>
      </c>
      <c r="T526" s="8">
        <v>150.06</v>
      </c>
      <c r="U526">
        <v>11198252</v>
      </c>
      <c r="V526" t="s">
        <v>5424</v>
      </c>
      <c r="W526" t="s">
        <v>5409</v>
      </c>
      <c r="X526" t="s">
        <v>5425</v>
      </c>
      <c r="Y526" t="s">
        <v>5411</v>
      </c>
      <c r="Z526" t="s">
        <v>5426</v>
      </c>
      <c r="AA526" t="s">
        <v>5413</v>
      </c>
      <c r="AB526" t="s">
        <v>5414</v>
      </c>
      <c r="AC526" t="s">
        <v>5414</v>
      </c>
      <c r="AD526" t="s">
        <v>5414</v>
      </c>
      <c r="AG526" t="s">
        <v>5427</v>
      </c>
      <c r="AI526" t="s">
        <v>5428</v>
      </c>
      <c r="AJ526" t="s">
        <v>5746</v>
      </c>
      <c r="AL526" t="s">
        <v>5418</v>
      </c>
      <c r="AN526" t="s">
        <v>5419</v>
      </c>
    </row>
    <row r="527" spans="1:40" x14ac:dyDescent="0.25">
      <c r="A527">
        <v>1088273544</v>
      </c>
      <c r="B527" t="s">
        <v>5399</v>
      </c>
      <c r="C527">
        <v>252406</v>
      </c>
      <c r="D527" t="s">
        <v>5400</v>
      </c>
      <c r="E527">
        <v>46226.277708333335</v>
      </c>
      <c r="F527" t="s">
        <v>5475</v>
      </c>
      <c r="G527" t="s">
        <v>3668</v>
      </c>
      <c r="H527" t="s">
        <v>5467</v>
      </c>
      <c r="I527" t="s">
        <v>5403</v>
      </c>
      <c r="J527">
        <v>2026</v>
      </c>
      <c r="K527" t="s">
        <v>5837</v>
      </c>
      <c r="L527" t="s">
        <v>5838</v>
      </c>
      <c r="M527" t="s">
        <v>5406</v>
      </c>
      <c r="N527" s="1" t="s">
        <v>4565</v>
      </c>
      <c r="O527">
        <v>36.82</v>
      </c>
      <c r="P527">
        <v>3.589</v>
      </c>
      <c r="Q527">
        <v>37224</v>
      </c>
      <c r="R527">
        <v>215</v>
      </c>
      <c r="S527">
        <v>5.84</v>
      </c>
      <c r="T527" s="8">
        <v>132.18</v>
      </c>
      <c r="U527">
        <v>12815000</v>
      </c>
      <c r="V527" t="s">
        <v>5448</v>
      </c>
      <c r="W527" t="s">
        <v>5409</v>
      </c>
      <c r="X527" t="s">
        <v>5449</v>
      </c>
      <c r="Y527" t="s">
        <v>5450</v>
      </c>
      <c r="Z527" t="s">
        <v>5426</v>
      </c>
      <c r="AA527" t="s">
        <v>5413</v>
      </c>
      <c r="AB527" t="s">
        <v>5414</v>
      </c>
      <c r="AC527" t="s">
        <v>5414</v>
      </c>
      <c r="AD527" t="s">
        <v>5414</v>
      </c>
      <c r="AG527" t="s">
        <v>5427</v>
      </c>
      <c r="AI527" t="s">
        <v>5451</v>
      </c>
      <c r="AJ527" t="s">
        <v>5697</v>
      </c>
      <c r="AL527" t="s">
        <v>5418</v>
      </c>
      <c r="AN527" t="s">
        <v>5419</v>
      </c>
    </row>
    <row r="528" spans="1:40" x14ac:dyDescent="0.25">
      <c r="A528">
        <v>1088303895</v>
      </c>
      <c r="B528" t="s">
        <v>5399</v>
      </c>
      <c r="C528">
        <v>252406</v>
      </c>
      <c r="D528" t="s">
        <v>5400</v>
      </c>
      <c r="E528">
        <v>46226.370879629627</v>
      </c>
      <c r="F528" t="s">
        <v>5655</v>
      </c>
      <c r="G528" t="s">
        <v>3668</v>
      </c>
      <c r="H528" t="s">
        <v>5506</v>
      </c>
      <c r="I528" t="s">
        <v>5403</v>
      </c>
      <c r="J528">
        <v>2026</v>
      </c>
      <c r="K528" t="s">
        <v>5712</v>
      </c>
      <c r="L528" t="s">
        <v>5713</v>
      </c>
      <c r="M528" t="s">
        <v>5406</v>
      </c>
      <c r="N528" s="1" t="s">
        <v>4565</v>
      </c>
      <c r="O528">
        <v>26.24</v>
      </c>
      <c r="P528">
        <v>4.29</v>
      </c>
      <c r="Q528">
        <v>5945</v>
      </c>
      <c r="R528">
        <v>192</v>
      </c>
      <c r="S528">
        <v>7.32</v>
      </c>
      <c r="T528" s="8">
        <v>112.57</v>
      </c>
      <c r="U528">
        <v>11153887</v>
      </c>
      <c r="V528" t="s">
        <v>5490</v>
      </c>
      <c r="W528" t="s">
        <v>5409</v>
      </c>
      <c r="X528" t="s">
        <v>5491</v>
      </c>
      <c r="Y528" t="s">
        <v>5492</v>
      </c>
      <c r="Z528" t="s">
        <v>5426</v>
      </c>
      <c r="AA528" t="s">
        <v>5413</v>
      </c>
      <c r="AB528" t="s">
        <v>5414</v>
      </c>
      <c r="AC528" t="s">
        <v>5414</v>
      </c>
      <c r="AD528" t="s">
        <v>5414</v>
      </c>
      <c r="AG528" t="s">
        <v>5415</v>
      </c>
      <c r="AI528" t="s">
        <v>5460</v>
      </c>
      <c r="AJ528" t="s">
        <v>5658</v>
      </c>
      <c r="AL528" t="s">
        <v>5418</v>
      </c>
      <c r="AN528" t="s">
        <v>5419</v>
      </c>
    </row>
    <row r="529" spans="1:40" x14ac:dyDescent="0.25">
      <c r="A529">
        <v>1088317937</v>
      </c>
      <c r="B529" t="s">
        <v>5399</v>
      </c>
      <c r="C529">
        <v>252406</v>
      </c>
      <c r="D529" t="s">
        <v>5400</v>
      </c>
      <c r="E529">
        <v>46226.399236111109</v>
      </c>
      <c r="F529" t="s">
        <v>5817</v>
      </c>
      <c r="G529" t="s">
        <v>3668</v>
      </c>
      <c r="H529" t="s">
        <v>5421</v>
      </c>
      <c r="I529" t="s">
        <v>5403</v>
      </c>
      <c r="J529">
        <v>2027</v>
      </c>
      <c r="K529" t="s">
        <v>5614</v>
      </c>
      <c r="L529" t="s">
        <v>5615</v>
      </c>
      <c r="M529" t="s">
        <v>5406</v>
      </c>
      <c r="N529" s="1" t="s">
        <v>4565</v>
      </c>
      <c r="O529">
        <v>34.590000000000003</v>
      </c>
      <c r="P529">
        <v>4.1890000000000001</v>
      </c>
      <c r="Q529">
        <v>2138</v>
      </c>
      <c r="R529">
        <v>213</v>
      </c>
      <c r="S529">
        <v>6.16</v>
      </c>
      <c r="T529" s="8">
        <v>144.93</v>
      </c>
      <c r="U529">
        <v>11040306</v>
      </c>
      <c r="V529" t="s">
        <v>5408</v>
      </c>
      <c r="W529" t="s">
        <v>5409</v>
      </c>
      <c r="X529" t="s">
        <v>5410</v>
      </c>
      <c r="Y529" t="s">
        <v>5411</v>
      </c>
      <c r="Z529" t="s">
        <v>5412</v>
      </c>
      <c r="AA529" t="s">
        <v>5413</v>
      </c>
      <c r="AB529" t="s">
        <v>5414</v>
      </c>
      <c r="AC529" t="s">
        <v>5414</v>
      </c>
      <c r="AD529" t="s">
        <v>5414</v>
      </c>
      <c r="AG529" t="s">
        <v>5415</v>
      </c>
      <c r="AI529" t="s">
        <v>5460</v>
      </c>
      <c r="AJ529" t="s">
        <v>5818</v>
      </c>
      <c r="AL529" t="s">
        <v>5418</v>
      </c>
      <c r="AN529" t="s">
        <v>5419</v>
      </c>
    </row>
    <row r="530" spans="1:40" x14ac:dyDescent="0.25">
      <c r="A530">
        <v>1088354941</v>
      </c>
      <c r="B530" t="s">
        <v>5399</v>
      </c>
      <c r="C530">
        <v>252406</v>
      </c>
      <c r="D530" t="s">
        <v>5400</v>
      </c>
      <c r="E530">
        <v>46226.455543981479</v>
      </c>
      <c r="F530" t="s">
        <v>5466</v>
      </c>
      <c r="G530" t="s">
        <v>3668</v>
      </c>
      <c r="H530" t="s">
        <v>5467</v>
      </c>
      <c r="I530" t="s">
        <v>5403</v>
      </c>
      <c r="J530">
        <v>2025</v>
      </c>
      <c r="K530" t="s">
        <v>5468</v>
      </c>
      <c r="L530" t="s">
        <v>5469</v>
      </c>
      <c r="M530" t="s">
        <v>5406</v>
      </c>
      <c r="N530" s="1" t="s">
        <v>4565</v>
      </c>
      <c r="O530">
        <v>46.8</v>
      </c>
      <c r="P530">
        <v>3.589</v>
      </c>
      <c r="Q530">
        <v>65394</v>
      </c>
      <c r="R530">
        <v>204</v>
      </c>
      <c r="S530">
        <v>4.3600000000000003</v>
      </c>
      <c r="T530" s="8">
        <v>168.01</v>
      </c>
      <c r="U530">
        <v>12815000</v>
      </c>
      <c r="V530" t="s">
        <v>5448</v>
      </c>
      <c r="W530" t="s">
        <v>5409</v>
      </c>
      <c r="X530" t="s">
        <v>5449</v>
      </c>
      <c r="Y530" t="s">
        <v>5450</v>
      </c>
      <c r="Z530" t="s">
        <v>5426</v>
      </c>
      <c r="AA530" t="s">
        <v>5413</v>
      </c>
      <c r="AB530" t="s">
        <v>5414</v>
      </c>
      <c r="AC530" t="s">
        <v>5414</v>
      </c>
      <c r="AD530" t="s">
        <v>5414</v>
      </c>
      <c r="AG530" t="s">
        <v>5427</v>
      </c>
      <c r="AI530" t="s">
        <v>5451</v>
      </c>
      <c r="AJ530" t="s">
        <v>5474</v>
      </c>
      <c r="AL530" t="s">
        <v>5418</v>
      </c>
      <c r="AN530" t="s">
        <v>5419</v>
      </c>
    </row>
    <row r="531" spans="1:40" x14ac:dyDescent="0.25">
      <c r="A531">
        <v>1088358832</v>
      </c>
      <c r="B531" t="s">
        <v>5399</v>
      </c>
      <c r="C531">
        <v>252406</v>
      </c>
      <c r="D531" t="s">
        <v>5400</v>
      </c>
      <c r="E531">
        <v>46226.468263888892</v>
      </c>
      <c r="F531" t="s">
        <v>5430</v>
      </c>
      <c r="G531" t="s">
        <v>3668</v>
      </c>
      <c r="H531" t="s">
        <v>5431</v>
      </c>
      <c r="I531" t="s">
        <v>5403</v>
      </c>
      <c r="J531">
        <v>2025</v>
      </c>
      <c r="K531" t="s">
        <v>5432</v>
      </c>
      <c r="L531" t="s">
        <v>5433</v>
      </c>
      <c r="M531" t="s">
        <v>5406</v>
      </c>
      <c r="N531" s="1" t="s">
        <v>4565</v>
      </c>
      <c r="O531">
        <v>40.520000000000003</v>
      </c>
      <c r="P531">
        <v>4.2889999999999997</v>
      </c>
      <c r="Q531">
        <v>64714</v>
      </c>
      <c r="R531">
        <v>327</v>
      </c>
      <c r="S531">
        <v>8.07</v>
      </c>
      <c r="T531" s="8">
        <v>173.83</v>
      </c>
      <c r="U531">
        <v>11198252</v>
      </c>
      <c r="V531" t="s">
        <v>5424</v>
      </c>
      <c r="W531" t="s">
        <v>5409</v>
      </c>
      <c r="X531" t="s">
        <v>5425</v>
      </c>
      <c r="Y531" t="s">
        <v>5411</v>
      </c>
      <c r="Z531" t="s">
        <v>5426</v>
      </c>
      <c r="AA531" t="s">
        <v>5413</v>
      </c>
      <c r="AB531" t="s">
        <v>5414</v>
      </c>
      <c r="AC531" t="s">
        <v>5414</v>
      </c>
      <c r="AD531" t="s">
        <v>5414</v>
      </c>
      <c r="AG531" t="s">
        <v>5427</v>
      </c>
      <c r="AI531" t="s">
        <v>5428</v>
      </c>
      <c r="AJ531" t="s">
        <v>5434</v>
      </c>
      <c r="AL531" t="s">
        <v>5418</v>
      </c>
      <c r="AN531" t="s">
        <v>5419</v>
      </c>
    </row>
    <row r="532" spans="1:40" x14ac:dyDescent="0.25">
      <c r="A532">
        <v>1088349397</v>
      </c>
      <c r="B532" t="s">
        <v>5399</v>
      </c>
      <c r="C532">
        <v>252406</v>
      </c>
      <c r="D532" t="s">
        <v>5400</v>
      </c>
      <c r="E532">
        <v>46226.480868055558</v>
      </c>
      <c r="F532" t="s">
        <v>5420</v>
      </c>
      <c r="G532" t="s">
        <v>3668</v>
      </c>
      <c r="H532" t="s">
        <v>5421</v>
      </c>
      <c r="I532" t="s">
        <v>5403</v>
      </c>
      <c r="J532">
        <v>2025</v>
      </c>
      <c r="K532" t="s">
        <v>5422</v>
      </c>
      <c r="L532" t="s">
        <v>5423</v>
      </c>
      <c r="M532" t="s">
        <v>5406</v>
      </c>
      <c r="N532" s="1" t="s">
        <v>4565</v>
      </c>
      <c r="O532">
        <v>32.729999999999997</v>
      </c>
      <c r="P532">
        <v>3.82</v>
      </c>
      <c r="Q532">
        <v>72420</v>
      </c>
      <c r="R532">
        <v>274</v>
      </c>
      <c r="S532">
        <v>8.3699999999999992</v>
      </c>
      <c r="T532" s="8">
        <v>125.03</v>
      </c>
      <c r="U532">
        <v>490156</v>
      </c>
      <c r="V532" t="s">
        <v>5578</v>
      </c>
      <c r="W532" t="s">
        <v>5409</v>
      </c>
      <c r="X532" t="s">
        <v>5579</v>
      </c>
      <c r="Y532" t="s">
        <v>5458</v>
      </c>
      <c r="Z532" t="s">
        <v>5412</v>
      </c>
      <c r="AA532" t="s">
        <v>5413</v>
      </c>
      <c r="AB532" t="s">
        <v>5414</v>
      </c>
      <c r="AC532" t="s">
        <v>5414</v>
      </c>
      <c r="AD532" t="s">
        <v>5414</v>
      </c>
      <c r="AG532" t="s">
        <v>5415</v>
      </c>
      <c r="AI532" t="s">
        <v>5580</v>
      </c>
      <c r="AJ532" t="s">
        <v>5429</v>
      </c>
      <c r="AL532" t="s">
        <v>5418</v>
      </c>
      <c r="AN532" t="s">
        <v>5419</v>
      </c>
    </row>
    <row r="533" spans="1:40" x14ac:dyDescent="0.25">
      <c r="A533">
        <v>1088377088</v>
      </c>
      <c r="B533" t="s">
        <v>5399</v>
      </c>
      <c r="C533">
        <v>252406</v>
      </c>
      <c r="D533" t="s">
        <v>5400</v>
      </c>
      <c r="E533">
        <v>46226.526041666664</v>
      </c>
      <c r="F533" t="s">
        <v>5401</v>
      </c>
      <c r="G533" t="s">
        <v>3668</v>
      </c>
      <c r="H533" t="s">
        <v>5402</v>
      </c>
      <c r="I533" t="s">
        <v>5403</v>
      </c>
      <c r="J533">
        <v>2026</v>
      </c>
      <c r="K533" t="s">
        <v>5404</v>
      </c>
      <c r="L533" t="s">
        <v>5405</v>
      </c>
      <c r="M533" t="s">
        <v>5406</v>
      </c>
      <c r="N533" s="1" t="s">
        <v>4565</v>
      </c>
      <c r="O533">
        <v>33.75</v>
      </c>
      <c r="P533">
        <v>4.29</v>
      </c>
      <c r="Q533">
        <v>36692</v>
      </c>
      <c r="R533">
        <v>255</v>
      </c>
      <c r="S533">
        <v>7.56</v>
      </c>
      <c r="T533" s="8">
        <v>144.79</v>
      </c>
      <c r="U533">
        <v>11198252</v>
      </c>
      <c r="V533" t="s">
        <v>5424</v>
      </c>
      <c r="W533" t="s">
        <v>5409</v>
      </c>
      <c r="X533" t="s">
        <v>5425</v>
      </c>
      <c r="Y533" t="s">
        <v>5411</v>
      </c>
      <c r="Z533" t="s">
        <v>5426</v>
      </c>
      <c r="AA533" t="s">
        <v>5413</v>
      </c>
      <c r="AB533" t="s">
        <v>5414</v>
      </c>
      <c r="AC533" t="s">
        <v>5414</v>
      </c>
      <c r="AD533" t="s">
        <v>5414</v>
      </c>
      <c r="AG533" t="s">
        <v>5427</v>
      </c>
      <c r="AI533" t="s">
        <v>5428</v>
      </c>
      <c r="AJ533" t="s">
        <v>5417</v>
      </c>
      <c r="AL533" t="s">
        <v>5418</v>
      </c>
      <c r="AN533" t="s">
        <v>5419</v>
      </c>
    </row>
    <row r="534" spans="1:40" x14ac:dyDescent="0.25">
      <c r="A534">
        <v>1088367068</v>
      </c>
      <c r="B534" t="s">
        <v>5399</v>
      </c>
      <c r="C534">
        <v>252406</v>
      </c>
      <c r="D534" t="s">
        <v>5400</v>
      </c>
      <c r="E534">
        <v>46226.53193287037</v>
      </c>
      <c r="F534" t="s">
        <v>5689</v>
      </c>
      <c r="G534" t="s">
        <v>3668</v>
      </c>
      <c r="H534" t="s">
        <v>5511</v>
      </c>
      <c r="I534" t="s">
        <v>5403</v>
      </c>
      <c r="J534">
        <v>2026</v>
      </c>
      <c r="K534" t="s">
        <v>5912</v>
      </c>
      <c r="L534" t="s">
        <v>5913</v>
      </c>
      <c r="M534" t="s">
        <v>5406</v>
      </c>
      <c r="N534" s="1" t="s">
        <v>4565</v>
      </c>
      <c r="O534">
        <v>35.340000000000003</v>
      </c>
      <c r="P534">
        <v>3.82</v>
      </c>
      <c r="Q534">
        <v>10877</v>
      </c>
      <c r="R534">
        <v>360</v>
      </c>
      <c r="S534">
        <v>10.19</v>
      </c>
      <c r="T534" s="8">
        <v>135</v>
      </c>
      <c r="U534">
        <v>490156</v>
      </c>
      <c r="V534" t="s">
        <v>5578</v>
      </c>
      <c r="W534" t="s">
        <v>5409</v>
      </c>
      <c r="X534" t="s">
        <v>5579</v>
      </c>
      <c r="Y534" t="s">
        <v>5458</v>
      </c>
      <c r="Z534" t="s">
        <v>5412</v>
      </c>
      <c r="AA534" t="s">
        <v>5413</v>
      </c>
      <c r="AB534" t="s">
        <v>5414</v>
      </c>
      <c r="AC534" t="s">
        <v>5414</v>
      </c>
      <c r="AD534" t="s">
        <v>5414</v>
      </c>
      <c r="AG534" t="s">
        <v>5415</v>
      </c>
      <c r="AI534" t="s">
        <v>5580</v>
      </c>
      <c r="AJ534" t="s">
        <v>5692</v>
      </c>
      <c r="AL534" t="s">
        <v>5418</v>
      </c>
      <c r="AN534" t="s">
        <v>5419</v>
      </c>
    </row>
    <row r="535" spans="1:40" x14ac:dyDescent="0.25">
      <c r="A535">
        <v>1088370734</v>
      </c>
      <c r="B535" t="s">
        <v>5399</v>
      </c>
      <c r="C535">
        <v>252406</v>
      </c>
      <c r="D535" t="s">
        <v>5400</v>
      </c>
      <c r="E535">
        <v>46226.548148148147</v>
      </c>
      <c r="F535" t="s">
        <v>5593</v>
      </c>
      <c r="G535" t="s">
        <v>3668</v>
      </c>
      <c r="H535" t="s">
        <v>5431</v>
      </c>
      <c r="I535" t="s">
        <v>5593</v>
      </c>
      <c r="J535">
        <v>2025</v>
      </c>
      <c r="K535" t="s">
        <v>5586</v>
      </c>
      <c r="L535" t="s">
        <v>5587</v>
      </c>
      <c r="M535" t="s">
        <v>5406</v>
      </c>
      <c r="N535" s="1" t="s">
        <v>4565</v>
      </c>
      <c r="O535">
        <v>29.4</v>
      </c>
      <c r="P535">
        <v>4.29</v>
      </c>
      <c r="Q535">
        <v>54941</v>
      </c>
      <c r="R535">
        <v>270</v>
      </c>
      <c r="S535">
        <v>9.18</v>
      </c>
      <c r="T535" s="8">
        <v>126.13</v>
      </c>
      <c r="U535">
        <v>491721</v>
      </c>
      <c r="V535" t="s">
        <v>5438</v>
      </c>
      <c r="W535" t="s">
        <v>5409</v>
      </c>
      <c r="X535" t="s">
        <v>5439</v>
      </c>
      <c r="Y535" t="s">
        <v>5440</v>
      </c>
      <c r="Z535" t="s">
        <v>5441</v>
      </c>
      <c r="AA535" t="s">
        <v>5413</v>
      </c>
      <c r="AB535" t="s">
        <v>5414</v>
      </c>
      <c r="AC535" t="s">
        <v>5414</v>
      </c>
      <c r="AD535" t="s">
        <v>5414</v>
      </c>
      <c r="AG535" t="s">
        <v>5415</v>
      </c>
      <c r="AI535" t="s">
        <v>5460</v>
      </c>
      <c r="AJ535" t="s">
        <v>5594</v>
      </c>
      <c r="AK535" t="s">
        <v>5528</v>
      </c>
      <c r="AL535" t="s">
        <v>5418</v>
      </c>
      <c r="AN535" t="s">
        <v>5595</v>
      </c>
    </row>
    <row r="536" spans="1:40" x14ac:dyDescent="0.25">
      <c r="A536">
        <v>1088377493</v>
      </c>
      <c r="B536" t="s">
        <v>5399</v>
      </c>
      <c r="C536">
        <v>252406</v>
      </c>
      <c r="D536" t="s">
        <v>5400</v>
      </c>
      <c r="E536">
        <v>46226.569409722222</v>
      </c>
      <c r="F536" t="s">
        <v>5647</v>
      </c>
      <c r="G536" t="s">
        <v>3668</v>
      </c>
      <c r="H536" t="s">
        <v>5568</v>
      </c>
      <c r="I536" t="s">
        <v>5403</v>
      </c>
      <c r="J536">
        <v>2025</v>
      </c>
      <c r="K536" t="s">
        <v>5648</v>
      </c>
      <c r="L536" t="s">
        <v>5649</v>
      </c>
      <c r="M536" t="s">
        <v>5406</v>
      </c>
      <c r="N536" s="1" t="s">
        <v>4565</v>
      </c>
      <c r="O536">
        <v>30.43</v>
      </c>
      <c r="P536">
        <v>4.2889999999999997</v>
      </c>
      <c r="Q536">
        <v>17953</v>
      </c>
      <c r="R536">
        <v>312</v>
      </c>
      <c r="S536">
        <v>10.25</v>
      </c>
      <c r="T536" s="8">
        <v>130.54</v>
      </c>
      <c r="U536">
        <v>491721</v>
      </c>
      <c r="V536" t="s">
        <v>5438</v>
      </c>
      <c r="W536" t="s">
        <v>5409</v>
      </c>
      <c r="X536" t="s">
        <v>5439</v>
      </c>
      <c r="Y536" t="s">
        <v>5440</v>
      </c>
      <c r="Z536" t="s">
        <v>5441</v>
      </c>
      <c r="AA536" t="s">
        <v>5413</v>
      </c>
      <c r="AB536" t="s">
        <v>5414</v>
      </c>
      <c r="AC536" t="s">
        <v>5414</v>
      </c>
      <c r="AD536" t="s">
        <v>5414</v>
      </c>
      <c r="AG536" t="s">
        <v>5415</v>
      </c>
      <c r="AI536" t="s">
        <v>5460</v>
      </c>
      <c r="AJ536" t="s">
        <v>5650</v>
      </c>
      <c r="AL536" t="s">
        <v>5418</v>
      </c>
      <c r="AN536" t="s">
        <v>5419</v>
      </c>
    </row>
    <row r="537" spans="1:40" x14ac:dyDescent="0.25">
      <c r="A537">
        <v>1088378301</v>
      </c>
      <c r="B537" t="s">
        <v>5399</v>
      </c>
      <c r="C537">
        <v>252406</v>
      </c>
      <c r="D537" t="s">
        <v>5400</v>
      </c>
      <c r="E537">
        <v>46226.572245370371</v>
      </c>
      <c r="F537" t="s">
        <v>5847</v>
      </c>
      <c r="G537" t="s">
        <v>3668</v>
      </c>
      <c r="H537" t="s">
        <v>5421</v>
      </c>
      <c r="I537" t="s">
        <v>5403</v>
      </c>
      <c r="J537">
        <v>2027</v>
      </c>
      <c r="K537" t="s">
        <v>5694</v>
      </c>
      <c r="L537" t="s">
        <v>5695</v>
      </c>
      <c r="M537" t="s">
        <v>5406</v>
      </c>
      <c r="N537" s="1" t="s">
        <v>4565</v>
      </c>
      <c r="O537">
        <v>37.6</v>
      </c>
      <c r="P537">
        <v>4.1890000000000001</v>
      </c>
      <c r="Q537">
        <v>1332</v>
      </c>
      <c r="R537">
        <v>265</v>
      </c>
      <c r="S537">
        <v>7.05</v>
      </c>
      <c r="T537" s="8">
        <v>157.54</v>
      </c>
      <c r="U537">
        <v>11040306</v>
      </c>
      <c r="V537" t="s">
        <v>5408</v>
      </c>
      <c r="W537" t="s">
        <v>5409</v>
      </c>
      <c r="X537" t="s">
        <v>5410</v>
      </c>
      <c r="Y537" t="s">
        <v>5411</v>
      </c>
      <c r="Z537" t="s">
        <v>5412</v>
      </c>
      <c r="AA537" t="s">
        <v>5413</v>
      </c>
      <c r="AB537" t="s">
        <v>5414</v>
      </c>
      <c r="AC537" t="s">
        <v>5414</v>
      </c>
      <c r="AD537" t="s">
        <v>5414</v>
      </c>
      <c r="AG537" t="s">
        <v>5415</v>
      </c>
      <c r="AI537" t="s">
        <v>5629</v>
      </c>
      <c r="AJ537" t="s">
        <v>5855</v>
      </c>
      <c r="AL537" t="s">
        <v>5418</v>
      </c>
      <c r="AN537" t="s">
        <v>5419</v>
      </c>
    </row>
    <row r="538" spans="1:40" x14ac:dyDescent="0.25">
      <c r="A538">
        <v>1088382685</v>
      </c>
      <c r="B538" t="s">
        <v>5399</v>
      </c>
      <c r="C538">
        <v>252406</v>
      </c>
      <c r="D538" t="s">
        <v>5400</v>
      </c>
      <c r="E538">
        <v>46226.587326388886</v>
      </c>
      <c r="F538" t="s">
        <v>5659</v>
      </c>
      <c r="G538" t="s">
        <v>3668</v>
      </c>
      <c r="H538" t="s">
        <v>5431</v>
      </c>
      <c r="I538" t="s">
        <v>5403</v>
      </c>
      <c r="J538">
        <v>2026</v>
      </c>
      <c r="K538" t="s">
        <v>5660</v>
      </c>
      <c r="L538" t="s">
        <v>5661</v>
      </c>
      <c r="M538" t="s">
        <v>5406</v>
      </c>
      <c r="N538" s="1" t="s">
        <v>4565</v>
      </c>
      <c r="O538">
        <v>14.14</v>
      </c>
      <c r="P538">
        <v>3.819</v>
      </c>
      <c r="Q538">
        <v>7532</v>
      </c>
      <c r="R538">
        <v>84</v>
      </c>
      <c r="S538">
        <v>5.94</v>
      </c>
      <c r="T538" s="8">
        <v>54.01</v>
      </c>
      <c r="U538">
        <v>490156</v>
      </c>
      <c r="V538" t="s">
        <v>5578</v>
      </c>
      <c r="W538" t="s">
        <v>5409</v>
      </c>
      <c r="X538" t="s">
        <v>5579</v>
      </c>
      <c r="Y538" t="s">
        <v>5458</v>
      </c>
      <c r="Z538" t="s">
        <v>5412</v>
      </c>
      <c r="AA538" t="s">
        <v>5413</v>
      </c>
      <c r="AB538" t="s">
        <v>5414</v>
      </c>
      <c r="AC538" t="s">
        <v>5414</v>
      </c>
      <c r="AD538" t="s">
        <v>5414</v>
      </c>
      <c r="AG538" t="s">
        <v>5415</v>
      </c>
      <c r="AI538" t="s">
        <v>5580</v>
      </c>
      <c r="AJ538" t="s">
        <v>5662</v>
      </c>
      <c r="AL538" t="s">
        <v>5418</v>
      </c>
      <c r="AN538" t="s">
        <v>5419</v>
      </c>
    </row>
    <row r="539" spans="1:40" x14ac:dyDescent="0.25">
      <c r="A539">
        <v>1088439793</v>
      </c>
      <c r="B539" t="s">
        <v>5399</v>
      </c>
      <c r="C539">
        <v>252406</v>
      </c>
      <c r="D539" t="s">
        <v>5400</v>
      </c>
      <c r="E539">
        <v>46226.739675925928</v>
      </c>
      <c r="F539" t="s">
        <v>5452</v>
      </c>
      <c r="G539" t="s">
        <v>3668</v>
      </c>
      <c r="H539" t="s">
        <v>5453</v>
      </c>
      <c r="I539" t="s">
        <v>5403</v>
      </c>
      <c r="J539">
        <v>2026</v>
      </c>
      <c r="K539" t="s">
        <v>5645</v>
      </c>
      <c r="L539" t="s">
        <v>5646</v>
      </c>
      <c r="M539" t="s">
        <v>5406</v>
      </c>
      <c r="N539" s="1" t="s">
        <v>4565</v>
      </c>
      <c r="O539">
        <v>34.049999999999997</v>
      </c>
      <c r="P539">
        <v>3.819</v>
      </c>
      <c r="Q539">
        <v>40706</v>
      </c>
      <c r="R539">
        <v>281</v>
      </c>
      <c r="S539">
        <v>8.25</v>
      </c>
      <c r="T539" s="8">
        <v>130.07</v>
      </c>
      <c r="U539">
        <v>490156</v>
      </c>
      <c r="V539" t="s">
        <v>5578</v>
      </c>
      <c r="W539" t="s">
        <v>5409</v>
      </c>
      <c r="X539" t="s">
        <v>5579</v>
      </c>
      <c r="Y539" t="s">
        <v>5458</v>
      </c>
      <c r="Z539" t="s">
        <v>5412</v>
      </c>
      <c r="AA539" t="s">
        <v>5413</v>
      </c>
      <c r="AB539" t="s">
        <v>5414</v>
      </c>
      <c r="AC539" t="s">
        <v>5414</v>
      </c>
      <c r="AD539" t="s">
        <v>5414</v>
      </c>
      <c r="AG539" t="s">
        <v>5415</v>
      </c>
      <c r="AI539" t="s">
        <v>5580</v>
      </c>
      <c r="AJ539" t="s">
        <v>5461</v>
      </c>
      <c r="AL539" t="s">
        <v>5418</v>
      </c>
      <c r="AN539" t="s">
        <v>5419</v>
      </c>
    </row>
    <row r="540" spans="1:40" x14ac:dyDescent="0.25">
      <c r="A540">
        <v>1088484601</v>
      </c>
      <c r="B540" t="s">
        <v>5399</v>
      </c>
      <c r="C540">
        <v>252406</v>
      </c>
      <c r="D540" t="s">
        <v>5400</v>
      </c>
      <c r="E540">
        <v>46227.210729166669</v>
      </c>
      <c r="F540" t="s">
        <v>5475</v>
      </c>
      <c r="G540" t="s">
        <v>3668</v>
      </c>
      <c r="H540" t="s">
        <v>5467</v>
      </c>
      <c r="I540" t="s">
        <v>5403</v>
      </c>
      <c r="J540">
        <v>2026</v>
      </c>
      <c r="K540" t="s">
        <v>5837</v>
      </c>
      <c r="L540" t="s">
        <v>5838</v>
      </c>
      <c r="M540" t="s">
        <v>5406</v>
      </c>
      <c r="N540" s="1" t="s">
        <v>4565</v>
      </c>
      <c r="O540">
        <v>36.799999999999997</v>
      </c>
      <c r="P540">
        <v>4.1890000000000001</v>
      </c>
      <c r="Q540">
        <v>37505</v>
      </c>
      <c r="R540">
        <v>281</v>
      </c>
      <c r="S540">
        <v>7.64</v>
      </c>
      <c r="T540" s="8">
        <v>154.19</v>
      </c>
      <c r="U540">
        <v>11040306</v>
      </c>
      <c r="V540" t="s">
        <v>5408</v>
      </c>
      <c r="W540" t="s">
        <v>5409</v>
      </c>
      <c r="X540" t="s">
        <v>5410</v>
      </c>
      <c r="Y540" t="s">
        <v>5411</v>
      </c>
      <c r="Z540" t="s">
        <v>5412</v>
      </c>
      <c r="AA540" t="s">
        <v>5413</v>
      </c>
      <c r="AB540" t="s">
        <v>5414</v>
      </c>
      <c r="AC540" t="s">
        <v>5414</v>
      </c>
      <c r="AD540" t="s">
        <v>5414</v>
      </c>
      <c r="AG540" t="s">
        <v>5415</v>
      </c>
      <c r="AI540" t="s">
        <v>5629</v>
      </c>
      <c r="AJ540" t="s">
        <v>5697</v>
      </c>
      <c r="AL540" t="s">
        <v>5418</v>
      </c>
      <c r="AN540" t="s">
        <v>5419</v>
      </c>
    </row>
    <row r="541" spans="1:40" x14ac:dyDescent="0.25">
      <c r="A541">
        <v>1088500107</v>
      </c>
      <c r="B541" t="s">
        <v>5399</v>
      </c>
      <c r="C541">
        <v>252406</v>
      </c>
      <c r="D541" t="s">
        <v>5400</v>
      </c>
      <c r="E541">
        <v>46227.267395833333</v>
      </c>
      <c r="F541" t="s">
        <v>5651</v>
      </c>
      <c r="G541" t="s">
        <v>3668</v>
      </c>
      <c r="H541" t="s">
        <v>5467</v>
      </c>
      <c r="I541" t="s">
        <v>5403</v>
      </c>
      <c r="J541">
        <v>2026</v>
      </c>
      <c r="K541" t="s">
        <v>5738</v>
      </c>
      <c r="L541" t="s">
        <v>5739</v>
      </c>
      <c r="M541" t="s">
        <v>5406</v>
      </c>
      <c r="N541" s="1" t="s">
        <v>4565</v>
      </c>
      <c r="O541">
        <v>38.11</v>
      </c>
      <c r="P541">
        <v>3.99</v>
      </c>
      <c r="Q541">
        <v>49084</v>
      </c>
      <c r="R541">
        <v>373</v>
      </c>
      <c r="S541">
        <v>9.7899999999999991</v>
      </c>
      <c r="T541" s="8">
        <v>152.06</v>
      </c>
      <c r="U541">
        <v>11032680</v>
      </c>
      <c r="V541" t="s">
        <v>5903</v>
      </c>
      <c r="W541" t="s">
        <v>5409</v>
      </c>
      <c r="X541" t="s">
        <v>5904</v>
      </c>
      <c r="Y541" t="s">
        <v>5411</v>
      </c>
      <c r="Z541" t="s">
        <v>5905</v>
      </c>
      <c r="AA541" t="s">
        <v>5413</v>
      </c>
      <c r="AB541" t="s">
        <v>5414</v>
      </c>
      <c r="AC541" t="s">
        <v>5414</v>
      </c>
      <c r="AD541" t="s">
        <v>5414</v>
      </c>
      <c r="AG541" t="s">
        <v>5427</v>
      </c>
      <c r="AI541" t="s">
        <v>5906</v>
      </c>
      <c r="AJ541" t="s">
        <v>5654</v>
      </c>
      <c r="AL541" t="s">
        <v>5418</v>
      </c>
      <c r="AN541" t="s">
        <v>5419</v>
      </c>
    </row>
    <row r="542" spans="1:40" x14ac:dyDescent="0.25">
      <c r="A542">
        <v>1088500146</v>
      </c>
      <c r="B542" t="s">
        <v>5399</v>
      </c>
      <c r="C542">
        <v>252406</v>
      </c>
      <c r="D542" t="s">
        <v>5400</v>
      </c>
      <c r="E542">
        <v>46227.267442129632</v>
      </c>
      <c r="F542" t="s">
        <v>5505</v>
      </c>
      <c r="G542" t="s">
        <v>3668</v>
      </c>
      <c r="H542" t="s">
        <v>5506</v>
      </c>
      <c r="I542" t="s">
        <v>5403</v>
      </c>
      <c r="J542">
        <v>2026</v>
      </c>
      <c r="K542" t="s">
        <v>5507</v>
      </c>
      <c r="L542" t="s">
        <v>5508</v>
      </c>
      <c r="M542" t="s">
        <v>5406</v>
      </c>
      <c r="N542" s="1" t="s">
        <v>4565</v>
      </c>
      <c r="O542">
        <v>38.46</v>
      </c>
      <c r="P542">
        <v>3.589</v>
      </c>
      <c r="Q542">
        <v>7356</v>
      </c>
      <c r="R542">
        <v>373</v>
      </c>
      <c r="S542">
        <v>9.6999999999999993</v>
      </c>
      <c r="T542" s="8">
        <v>138.07</v>
      </c>
      <c r="U542">
        <v>12815000</v>
      </c>
      <c r="V542" t="s">
        <v>5448</v>
      </c>
      <c r="W542" t="s">
        <v>5409</v>
      </c>
      <c r="X542" t="s">
        <v>5449</v>
      </c>
      <c r="Y542" t="s">
        <v>5450</v>
      </c>
      <c r="Z542" t="s">
        <v>5426</v>
      </c>
      <c r="AA542" t="s">
        <v>5413</v>
      </c>
      <c r="AB542" t="s">
        <v>5414</v>
      </c>
      <c r="AC542" t="s">
        <v>5414</v>
      </c>
      <c r="AD542" t="s">
        <v>5414</v>
      </c>
      <c r="AG542" t="s">
        <v>5427</v>
      </c>
      <c r="AI542" t="s">
        <v>5451</v>
      </c>
      <c r="AJ542" t="s">
        <v>5509</v>
      </c>
      <c r="AL542" t="s">
        <v>5418</v>
      </c>
      <c r="AN542" t="s">
        <v>5419</v>
      </c>
    </row>
    <row r="543" spans="1:40" x14ac:dyDescent="0.25">
      <c r="A543">
        <v>1088516465</v>
      </c>
      <c r="B543" t="s">
        <v>5399</v>
      </c>
      <c r="C543">
        <v>252406</v>
      </c>
      <c r="D543" t="s">
        <v>5400</v>
      </c>
      <c r="E543">
        <v>46227.29587962963</v>
      </c>
      <c r="F543" t="s">
        <v>5435</v>
      </c>
      <c r="G543" t="s">
        <v>3668</v>
      </c>
      <c r="H543" t="s">
        <v>5421</v>
      </c>
      <c r="I543" t="s">
        <v>5403</v>
      </c>
      <c r="J543">
        <v>2026</v>
      </c>
      <c r="K543" t="s">
        <v>5436</v>
      </c>
      <c r="L543" t="s">
        <v>5437</v>
      </c>
      <c r="M543" t="s">
        <v>5406</v>
      </c>
      <c r="N543" s="1" t="s">
        <v>4565</v>
      </c>
      <c r="O543">
        <v>32.33</v>
      </c>
      <c r="P543">
        <v>3.99</v>
      </c>
      <c r="Q543">
        <v>50246</v>
      </c>
      <c r="R543">
        <v>234</v>
      </c>
      <c r="S543">
        <v>7.24</v>
      </c>
      <c r="T543" s="8">
        <v>129</v>
      </c>
      <c r="U543">
        <v>11032680</v>
      </c>
      <c r="V543" t="s">
        <v>5903</v>
      </c>
      <c r="W543" t="s">
        <v>5409</v>
      </c>
      <c r="X543" t="s">
        <v>5904</v>
      </c>
      <c r="Y543" t="s">
        <v>5411</v>
      </c>
      <c r="Z543" t="s">
        <v>5905</v>
      </c>
      <c r="AA543" t="s">
        <v>5413</v>
      </c>
      <c r="AB543" t="s">
        <v>5414</v>
      </c>
      <c r="AC543" t="s">
        <v>5414</v>
      </c>
      <c r="AD543" t="s">
        <v>5414</v>
      </c>
      <c r="AG543" t="s">
        <v>5427</v>
      </c>
      <c r="AI543" t="s">
        <v>5906</v>
      </c>
      <c r="AJ543" t="s">
        <v>5443</v>
      </c>
      <c r="AL543" t="s">
        <v>5418</v>
      </c>
      <c r="AN543" t="s">
        <v>5419</v>
      </c>
    </row>
    <row r="544" spans="1:40" x14ac:dyDescent="0.25">
      <c r="A544">
        <v>1088518235</v>
      </c>
      <c r="B544" t="s">
        <v>5399</v>
      </c>
      <c r="C544">
        <v>252406</v>
      </c>
      <c r="D544" t="s">
        <v>5400</v>
      </c>
      <c r="E544">
        <v>46227.299826388888</v>
      </c>
      <c r="F544" t="s">
        <v>5462</v>
      </c>
      <c r="G544" t="s">
        <v>3668</v>
      </c>
      <c r="H544" t="s">
        <v>5402</v>
      </c>
      <c r="I544" t="s">
        <v>5403</v>
      </c>
      <c r="J544">
        <v>2026</v>
      </c>
      <c r="K544" t="s">
        <v>5604</v>
      </c>
      <c r="L544" t="s">
        <v>5605</v>
      </c>
      <c r="M544" t="s">
        <v>5406</v>
      </c>
      <c r="N544" s="1" t="s">
        <v>4565</v>
      </c>
      <c r="O544">
        <v>37.39</v>
      </c>
      <c r="P544">
        <v>4.2889999999999997</v>
      </c>
      <c r="Q544">
        <v>29464</v>
      </c>
      <c r="R544">
        <v>249</v>
      </c>
      <c r="S544">
        <v>6.66</v>
      </c>
      <c r="T544" s="8">
        <v>160.4</v>
      </c>
      <c r="U544">
        <v>11198252</v>
      </c>
      <c r="V544" t="s">
        <v>5424</v>
      </c>
      <c r="W544" t="s">
        <v>5409</v>
      </c>
      <c r="X544" t="s">
        <v>5425</v>
      </c>
      <c r="Y544" t="s">
        <v>5411</v>
      </c>
      <c r="Z544" t="s">
        <v>5426</v>
      </c>
      <c r="AA544" t="s">
        <v>5413</v>
      </c>
      <c r="AB544" t="s">
        <v>5414</v>
      </c>
      <c r="AC544" t="s">
        <v>5414</v>
      </c>
      <c r="AD544" t="s">
        <v>5414</v>
      </c>
      <c r="AG544" t="s">
        <v>5427</v>
      </c>
      <c r="AI544" t="s">
        <v>5428</v>
      </c>
      <c r="AJ544" t="s">
        <v>5465</v>
      </c>
      <c r="AL544" t="s">
        <v>5418</v>
      </c>
      <c r="AN544" t="s">
        <v>5419</v>
      </c>
    </row>
    <row r="545" spans="1:40" x14ac:dyDescent="0.25">
      <c r="A545">
        <v>1088498683</v>
      </c>
      <c r="B545" t="s">
        <v>5399</v>
      </c>
      <c r="C545">
        <v>252406</v>
      </c>
      <c r="D545" t="s">
        <v>5400</v>
      </c>
      <c r="E545">
        <v>46227.305185185185</v>
      </c>
      <c r="F545" t="s">
        <v>5635</v>
      </c>
      <c r="G545" t="s">
        <v>3668</v>
      </c>
      <c r="H545" t="s">
        <v>5453</v>
      </c>
      <c r="I545" t="s">
        <v>5403</v>
      </c>
      <c r="J545">
        <v>2026</v>
      </c>
      <c r="K545" t="s">
        <v>5636</v>
      </c>
      <c r="L545" t="s">
        <v>5637</v>
      </c>
      <c r="M545" t="s">
        <v>5406</v>
      </c>
      <c r="N545" s="1" t="s">
        <v>4565</v>
      </c>
      <c r="O545">
        <v>37.07</v>
      </c>
      <c r="P545">
        <v>4.2889999999999997</v>
      </c>
      <c r="Q545">
        <v>12610</v>
      </c>
      <c r="R545">
        <v>373</v>
      </c>
      <c r="S545">
        <v>10.06</v>
      </c>
      <c r="T545" s="8">
        <v>159.03</v>
      </c>
      <c r="U545">
        <v>491721</v>
      </c>
      <c r="V545" t="s">
        <v>5438</v>
      </c>
      <c r="W545" t="s">
        <v>5409</v>
      </c>
      <c r="X545" t="s">
        <v>5439</v>
      </c>
      <c r="Y545" t="s">
        <v>5440</v>
      </c>
      <c r="Z545" t="s">
        <v>5441</v>
      </c>
      <c r="AA545" t="s">
        <v>5413</v>
      </c>
      <c r="AB545" t="s">
        <v>5414</v>
      </c>
      <c r="AC545" t="s">
        <v>5414</v>
      </c>
      <c r="AD545" t="s">
        <v>5414</v>
      </c>
      <c r="AG545" t="s">
        <v>5415</v>
      </c>
      <c r="AI545" t="s">
        <v>5522</v>
      </c>
      <c r="AJ545" t="s">
        <v>5638</v>
      </c>
      <c r="AL545" t="s">
        <v>5418</v>
      </c>
      <c r="AN545" t="s">
        <v>5419</v>
      </c>
    </row>
    <row r="546" spans="1:40" x14ac:dyDescent="0.25">
      <c r="A546">
        <v>1088528456</v>
      </c>
      <c r="B546" t="s">
        <v>5399</v>
      </c>
      <c r="C546">
        <v>252406</v>
      </c>
      <c r="D546" t="s">
        <v>5400</v>
      </c>
      <c r="E546">
        <v>46227.316238425927</v>
      </c>
      <c r="F546" t="s">
        <v>5486</v>
      </c>
      <c r="G546" t="s">
        <v>3668</v>
      </c>
      <c r="H546" t="s">
        <v>5487</v>
      </c>
      <c r="I546" t="s">
        <v>5403</v>
      </c>
      <c r="J546">
        <v>2025</v>
      </c>
      <c r="K546" t="s">
        <v>5488</v>
      </c>
      <c r="L546" t="s">
        <v>5489</v>
      </c>
      <c r="M546" t="s">
        <v>5406</v>
      </c>
      <c r="N546" s="1" t="s">
        <v>4565</v>
      </c>
      <c r="O546">
        <v>28.64</v>
      </c>
      <c r="P546">
        <v>4.6589999999999998</v>
      </c>
      <c r="Q546">
        <v>57665</v>
      </c>
      <c r="R546">
        <v>254</v>
      </c>
      <c r="S546">
        <v>8.8699999999999992</v>
      </c>
      <c r="T546" s="8">
        <v>133.46</v>
      </c>
      <c r="U546">
        <v>11120083</v>
      </c>
      <c r="V546" t="s">
        <v>5596</v>
      </c>
      <c r="W546" t="s">
        <v>5409</v>
      </c>
      <c r="X546" t="s">
        <v>5597</v>
      </c>
      <c r="Y546" t="s">
        <v>5458</v>
      </c>
      <c r="Z546" t="s">
        <v>5598</v>
      </c>
      <c r="AA546" t="s">
        <v>5413</v>
      </c>
      <c r="AB546" t="s">
        <v>5414</v>
      </c>
      <c r="AC546" t="s">
        <v>5414</v>
      </c>
      <c r="AD546" t="s">
        <v>5414</v>
      </c>
      <c r="AG546" t="s">
        <v>5427</v>
      </c>
      <c r="AI546" t="s">
        <v>5599</v>
      </c>
      <c r="AJ546" t="s">
        <v>5493</v>
      </c>
      <c r="AL546" t="s">
        <v>5418</v>
      </c>
      <c r="AN546" t="s">
        <v>5419</v>
      </c>
    </row>
    <row r="547" spans="1:40" x14ac:dyDescent="0.25">
      <c r="A547">
        <v>1088517706</v>
      </c>
      <c r="B547" t="s">
        <v>5399</v>
      </c>
      <c r="C547">
        <v>252406</v>
      </c>
      <c r="D547" t="s">
        <v>5400</v>
      </c>
      <c r="E547">
        <v>46227.340601851851</v>
      </c>
      <c r="F547" t="s">
        <v>5655</v>
      </c>
      <c r="G547" t="s">
        <v>3668</v>
      </c>
      <c r="H547" t="s">
        <v>5506</v>
      </c>
      <c r="I547" t="s">
        <v>5403</v>
      </c>
      <c r="J547">
        <v>2026</v>
      </c>
      <c r="K547" t="s">
        <v>5608</v>
      </c>
      <c r="L547" t="s">
        <v>5609</v>
      </c>
      <c r="M547" t="s">
        <v>5406</v>
      </c>
      <c r="N547" s="1" t="s">
        <v>4565</v>
      </c>
      <c r="O547">
        <v>39.53</v>
      </c>
      <c r="P547">
        <v>3.819</v>
      </c>
      <c r="Q547">
        <v>6248</v>
      </c>
      <c r="R547">
        <v>303</v>
      </c>
      <c r="S547">
        <v>7.67</v>
      </c>
      <c r="T547" s="8">
        <v>151</v>
      </c>
      <c r="U547">
        <v>490156</v>
      </c>
      <c r="V547" t="s">
        <v>5578</v>
      </c>
      <c r="W547" t="s">
        <v>5409</v>
      </c>
      <c r="X547" t="s">
        <v>5579</v>
      </c>
      <c r="Y547" t="s">
        <v>5458</v>
      </c>
      <c r="Z547" t="s">
        <v>5412</v>
      </c>
      <c r="AA547" t="s">
        <v>5413</v>
      </c>
      <c r="AB547" t="s">
        <v>5414</v>
      </c>
      <c r="AC547" t="s">
        <v>5414</v>
      </c>
      <c r="AD547" t="s">
        <v>5414</v>
      </c>
      <c r="AG547" t="s">
        <v>5415</v>
      </c>
      <c r="AI547" t="s">
        <v>5580</v>
      </c>
      <c r="AJ547" t="s">
        <v>5658</v>
      </c>
      <c r="AL547" t="s">
        <v>5418</v>
      </c>
      <c r="AN547" t="s">
        <v>5419</v>
      </c>
    </row>
    <row r="548" spans="1:40" x14ac:dyDescent="0.25">
      <c r="A548">
        <v>1088542518</v>
      </c>
      <c r="B548" t="s">
        <v>5399</v>
      </c>
      <c r="C548">
        <v>252406</v>
      </c>
      <c r="D548" t="s">
        <v>5400</v>
      </c>
      <c r="E548">
        <v>46227.343530092592</v>
      </c>
      <c r="F548" t="s">
        <v>5475</v>
      </c>
      <c r="G548" t="s">
        <v>3668</v>
      </c>
      <c r="H548" t="s">
        <v>5467</v>
      </c>
      <c r="I548" t="s">
        <v>5403</v>
      </c>
      <c r="J548">
        <v>2026</v>
      </c>
      <c r="K548" t="s">
        <v>5837</v>
      </c>
      <c r="L548" t="s">
        <v>5838</v>
      </c>
      <c r="M548" t="s">
        <v>5406</v>
      </c>
      <c r="N548" s="1" t="s">
        <v>4565</v>
      </c>
      <c r="O548">
        <v>31.24</v>
      </c>
      <c r="P548">
        <v>4.29</v>
      </c>
      <c r="Q548">
        <v>37758</v>
      </c>
      <c r="R548">
        <v>253</v>
      </c>
      <c r="S548">
        <v>8.1</v>
      </c>
      <c r="T548" s="8">
        <v>134.02000000000001</v>
      </c>
      <c r="U548">
        <v>11198252</v>
      </c>
      <c r="V548" t="s">
        <v>5424</v>
      </c>
      <c r="W548" t="s">
        <v>5409</v>
      </c>
      <c r="X548" t="s">
        <v>5425</v>
      </c>
      <c r="Y548" t="s">
        <v>5411</v>
      </c>
      <c r="Z548" t="s">
        <v>5426</v>
      </c>
      <c r="AA548" t="s">
        <v>5413</v>
      </c>
      <c r="AB548" t="s">
        <v>5414</v>
      </c>
      <c r="AC548" t="s">
        <v>5414</v>
      </c>
      <c r="AD548" t="s">
        <v>5414</v>
      </c>
      <c r="AG548" t="s">
        <v>5427</v>
      </c>
      <c r="AI548" t="s">
        <v>5428</v>
      </c>
      <c r="AJ548" t="s">
        <v>5697</v>
      </c>
      <c r="AL548" t="s">
        <v>5418</v>
      </c>
      <c r="AN548" t="s">
        <v>5419</v>
      </c>
    </row>
    <row r="549" spans="1:40" x14ac:dyDescent="0.25">
      <c r="A549">
        <v>1088538465</v>
      </c>
      <c r="B549" t="s">
        <v>5399</v>
      </c>
      <c r="C549">
        <v>252406</v>
      </c>
      <c r="D549" t="s">
        <v>5400</v>
      </c>
      <c r="E549">
        <v>46227.378333333334</v>
      </c>
      <c r="F549" t="s">
        <v>5621</v>
      </c>
      <c r="G549" t="s">
        <v>3668</v>
      </c>
      <c r="H549" t="s">
        <v>5421</v>
      </c>
      <c r="I549" t="s">
        <v>5621</v>
      </c>
      <c r="J549">
        <v>2024</v>
      </c>
      <c r="K549" t="s">
        <v>5622</v>
      </c>
      <c r="L549" t="s">
        <v>5623</v>
      </c>
      <c r="M549" t="s">
        <v>5406</v>
      </c>
      <c r="N549" s="1" t="s">
        <v>4565</v>
      </c>
      <c r="O549">
        <v>36.450000000000003</v>
      </c>
      <c r="P549">
        <v>4.6500000000000004</v>
      </c>
      <c r="Q549">
        <v>99467</v>
      </c>
      <c r="R549">
        <v>328</v>
      </c>
      <c r="S549">
        <v>9</v>
      </c>
      <c r="T549" s="8">
        <v>169.5</v>
      </c>
      <c r="U549">
        <v>11040292</v>
      </c>
      <c r="V549" t="s">
        <v>5456</v>
      </c>
      <c r="W549" t="s">
        <v>5409</v>
      </c>
      <c r="X549" t="s">
        <v>5457</v>
      </c>
      <c r="Y549" t="s">
        <v>5458</v>
      </c>
      <c r="Z549" t="s">
        <v>5459</v>
      </c>
      <c r="AA549" t="s">
        <v>5413</v>
      </c>
      <c r="AB549" t="s">
        <v>5414</v>
      </c>
      <c r="AC549" t="s">
        <v>5414</v>
      </c>
      <c r="AD549" t="s">
        <v>5414</v>
      </c>
      <c r="AG549" t="s">
        <v>5415</v>
      </c>
      <c r="AI549" t="s">
        <v>5460</v>
      </c>
      <c r="AJ549" t="s">
        <v>5624</v>
      </c>
      <c r="AK549" t="s">
        <v>5528</v>
      </c>
      <c r="AL549" t="s">
        <v>5418</v>
      </c>
      <c r="AN549" t="s">
        <v>5625</v>
      </c>
    </row>
    <row r="550" spans="1:40" x14ac:dyDescent="0.25">
      <c r="A550">
        <v>1088560058</v>
      </c>
      <c r="B550" t="s">
        <v>5399</v>
      </c>
      <c r="C550">
        <v>252406</v>
      </c>
      <c r="D550" t="s">
        <v>5400</v>
      </c>
      <c r="E550">
        <v>46227.382164351853</v>
      </c>
      <c r="F550" t="s">
        <v>5703</v>
      </c>
      <c r="G550" t="s">
        <v>3668</v>
      </c>
      <c r="H550" t="s">
        <v>5549</v>
      </c>
      <c r="I550" t="s">
        <v>5403</v>
      </c>
      <c r="J550">
        <v>2026</v>
      </c>
      <c r="K550" t="s">
        <v>5704</v>
      </c>
      <c r="L550" t="s">
        <v>5705</v>
      </c>
      <c r="M550" t="s">
        <v>5406</v>
      </c>
      <c r="N550" s="1" t="s">
        <v>4565</v>
      </c>
      <c r="O550">
        <v>32.49</v>
      </c>
      <c r="P550">
        <v>4.2889999999999997</v>
      </c>
      <c r="Q550">
        <v>33386</v>
      </c>
      <c r="R550">
        <v>272</v>
      </c>
      <c r="S550">
        <v>8.3699999999999992</v>
      </c>
      <c r="T550" s="8">
        <v>139.38</v>
      </c>
      <c r="U550">
        <v>11198252</v>
      </c>
      <c r="V550" t="s">
        <v>5424</v>
      </c>
      <c r="W550" t="s">
        <v>5409</v>
      </c>
      <c r="X550" t="s">
        <v>5425</v>
      </c>
      <c r="Y550" t="s">
        <v>5411</v>
      </c>
      <c r="Z550" t="s">
        <v>5426</v>
      </c>
      <c r="AA550" t="s">
        <v>5413</v>
      </c>
      <c r="AB550" t="s">
        <v>5414</v>
      </c>
      <c r="AC550" t="s">
        <v>5414</v>
      </c>
      <c r="AD550" t="s">
        <v>5414</v>
      </c>
      <c r="AG550" t="s">
        <v>5427</v>
      </c>
      <c r="AI550" t="s">
        <v>5428</v>
      </c>
      <c r="AJ550" t="s">
        <v>5706</v>
      </c>
      <c r="AL550" t="s">
        <v>5418</v>
      </c>
      <c r="AN550" t="s">
        <v>5419</v>
      </c>
    </row>
    <row r="551" spans="1:40" x14ac:dyDescent="0.25">
      <c r="A551">
        <v>1088546205</v>
      </c>
      <c r="B551" t="s">
        <v>5399</v>
      </c>
      <c r="C551">
        <v>252406</v>
      </c>
      <c r="D551" t="s">
        <v>5400</v>
      </c>
      <c r="E551">
        <v>46227.391469907408</v>
      </c>
      <c r="F551" t="s">
        <v>5524</v>
      </c>
      <c r="G551" t="s">
        <v>3668</v>
      </c>
      <c r="H551" t="s">
        <v>5421</v>
      </c>
      <c r="I551" t="s">
        <v>5524</v>
      </c>
      <c r="J551">
        <v>2025</v>
      </c>
      <c r="K551" t="s">
        <v>5525</v>
      </c>
      <c r="L551" t="s">
        <v>5526</v>
      </c>
      <c r="M551" t="s">
        <v>5406</v>
      </c>
      <c r="N551" s="1" t="s">
        <v>4565</v>
      </c>
      <c r="O551">
        <v>39.78</v>
      </c>
      <c r="P551">
        <v>3.82</v>
      </c>
      <c r="Q551">
        <v>66842</v>
      </c>
      <c r="R551">
        <v>231</v>
      </c>
      <c r="S551">
        <v>5.81</v>
      </c>
      <c r="T551" s="8">
        <v>151.96</v>
      </c>
      <c r="U551">
        <v>490156</v>
      </c>
      <c r="V551" t="s">
        <v>5578</v>
      </c>
      <c r="W551" t="s">
        <v>5409</v>
      </c>
      <c r="X551" t="s">
        <v>5579</v>
      </c>
      <c r="Y551" t="s">
        <v>5458</v>
      </c>
      <c r="Z551" t="s">
        <v>5412</v>
      </c>
      <c r="AA551" t="s">
        <v>5413</v>
      </c>
      <c r="AB551" t="s">
        <v>5414</v>
      </c>
      <c r="AC551" t="s">
        <v>5414</v>
      </c>
      <c r="AD551" t="s">
        <v>5414</v>
      </c>
      <c r="AG551" t="s">
        <v>5415</v>
      </c>
      <c r="AI551" t="s">
        <v>5580</v>
      </c>
      <c r="AJ551" t="s">
        <v>5527</v>
      </c>
      <c r="AK551" t="s">
        <v>5528</v>
      </c>
      <c r="AL551" t="s">
        <v>5418</v>
      </c>
      <c r="AN551" t="s">
        <v>5529</v>
      </c>
    </row>
    <row r="552" spans="1:40" x14ac:dyDescent="0.25">
      <c r="A552">
        <v>1088562163</v>
      </c>
      <c r="B552" t="s">
        <v>5399</v>
      </c>
      <c r="C552">
        <v>252406</v>
      </c>
      <c r="D552" t="s">
        <v>5400</v>
      </c>
      <c r="E552">
        <v>46227.430254629631</v>
      </c>
      <c r="F552" t="s">
        <v>5626</v>
      </c>
      <c r="G552" t="s">
        <v>3668</v>
      </c>
      <c r="H552" t="s">
        <v>5552</v>
      </c>
      <c r="I552" t="s">
        <v>5403</v>
      </c>
      <c r="J552">
        <v>2026</v>
      </c>
      <c r="K552" t="s">
        <v>5627</v>
      </c>
      <c r="L552" t="s">
        <v>5628</v>
      </c>
      <c r="M552" t="s">
        <v>5406</v>
      </c>
      <c r="N552" s="1" t="s">
        <v>4565</v>
      </c>
      <c r="O552">
        <v>35.06</v>
      </c>
      <c r="P552">
        <v>4.1890000000000001</v>
      </c>
      <c r="Q552">
        <v>22394</v>
      </c>
      <c r="R552">
        <v>168</v>
      </c>
      <c r="S552">
        <v>4.79</v>
      </c>
      <c r="T552" s="8">
        <v>146.9</v>
      </c>
      <c r="U552">
        <v>11040306</v>
      </c>
      <c r="V552" t="s">
        <v>5408</v>
      </c>
      <c r="W552" t="s">
        <v>5409</v>
      </c>
      <c r="X552" t="s">
        <v>5410</v>
      </c>
      <c r="Y552" t="s">
        <v>5411</v>
      </c>
      <c r="Z552" t="s">
        <v>5412</v>
      </c>
      <c r="AA552" t="s">
        <v>5413</v>
      </c>
      <c r="AB552" t="s">
        <v>5414</v>
      </c>
      <c r="AC552" t="s">
        <v>5414</v>
      </c>
      <c r="AD552" t="s">
        <v>5414</v>
      </c>
      <c r="AG552" t="s">
        <v>5415</v>
      </c>
      <c r="AI552" t="s">
        <v>5460</v>
      </c>
      <c r="AJ552" t="s">
        <v>5630</v>
      </c>
      <c r="AL552" t="s">
        <v>5418</v>
      </c>
      <c r="AN552" t="s">
        <v>5419</v>
      </c>
    </row>
    <row r="553" spans="1:40" x14ac:dyDescent="0.25">
      <c r="A553">
        <v>1088604616</v>
      </c>
      <c r="B553" t="s">
        <v>5399</v>
      </c>
      <c r="C553">
        <v>252406</v>
      </c>
      <c r="D553" t="s">
        <v>5400</v>
      </c>
      <c r="E553">
        <v>46227.502905092595</v>
      </c>
      <c r="F553" t="s">
        <v>5494</v>
      </c>
      <c r="G553" t="s">
        <v>3668</v>
      </c>
      <c r="H553" t="s">
        <v>5495</v>
      </c>
      <c r="I553" t="s">
        <v>5403</v>
      </c>
      <c r="J553">
        <v>2026</v>
      </c>
      <c r="K553" t="s">
        <v>5496</v>
      </c>
      <c r="L553" t="s">
        <v>5497</v>
      </c>
      <c r="M553" t="s">
        <v>5406</v>
      </c>
      <c r="N553" s="1" t="s">
        <v>4565</v>
      </c>
      <c r="O553">
        <v>49</v>
      </c>
      <c r="P553">
        <v>4.29</v>
      </c>
      <c r="Q553">
        <v>59646</v>
      </c>
      <c r="R553">
        <v>521</v>
      </c>
      <c r="S553">
        <v>10.63</v>
      </c>
      <c r="T553" s="8">
        <v>210.21</v>
      </c>
      <c r="U553">
        <v>11198252</v>
      </c>
      <c r="V553" t="s">
        <v>5424</v>
      </c>
      <c r="W553" t="s">
        <v>5409</v>
      </c>
      <c r="X553" t="s">
        <v>5425</v>
      </c>
      <c r="Y553" t="s">
        <v>5411</v>
      </c>
      <c r="Z553" t="s">
        <v>5426</v>
      </c>
      <c r="AA553" t="s">
        <v>5413</v>
      </c>
      <c r="AB553" t="s">
        <v>5414</v>
      </c>
      <c r="AC553" t="s">
        <v>5414</v>
      </c>
      <c r="AD553" t="s">
        <v>5414</v>
      </c>
      <c r="AG553" t="s">
        <v>5427</v>
      </c>
      <c r="AI553" t="s">
        <v>5428</v>
      </c>
      <c r="AJ553" t="s">
        <v>5504</v>
      </c>
      <c r="AL553" t="s">
        <v>5418</v>
      </c>
      <c r="AN553" t="s">
        <v>5419</v>
      </c>
    </row>
    <row r="554" spans="1:40" x14ac:dyDescent="0.25">
      <c r="A554">
        <v>1088619563</v>
      </c>
      <c r="B554" t="s">
        <v>5399</v>
      </c>
      <c r="C554">
        <v>252406</v>
      </c>
      <c r="D554" t="s">
        <v>5400</v>
      </c>
      <c r="E554">
        <v>46227.547708333332</v>
      </c>
      <c r="F554" t="s">
        <v>5743</v>
      </c>
      <c r="G554" t="s">
        <v>3668</v>
      </c>
      <c r="H554" t="s">
        <v>5539</v>
      </c>
      <c r="I554" t="s">
        <v>5403</v>
      </c>
      <c r="J554">
        <v>2026</v>
      </c>
      <c r="K554" t="s">
        <v>5753</v>
      </c>
      <c r="L554" t="s">
        <v>5754</v>
      </c>
      <c r="M554" t="s">
        <v>5406</v>
      </c>
      <c r="N554" s="1" t="s">
        <v>4565</v>
      </c>
      <c r="O554">
        <v>40.44</v>
      </c>
      <c r="P554">
        <v>4.29</v>
      </c>
      <c r="Q554">
        <v>19325</v>
      </c>
      <c r="R554">
        <v>282</v>
      </c>
      <c r="S554">
        <v>6.97</v>
      </c>
      <c r="T554" s="8">
        <v>173.49</v>
      </c>
      <c r="U554">
        <v>11198252</v>
      </c>
      <c r="V554" t="s">
        <v>5424</v>
      </c>
      <c r="W554" t="s">
        <v>5409</v>
      </c>
      <c r="X554" t="s">
        <v>5425</v>
      </c>
      <c r="Y554" t="s">
        <v>5411</v>
      </c>
      <c r="Z554" t="s">
        <v>5426</v>
      </c>
      <c r="AA554" t="s">
        <v>5413</v>
      </c>
      <c r="AB554" t="s">
        <v>5414</v>
      </c>
      <c r="AC554" t="s">
        <v>5414</v>
      </c>
      <c r="AD554" t="s">
        <v>5414</v>
      </c>
      <c r="AG554" t="s">
        <v>5427</v>
      </c>
      <c r="AI554" t="s">
        <v>5428</v>
      </c>
      <c r="AJ554" t="s">
        <v>5746</v>
      </c>
      <c r="AL554" t="s">
        <v>5418</v>
      </c>
      <c r="AN554" t="s">
        <v>5419</v>
      </c>
    </row>
    <row r="555" spans="1:40" x14ac:dyDescent="0.25">
      <c r="A555">
        <v>1088652234</v>
      </c>
      <c r="B555" t="s">
        <v>5399</v>
      </c>
      <c r="C555">
        <v>252406</v>
      </c>
      <c r="D555" t="s">
        <v>5400</v>
      </c>
      <c r="E555">
        <v>46227.625104166669</v>
      </c>
      <c r="F555" t="s">
        <v>5401</v>
      </c>
      <c r="G555" t="s">
        <v>3668</v>
      </c>
      <c r="H555" t="s">
        <v>5402</v>
      </c>
      <c r="I555" t="s">
        <v>5403</v>
      </c>
      <c r="J555">
        <v>2026</v>
      </c>
      <c r="K555" t="s">
        <v>5404</v>
      </c>
      <c r="L555" t="s">
        <v>5405</v>
      </c>
      <c r="M555" t="s">
        <v>5406</v>
      </c>
      <c r="N555" s="1" t="s">
        <v>4565</v>
      </c>
      <c r="O555">
        <v>24.86</v>
      </c>
      <c r="P555">
        <v>4.29</v>
      </c>
      <c r="Q555">
        <v>36869</v>
      </c>
      <c r="R555">
        <v>177</v>
      </c>
      <c r="S555">
        <v>7.12</v>
      </c>
      <c r="T555" s="8">
        <v>106.65</v>
      </c>
      <c r="U555">
        <v>11198252</v>
      </c>
      <c r="V555" t="s">
        <v>5424</v>
      </c>
      <c r="W555" t="s">
        <v>5409</v>
      </c>
      <c r="X555" t="s">
        <v>5425</v>
      </c>
      <c r="Y555" t="s">
        <v>5411</v>
      </c>
      <c r="Z555" t="s">
        <v>5426</v>
      </c>
      <c r="AA555" t="s">
        <v>5413</v>
      </c>
      <c r="AB555" t="s">
        <v>5414</v>
      </c>
      <c r="AC555" t="s">
        <v>5414</v>
      </c>
      <c r="AD555" t="s">
        <v>5414</v>
      </c>
      <c r="AG555" t="s">
        <v>5427</v>
      </c>
      <c r="AI555" t="s">
        <v>5428</v>
      </c>
      <c r="AJ555" t="s">
        <v>5417</v>
      </c>
      <c r="AL555" t="s">
        <v>5418</v>
      </c>
      <c r="AN555" t="s">
        <v>5419</v>
      </c>
    </row>
    <row r="556" spans="1:40" x14ac:dyDescent="0.25">
      <c r="A556">
        <v>1088641424</v>
      </c>
      <c r="B556" t="s">
        <v>5399</v>
      </c>
      <c r="C556">
        <v>252406</v>
      </c>
      <c r="D556" t="s">
        <v>5400</v>
      </c>
      <c r="E556">
        <v>46227.641736111109</v>
      </c>
      <c r="F556" t="s">
        <v>5757</v>
      </c>
      <c r="G556" t="s">
        <v>3668</v>
      </c>
      <c r="H556" t="s">
        <v>5421</v>
      </c>
      <c r="I556" t="s">
        <v>5403</v>
      </c>
      <c r="J556">
        <v>2027</v>
      </c>
      <c r="K556" t="s">
        <v>5520</v>
      </c>
      <c r="L556" t="s">
        <v>5521</v>
      </c>
      <c r="M556" t="s">
        <v>5406</v>
      </c>
      <c r="N556" s="1" t="s">
        <v>4565</v>
      </c>
      <c r="O556">
        <v>32.33</v>
      </c>
      <c r="P556">
        <v>4.1890000000000001</v>
      </c>
      <c r="Q556">
        <v>2840</v>
      </c>
      <c r="R556">
        <v>246</v>
      </c>
      <c r="S556">
        <v>7.61</v>
      </c>
      <c r="T556" s="8">
        <v>135.46</v>
      </c>
      <c r="U556">
        <v>11040306</v>
      </c>
      <c r="V556" t="s">
        <v>5408</v>
      </c>
      <c r="W556" t="s">
        <v>5409</v>
      </c>
      <c r="X556" t="s">
        <v>5410</v>
      </c>
      <c r="Y556" t="s">
        <v>5411</v>
      </c>
      <c r="Z556" t="s">
        <v>5412</v>
      </c>
      <c r="AA556" t="s">
        <v>5413</v>
      </c>
      <c r="AB556" t="s">
        <v>5414</v>
      </c>
      <c r="AC556" t="s">
        <v>5414</v>
      </c>
      <c r="AD556" t="s">
        <v>5414</v>
      </c>
      <c r="AG556" t="s">
        <v>5415</v>
      </c>
      <c r="AI556" t="s">
        <v>5416</v>
      </c>
      <c r="AJ556" t="s">
        <v>5765</v>
      </c>
      <c r="AL556" t="s">
        <v>5418</v>
      </c>
      <c r="AN556" t="s">
        <v>5419</v>
      </c>
    </row>
    <row r="557" spans="1:40" x14ac:dyDescent="0.25">
      <c r="A557">
        <v>1088641830</v>
      </c>
      <c r="B557" t="s">
        <v>5399</v>
      </c>
      <c r="C557">
        <v>252406</v>
      </c>
      <c r="D557" t="s">
        <v>5400</v>
      </c>
      <c r="E557">
        <v>46227.643020833333</v>
      </c>
      <c r="F557" t="s">
        <v>5621</v>
      </c>
      <c r="G557" t="s">
        <v>3668</v>
      </c>
      <c r="H557" t="s">
        <v>5421</v>
      </c>
      <c r="I557" t="s">
        <v>5621</v>
      </c>
      <c r="J557">
        <v>2024</v>
      </c>
      <c r="K557" t="s">
        <v>5622</v>
      </c>
      <c r="L557" t="s">
        <v>5623</v>
      </c>
      <c r="M557" t="s">
        <v>5406</v>
      </c>
      <c r="N557" s="1" t="s">
        <v>4565</v>
      </c>
      <c r="O557">
        <v>26.41</v>
      </c>
      <c r="P557">
        <v>3.99</v>
      </c>
      <c r="Q557">
        <v>99733</v>
      </c>
      <c r="R557">
        <v>266</v>
      </c>
      <c r="S557">
        <v>10.07</v>
      </c>
      <c r="T557" s="8">
        <v>105.39</v>
      </c>
      <c r="U557">
        <v>11403069</v>
      </c>
      <c r="V557" t="s">
        <v>5914</v>
      </c>
      <c r="W557" t="s">
        <v>5409</v>
      </c>
      <c r="X557" t="s">
        <v>5915</v>
      </c>
      <c r="Y557" t="s">
        <v>5916</v>
      </c>
      <c r="Z557" t="s">
        <v>5917</v>
      </c>
      <c r="AA557" t="s">
        <v>5502</v>
      </c>
      <c r="AB557" t="s">
        <v>5414</v>
      </c>
      <c r="AC557" t="s">
        <v>5414</v>
      </c>
      <c r="AD557" t="s">
        <v>5414</v>
      </c>
      <c r="AG557" t="s">
        <v>5415</v>
      </c>
      <c r="AI557" t="s">
        <v>5918</v>
      </c>
      <c r="AJ557" t="s">
        <v>5624</v>
      </c>
      <c r="AK557" t="s">
        <v>5528</v>
      </c>
      <c r="AL557" t="s">
        <v>5418</v>
      </c>
      <c r="AN557" t="s">
        <v>5625</v>
      </c>
    </row>
    <row r="558" spans="1:40" x14ac:dyDescent="0.25">
      <c r="A558">
        <v>1088692242</v>
      </c>
      <c r="B558" t="s">
        <v>5399</v>
      </c>
      <c r="C558">
        <v>252406</v>
      </c>
      <c r="D558" t="s">
        <v>5400</v>
      </c>
      <c r="E558">
        <v>46227.754895833335</v>
      </c>
      <c r="F558" t="s">
        <v>5589</v>
      </c>
      <c r="G558" t="s">
        <v>3668</v>
      </c>
      <c r="H558" t="s">
        <v>5431</v>
      </c>
      <c r="I558" t="s">
        <v>5403</v>
      </c>
      <c r="J558">
        <v>2026</v>
      </c>
      <c r="K558" t="s">
        <v>5590</v>
      </c>
      <c r="L558" t="s">
        <v>5591</v>
      </c>
      <c r="M558" t="s">
        <v>5406</v>
      </c>
      <c r="N558" s="1" t="s">
        <v>4565</v>
      </c>
      <c r="O558">
        <v>38.159999999999997</v>
      </c>
      <c r="P558">
        <v>4.29</v>
      </c>
      <c r="Q558">
        <v>7221</v>
      </c>
      <c r="R558">
        <v>336</v>
      </c>
      <c r="S558">
        <v>8.81</v>
      </c>
      <c r="T558" s="8">
        <v>163.71</v>
      </c>
      <c r="U558">
        <v>11153887</v>
      </c>
      <c r="V558" t="s">
        <v>5490</v>
      </c>
      <c r="W558" t="s">
        <v>5409</v>
      </c>
      <c r="X558" t="s">
        <v>5491</v>
      </c>
      <c r="Y558" t="s">
        <v>5492</v>
      </c>
      <c r="Z558" t="s">
        <v>5426</v>
      </c>
      <c r="AA558" t="s">
        <v>5413</v>
      </c>
      <c r="AB558" t="s">
        <v>5414</v>
      </c>
      <c r="AC558" t="s">
        <v>5414</v>
      </c>
      <c r="AD558" t="s">
        <v>5414</v>
      </c>
      <c r="AG558" t="s">
        <v>5415</v>
      </c>
      <c r="AI558" t="s">
        <v>5460</v>
      </c>
      <c r="AJ558" t="s">
        <v>5890</v>
      </c>
      <c r="AL558" t="s">
        <v>5418</v>
      </c>
      <c r="AN558" t="s">
        <v>5419</v>
      </c>
    </row>
    <row r="559" spans="1:40" x14ac:dyDescent="0.25">
      <c r="A559">
        <v>1088711526</v>
      </c>
      <c r="B559" t="s">
        <v>5399</v>
      </c>
      <c r="C559">
        <v>252406</v>
      </c>
      <c r="D559" t="s">
        <v>5400</v>
      </c>
      <c r="E559">
        <v>46227.768090277779</v>
      </c>
      <c r="F559" t="s">
        <v>5647</v>
      </c>
      <c r="G559" t="s">
        <v>3668</v>
      </c>
      <c r="H559" t="s">
        <v>5568</v>
      </c>
      <c r="I559" t="s">
        <v>5403</v>
      </c>
      <c r="J559">
        <v>2025</v>
      </c>
      <c r="K559" t="s">
        <v>5648</v>
      </c>
      <c r="L559" t="s">
        <v>5649</v>
      </c>
      <c r="M559" t="s">
        <v>5406</v>
      </c>
      <c r="N559" s="1" t="s">
        <v>4565</v>
      </c>
      <c r="O559">
        <v>32.14</v>
      </c>
      <c r="P559">
        <v>4.2889999999999997</v>
      </c>
      <c r="Q559">
        <v>18219</v>
      </c>
      <c r="R559">
        <v>266</v>
      </c>
      <c r="S559">
        <v>8.2799999999999994</v>
      </c>
      <c r="T559" s="8">
        <v>137.88</v>
      </c>
      <c r="U559">
        <v>11198252</v>
      </c>
      <c r="V559" t="s">
        <v>5424</v>
      </c>
      <c r="W559" t="s">
        <v>5409</v>
      </c>
      <c r="X559" t="s">
        <v>5425</v>
      </c>
      <c r="Y559" t="s">
        <v>5411</v>
      </c>
      <c r="Z559" t="s">
        <v>5426</v>
      </c>
      <c r="AA559" t="s">
        <v>5413</v>
      </c>
      <c r="AB559" t="s">
        <v>5414</v>
      </c>
      <c r="AC559" t="s">
        <v>5414</v>
      </c>
      <c r="AD559" t="s">
        <v>5414</v>
      </c>
      <c r="AG559" t="s">
        <v>5427</v>
      </c>
      <c r="AI559" t="s">
        <v>5428</v>
      </c>
      <c r="AJ559" t="s">
        <v>5650</v>
      </c>
      <c r="AL559" t="s">
        <v>5418</v>
      </c>
      <c r="AN559" t="s">
        <v>5419</v>
      </c>
    </row>
    <row r="560" spans="1:40" x14ac:dyDescent="0.25">
      <c r="A560">
        <v>1088713372</v>
      </c>
      <c r="B560" t="s">
        <v>5399</v>
      </c>
      <c r="C560">
        <v>252406</v>
      </c>
      <c r="D560" t="s">
        <v>5400</v>
      </c>
      <c r="E560">
        <v>46227.776203703703</v>
      </c>
      <c r="F560" t="s">
        <v>5560</v>
      </c>
      <c r="G560" t="s">
        <v>3668</v>
      </c>
      <c r="H560" t="s">
        <v>5561</v>
      </c>
      <c r="I560" t="s">
        <v>5403</v>
      </c>
      <c r="J560">
        <v>2026</v>
      </c>
      <c r="K560" t="s">
        <v>5562</v>
      </c>
      <c r="L560" t="s">
        <v>5563</v>
      </c>
      <c r="M560" t="s">
        <v>5406</v>
      </c>
      <c r="N560" s="1" t="s">
        <v>4565</v>
      </c>
      <c r="O560">
        <v>42.94</v>
      </c>
      <c r="P560">
        <v>4.6589999999999998</v>
      </c>
      <c r="Q560">
        <v>22566</v>
      </c>
      <c r="R560">
        <v>474</v>
      </c>
      <c r="S560">
        <v>11.04</v>
      </c>
      <c r="T560" s="8">
        <v>200.1</v>
      </c>
      <c r="U560">
        <v>11120083</v>
      </c>
      <c r="V560" t="s">
        <v>5596</v>
      </c>
      <c r="W560" t="s">
        <v>5409</v>
      </c>
      <c r="X560" t="s">
        <v>5597</v>
      </c>
      <c r="Y560" t="s">
        <v>5458</v>
      </c>
      <c r="Z560" t="s">
        <v>5598</v>
      </c>
      <c r="AA560" t="s">
        <v>5413</v>
      </c>
      <c r="AB560" t="s">
        <v>5414</v>
      </c>
      <c r="AC560" t="s">
        <v>5414</v>
      </c>
      <c r="AD560" t="s">
        <v>5414</v>
      </c>
      <c r="AG560" t="s">
        <v>5427</v>
      </c>
      <c r="AI560" t="s">
        <v>5599</v>
      </c>
      <c r="AJ560" t="s">
        <v>5564</v>
      </c>
      <c r="AL560" t="s">
        <v>5418</v>
      </c>
      <c r="AN560" t="s">
        <v>5419</v>
      </c>
    </row>
    <row r="561" spans="1:40" x14ac:dyDescent="0.25">
      <c r="A561">
        <v>1088713842</v>
      </c>
      <c r="B561" t="s">
        <v>5399</v>
      </c>
      <c r="C561">
        <v>252406</v>
      </c>
      <c r="D561" t="s">
        <v>5400</v>
      </c>
      <c r="E561">
        <v>46227.820277777777</v>
      </c>
      <c r="F561" t="s">
        <v>5856</v>
      </c>
      <c r="G561" t="s">
        <v>3668</v>
      </c>
      <c r="H561" t="s">
        <v>5857</v>
      </c>
      <c r="I561" t="s">
        <v>5403</v>
      </c>
      <c r="J561">
        <v>2026</v>
      </c>
      <c r="K561" t="s">
        <v>5858</v>
      </c>
      <c r="L561" t="s">
        <v>5859</v>
      </c>
      <c r="M561" t="s">
        <v>5406</v>
      </c>
      <c r="N561" s="1" t="s">
        <v>4565</v>
      </c>
      <c r="O561">
        <v>39.42</v>
      </c>
      <c r="P561">
        <v>4.0890000000000004</v>
      </c>
      <c r="Q561">
        <v>3827</v>
      </c>
      <c r="R561">
        <v>347</v>
      </c>
      <c r="S561">
        <v>8.8000000000000007</v>
      </c>
      <c r="T561" s="8">
        <v>161.21</v>
      </c>
      <c r="U561">
        <v>11721079</v>
      </c>
      <c r="V561" t="s">
        <v>5919</v>
      </c>
      <c r="W561" t="s">
        <v>5409</v>
      </c>
      <c r="X561" t="s">
        <v>5920</v>
      </c>
      <c r="Y561" t="s">
        <v>5458</v>
      </c>
      <c r="Z561" t="s">
        <v>5921</v>
      </c>
      <c r="AA561" t="s">
        <v>5502</v>
      </c>
      <c r="AB561" t="s">
        <v>5414</v>
      </c>
      <c r="AC561" t="s">
        <v>5414</v>
      </c>
      <c r="AD561" t="s">
        <v>5414</v>
      </c>
      <c r="AG561" t="s">
        <v>5415</v>
      </c>
      <c r="AI561" t="s">
        <v>5922</v>
      </c>
      <c r="AJ561" t="s">
        <v>5860</v>
      </c>
      <c r="AL561" t="s">
        <v>5418</v>
      </c>
      <c r="AN561" t="s">
        <v>5419</v>
      </c>
    </row>
    <row r="562" spans="1:40" x14ac:dyDescent="0.25">
      <c r="A562">
        <v>1088730799</v>
      </c>
      <c r="B562" t="s">
        <v>5399</v>
      </c>
      <c r="C562">
        <v>252406</v>
      </c>
      <c r="D562" t="s">
        <v>5400</v>
      </c>
      <c r="E562">
        <v>46227.970405092594</v>
      </c>
      <c r="F562" t="s">
        <v>5435</v>
      </c>
      <c r="G562" t="s">
        <v>3668</v>
      </c>
      <c r="H562" t="s">
        <v>5421</v>
      </c>
      <c r="I562" t="s">
        <v>5403</v>
      </c>
      <c r="J562">
        <v>2026</v>
      </c>
      <c r="K562" t="s">
        <v>5436</v>
      </c>
      <c r="L562" t="s">
        <v>5437</v>
      </c>
      <c r="M562" t="s">
        <v>5406</v>
      </c>
      <c r="N562" s="1" t="s">
        <v>4565</v>
      </c>
      <c r="O562">
        <v>29.1</v>
      </c>
      <c r="P562">
        <v>4.66</v>
      </c>
      <c r="Q562">
        <v>50398</v>
      </c>
      <c r="R562">
        <v>152</v>
      </c>
      <c r="S562">
        <v>5.22</v>
      </c>
      <c r="T562" s="8">
        <v>135.61000000000001</v>
      </c>
      <c r="U562">
        <v>11120083</v>
      </c>
      <c r="V562" t="s">
        <v>5596</v>
      </c>
      <c r="W562" t="s">
        <v>5409</v>
      </c>
      <c r="X562" t="s">
        <v>5597</v>
      </c>
      <c r="Y562" t="s">
        <v>5458</v>
      </c>
      <c r="Z562" t="s">
        <v>5598</v>
      </c>
      <c r="AA562" t="s">
        <v>5413</v>
      </c>
      <c r="AB562" t="s">
        <v>5414</v>
      </c>
      <c r="AC562" t="s">
        <v>5414</v>
      </c>
      <c r="AD562" t="s">
        <v>5414</v>
      </c>
      <c r="AG562" t="s">
        <v>5427</v>
      </c>
      <c r="AI562" t="s">
        <v>5599</v>
      </c>
      <c r="AJ562" t="s">
        <v>5443</v>
      </c>
      <c r="AL562" t="s">
        <v>5418</v>
      </c>
      <c r="AN562" t="s">
        <v>5419</v>
      </c>
    </row>
    <row r="563" spans="1:40" x14ac:dyDescent="0.25">
      <c r="A563">
        <v>1088740723</v>
      </c>
      <c r="B563" t="s">
        <v>5399</v>
      </c>
      <c r="C563">
        <v>252406</v>
      </c>
      <c r="D563" t="s">
        <v>5400</v>
      </c>
      <c r="E563">
        <v>46227.970810185187</v>
      </c>
      <c r="F563" t="s">
        <v>5494</v>
      </c>
      <c r="G563" t="s">
        <v>3668</v>
      </c>
      <c r="H563" t="s">
        <v>5495</v>
      </c>
      <c r="I563" t="s">
        <v>5403</v>
      </c>
      <c r="J563">
        <v>2026</v>
      </c>
      <c r="K563" t="s">
        <v>5496</v>
      </c>
      <c r="L563" t="s">
        <v>5497</v>
      </c>
      <c r="M563" t="s">
        <v>5406</v>
      </c>
      <c r="N563" s="1" t="s">
        <v>4565</v>
      </c>
      <c r="O563">
        <v>41.36</v>
      </c>
      <c r="P563">
        <v>4.3890000000000002</v>
      </c>
      <c r="Q563">
        <v>60065</v>
      </c>
      <c r="R563">
        <v>419</v>
      </c>
      <c r="S563">
        <v>10.130000000000001</v>
      </c>
      <c r="T563" s="8">
        <v>181.57</v>
      </c>
      <c r="U563">
        <v>96261</v>
      </c>
      <c r="V563" t="s">
        <v>5663</v>
      </c>
      <c r="W563" t="s">
        <v>5409</v>
      </c>
      <c r="X563" t="s">
        <v>5664</v>
      </c>
      <c r="Y563" t="s">
        <v>5458</v>
      </c>
      <c r="Z563" t="s">
        <v>5665</v>
      </c>
      <c r="AA563" t="s">
        <v>5413</v>
      </c>
      <c r="AB563" t="s">
        <v>5414</v>
      </c>
      <c r="AC563" t="s">
        <v>5414</v>
      </c>
      <c r="AD563" t="s">
        <v>5414</v>
      </c>
      <c r="AG563" t="s">
        <v>5415</v>
      </c>
      <c r="AI563" t="s">
        <v>5522</v>
      </c>
      <c r="AJ563" t="s">
        <v>5504</v>
      </c>
      <c r="AL563" t="s">
        <v>5418</v>
      </c>
      <c r="AN563" t="s">
        <v>5419</v>
      </c>
    </row>
    <row r="564" spans="1:40" x14ac:dyDescent="0.25">
      <c r="A564">
        <v>1088745467</v>
      </c>
      <c r="B564" t="s">
        <v>5399</v>
      </c>
      <c r="C564">
        <v>252406</v>
      </c>
      <c r="D564" t="s">
        <v>5400</v>
      </c>
      <c r="E564">
        <v>46228.276990740742</v>
      </c>
      <c r="F564" t="s">
        <v>5462</v>
      </c>
      <c r="G564" t="s">
        <v>3668</v>
      </c>
      <c r="H564" t="s">
        <v>5402</v>
      </c>
      <c r="I564" t="s">
        <v>5403</v>
      </c>
      <c r="J564">
        <v>2026</v>
      </c>
      <c r="K564" t="s">
        <v>5604</v>
      </c>
      <c r="L564" t="s">
        <v>5605</v>
      </c>
      <c r="M564" t="s">
        <v>5406</v>
      </c>
      <c r="N564" s="1" t="s">
        <v>4565</v>
      </c>
      <c r="O564">
        <v>32.57</v>
      </c>
      <c r="P564">
        <v>4.29</v>
      </c>
      <c r="Q564">
        <v>29621</v>
      </c>
      <c r="R564">
        <v>157</v>
      </c>
      <c r="S564">
        <v>4.82</v>
      </c>
      <c r="T564" s="8">
        <v>139.72999999999999</v>
      </c>
      <c r="U564">
        <v>11198252</v>
      </c>
      <c r="V564" t="s">
        <v>5424</v>
      </c>
      <c r="W564" t="s">
        <v>5409</v>
      </c>
      <c r="X564" t="s">
        <v>5425</v>
      </c>
      <c r="Y564" t="s">
        <v>5411</v>
      </c>
      <c r="Z564" t="s">
        <v>5426</v>
      </c>
      <c r="AA564" t="s">
        <v>5413</v>
      </c>
      <c r="AB564" t="s">
        <v>5414</v>
      </c>
      <c r="AC564" t="s">
        <v>5414</v>
      </c>
      <c r="AD564" t="s">
        <v>5414</v>
      </c>
      <c r="AG564" t="s">
        <v>5427</v>
      </c>
      <c r="AI564" t="s">
        <v>5428</v>
      </c>
      <c r="AJ564" t="s">
        <v>5465</v>
      </c>
      <c r="AL564" t="s">
        <v>5418</v>
      </c>
      <c r="AN564" t="s">
        <v>5419</v>
      </c>
    </row>
    <row r="565" spans="1:40" x14ac:dyDescent="0.25">
      <c r="A565">
        <v>1088744597</v>
      </c>
      <c r="B565" t="s">
        <v>5399</v>
      </c>
      <c r="C565">
        <v>252406</v>
      </c>
      <c r="D565" t="s">
        <v>5400</v>
      </c>
      <c r="E565">
        <v>46228.31422453704</v>
      </c>
      <c r="F565" t="s">
        <v>5740</v>
      </c>
      <c r="G565" t="s">
        <v>3668</v>
      </c>
      <c r="H565" t="s">
        <v>5431</v>
      </c>
      <c r="I565" t="s">
        <v>5403</v>
      </c>
      <c r="J565">
        <v>2026</v>
      </c>
      <c r="K565" t="s">
        <v>5557</v>
      </c>
      <c r="L565" t="s">
        <v>5558</v>
      </c>
      <c r="M565" t="s">
        <v>5406</v>
      </c>
      <c r="N565" s="1" t="s">
        <v>4565</v>
      </c>
      <c r="O565">
        <v>40.79</v>
      </c>
      <c r="P565">
        <v>4.1890000000000001</v>
      </c>
      <c r="Q565">
        <v>31989</v>
      </c>
      <c r="R565">
        <v>242</v>
      </c>
      <c r="S565">
        <v>5.93</v>
      </c>
      <c r="T565" s="8">
        <v>170.91</v>
      </c>
      <c r="U565">
        <v>11040306</v>
      </c>
      <c r="V565" t="s">
        <v>5408</v>
      </c>
      <c r="W565" t="s">
        <v>5409</v>
      </c>
      <c r="X565" t="s">
        <v>5410</v>
      </c>
      <c r="Y565" t="s">
        <v>5411</v>
      </c>
      <c r="Z565" t="s">
        <v>5412</v>
      </c>
      <c r="AA565" t="s">
        <v>5413</v>
      </c>
      <c r="AB565" t="s">
        <v>5414</v>
      </c>
      <c r="AC565" t="s">
        <v>5414</v>
      </c>
      <c r="AD565" t="s">
        <v>5414</v>
      </c>
      <c r="AG565" t="s">
        <v>5415</v>
      </c>
      <c r="AI565" t="s">
        <v>5522</v>
      </c>
      <c r="AJ565" t="s">
        <v>5742</v>
      </c>
      <c r="AL565" t="s">
        <v>5418</v>
      </c>
      <c r="AN565" t="s">
        <v>5419</v>
      </c>
    </row>
    <row r="566" spans="1:40" x14ac:dyDescent="0.25">
      <c r="A566">
        <v>1088745439</v>
      </c>
      <c r="B566" t="s">
        <v>5399</v>
      </c>
      <c r="C566">
        <v>252406</v>
      </c>
      <c r="D566" t="s">
        <v>5400</v>
      </c>
      <c r="E566">
        <v>46228.318599537037</v>
      </c>
      <c r="F566" t="s">
        <v>5551</v>
      </c>
      <c r="G566" t="s">
        <v>3668</v>
      </c>
      <c r="H566" t="s">
        <v>5552</v>
      </c>
      <c r="I566" t="s">
        <v>5403</v>
      </c>
      <c r="J566">
        <v>2026</v>
      </c>
      <c r="K566" t="s">
        <v>5553</v>
      </c>
      <c r="L566" t="s">
        <v>5554</v>
      </c>
      <c r="M566" t="s">
        <v>5406</v>
      </c>
      <c r="N566" s="1" t="s">
        <v>4565</v>
      </c>
      <c r="O566">
        <v>43.62</v>
      </c>
      <c r="P566">
        <v>4.1890000000000001</v>
      </c>
      <c r="Q566">
        <v>26180</v>
      </c>
      <c r="R566">
        <v>259</v>
      </c>
      <c r="S566">
        <v>5.94</v>
      </c>
      <c r="T566" s="8">
        <v>182.76</v>
      </c>
      <c r="U566">
        <v>11040306</v>
      </c>
      <c r="V566" t="s">
        <v>5408</v>
      </c>
      <c r="W566" t="s">
        <v>5409</v>
      </c>
      <c r="X566" t="s">
        <v>5410</v>
      </c>
      <c r="Y566" t="s">
        <v>5411</v>
      </c>
      <c r="Z566" t="s">
        <v>5412</v>
      </c>
      <c r="AA566" t="s">
        <v>5413</v>
      </c>
      <c r="AB566" t="s">
        <v>5414</v>
      </c>
      <c r="AC566" t="s">
        <v>5414</v>
      </c>
      <c r="AD566" t="s">
        <v>5414</v>
      </c>
      <c r="AG566" t="s">
        <v>5415</v>
      </c>
      <c r="AI566" t="s">
        <v>5522</v>
      </c>
      <c r="AJ566" t="s">
        <v>5555</v>
      </c>
      <c r="AL566" t="s">
        <v>5418</v>
      </c>
      <c r="AN566" t="s">
        <v>5419</v>
      </c>
    </row>
    <row r="567" spans="1:40" x14ac:dyDescent="0.25">
      <c r="A567">
        <v>1088749483</v>
      </c>
      <c r="B567" t="s">
        <v>5399</v>
      </c>
      <c r="C567">
        <v>252406</v>
      </c>
      <c r="D567" t="s">
        <v>5400</v>
      </c>
      <c r="E567">
        <v>46228.332951388889</v>
      </c>
      <c r="F567" t="s">
        <v>5626</v>
      </c>
      <c r="G567" t="s">
        <v>3668</v>
      </c>
      <c r="H567" t="s">
        <v>5552</v>
      </c>
      <c r="I567" t="s">
        <v>5403</v>
      </c>
      <c r="J567">
        <v>2026</v>
      </c>
      <c r="K567" t="s">
        <v>5627</v>
      </c>
      <c r="L567" t="s">
        <v>5628</v>
      </c>
      <c r="M567" t="s">
        <v>5406</v>
      </c>
      <c r="N567" s="1" t="s">
        <v>4565</v>
      </c>
      <c r="O567">
        <v>45.94</v>
      </c>
      <c r="P567">
        <v>4.1890000000000001</v>
      </c>
      <c r="Q567">
        <v>22792</v>
      </c>
      <c r="R567">
        <v>398</v>
      </c>
      <c r="S567">
        <v>8.66</v>
      </c>
      <c r="T567" s="8">
        <v>192.48</v>
      </c>
      <c r="U567">
        <v>11040306</v>
      </c>
      <c r="V567" t="s">
        <v>5408</v>
      </c>
      <c r="W567" t="s">
        <v>5409</v>
      </c>
      <c r="X567" t="s">
        <v>5410</v>
      </c>
      <c r="Y567" t="s">
        <v>5411</v>
      </c>
      <c r="Z567" t="s">
        <v>5412</v>
      </c>
      <c r="AA567" t="s">
        <v>5413</v>
      </c>
      <c r="AB567" t="s">
        <v>5414</v>
      </c>
      <c r="AC567" t="s">
        <v>5414</v>
      </c>
      <c r="AD567" t="s">
        <v>5414</v>
      </c>
      <c r="AG567" t="s">
        <v>5415</v>
      </c>
      <c r="AI567" t="s">
        <v>5460</v>
      </c>
      <c r="AJ567" t="s">
        <v>5630</v>
      </c>
      <c r="AL567" t="s">
        <v>5418</v>
      </c>
      <c r="AN567" t="s">
        <v>5419</v>
      </c>
    </row>
    <row r="568" spans="1:40" x14ac:dyDescent="0.25">
      <c r="A568">
        <v>1088751096</v>
      </c>
      <c r="B568" t="s">
        <v>5399</v>
      </c>
      <c r="C568">
        <v>252406</v>
      </c>
      <c r="D568" t="s">
        <v>5400</v>
      </c>
      <c r="E568">
        <v>46228.340104166666</v>
      </c>
      <c r="F568" t="s">
        <v>5486</v>
      </c>
      <c r="G568" t="s">
        <v>3668</v>
      </c>
      <c r="H568" t="s">
        <v>5487</v>
      </c>
      <c r="I568" t="s">
        <v>5403</v>
      </c>
      <c r="J568">
        <v>2025</v>
      </c>
      <c r="K568" t="s">
        <v>5488</v>
      </c>
      <c r="L568" t="s">
        <v>5489</v>
      </c>
      <c r="M568" t="s">
        <v>5406</v>
      </c>
      <c r="N568" s="1" t="s">
        <v>4565</v>
      </c>
      <c r="O568">
        <v>30.96</v>
      </c>
      <c r="P568">
        <v>4.29</v>
      </c>
      <c r="Q568">
        <v>57953</v>
      </c>
      <c r="R568">
        <v>288</v>
      </c>
      <c r="S568">
        <v>9.3000000000000007</v>
      </c>
      <c r="T568" s="8">
        <v>132.82</v>
      </c>
      <c r="U568">
        <v>11153887</v>
      </c>
      <c r="V568" t="s">
        <v>5490</v>
      </c>
      <c r="W568" t="s">
        <v>5409</v>
      </c>
      <c r="X568" t="s">
        <v>5491</v>
      </c>
      <c r="Y568" t="s">
        <v>5492</v>
      </c>
      <c r="Z568" t="s">
        <v>5426</v>
      </c>
      <c r="AA568" t="s">
        <v>5413</v>
      </c>
      <c r="AB568" t="s">
        <v>5414</v>
      </c>
      <c r="AC568" t="s">
        <v>5414</v>
      </c>
      <c r="AD568" t="s">
        <v>5414</v>
      </c>
      <c r="AG568" t="s">
        <v>5415</v>
      </c>
      <c r="AI568" t="s">
        <v>5460</v>
      </c>
      <c r="AJ568" t="s">
        <v>5493</v>
      </c>
      <c r="AL568" t="s">
        <v>5418</v>
      </c>
      <c r="AN568" t="s">
        <v>5419</v>
      </c>
    </row>
    <row r="569" spans="1:40" x14ac:dyDescent="0.25">
      <c r="A569">
        <v>1088751291</v>
      </c>
      <c r="B569" t="s">
        <v>5399</v>
      </c>
      <c r="C569">
        <v>252406</v>
      </c>
      <c r="D569" t="s">
        <v>5400</v>
      </c>
      <c r="E569">
        <v>46228.34097222222</v>
      </c>
      <c r="F569" t="s">
        <v>5755</v>
      </c>
      <c r="G569" t="s">
        <v>3668</v>
      </c>
      <c r="H569" t="s">
        <v>167</v>
      </c>
      <c r="I569" t="s">
        <v>5403</v>
      </c>
      <c r="J569">
        <v>2026</v>
      </c>
      <c r="K569" t="s">
        <v>5436</v>
      </c>
      <c r="L569" t="s">
        <v>5437</v>
      </c>
      <c r="M569" t="s">
        <v>5406</v>
      </c>
      <c r="N569" s="1" t="s">
        <v>4565</v>
      </c>
      <c r="O569">
        <v>34.659999999999997</v>
      </c>
      <c r="P569">
        <v>4.1890000000000001</v>
      </c>
      <c r="Q569">
        <v>2387</v>
      </c>
      <c r="R569">
        <v>261</v>
      </c>
      <c r="S569">
        <v>7.53</v>
      </c>
      <c r="T569" s="8">
        <v>145.22</v>
      </c>
      <c r="U569">
        <v>11040306</v>
      </c>
      <c r="V569" t="s">
        <v>5408</v>
      </c>
      <c r="W569" t="s">
        <v>5409</v>
      </c>
      <c r="X569" t="s">
        <v>5410</v>
      </c>
      <c r="Y569" t="s">
        <v>5411</v>
      </c>
      <c r="Z569" t="s">
        <v>5412</v>
      </c>
      <c r="AA569" t="s">
        <v>5413</v>
      </c>
      <c r="AB569" t="s">
        <v>5414</v>
      </c>
      <c r="AC569" t="s">
        <v>5414</v>
      </c>
      <c r="AD569" t="s">
        <v>5414</v>
      </c>
      <c r="AG569" t="s">
        <v>5415</v>
      </c>
      <c r="AI569" t="s">
        <v>5522</v>
      </c>
      <c r="AJ569" t="s">
        <v>5756</v>
      </c>
      <c r="AL569" t="s">
        <v>5418</v>
      </c>
      <c r="AN569" t="s">
        <v>5419</v>
      </c>
    </row>
    <row r="570" spans="1:40" x14ac:dyDescent="0.25">
      <c r="A570">
        <v>1088752873</v>
      </c>
      <c r="B570" t="s">
        <v>5399</v>
      </c>
      <c r="C570">
        <v>252406</v>
      </c>
      <c r="D570" t="s">
        <v>5400</v>
      </c>
      <c r="E570">
        <v>46228.343761574077</v>
      </c>
      <c r="F570" t="s">
        <v>5475</v>
      </c>
      <c r="G570" t="s">
        <v>3668</v>
      </c>
      <c r="H570" t="s">
        <v>5467</v>
      </c>
      <c r="I570" t="s">
        <v>5403</v>
      </c>
      <c r="J570">
        <v>2026</v>
      </c>
      <c r="K570" t="s">
        <v>5463</v>
      </c>
      <c r="L570" t="s">
        <v>5464</v>
      </c>
      <c r="M570" t="s">
        <v>5406</v>
      </c>
      <c r="N570" s="1" t="s">
        <v>4565</v>
      </c>
      <c r="O570">
        <v>45.15</v>
      </c>
      <c r="P570">
        <v>4.2889999999999997</v>
      </c>
      <c r="Q570">
        <v>38017</v>
      </c>
      <c r="R570">
        <v>259</v>
      </c>
      <c r="S570">
        <v>5.74</v>
      </c>
      <c r="T570" s="8">
        <v>193.69</v>
      </c>
      <c r="U570">
        <v>491721</v>
      </c>
      <c r="V570" t="s">
        <v>5438</v>
      </c>
      <c r="W570" t="s">
        <v>5409</v>
      </c>
      <c r="X570" t="s">
        <v>5439</v>
      </c>
      <c r="Y570" t="s">
        <v>5440</v>
      </c>
      <c r="Z570" t="s">
        <v>5441</v>
      </c>
      <c r="AA570" t="s">
        <v>5413</v>
      </c>
      <c r="AB570" t="s">
        <v>5414</v>
      </c>
      <c r="AC570" t="s">
        <v>5414</v>
      </c>
      <c r="AD570" t="s">
        <v>5414</v>
      </c>
      <c r="AG570" t="s">
        <v>5415</v>
      </c>
      <c r="AI570" t="s">
        <v>5460</v>
      </c>
      <c r="AJ570" t="s">
        <v>5697</v>
      </c>
      <c r="AL570" t="s">
        <v>5418</v>
      </c>
      <c r="AN570" t="s">
        <v>5419</v>
      </c>
    </row>
    <row r="571" spans="1:40" x14ac:dyDescent="0.25">
      <c r="A571">
        <v>1088766476</v>
      </c>
      <c r="B571" t="s">
        <v>5399</v>
      </c>
      <c r="C571">
        <v>252406</v>
      </c>
      <c r="D571" t="s">
        <v>5400</v>
      </c>
      <c r="E571">
        <v>46228.3593287037</v>
      </c>
      <c r="F571" t="s">
        <v>5444</v>
      </c>
      <c r="G571" t="s">
        <v>3668</v>
      </c>
      <c r="H571" t="s">
        <v>5431</v>
      </c>
      <c r="I571" t="s">
        <v>5403</v>
      </c>
      <c r="J571">
        <v>2026</v>
      </c>
      <c r="K571" t="s">
        <v>5445</v>
      </c>
      <c r="L571" t="s">
        <v>5446</v>
      </c>
      <c r="M571" t="s">
        <v>5406</v>
      </c>
      <c r="N571" s="1" t="s">
        <v>4565</v>
      </c>
      <c r="O571">
        <v>35.5</v>
      </c>
      <c r="P571">
        <v>4.2889999999999997</v>
      </c>
      <c r="Q571">
        <v>21180</v>
      </c>
      <c r="R571">
        <v>280</v>
      </c>
      <c r="S571">
        <v>7.89</v>
      </c>
      <c r="T571" s="8">
        <v>152.29</v>
      </c>
      <c r="U571">
        <v>12193017</v>
      </c>
      <c r="V571" t="s">
        <v>5574</v>
      </c>
      <c r="W571" t="s">
        <v>5409</v>
      </c>
      <c r="X571" t="s">
        <v>5575</v>
      </c>
      <c r="Y571" t="s">
        <v>5576</v>
      </c>
      <c r="Z571" t="s">
        <v>5472</v>
      </c>
      <c r="AA571" t="s">
        <v>5413</v>
      </c>
      <c r="AB571" t="s">
        <v>5414</v>
      </c>
      <c r="AC571" t="s">
        <v>5414</v>
      </c>
      <c r="AD571" t="s">
        <v>5414</v>
      </c>
      <c r="AG571" t="s">
        <v>5427</v>
      </c>
      <c r="AI571" t="s">
        <v>5577</v>
      </c>
      <c r="AJ571" t="s">
        <v>5447</v>
      </c>
      <c r="AL571" t="s">
        <v>5418</v>
      </c>
      <c r="AN571" t="s">
        <v>5419</v>
      </c>
    </row>
    <row r="572" spans="1:40" x14ac:dyDescent="0.25">
      <c r="A572">
        <v>1088760571</v>
      </c>
      <c r="B572" t="s">
        <v>5399</v>
      </c>
      <c r="C572">
        <v>252406</v>
      </c>
      <c r="D572" t="s">
        <v>5400</v>
      </c>
      <c r="E572">
        <v>46228.376828703702</v>
      </c>
      <c r="F572" t="s">
        <v>5800</v>
      </c>
      <c r="G572" t="s">
        <v>3668</v>
      </c>
      <c r="H572" t="s">
        <v>5421</v>
      </c>
      <c r="I572" t="s">
        <v>5403</v>
      </c>
      <c r="J572">
        <v>2027</v>
      </c>
      <c r="K572" t="s">
        <v>5741</v>
      </c>
      <c r="L572" t="s">
        <v>5529</v>
      </c>
      <c r="M572" t="s">
        <v>5406</v>
      </c>
      <c r="N572" s="1" t="s">
        <v>4565</v>
      </c>
      <c r="O572">
        <v>37.6</v>
      </c>
      <c r="P572">
        <v>4.1890000000000001</v>
      </c>
      <c r="Q572">
        <v>1673</v>
      </c>
      <c r="R572">
        <v>279</v>
      </c>
      <c r="S572">
        <v>7.42</v>
      </c>
      <c r="T572" s="8">
        <v>157.54</v>
      </c>
      <c r="U572">
        <v>11040306</v>
      </c>
      <c r="V572" t="s">
        <v>5408</v>
      </c>
      <c r="W572" t="s">
        <v>5409</v>
      </c>
      <c r="X572" t="s">
        <v>5410</v>
      </c>
      <c r="Y572" t="s">
        <v>5411</v>
      </c>
      <c r="Z572" t="s">
        <v>5412</v>
      </c>
      <c r="AA572" t="s">
        <v>5413</v>
      </c>
      <c r="AB572" t="s">
        <v>5414</v>
      </c>
      <c r="AC572" t="s">
        <v>5414</v>
      </c>
      <c r="AD572" t="s">
        <v>5414</v>
      </c>
      <c r="AG572" t="s">
        <v>5415</v>
      </c>
      <c r="AI572" t="s">
        <v>5460</v>
      </c>
      <c r="AJ572" t="s">
        <v>5806</v>
      </c>
      <c r="AL572" t="s">
        <v>5418</v>
      </c>
      <c r="AN572" t="s">
        <v>5419</v>
      </c>
    </row>
    <row r="573" spans="1:40" x14ac:dyDescent="0.25">
      <c r="A573">
        <v>1088785209</v>
      </c>
      <c r="B573" t="s">
        <v>5399</v>
      </c>
      <c r="C573">
        <v>252406</v>
      </c>
      <c r="D573" t="s">
        <v>5400</v>
      </c>
      <c r="E573">
        <v>46228.492256944446</v>
      </c>
      <c r="F573" t="s">
        <v>5420</v>
      </c>
      <c r="G573" t="s">
        <v>3668</v>
      </c>
      <c r="H573" t="s">
        <v>5421</v>
      </c>
      <c r="I573" t="s">
        <v>5403</v>
      </c>
      <c r="J573">
        <v>2025</v>
      </c>
      <c r="K573" t="s">
        <v>5422</v>
      </c>
      <c r="L573" t="s">
        <v>5423</v>
      </c>
      <c r="M573" t="s">
        <v>5406</v>
      </c>
      <c r="N573" s="1" t="s">
        <v>4565</v>
      </c>
      <c r="O573">
        <v>30.37</v>
      </c>
      <c r="P573">
        <v>3.819</v>
      </c>
      <c r="Q573">
        <v>72682</v>
      </c>
      <c r="R573">
        <v>262</v>
      </c>
      <c r="S573">
        <v>8.6300000000000008</v>
      </c>
      <c r="T573" s="8">
        <v>116.01</v>
      </c>
      <c r="U573">
        <v>490156</v>
      </c>
      <c r="V573" t="s">
        <v>5578</v>
      </c>
      <c r="W573" t="s">
        <v>5409</v>
      </c>
      <c r="X573" t="s">
        <v>5579</v>
      </c>
      <c r="Y573" t="s">
        <v>5458</v>
      </c>
      <c r="Z573" t="s">
        <v>5412</v>
      </c>
      <c r="AA573" t="s">
        <v>5413</v>
      </c>
      <c r="AB573" t="s">
        <v>5414</v>
      </c>
      <c r="AC573" t="s">
        <v>5414</v>
      </c>
      <c r="AD573" t="s">
        <v>5414</v>
      </c>
      <c r="AG573" t="s">
        <v>5415</v>
      </c>
      <c r="AI573" t="s">
        <v>5580</v>
      </c>
      <c r="AJ573" t="s">
        <v>5429</v>
      </c>
      <c r="AL573" t="s">
        <v>5418</v>
      </c>
      <c r="AN573" t="s">
        <v>5419</v>
      </c>
    </row>
    <row r="574" spans="1:40" x14ac:dyDescent="0.25">
      <c r="A574">
        <v>1088794402</v>
      </c>
      <c r="B574" t="s">
        <v>5399</v>
      </c>
      <c r="C574">
        <v>252406</v>
      </c>
      <c r="D574" t="s">
        <v>5400</v>
      </c>
      <c r="E574">
        <v>46228.511273148149</v>
      </c>
      <c r="F574" t="s">
        <v>5743</v>
      </c>
      <c r="G574" t="s">
        <v>3668</v>
      </c>
      <c r="H574" t="s">
        <v>5539</v>
      </c>
      <c r="I574" t="s">
        <v>5403</v>
      </c>
      <c r="J574">
        <v>2026</v>
      </c>
      <c r="K574" t="s">
        <v>5753</v>
      </c>
      <c r="L574" t="s">
        <v>5754</v>
      </c>
      <c r="M574" t="s">
        <v>5406</v>
      </c>
      <c r="N574" s="1" t="s">
        <v>4565</v>
      </c>
      <c r="O574">
        <v>45.12</v>
      </c>
      <c r="P574">
        <v>3.99</v>
      </c>
      <c r="Q574">
        <v>19632</v>
      </c>
      <c r="R574">
        <v>307</v>
      </c>
      <c r="S574">
        <v>6.8</v>
      </c>
      <c r="T574" s="8">
        <v>180.03</v>
      </c>
      <c r="U574">
        <v>11032680</v>
      </c>
      <c r="V574" t="s">
        <v>5903</v>
      </c>
      <c r="W574" t="s">
        <v>5409</v>
      </c>
      <c r="X574" t="s">
        <v>5904</v>
      </c>
      <c r="Y574" t="s">
        <v>5411</v>
      </c>
      <c r="Z574" t="s">
        <v>5905</v>
      </c>
      <c r="AA574" t="s">
        <v>5413</v>
      </c>
      <c r="AB574" t="s">
        <v>5414</v>
      </c>
      <c r="AC574" t="s">
        <v>5414</v>
      </c>
      <c r="AD574" t="s">
        <v>5414</v>
      </c>
      <c r="AG574" t="s">
        <v>5427</v>
      </c>
      <c r="AI574" t="s">
        <v>5906</v>
      </c>
      <c r="AJ574" t="s">
        <v>5746</v>
      </c>
      <c r="AL574" t="s">
        <v>5418</v>
      </c>
      <c r="AN574" t="s">
        <v>5419</v>
      </c>
    </row>
    <row r="575" spans="1:40" x14ac:dyDescent="0.25">
      <c r="A575">
        <v>1088801088</v>
      </c>
      <c r="B575" t="s">
        <v>5399</v>
      </c>
      <c r="C575">
        <v>252406</v>
      </c>
      <c r="D575" t="s">
        <v>5400</v>
      </c>
      <c r="E575">
        <v>46228.538854166669</v>
      </c>
      <c r="F575" t="s">
        <v>5524</v>
      </c>
      <c r="G575" t="s">
        <v>3668</v>
      </c>
      <c r="H575" t="s">
        <v>5421</v>
      </c>
      <c r="I575" t="s">
        <v>5524</v>
      </c>
      <c r="J575">
        <v>2025</v>
      </c>
      <c r="K575" t="s">
        <v>5525</v>
      </c>
      <c r="L575" t="s">
        <v>5526</v>
      </c>
      <c r="M575" t="s">
        <v>5406</v>
      </c>
      <c r="N575" s="1" t="s">
        <v>5783</v>
      </c>
      <c r="O575">
        <v>31.21</v>
      </c>
      <c r="P575">
        <v>4.2889999999999997</v>
      </c>
      <c r="Q575">
        <v>67139</v>
      </c>
      <c r="R575">
        <v>297</v>
      </c>
      <c r="S575">
        <v>9.52</v>
      </c>
      <c r="T575" s="8">
        <v>133.88999999999999</v>
      </c>
      <c r="U575">
        <v>12363133</v>
      </c>
      <c r="V575" t="s">
        <v>5923</v>
      </c>
      <c r="W575" t="s">
        <v>5409</v>
      </c>
      <c r="X575" t="s">
        <v>5924</v>
      </c>
      <c r="Y575" t="s">
        <v>5925</v>
      </c>
      <c r="Z575" t="s">
        <v>5483</v>
      </c>
      <c r="AA575" t="s">
        <v>5413</v>
      </c>
      <c r="AB575" t="s">
        <v>5414</v>
      </c>
      <c r="AC575" t="s">
        <v>5414</v>
      </c>
      <c r="AD575" t="s">
        <v>5414</v>
      </c>
      <c r="AG575" t="s">
        <v>5427</v>
      </c>
      <c r="AI575" t="s">
        <v>5926</v>
      </c>
      <c r="AJ575" t="s">
        <v>5527</v>
      </c>
      <c r="AK575" t="s">
        <v>5528</v>
      </c>
      <c r="AL575" t="s">
        <v>5418</v>
      </c>
      <c r="AN575" t="s">
        <v>5529</v>
      </c>
    </row>
    <row r="576" spans="1:40" x14ac:dyDescent="0.25">
      <c r="A576">
        <v>1088817307</v>
      </c>
      <c r="B576" t="s">
        <v>5399</v>
      </c>
      <c r="C576">
        <v>252406</v>
      </c>
      <c r="D576" t="s">
        <v>5400</v>
      </c>
      <c r="E576">
        <v>46228.647951388892</v>
      </c>
      <c r="F576" t="s">
        <v>5505</v>
      </c>
      <c r="G576" t="s">
        <v>3668</v>
      </c>
      <c r="H576" t="s">
        <v>5506</v>
      </c>
      <c r="I576" t="s">
        <v>5403</v>
      </c>
      <c r="J576">
        <v>2026</v>
      </c>
      <c r="K576" t="s">
        <v>5507</v>
      </c>
      <c r="L576" t="s">
        <v>5508</v>
      </c>
      <c r="M576" t="s">
        <v>5406</v>
      </c>
      <c r="N576" s="1" t="s">
        <v>4565</v>
      </c>
      <c r="O576">
        <v>38.36</v>
      </c>
      <c r="P576">
        <v>3.589</v>
      </c>
      <c r="Q576">
        <v>7647</v>
      </c>
      <c r="R576">
        <v>291</v>
      </c>
      <c r="S576">
        <v>7.59</v>
      </c>
      <c r="T576" s="8">
        <v>137.71</v>
      </c>
      <c r="U576">
        <v>12815000</v>
      </c>
      <c r="V576" t="s">
        <v>5448</v>
      </c>
      <c r="W576" t="s">
        <v>5409</v>
      </c>
      <c r="X576" t="s">
        <v>5449</v>
      </c>
      <c r="Y576" t="s">
        <v>5450</v>
      </c>
      <c r="Z576" t="s">
        <v>5426</v>
      </c>
      <c r="AA576" t="s">
        <v>5413</v>
      </c>
      <c r="AB576" t="s">
        <v>5414</v>
      </c>
      <c r="AC576" t="s">
        <v>5414</v>
      </c>
      <c r="AD576" t="s">
        <v>5414</v>
      </c>
      <c r="AG576" t="s">
        <v>5427</v>
      </c>
      <c r="AI576" t="s">
        <v>5451</v>
      </c>
      <c r="AJ576" t="s">
        <v>5509</v>
      </c>
      <c r="AL576" t="s">
        <v>5418</v>
      </c>
      <c r="AN576" t="s">
        <v>5419</v>
      </c>
    </row>
    <row r="577" spans="1:40" x14ac:dyDescent="0.25">
      <c r="A577">
        <v>1088817816</v>
      </c>
      <c r="B577" t="s">
        <v>5399</v>
      </c>
      <c r="C577">
        <v>252406</v>
      </c>
      <c r="D577" t="s">
        <v>5400</v>
      </c>
      <c r="E577">
        <v>46228.651574074072</v>
      </c>
      <c r="F577" t="s">
        <v>5847</v>
      </c>
      <c r="G577" t="s">
        <v>3668</v>
      </c>
      <c r="H577" t="s">
        <v>5421</v>
      </c>
      <c r="I577" t="s">
        <v>5403</v>
      </c>
      <c r="J577">
        <v>2027</v>
      </c>
      <c r="K577" t="s">
        <v>5694</v>
      </c>
      <c r="L577" t="s">
        <v>5695</v>
      </c>
      <c r="M577" t="s">
        <v>5406</v>
      </c>
      <c r="N577" s="1" t="s">
        <v>4565</v>
      </c>
      <c r="O577">
        <v>38.869999999999997</v>
      </c>
      <c r="P577">
        <v>4.5</v>
      </c>
      <c r="Q577">
        <v>1585</v>
      </c>
      <c r="R577">
        <v>253</v>
      </c>
      <c r="S577">
        <v>6.51</v>
      </c>
      <c r="T577" s="8">
        <v>174.92</v>
      </c>
      <c r="U577">
        <v>11032621</v>
      </c>
      <c r="V577" t="s">
        <v>5569</v>
      </c>
      <c r="W577" t="s">
        <v>5409</v>
      </c>
      <c r="X577" t="s">
        <v>5570</v>
      </c>
      <c r="Y577" t="s">
        <v>5458</v>
      </c>
      <c r="Z577" t="s">
        <v>5571</v>
      </c>
      <c r="AA577" t="s">
        <v>5413</v>
      </c>
      <c r="AB577" t="s">
        <v>5414</v>
      </c>
      <c r="AC577" t="s">
        <v>5414</v>
      </c>
      <c r="AD577" t="s">
        <v>5414</v>
      </c>
      <c r="AG577" t="s">
        <v>5427</v>
      </c>
      <c r="AI577" t="s">
        <v>5572</v>
      </c>
      <c r="AJ577" t="s">
        <v>5855</v>
      </c>
      <c r="AL577" t="s">
        <v>5418</v>
      </c>
      <c r="AN577" t="s">
        <v>5419</v>
      </c>
    </row>
    <row r="578" spans="1:40" x14ac:dyDescent="0.25">
      <c r="A578">
        <v>1088819233</v>
      </c>
      <c r="B578" t="s">
        <v>5399</v>
      </c>
      <c r="C578">
        <v>252406</v>
      </c>
      <c r="D578" t="s">
        <v>5400</v>
      </c>
      <c r="E578">
        <v>46228.654409722221</v>
      </c>
      <c r="F578" t="s">
        <v>5585</v>
      </c>
      <c r="G578" t="s">
        <v>3668</v>
      </c>
      <c r="H578" t="s">
        <v>5506</v>
      </c>
      <c r="I578" t="s">
        <v>5403</v>
      </c>
      <c r="J578">
        <v>2026</v>
      </c>
      <c r="K578" t="s">
        <v>5717</v>
      </c>
      <c r="L578" t="s">
        <v>5718</v>
      </c>
      <c r="M578" t="s">
        <v>5406</v>
      </c>
      <c r="N578" s="1" t="s">
        <v>4565</v>
      </c>
      <c r="O578">
        <v>33.57</v>
      </c>
      <c r="P578">
        <v>4.29</v>
      </c>
      <c r="Q578">
        <v>4762</v>
      </c>
      <c r="R578">
        <v>219</v>
      </c>
      <c r="S578">
        <v>6.52</v>
      </c>
      <c r="T578" s="8">
        <v>144.02000000000001</v>
      </c>
      <c r="U578">
        <v>11198252</v>
      </c>
      <c r="V578" t="s">
        <v>5424</v>
      </c>
      <c r="W578" t="s">
        <v>5409</v>
      </c>
      <c r="X578" t="s">
        <v>5425</v>
      </c>
      <c r="Y578" t="s">
        <v>5411</v>
      </c>
      <c r="Z578" t="s">
        <v>5426</v>
      </c>
      <c r="AA578" t="s">
        <v>5413</v>
      </c>
      <c r="AB578" t="s">
        <v>5414</v>
      </c>
      <c r="AC578" t="s">
        <v>5414</v>
      </c>
      <c r="AD578" t="s">
        <v>5414</v>
      </c>
      <c r="AG578" t="s">
        <v>5427</v>
      </c>
      <c r="AI578" t="s">
        <v>5428</v>
      </c>
      <c r="AJ578" t="s">
        <v>5588</v>
      </c>
      <c r="AL578" t="s">
        <v>5418</v>
      </c>
      <c r="AN578" t="s">
        <v>5419</v>
      </c>
    </row>
    <row r="579" spans="1:40" x14ac:dyDescent="0.25">
      <c r="A579">
        <v>1088829204</v>
      </c>
      <c r="B579" t="s">
        <v>5399</v>
      </c>
      <c r="C579">
        <v>252406</v>
      </c>
      <c r="D579" t="s">
        <v>5400</v>
      </c>
      <c r="E579">
        <v>46228.718634259261</v>
      </c>
      <c r="F579" t="s">
        <v>5401</v>
      </c>
      <c r="G579" t="s">
        <v>3668</v>
      </c>
      <c r="H579" t="s">
        <v>5402</v>
      </c>
      <c r="I579" t="s">
        <v>5403</v>
      </c>
      <c r="J579">
        <v>2026</v>
      </c>
      <c r="K579" t="s">
        <v>5404</v>
      </c>
      <c r="L579" t="s">
        <v>5405</v>
      </c>
      <c r="M579" t="s">
        <v>5406</v>
      </c>
      <c r="N579" s="1" t="s">
        <v>4565</v>
      </c>
      <c r="O579">
        <v>35.340000000000003</v>
      </c>
      <c r="P579">
        <v>4.29</v>
      </c>
      <c r="Q579">
        <v>37143</v>
      </c>
      <c r="R579">
        <v>274</v>
      </c>
      <c r="S579">
        <v>7.75</v>
      </c>
      <c r="T579" s="8">
        <v>151.61000000000001</v>
      </c>
      <c r="U579">
        <v>12193017</v>
      </c>
      <c r="V579" t="s">
        <v>5574</v>
      </c>
      <c r="W579" t="s">
        <v>5409</v>
      </c>
      <c r="X579" t="s">
        <v>5575</v>
      </c>
      <c r="Y579" t="s">
        <v>5576</v>
      </c>
      <c r="Z579" t="s">
        <v>5472</v>
      </c>
      <c r="AA579" t="s">
        <v>5413</v>
      </c>
      <c r="AB579" t="s">
        <v>5414</v>
      </c>
      <c r="AC579" t="s">
        <v>5414</v>
      </c>
      <c r="AD579" t="s">
        <v>5414</v>
      </c>
      <c r="AG579" t="s">
        <v>5427</v>
      </c>
      <c r="AI579" t="s">
        <v>5577</v>
      </c>
      <c r="AJ579" t="s">
        <v>5417</v>
      </c>
      <c r="AL579" t="s">
        <v>5418</v>
      </c>
      <c r="AN579" t="s">
        <v>5419</v>
      </c>
    </row>
    <row r="580" spans="1:40" x14ac:dyDescent="0.25">
      <c r="A580">
        <v>1088830369</v>
      </c>
      <c r="B580" t="s">
        <v>5399</v>
      </c>
      <c r="C580">
        <v>252406</v>
      </c>
      <c r="D580" t="s">
        <v>5400</v>
      </c>
      <c r="E580">
        <v>46228.770150462966</v>
      </c>
      <c r="F580" t="s">
        <v>5475</v>
      </c>
      <c r="G580" t="s">
        <v>3668</v>
      </c>
      <c r="H580" t="s">
        <v>5467</v>
      </c>
      <c r="I580" t="s">
        <v>5403</v>
      </c>
      <c r="J580">
        <v>2026</v>
      </c>
      <c r="K580" t="s">
        <v>5837</v>
      </c>
      <c r="L580" t="s">
        <v>5838</v>
      </c>
      <c r="M580" t="s">
        <v>5406</v>
      </c>
      <c r="N580" s="1" t="s">
        <v>4565</v>
      </c>
      <c r="O580">
        <v>49.71</v>
      </c>
      <c r="P580">
        <v>4.1890000000000001</v>
      </c>
      <c r="Q580">
        <v>38329</v>
      </c>
      <c r="R580">
        <v>312</v>
      </c>
      <c r="S580">
        <v>6.28</v>
      </c>
      <c r="T580" s="8">
        <v>208.28</v>
      </c>
      <c r="U580">
        <v>11040306</v>
      </c>
      <c r="V580" t="s">
        <v>5408</v>
      </c>
      <c r="W580" t="s">
        <v>5409</v>
      </c>
      <c r="X580" t="s">
        <v>5410</v>
      </c>
      <c r="Y580" t="s">
        <v>5411</v>
      </c>
      <c r="Z580" t="s">
        <v>5412</v>
      </c>
      <c r="AA580" t="s">
        <v>5413</v>
      </c>
      <c r="AB580" t="s">
        <v>5414</v>
      </c>
      <c r="AC580" t="s">
        <v>5414</v>
      </c>
      <c r="AD580" t="s">
        <v>5414</v>
      </c>
      <c r="AG580" t="s">
        <v>5415</v>
      </c>
      <c r="AI580" t="s">
        <v>5416</v>
      </c>
      <c r="AJ580" t="s">
        <v>5697</v>
      </c>
      <c r="AL580" t="s">
        <v>5418</v>
      </c>
      <c r="AN580" t="s">
        <v>5419</v>
      </c>
    </row>
    <row r="581" spans="1:40" x14ac:dyDescent="0.25">
      <c r="A581">
        <v>1088834626</v>
      </c>
      <c r="B581" t="s">
        <v>5399</v>
      </c>
      <c r="C581">
        <v>252406</v>
      </c>
      <c r="D581" t="s">
        <v>5400</v>
      </c>
      <c r="E581">
        <v>46228.773460648146</v>
      </c>
      <c r="F581" t="s">
        <v>5462</v>
      </c>
      <c r="G581" t="s">
        <v>3668</v>
      </c>
      <c r="H581" t="s">
        <v>5402</v>
      </c>
      <c r="I581" t="s">
        <v>5403</v>
      </c>
      <c r="J581">
        <v>2026</v>
      </c>
      <c r="K581" t="s">
        <v>5604</v>
      </c>
      <c r="L581" t="s">
        <v>5605</v>
      </c>
      <c r="M581" t="s">
        <v>5406</v>
      </c>
      <c r="N581" s="1" t="s">
        <v>4565</v>
      </c>
      <c r="O581">
        <v>36.9</v>
      </c>
      <c r="P581">
        <v>4.2889999999999997</v>
      </c>
      <c r="Q581">
        <v>29770</v>
      </c>
      <c r="R581">
        <v>149</v>
      </c>
      <c r="S581">
        <v>4.04</v>
      </c>
      <c r="T581" s="8">
        <v>158.30000000000001</v>
      </c>
      <c r="U581">
        <v>609951</v>
      </c>
      <c r="V581" t="s">
        <v>5819</v>
      </c>
      <c r="W581" t="s">
        <v>5409</v>
      </c>
      <c r="X581" t="s">
        <v>5820</v>
      </c>
      <c r="Y581" t="s">
        <v>5458</v>
      </c>
      <c r="Z581" t="s">
        <v>5426</v>
      </c>
      <c r="AA581" t="s">
        <v>5413</v>
      </c>
      <c r="AB581" t="s">
        <v>5414</v>
      </c>
      <c r="AC581" t="s">
        <v>5414</v>
      </c>
      <c r="AD581" t="s">
        <v>5414</v>
      </c>
      <c r="AG581" t="s">
        <v>5427</v>
      </c>
      <c r="AI581" t="s">
        <v>5821</v>
      </c>
      <c r="AJ581" t="s">
        <v>5465</v>
      </c>
      <c r="AL581" t="s">
        <v>5418</v>
      </c>
      <c r="AN581" t="s">
        <v>5419</v>
      </c>
    </row>
    <row r="582" spans="1:40" x14ac:dyDescent="0.25">
      <c r="A582">
        <v>1088854813</v>
      </c>
      <c r="B582" t="s">
        <v>5399</v>
      </c>
      <c r="C582">
        <v>252406</v>
      </c>
      <c r="D582" t="s">
        <v>5400</v>
      </c>
      <c r="E582">
        <v>46229.301064814812</v>
      </c>
      <c r="F582" t="s">
        <v>5435</v>
      </c>
      <c r="G582" t="s">
        <v>3668</v>
      </c>
      <c r="H582" t="s">
        <v>5421</v>
      </c>
      <c r="I582" t="s">
        <v>5403</v>
      </c>
      <c r="J582">
        <v>2026</v>
      </c>
      <c r="K582" t="s">
        <v>5436</v>
      </c>
      <c r="L582" t="s">
        <v>5437</v>
      </c>
      <c r="M582" t="s">
        <v>5406</v>
      </c>
      <c r="N582" s="1" t="s">
        <v>4565</v>
      </c>
      <c r="O582">
        <v>30.2</v>
      </c>
      <c r="P582">
        <v>3.99</v>
      </c>
      <c r="Q582">
        <v>50550</v>
      </c>
      <c r="R582">
        <v>152</v>
      </c>
      <c r="S582">
        <v>5.03</v>
      </c>
      <c r="T582" s="8">
        <v>120.5</v>
      </c>
      <c r="U582">
        <v>11032680</v>
      </c>
      <c r="V582" t="s">
        <v>5903</v>
      </c>
      <c r="W582" t="s">
        <v>5409</v>
      </c>
      <c r="X582" t="s">
        <v>5904</v>
      </c>
      <c r="Y582" t="s">
        <v>5411</v>
      </c>
      <c r="Z582" t="s">
        <v>5905</v>
      </c>
      <c r="AA582" t="s">
        <v>5413</v>
      </c>
      <c r="AB582" t="s">
        <v>5414</v>
      </c>
      <c r="AC582" t="s">
        <v>5414</v>
      </c>
      <c r="AD582" t="s">
        <v>5414</v>
      </c>
      <c r="AG582" t="s">
        <v>5427</v>
      </c>
      <c r="AI582" t="s">
        <v>5906</v>
      </c>
      <c r="AJ582" t="s">
        <v>5443</v>
      </c>
      <c r="AL582" t="s">
        <v>5418</v>
      </c>
      <c r="AN582" t="s">
        <v>5419</v>
      </c>
    </row>
    <row r="583" spans="1:40" x14ac:dyDescent="0.25">
      <c r="A583">
        <v>1088855258</v>
      </c>
      <c r="B583" t="s">
        <v>5399</v>
      </c>
      <c r="C583">
        <v>252406</v>
      </c>
      <c r="D583" t="s">
        <v>5400</v>
      </c>
      <c r="E583">
        <v>46229.305844907409</v>
      </c>
      <c r="F583" t="s">
        <v>5486</v>
      </c>
      <c r="G583" t="s">
        <v>3668</v>
      </c>
      <c r="H583" t="s">
        <v>5487</v>
      </c>
      <c r="I583" t="s">
        <v>5403</v>
      </c>
      <c r="J583">
        <v>2025</v>
      </c>
      <c r="K583" t="s">
        <v>5488</v>
      </c>
      <c r="L583" t="s">
        <v>5489</v>
      </c>
      <c r="M583" t="s">
        <v>5406</v>
      </c>
      <c r="N583" s="1" t="s">
        <v>4565</v>
      </c>
      <c r="O583">
        <v>25.13</v>
      </c>
      <c r="P583">
        <v>4.66</v>
      </c>
      <c r="Q583">
        <v>58172</v>
      </c>
      <c r="R583">
        <v>219</v>
      </c>
      <c r="S583">
        <v>8.7100000000000009</v>
      </c>
      <c r="T583" s="8">
        <v>117.11</v>
      </c>
      <c r="U583">
        <v>11120083</v>
      </c>
      <c r="V583" t="s">
        <v>5596</v>
      </c>
      <c r="W583" t="s">
        <v>5409</v>
      </c>
      <c r="X583" t="s">
        <v>5597</v>
      </c>
      <c r="Y583" t="s">
        <v>5458</v>
      </c>
      <c r="Z583" t="s">
        <v>5598</v>
      </c>
      <c r="AA583" t="s">
        <v>5413</v>
      </c>
      <c r="AB583" t="s">
        <v>5414</v>
      </c>
      <c r="AC583" t="s">
        <v>5414</v>
      </c>
      <c r="AD583" t="s">
        <v>5414</v>
      </c>
      <c r="AG583" t="s">
        <v>5427</v>
      </c>
      <c r="AI583" t="s">
        <v>5599</v>
      </c>
      <c r="AJ583" t="s">
        <v>5493</v>
      </c>
      <c r="AL583" t="s">
        <v>5418</v>
      </c>
      <c r="AN583" t="s">
        <v>5419</v>
      </c>
    </row>
    <row r="584" spans="1:40" x14ac:dyDescent="0.25">
      <c r="A584">
        <v>1088855261</v>
      </c>
      <c r="B584" t="s">
        <v>5399</v>
      </c>
      <c r="C584">
        <v>252406</v>
      </c>
      <c r="D584" t="s">
        <v>5400</v>
      </c>
      <c r="E584">
        <v>46229.347662037035</v>
      </c>
      <c r="F584" t="s">
        <v>5757</v>
      </c>
      <c r="G584" t="s">
        <v>3668</v>
      </c>
      <c r="H584" t="s">
        <v>5421</v>
      </c>
      <c r="I584" t="s">
        <v>5403</v>
      </c>
      <c r="J584">
        <v>2027</v>
      </c>
      <c r="K584" t="s">
        <v>5520</v>
      </c>
      <c r="L584" t="s">
        <v>5521</v>
      </c>
      <c r="M584" t="s">
        <v>5406</v>
      </c>
      <c r="N584" s="1" t="s">
        <v>4565</v>
      </c>
      <c r="O584">
        <v>27.82</v>
      </c>
      <c r="P584">
        <v>4.1890000000000001</v>
      </c>
      <c r="Q584">
        <v>3076</v>
      </c>
      <c r="R584">
        <v>236</v>
      </c>
      <c r="S584">
        <v>8.48</v>
      </c>
      <c r="T584" s="8">
        <v>116.56</v>
      </c>
      <c r="U584">
        <v>11040306</v>
      </c>
      <c r="V584" t="s">
        <v>5408</v>
      </c>
      <c r="W584" t="s">
        <v>5409</v>
      </c>
      <c r="X584" t="s">
        <v>5410</v>
      </c>
      <c r="Y584" t="s">
        <v>5411</v>
      </c>
      <c r="Z584" t="s">
        <v>5412</v>
      </c>
      <c r="AA584" t="s">
        <v>5413</v>
      </c>
      <c r="AB584" t="s">
        <v>5414</v>
      </c>
      <c r="AC584" t="s">
        <v>5414</v>
      </c>
      <c r="AD584" t="s">
        <v>5414</v>
      </c>
      <c r="AG584" t="s">
        <v>5415</v>
      </c>
      <c r="AI584" t="s">
        <v>5522</v>
      </c>
      <c r="AJ584" t="s">
        <v>5765</v>
      </c>
      <c r="AL584" t="s">
        <v>5418</v>
      </c>
      <c r="AN584" t="s">
        <v>5419</v>
      </c>
    </row>
    <row r="585" spans="1:40" x14ac:dyDescent="0.25">
      <c r="A585">
        <v>1088861536</v>
      </c>
      <c r="B585" t="s">
        <v>5399</v>
      </c>
      <c r="C585">
        <v>252406</v>
      </c>
      <c r="D585" t="s">
        <v>5400</v>
      </c>
      <c r="E585">
        <v>46229.365937499999</v>
      </c>
      <c r="F585" t="s">
        <v>5475</v>
      </c>
      <c r="G585" t="s">
        <v>3668</v>
      </c>
      <c r="H585" t="s">
        <v>5467</v>
      </c>
      <c r="I585" t="s">
        <v>5403</v>
      </c>
      <c r="J585">
        <v>2026</v>
      </c>
      <c r="K585" t="s">
        <v>5837</v>
      </c>
      <c r="L585" t="s">
        <v>5838</v>
      </c>
      <c r="M585" t="s">
        <v>5406</v>
      </c>
      <c r="N585" s="1" t="s">
        <v>4565</v>
      </c>
      <c r="O585">
        <v>35.86</v>
      </c>
      <c r="P585">
        <v>4.29</v>
      </c>
      <c r="Q585">
        <v>38583</v>
      </c>
      <c r="R585">
        <v>254</v>
      </c>
      <c r="S585">
        <v>7.08</v>
      </c>
      <c r="T585" s="8">
        <v>153.84</v>
      </c>
      <c r="U585">
        <v>11198252</v>
      </c>
      <c r="V585" t="s">
        <v>5424</v>
      </c>
      <c r="W585" t="s">
        <v>5409</v>
      </c>
      <c r="X585" t="s">
        <v>5425</v>
      </c>
      <c r="Y585" t="s">
        <v>5411</v>
      </c>
      <c r="Z585" t="s">
        <v>5426</v>
      </c>
      <c r="AA585" t="s">
        <v>5413</v>
      </c>
      <c r="AB585" t="s">
        <v>5414</v>
      </c>
      <c r="AC585" t="s">
        <v>5414</v>
      </c>
      <c r="AD585" t="s">
        <v>5414</v>
      </c>
      <c r="AG585" t="s">
        <v>5427</v>
      </c>
      <c r="AI585" t="s">
        <v>5428</v>
      </c>
      <c r="AJ585" t="s">
        <v>5697</v>
      </c>
      <c r="AL585" t="s">
        <v>5418</v>
      </c>
      <c r="AN585" t="s">
        <v>5419</v>
      </c>
    </row>
    <row r="586" spans="1:40" x14ac:dyDescent="0.25">
      <c r="A586">
        <v>1088875896</v>
      </c>
      <c r="B586" t="s">
        <v>5399</v>
      </c>
      <c r="C586">
        <v>252406</v>
      </c>
      <c r="D586" t="s">
        <v>5400</v>
      </c>
      <c r="E586">
        <v>46229.521944444445</v>
      </c>
      <c r="F586" t="s">
        <v>5743</v>
      </c>
      <c r="G586" t="s">
        <v>3668</v>
      </c>
      <c r="H586" t="s">
        <v>5539</v>
      </c>
      <c r="I586" t="s">
        <v>5403</v>
      </c>
      <c r="J586">
        <v>2026</v>
      </c>
      <c r="K586" t="s">
        <v>5753</v>
      </c>
      <c r="L586" t="s">
        <v>5754</v>
      </c>
      <c r="M586" t="s">
        <v>5406</v>
      </c>
      <c r="N586" s="1" t="s">
        <v>4565</v>
      </c>
      <c r="O586">
        <v>37.07</v>
      </c>
      <c r="P586">
        <v>4.2889999999999997</v>
      </c>
      <c r="Q586">
        <v>19853</v>
      </c>
      <c r="R586">
        <v>221</v>
      </c>
      <c r="S586">
        <v>5.96</v>
      </c>
      <c r="T586" s="8">
        <v>159.03</v>
      </c>
      <c r="U586">
        <v>11198252</v>
      </c>
      <c r="V586" t="s">
        <v>5424</v>
      </c>
      <c r="W586" t="s">
        <v>5409</v>
      </c>
      <c r="X586" t="s">
        <v>5425</v>
      </c>
      <c r="Y586" t="s">
        <v>5411</v>
      </c>
      <c r="Z586" t="s">
        <v>5426</v>
      </c>
      <c r="AA586" t="s">
        <v>5413</v>
      </c>
      <c r="AB586" t="s">
        <v>5414</v>
      </c>
      <c r="AC586" t="s">
        <v>5414</v>
      </c>
      <c r="AD586" t="s">
        <v>5414</v>
      </c>
      <c r="AG586" t="s">
        <v>5427</v>
      </c>
      <c r="AI586" t="s">
        <v>5428</v>
      </c>
      <c r="AJ586" t="s">
        <v>5746</v>
      </c>
      <c r="AL586" t="s">
        <v>5418</v>
      </c>
      <c r="AN586" t="s">
        <v>5419</v>
      </c>
    </row>
    <row r="587" spans="1:40" x14ac:dyDescent="0.25">
      <c r="A587">
        <v>1088888566</v>
      </c>
      <c r="B587" t="s">
        <v>5399</v>
      </c>
      <c r="C587">
        <v>252406</v>
      </c>
      <c r="D587" t="s">
        <v>5400</v>
      </c>
      <c r="E587">
        <v>46229.653958333336</v>
      </c>
      <c r="F587" t="s">
        <v>5462</v>
      </c>
      <c r="G587" t="s">
        <v>3668</v>
      </c>
      <c r="H587" t="s">
        <v>5402</v>
      </c>
      <c r="I587" t="s">
        <v>5403</v>
      </c>
      <c r="J587">
        <v>2026</v>
      </c>
      <c r="K587" t="s">
        <v>5837</v>
      </c>
      <c r="L587" t="s">
        <v>5838</v>
      </c>
      <c r="M587" t="s">
        <v>5406</v>
      </c>
      <c r="N587" s="1" t="s">
        <v>4565</v>
      </c>
      <c r="O587">
        <v>36.840000000000003</v>
      </c>
      <c r="P587">
        <v>4.2889999999999997</v>
      </c>
      <c r="Q587">
        <v>29963</v>
      </c>
      <c r="R587">
        <v>193</v>
      </c>
      <c r="S587">
        <v>5.24</v>
      </c>
      <c r="T587" s="8">
        <v>158.04</v>
      </c>
      <c r="U587">
        <v>12232063</v>
      </c>
      <c r="V587" t="s">
        <v>5698</v>
      </c>
      <c r="W587" t="s">
        <v>5409</v>
      </c>
      <c r="X587" t="s">
        <v>5699</v>
      </c>
      <c r="Y587" t="s">
        <v>5602</v>
      </c>
      <c r="Z587" t="s">
        <v>5426</v>
      </c>
      <c r="AA587" t="s">
        <v>5413</v>
      </c>
      <c r="AB587" t="s">
        <v>5414</v>
      </c>
      <c r="AC587" t="s">
        <v>5414</v>
      </c>
      <c r="AD587" t="s">
        <v>5414</v>
      </c>
      <c r="AG587" t="s">
        <v>5427</v>
      </c>
      <c r="AI587" t="s">
        <v>5700</v>
      </c>
      <c r="AJ587" t="s">
        <v>5465</v>
      </c>
      <c r="AL587" t="s">
        <v>5418</v>
      </c>
      <c r="AN587" t="s">
        <v>5419</v>
      </c>
    </row>
    <row r="588" spans="1:40" x14ac:dyDescent="0.25">
      <c r="A588">
        <v>1088888579</v>
      </c>
      <c r="B588" t="s">
        <v>5399</v>
      </c>
      <c r="C588">
        <v>252406</v>
      </c>
      <c r="D588" t="s">
        <v>5400</v>
      </c>
      <c r="E588">
        <v>46229.654120370367</v>
      </c>
      <c r="F588" t="s">
        <v>5651</v>
      </c>
      <c r="G588" t="s">
        <v>3668</v>
      </c>
      <c r="H588" t="s">
        <v>5467</v>
      </c>
      <c r="I588" t="s">
        <v>5403</v>
      </c>
      <c r="J588">
        <v>2026</v>
      </c>
      <c r="K588" t="s">
        <v>5738</v>
      </c>
      <c r="L588" t="s">
        <v>5739</v>
      </c>
      <c r="M588" t="s">
        <v>5406</v>
      </c>
      <c r="N588" s="1" t="s">
        <v>4565</v>
      </c>
      <c r="O588">
        <v>38.47</v>
      </c>
      <c r="P588">
        <v>3.99</v>
      </c>
      <c r="Q588">
        <v>49360</v>
      </c>
      <c r="R588">
        <v>276</v>
      </c>
      <c r="S588">
        <v>7.17</v>
      </c>
      <c r="T588" s="8">
        <v>153.5</v>
      </c>
      <c r="U588">
        <v>11032680</v>
      </c>
      <c r="V588" t="s">
        <v>5903</v>
      </c>
      <c r="W588" t="s">
        <v>5409</v>
      </c>
      <c r="X588" t="s">
        <v>5904</v>
      </c>
      <c r="Y588" t="s">
        <v>5411</v>
      </c>
      <c r="Z588" t="s">
        <v>5905</v>
      </c>
      <c r="AA588" t="s">
        <v>5413</v>
      </c>
      <c r="AB588" t="s">
        <v>5414</v>
      </c>
      <c r="AC588" t="s">
        <v>5414</v>
      </c>
      <c r="AD588" t="s">
        <v>5414</v>
      </c>
      <c r="AG588" t="s">
        <v>5427</v>
      </c>
      <c r="AI588" t="s">
        <v>5906</v>
      </c>
      <c r="AJ588" t="s">
        <v>5654</v>
      </c>
      <c r="AL588" t="s">
        <v>5418</v>
      </c>
      <c r="AN588" t="s">
        <v>5419</v>
      </c>
    </row>
    <row r="589" spans="1:40" x14ac:dyDescent="0.25">
      <c r="A589">
        <v>1088890951</v>
      </c>
      <c r="B589" t="s">
        <v>5399</v>
      </c>
      <c r="C589">
        <v>252406</v>
      </c>
      <c r="D589" t="s">
        <v>5400</v>
      </c>
      <c r="E589">
        <v>46229.712129629632</v>
      </c>
      <c r="F589" t="s">
        <v>5567</v>
      </c>
      <c r="G589" t="s">
        <v>3668</v>
      </c>
      <c r="H589" t="s">
        <v>5568</v>
      </c>
      <c r="I589" t="s">
        <v>5403</v>
      </c>
      <c r="J589">
        <v>2026</v>
      </c>
      <c r="K589" t="s">
        <v>5436</v>
      </c>
      <c r="L589" t="s">
        <v>5437</v>
      </c>
      <c r="M589" t="s">
        <v>5406</v>
      </c>
      <c r="N589" s="1" t="s">
        <v>4565</v>
      </c>
      <c r="O589">
        <v>44</v>
      </c>
      <c r="P589">
        <v>3.82</v>
      </c>
      <c r="Q589">
        <v>5289</v>
      </c>
      <c r="R589">
        <v>435</v>
      </c>
      <c r="S589">
        <v>9.89</v>
      </c>
      <c r="T589" s="8">
        <v>168.08</v>
      </c>
      <c r="U589">
        <v>490156</v>
      </c>
      <c r="V589" t="s">
        <v>5578</v>
      </c>
      <c r="W589" t="s">
        <v>5409</v>
      </c>
      <c r="X589" t="s">
        <v>5579</v>
      </c>
      <c r="Y589" t="s">
        <v>5458</v>
      </c>
      <c r="Z589" t="s">
        <v>5412</v>
      </c>
      <c r="AA589" t="s">
        <v>5413</v>
      </c>
      <c r="AB589" t="s">
        <v>5414</v>
      </c>
      <c r="AC589" t="s">
        <v>5414</v>
      </c>
      <c r="AD589" t="s">
        <v>5414</v>
      </c>
      <c r="AG589" t="s">
        <v>5415</v>
      </c>
      <c r="AI589" t="s">
        <v>5580</v>
      </c>
      <c r="AJ589" t="s">
        <v>5902</v>
      </c>
      <c r="AL589" t="s">
        <v>5418</v>
      </c>
      <c r="AN589" t="s">
        <v>5419</v>
      </c>
    </row>
    <row r="590" spans="1:40" x14ac:dyDescent="0.25">
      <c r="A590">
        <v>1088891412</v>
      </c>
      <c r="B590" t="s">
        <v>5399</v>
      </c>
      <c r="C590">
        <v>252406</v>
      </c>
      <c r="D590" t="s">
        <v>5400</v>
      </c>
      <c r="E590">
        <v>46229.717534722222</v>
      </c>
      <c r="F590" t="s">
        <v>5613</v>
      </c>
      <c r="G590" t="s">
        <v>3668</v>
      </c>
      <c r="H590" t="s">
        <v>5467</v>
      </c>
      <c r="I590" t="s">
        <v>5403</v>
      </c>
      <c r="J590">
        <v>2025</v>
      </c>
      <c r="K590" t="s">
        <v>5652</v>
      </c>
      <c r="L590" t="s">
        <v>5653</v>
      </c>
      <c r="M590" t="s">
        <v>5406</v>
      </c>
      <c r="N590" s="1" t="s">
        <v>4565</v>
      </c>
      <c r="O590">
        <v>47.63</v>
      </c>
      <c r="P590">
        <v>4.1890000000000001</v>
      </c>
      <c r="Q590">
        <v>74995</v>
      </c>
      <c r="R590">
        <v>329</v>
      </c>
      <c r="S590">
        <v>6.91</v>
      </c>
      <c r="T590" s="8">
        <v>199.56</v>
      </c>
      <c r="U590">
        <v>11040306</v>
      </c>
      <c r="V590" t="s">
        <v>5408</v>
      </c>
      <c r="W590" t="s">
        <v>5409</v>
      </c>
      <c r="X590" t="s">
        <v>5410</v>
      </c>
      <c r="Y590" t="s">
        <v>5411</v>
      </c>
      <c r="Z590" t="s">
        <v>5412</v>
      </c>
      <c r="AA590" t="s">
        <v>5413</v>
      </c>
      <c r="AB590" t="s">
        <v>5414</v>
      </c>
      <c r="AC590" t="s">
        <v>5414</v>
      </c>
      <c r="AD590" t="s">
        <v>5414</v>
      </c>
      <c r="AG590" t="s">
        <v>5415</v>
      </c>
      <c r="AI590" t="s">
        <v>5416</v>
      </c>
      <c r="AJ590" t="s">
        <v>5616</v>
      </c>
      <c r="AL590" t="s">
        <v>5418</v>
      </c>
      <c r="AN590" t="s">
        <v>5419</v>
      </c>
    </row>
    <row r="591" spans="1:40" x14ac:dyDescent="0.25">
      <c r="A591">
        <v>1088951973</v>
      </c>
      <c r="B591" t="s">
        <v>5399</v>
      </c>
      <c r="C591">
        <v>252406</v>
      </c>
      <c r="D591" t="s">
        <v>5400</v>
      </c>
      <c r="E591">
        <v>46230.289074074077</v>
      </c>
      <c r="F591" t="s">
        <v>5435</v>
      </c>
      <c r="G591" t="s">
        <v>3668</v>
      </c>
      <c r="H591" t="s">
        <v>5421</v>
      </c>
      <c r="I591" t="s">
        <v>5403</v>
      </c>
      <c r="J591">
        <v>2026</v>
      </c>
      <c r="K591" t="s">
        <v>5436</v>
      </c>
      <c r="L591" t="s">
        <v>5437</v>
      </c>
      <c r="M591" t="s">
        <v>5406</v>
      </c>
      <c r="N591" s="1" t="s">
        <v>4565</v>
      </c>
      <c r="O591">
        <v>25.94</v>
      </c>
      <c r="P591">
        <v>3.9889999999999999</v>
      </c>
      <c r="Q591">
        <v>50666</v>
      </c>
      <c r="R591">
        <v>116</v>
      </c>
      <c r="S591">
        <v>4.47</v>
      </c>
      <c r="T591" s="8">
        <v>103.5</v>
      </c>
      <c r="U591">
        <v>11032680</v>
      </c>
      <c r="V591" t="s">
        <v>5903</v>
      </c>
      <c r="W591" t="s">
        <v>5409</v>
      </c>
      <c r="X591" t="s">
        <v>5904</v>
      </c>
      <c r="Y591" t="s">
        <v>5411</v>
      </c>
      <c r="Z591" t="s">
        <v>5905</v>
      </c>
      <c r="AA591" t="s">
        <v>5413</v>
      </c>
      <c r="AB591" t="s">
        <v>5414</v>
      </c>
      <c r="AC591" t="s">
        <v>5414</v>
      </c>
      <c r="AD591" t="s">
        <v>5414</v>
      </c>
      <c r="AG591" t="s">
        <v>5427</v>
      </c>
      <c r="AI591" t="s">
        <v>5906</v>
      </c>
      <c r="AJ591" t="s">
        <v>5443</v>
      </c>
      <c r="AL591" t="s">
        <v>5418</v>
      </c>
      <c r="AN591" t="s">
        <v>5419</v>
      </c>
    </row>
    <row r="592" spans="1:40" x14ac:dyDescent="0.25">
      <c r="A592">
        <v>1088968554</v>
      </c>
      <c r="B592" t="s">
        <v>5399</v>
      </c>
      <c r="C592">
        <v>252406</v>
      </c>
      <c r="D592" t="s">
        <v>5400</v>
      </c>
      <c r="E592">
        <v>46230.312048611115</v>
      </c>
      <c r="F592" t="s">
        <v>5635</v>
      </c>
      <c r="G592" t="s">
        <v>3668</v>
      </c>
      <c r="H592" t="s">
        <v>5453</v>
      </c>
      <c r="I592" t="s">
        <v>5403</v>
      </c>
      <c r="J592">
        <v>2026</v>
      </c>
      <c r="K592" t="s">
        <v>5636</v>
      </c>
      <c r="L592" t="s">
        <v>5637</v>
      </c>
      <c r="M592" t="s">
        <v>5406</v>
      </c>
      <c r="N592" s="1" t="s">
        <v>4565</v>
      </c>
      <c r="O592">
        <v>39.17</v>
      </c>
      <c r="P592">
        <v>4.29</v>
      </c>
      <c r="Q592">
        <v>12789</v>
      </c>
      <c r="R592">
        <v>179</v>
      </c>
      <c r="S592">
        <v>4.57</v>
      </c>
      <c r="T592" s="8">
        <v>168.04</v>
      </c>
      <c r="U592">
        <v>11198252</v>
      </c>
      <c r="V592" t="s">
        <v>5424</v>
      </c>
      <c r="W592" t="s">
        <v>5409</v>
      </c>
      <c r="X592" t="s">
        <v>5425</v>
      </c>
      <c r="Y592" t="s">
        <v>5411</v>
      </c>
      <c r="Z592" t="s">
        <v>5426</v>
      </c>
      <c r="AA592" t="s">
        <v>5413</v>
      </c>
      <c r="AB592" t="s">
        <v>5414</v>
      </c>
      <c r="AC592" t="s">
        <v>5414</v>
      </c>
      <c r="AD592" t="s">
        <v>5414</v>
      </c>
      <c r="AG592" t="s">
        <v>5427</v>
      </c>
      <c r="AI592" t="s">
        <v>5428</v>
      </c>
      <c r="AJ592" t="s">
        <v>5638</v>
      </c>
      <c r="AL592" t="s">
        <v>5418</v>
      </c>
      <c r="AN592" t="s">
        <v>5419</v>
      </c>
    </row>
    <row r="593" spans="1:40" x14ac:dyDescent="0.25">
      <c r="A593">
        <v>1088939758</v>
      </c>
      <c r="B593" t="s">
        <v>5399</v>
      </c>
      <c r="C593">
        <v>252406</v>
      </c>
      <c r="D593" t="s">
        <v>5400</v>
      </c>
      <c r="E593">
        <v>46230.313194444447</v>
      </c>
      <c r="F593" t="s">
        <v>5477</v>
      </c>
      <c r="G593" t="s">
        <v>3668</v>
      </c>
      <c r="H593" t="s">
        <v>5478</v>
      </c>
      <c r="I593" t="s">
        <v>5403</v>
      </c>
      <c r="J593">
        <v>2015</v>
      </c>
      <c r="K593" t="s">
        <v>5479</v>
      </c>
      <c r="L593" t="s">
        <v>5480</v>
      </c>
      <c r="M593" t="s">
        <v>5406</v>
      </c>
      <c r="N593" s="1" t="s">
        <v>4565</v>
      </c>
      <c r="O593">
        <v>48.8</v>
      </c>
      <c r="P593">
        <v>4.1890000000000001</v>
      </c>
      <c r="Q593">
        <v>252316</v>
      </c>
      <c r="R593">
        <v>354</v>
      </c>
      <c r="S593">
        <v>7.25</v>
      </c>
      <c r="T593" s="8">
        <v>204.47</v>
      </c>
      <c r="U593">
        <v>11040306</v>
      </c>
      <c r="V593" t="s">
        <v>5408</v>
      </c>
      <c r="W593" t="s">
        <v>5409</v>
      </c>
      <c r="X593" t="s">
        <v>5410</v>
      </c>
      <c r="Y593" t="s">
        <v>5411</v>
      </c>
      <c r="Z593" t="s">
        <v>5412</v>
      </c>
      <c r="AA593" t="s">
        <v>5413</v>
      </c>
      <c r="AB593" t="s">
        <v>5414</v>
      </c>
      <c r="AC593" t="s">
        <v>5414</v>
      </c>
      <c r="AD593" t="s">
        <v>5414</v>
      </c>
      <c r="AG593" t="s">
        <v>5415</v>
      </c>
      <c r="AI593" t="s">
        <v>5460</v>
      </c>
      <c r="AJ593" t="s">
        <v>5485</v>
      </c>
      <c r="AL593" t="s">
        <v>5418</v>
      </c>
      <c r="AN593" t="s">
        <v>5419</v>
      </c>
    </row>
    <row r="594" spans="1:40" x14ac:dyDescent="0.25">
      <c r="A594">
        <v>1088974838</v>
      </c>
      <c r="B594" t="s">
        <v>5399</v>
      </c>
      <c r="C594">
        <v>252406</v>
      </c>
      <c r="D594" t="s">
        <v>5400</v>
      </c>
      <c r="E594">
        <v>46230.317986111113</v>
      </c>
      <c r="F594" t="s">
        <v>5486</v>
      </c>
      <c r="G594" t="s">
        <v>3668</v>
      </c>
      <c r="H594" t="s">
        <v>5487</v>
      </c>
      <c r="I594" t="s">
        <v>5403</v>
      </c>
      <c r="J594">
        <v>2025</v>
      </c>
      <c r="K594" t="s">
        <v>5488</v>
      </c>
      <c r="L594" t="s">
        <v>5489</v>
      </c>
      <c r="M594" t="s">
        <v>5406</v>
      </c>
      <c r="N594" s="1" t="s">
        <v>4565</v>
      </c>
      <c r="O594">
        <v>33.770000000000003</v>
      </c>
      <c r="P594">
        <v>4.2889999999999997</v>
      </c>
      <c r="Q594">
        <v>58489</v>
      </c>
      <c r="R594">
        <v>317</v>
      </c>
      <c r="S594">
        <v>9.39</v>
      </c>
      <c r="T594" s="8">
        <v>144.85</v>
      </c>
      <c r="U594">
        <v>12193017</v>
      </c>
      <c r="V594" t="s">
        <v>5574</v>
      </c>
      <c r="W594" t="s">
        <v>5409</v>
      </c>
      <c r="X594" t="s">
        <v>5575</v>
      </c>
      <c r="Y594" t="s">
        <v>5576</v>
      </c>
      <c r="Z594" t="s">
        <v>5472</v>
      </c>
      <c r="AA594" t="s">
        <v>5413</v>
      </c>
      <c r="AB594" t="s">
        <v>5414</v>
      </c>
      <c r="AC594" t="s">
        <v>5414</v>
      </c>
      <c r="AD594" t="s">
        <v>5414</v>
      </c>
      <c r="AG594" t="s">
        <v>5427</v>
      </c>
      <c r="AI594" t="s">
        <v>5577</v>
      </c>
      <c r="AJ594" t="s">
        <v>5493</v>
      </c>
      <c r="AL594" t="s">
        <v>5418</v>
      </c>
      <c r="AN594" t="s">
        <v>5419</v>
      </c>
    </row>
    <row r="595" spans="1:40" x14ac:dyDescent="0.25">
      <c r="A595">
        <v>1089014585</v>
      </c>
      <c r="B595" t="s">
        <v>5399</v>
      </c>
      <c r="C595">
        <v>252406</v>
      </c>
      <c r="D595" t="s">
        <v>5400</v>
      </c>
      <c r="E595">
        <v>46230.355787037035</v>
      </c>
      <c r="F595" t="s">
        <v>5475</v>
      </c>
      <c r="G595" t="s">
        <v>3668</v>
      </c>
      <c r="H595" t="s">
        <v>5467</v>
      </c>
      <c r="I595" t="s">
        <v>5403</v>
      </c>
      <c r="J595">
        <v>2026</v>
      </c>
      <c r="K595" t="s">
        <v>5463</v>
      </c>
      <c r="L595" t="s">
        <v>5464</v>
      </c>
      <c r="M595" t="s">
        <v>5406</v>
      </c>
      <c r="N595" s="1" t="s">
        <v>4565</v>
      </c>
      <c r="O595">
        <v>48</v>
      </c>
      <c r="P595">
        <v>3.99</v>
      </c>
      <c r="Q595">
        <v>38886</v>
      </c>
      <c r="R595">
        <v>303</v>
      </c>
      <c r="S595">
        <v>6.31</v>
      </c>
      <c r="T595" s="8">
        <v>191.52</v>
      </c>
      <c r="U595">
        <v>11032680</v>
      </c>
      <c r="V595" t="s">
        <v>5903</v>
      </c>
      <c r="W595" t="s">
        <v>5409</v>
      </c>
      <c r="X595" t="s">
        <v>5904</v>
      </c>
      <c r="Y595" t="s">
        <v>5411</v>
      </c>
      <c r="Z595" t="s">
        <v>5905</v>
      </c>
      <c r="AA595" t="s">
        <v>5413</v>
      </c>
      <c r="AB595" t="s">
        <v>5414</v>
      </c>
      <c r="AC595" t="s">
        <v>5414</v>
      </c>
      <c r="AD595" t="s">
        <v>5414</v>
      </c>
      <c r="AG595" t="s">
        <v>5427</v>
      </c>
      <c r="AI595" t="s">
        <v>5906</v>
      </c>
      <c r="AJ595" t="s">
        <v>5697</v>
      </c>
      <c r="AL595" t="s">
        <v>5418</v>
      </c>
      <c r="AN595" t="s">
        <v>5419</v>
      </c>
    </row>
    <row r="596" spans="1:40" x14ac:dyDescent="0.25">
      <c r="A596">
        <v>1088973943</v>
      </c>
      <c r="B596" t="s">
        <v>5399</v>
      </c>
      <c r="C596">
        <v>252406</v>
      </c>
      <c r="D596" t="s">
        <v>5400</v>
      </c>
      <c r="E596">
        <v>46230.356921296298</v>
      </c>
      <c r="F596" t="s">
        <v>5755</v>
      </c>
      <c r="G596" t="s">
        <v>3668</v>
      </c>
      <c r="H596" t="s">
        <v>167</v>
      </c>
      <c r="I596" t="s">
        <v>5403</v>
      </c>
      <c r="J596">
        <v>2026</v>
      </c>
      <c r="K596" t="s">
        <v>5436</v>
      </c>
      <c r="L596" t="s">
        <v>5437</v>
      </c>
      <c r="M596" t="s">
        <v>5406</v>
      </c>
      <c r="N596" s="1" t="s">
        <v>4565</v>
      </c>
      <c r="O596">
        <v>35.6</v>
      </c>
      <c r="P596">
        <v>4.1890000000000001</v>
      </c>
      <c r="Q596">
        <v>2733</v>
      </c>
      <c r="R596">
        <v>346</v>
      </c>
      <c r="S596">
        <v>9.7200000000000006</v>
      </c>
      <c r="T596" s="8">
        <v>149.16</v>
      </c>
      <c r="U596">
        <v>11040306</v>
      </c>
      <c r="V596" t="s">
        <v>5408</v>
      </c>
      <c r="W596" t="s">
        <v>5409</v>
      </c>
      <c r="X596" t="s">
        <v>5410</v>
      </c>
      <c r="Y596" t="s">
        <v>5411</v>
      </c>
      <c r="Z596" t="s">
        <v>5412</v>
      </c>
      <c r="AA596" t="s">
        <v>5413</v>
      </c>
      <c r="AB596" t="s">
        <v>5414</v>
      </c>
      <c r="AC596" t="s">
        <v>5414</v>
      </c>
      <c r="AD596" t="s">
        <v>5414</v>
      </c>
      <c r="AG596" t="s">
        <v>5415</v>
      </c>
      <c r="AI596" t="s">
        <v>5522</v>
      </c>
      <c r="AJ596" t="s">
        <v>5756</v>
      </c>
      <c r="AL596" t="s">
        <v>5418</v>
      </c>
      <c r="AN596" t="s">
        <v>5419</v>
      </c>
    </row>
    <row r="597" spans="1:40" x14ac:dyDescent="0.25">
      <c r="A597">
        <v>1088998455</v>
      </c>
      <c r="B597" t="s">
        <v>5399</v>
      </c>
      <c r="C597">
        <v>252406</v>
      </c>
      <c r="D597" t="s">
        <v>5400</v>
      </c>
      <c r="E597">
        <v>46230.370034722226</v>
      </c>
      <c r="F597" t="s">
        <v>5534</v>
      </c>
      <c r="G597" t="s">
        <v>3668</v>
      </c>
      <c r="H597" t="s">
        <v>5421</v>
      </c>
      <c r="I597" t="s">
        <v>5403</v>
      </c>
      <c r="J597">
        <v>2027</v>
      </c>
      <c r="K597" t="s">
        <v>5535</v>
      </c>
      <c r="L597" t="s">
        <v>5536</v>
      </c>
      <c r="M597" t="s">
        <v>5406</v>
      </c>
      <c r="N597" s="1" t="s">
        <v>4565</v>
      </c>
      <c r="O597">
        <v>33.840000000000003</v>
      </c>
      <c r="P597">
        <v>4.1890000000000001</v>
      </c>
      <c r="Q597">
        <v>3971</v>
      </c>
      <c r="R597">
        <v>206</v>
      </c>
      <c r="S597">
        <v>6.09</v>
      </c>
      <c r="T597" s="8">
        <v>141.78</v>
      </c>
      <c r="U597">
        <v>11040306</v>
      </c>
      <c r="V597" t="s">
        <v>5408</v>
      </c>
      <c r="W597" t="s">
        <v>5409</v>
      </c>
      <c r="X597" t="s">
        <v>5410</v>
      </c>
      <c r="Y597" t="s">
        <v>5411</v>
      </c>
      <c r="Z597" t="s">
        <v>5412</v>
      </c>
      <c r="AA597" t="s">
        <v>5413</v>
      </c>
      <c r="AB597" t="s">
        <v>5414</v>
      </c>
      <c r="AC597" t="s">
        <v>5414</v>
      </c>
      <c r="AD597" t="s">
        <v>5414</v>
      </c>
      <c r="AG597" t="s">
        <v>5415</v>
      </c>
      <c r="AI597" t="s">
        <v>5460</v>
      </c>
      <c r="AJ597" t="s">
        <v>5816</v>
      </c>
      <c r="AL597" t="s">
        <v>5418</v>
      </c>
      <c r="AN597" t="s">
        <v>5419</v>
      </c>
    </row>
    <row r="598" spans="1:40" x14ac:dyDescent="0.25">
      <c r="A598">
        <v>1089025281</v>
      </c>
      <c r="B598" t="s">
        <v>5399</v>
      </c>
      <c r="C598">
        <v>252406</v>
      </c>
      <c r="D598" t="s">
        <v>5400</v>
      </c>
      <c r="E598">
        <v>46230.413877314815</v>
      </c>
      <c r="F598" t="s">
        <v>5621</v>
      </c>
      <c r="G598" t="s">
        <v>3668</v>
      </c>
      <c r="H598" t="s">
        <v>5421</v>
      </c>
      <c r="I598" t="s">
        <v>5621</v>
      </c>
      <c r="J598">
        <v>2024</v>
      </c>
      <c r="K598" t="s">
        <v>5622</v>
      </c>
      <c r="L598" t="s">
        <v>5623</v>
      </c>
      <c r="M598" t="s">
        <v>5406</v>
      </c>
      <c r="N598" s="1" t="s">
        <v>4565</v>
      </c>
      <c r="O598">
        <v>33.67</v>
      </c>
      <c r="P598">
        <v>3.6890000000000001</v>
      </c>
      <c r="Q598">
        <v>100047</v>
      </c>
      <c r="R598">
        <v>314</v>
      </c>
      <c r="S598">
        <v>9.33</v>
      </c>
      <c r="T598" s="8">
        <v>124.24</v>
      </c>
      <c r="U598">
        <v>12007663</v>
      </c>
      <c r="V598" t="s">
        <v>5927</v>
      </c>
      <c r="W598" t="s">
        <v>5409</v>
      </c>
      <c r="X598" t="s">
        <v>5928</v>
      </c>
      <c r="Y598" t="s">
        <v>5929</v>
      </c>
      <c r="Z598" t="s">
        <v>5930</v>
      </c>
      <c r="AA598" t="s">
        <v>5502</v>
      </c>
      <c r="AB598" t="s">
        <v>5414</v>
      </c>
      <c r="AC598" t="s">
        <v>5414</v>
      </c>
      <c r="AD598" t="s">
        <v>5414</v>
      </c>
      <c r="AG598" t="s">
        <v>5415</v>
      </c>
      <c r="AI598" t="s">
        <v>5931</v>
      </c>
      <c r="AJ598" t="s">
        <v>5624</v>
      </c>
      <c r="AK598" t="s">
        <v>5528</v>
      </c>
      <c r="AL598" t="s">
        <v>5418</v>
      </c>
      <c r="AN598" t="s">
        <v>5625</v>
      </c>
    </row>
    <row r="599" spans="1:40" x14ac:dyDescent="0.25">
      <c r="A599">
        <v>1089028452</v>
      </c>
      <c r="B599" t="s">
        <v>5399</v>
      </c>
      <c r="C599">
        <v>252406</v>
      </c>
      <c r="D599" t="s">
        <v>5400</v>
      </c>
      <c r="E599">
        <v>46230.416979166665</v>
      </c>
      <c r="F599" t="s">
        <v>5494</v>
      </c>
      <c r="G599" t="s">
        <v>3668</v>
      </c>
      <c r="H599" t="s">
        <v>5495</v>
      </c>
      <c r="I599" t="s">
        <v>5403</v>
      </c>
      <c r="J599">
        <v>2026</v>
      </c>
      <c r="K599" t="s">
        <v>5496</v>
      </c>
      <c r="L599" t="s">
        <v>5497</v>
      </c>
      <c r="M599" t="s">
        <v>5406</v>
      </c>
      <c r="N599" s="1" t="s">
        <v>4565</v>
      </c>
      <c r="O599">
        <v>40.44</v>
      </c>
      <c r="P599">
        <v>4.3890000000000002</v>
      </c>
      <c r="Q599">
        <v>60430</v>
      </c>
      <c r="R599">
        <v>365</v>
      </c>
      <c r="S599">
        <v>9.0299999999999994</v>
      </c>
      <c r="T599" s="8">
        <v>177.53</v>
      </c>
      <c r="U599">
        <v>96261</v>
      </c>
      <c r="V599" t="s">
        <v>5663</v>
      </c>
      <c r="W599" t="s">
        <v>5409</v>
      </c>
      <c r="X599" t="s">
        <v>5664</v>
      </c>
      <c r="Y599" t="s">
        <v>5458</v>
      </c>
      <c r="Z599" t="s">
        <v>5665</v>
      </c>
      <c r="AA599" t="s">
        <v>5413</v>
      </c>
      <c r="AB599" t="s">
        <v>5414</v>
      </c>
      <c r="AC599" t="s">
        <v>5414</v>
      </c>
      <c r="AD599" t="s">
        <v>5414</v>
      </c>
      <c r="AG599" t="s">
        <v>5415</v>
      </c>
      <c r="AI599" t="s">
        <v>5522</v>
      </c>
      <c r="AJ599" t="s">
        <v>5504</v>
      </c>
      <c r="AL599" t="s">
        <v>5418</v>
      </c>
      <c r="AN599" t="s">
        <v>5419</v>
      </c>
    </row>
    <row r="600" spans="1:40" x14ac:dyDescent="0.25">
      <c r="A600">
        <v>1089052592</v>
      </c>
      <c r="B600" t="s">
        <v>5399</v>
      </c>
      <c r="C600">
        <v>252406</v>
      </c>
      <c r="D600" t="s">
        <v>5400</v>
      </c>
      <c r="E600">
        <v>46230.426770833335</v>
      </c>
      <c r="F600" t="s">
        <v>5581</v>
      </c>
      <c r="G600" t="s">
        <v>3668</v>
      </c>
      <c r="H600" t="s">
        <v>5467</v>
      </c>
      <c r="I600" t="s">
        <v>5403</v>
      </c>
      <c r="J600">
        <v>2026</v>
      </c>
      <c r="K600" t="s">
        <v>5582</v>
      </c>
      <c r="L600" t="s">
        <v>5583</v>
      </c>
      <c r="M600" t="s">
        <v>5406</v>
      </c>
      <c r="N600" s="1" t="s">
        <v>4565</v>
      </c>
      <c r="O600">
        <v>44.07</v>
      </c>
      <c r="P600">
        <v>4.2889999999999997</v>
      </c>
      <c r="Q600">
        <v>32065</v>
      </c>
      <c r="R600">
        <v>310</v>
      </c>
      <c r="S600">
        <v>7.03</v>
      </c>
      <c r="T600" s="8">
        <v>189.06</v>
      </c>
      <c r="U600">
        <v>11198252</v>
      </c>
      <c r="V600" t="s">
        <v>5424</v>
      </c>
      <c r="W600" t="s">
        <v>5409</v>
      </c>
      <c r="X600" t="s">
        <v>5425</v>
      </c>
      <c r="Y600" t="s">
        <v>5411</v>
      </c>
      <c r="Z600" t="s">
        <v>5426</v>
      </c>
      <c r="AA600" t="s">
        <v>5413</v>
      </c>
      <c r="AB600" t="s">
        <v>5414</v>
      </c>
      <c r="AC600" t="s">
        <v>5414</v>
      </c>
      <c r="AD600" t="s">
        <v>5414</v>
      </c>
      <c r="AG600" t="s">
        <v>5427</v>
      </c>
      <c r="AI600" t="s">
        <v>5428</v>
      </c>
      <c r="AJ600" t="s">
        <v>5584</v>
      </c>
      <c r="AL600" t="s">
        <v>5418</v>
      </c>
      <c r="AN600" t="s">
        <v>5419</v>
      </c>
    </row>
    <row r="601" spans="1:40" x14ac:dyDescent="0.25">
      <c r="A601">
        <v>1089052391</v>
      </c>
      <c r="B601" t="s">
        <v>5399</v>
      </c>
      <c r="C601">
        <v>252406</v>
      </c>
      <c r="D601" t="s">
        <v>5400</v>
      </c>
      <c r="E601">
        <v>46230.467743055553</v>
      </c>
      <c r="F601" t="s">
        <v>5817</v>
      </c>
      <c r="G601" t="s">
        <v>3668</v>
      </c>
      <c r="H601" t="s">
        <v>5421</v>
      </c>
      <c r="I601" t="s">
        <v>5403</v>
      </c>
      <c r="J601">
        <v>2027</v>
      </c>
      <c r="K601" t="s">
        <v>5614</v>
      </c>
      <c r="L601" t="s">
        <v>5615</v>
      </c>
      <c r="M601" t="s">
        <v>5406</v>
      </c>
      <c r="N601" s="1" t="s">
        <v>4565</v>
      </c>
      <c r="O601">
        <v>39.1</v>
      </c>
      <c r="P601">
        <v>4.1890000000000001</v>
      </c>
      <c r="Q601">
        <v>2446</v>
      </c>
      <c r="R601">
        <v>308</v>
      </c>
      <c r="S601">
        <v>7.88</v>
      </c>
      <c r="T601" s="8">
        <v>163.82</v>
      </c>
      <c r="U601">
        <v>11040306</v>
      </c>
      <c r="V601" t="s">
        <v>5408</v>
      </c>
      <c r="W601" t="s">
        <v>5409</v>
      </c>
      <c r="X601" t="s">
        <v>5410</v>
      </c>
      <c r="Y601" t="s">
        <v>5411</v>
      </c>
      <c r="Z601" t="s">
        <v>5412</v>
      </c>
      <c r="AA601" t="s">
        <v>5413</v>
      </c>
      <c r="AB601" t="s">
        <v>5414</v>
      </c>
      <c r="AC601" t="s">
        <v>5414</v>
      </c>
      <c r="AD601" t="s">
        <v>5414</v>
      </c>
      <c r="AG601" t="s">
        <v>5415</v>
      </c>
      <c r="AI601" t="s">
        <v>5629</v>
      </c>
      <c r="AJ601" t="s">
        <v>5818</v>
      </c>
      <c r="AL601" t="s">
        <v>5418</v>
      </c>
      <c r="AN601" t="s">
        <v>5419</v>
      </c>
    </row>
    <row r="602" spans="1:40" x14ac:dyDescent="0.25">
      <c r="A602">
        <v>1089071341</v>
      </c>
      <c r="B602" t="s">
        <v>5399</v>
      </c>
      <c r="C602">
        <v>252406</v>
      </c>
      <c r="D602" t="s">
        <v>5400</v>
      </c>
      <c r="E602">
        <v>46230.516145833331</v>
      </c>
      <c r="F602" t="s">
        <v>5856</v>
      </c>
      <c r="G602" t="s">
        <v>3668</v>
      </c>
      <c r="H602" t="s">
        <v>5857</v>
      </c>
      <c r="I602" t="s">
        <v>5403</v>
      </c>
      <c r="J602">
        <v>2026</v>
      </c>
      <c r="K602" t="s">
        <v>5858</v>
      </c>
      <c r="L602" t="s">
        <v>5859</v>
      </c>
      <c r="M602" t="s">
        <v>5406</v>
      </c>
      <c r="N602" s="1" t="s">
        <v>4565</v>
      </c>
      <c r="O602">
        <v>42.36</v>
      </c>
      <c r="P602">
        <v>3.99</v>
      </c>
      <c r="Q602">
        <v>4308</v>
      </c>
      <c r="R602">
        <v>481</v>
      </c>
      <c r="S602">
        <v>11.36</v>
      </c>
      <c r="T602" s="8">
        <v>169.02</v>
      </c>
      <c r="U602">
        <v>11377971</v>
      </c>
      <c r="V602" t="s">
        <v>5932</v>
      </c>
      <c r="W602" t="s">
        <v>5409</v>
      </c>
      <c r="X602" t="s">
        <v>5933</v>
      </c>
      <c r="Y602" t="s">
        <v>5934</v>
      </c>
      <c r="Z602" t="s">
        <v>5935</v>
      </c>
      <c r="AA602" t="s">
        <v>5502</v>
      </c>
      <c r="AB602" t="s">
        <v>5414</v>
      </c>
      <c r="AC602" t="s">
        <v>5414</v>
      </c>
      <c r="AD602" t="s">
        <v>5414</v>
      </c>
      <c r="AG602" t="s">
        <v>5415</v>
      </c>
      <c r="AI602" t="s">
        <v>5522</v>
      </c>
      <c r="AJ602" t="s">
        <v>5860</v>
      </c>
      <c r="AL602" t="s">
        <v>5418</v>
      </c>
      <c r="AN602" t="s">
        <v>5419</v>
      </c>
    </row>
    <row r="603" spans="1:40" x14ac:dyDescent="0.25">
      <c r="A603">
        <v>1089106869</v>
      </c>
      <c r="B603" t="s">
        <v>5399</v>
      </c>
      <c r="C603">
        <v>252406</v>
      </c>
      <c r="D603" t="s">
        <v>5400</v>
      </c>
      <c r="E603">
        <v>46230.57917824074</v>
      </c>
      <c r="F603" t="s">
        <v>5560</v>
      </c>
      <c r="G603" t="s">
        <v>3668</v>
      </c>
      <c r="H603" t="s">
        <v>5561</v>
      </c>
      <c r="I603" t="s">
        <v>5403</v>
      </c>
      <c r="J603">
        <v>2026</v>
      </c>
      <c r="K603" t="s">
        <v>5562</v>
      </c>
      <c r="L603" t="s">
        <v>5563</v>
      </c>
      <c r="M603" t="s">
        <v>5406</v>
      </c>
      <c r="N603" s="1" t="s">
        <v>4565</v>
      </c>
      <c r="O603">
        <v>45.62</v>
      </c>
      <c r="P603">
        <v>3.9889999999999999</v>
      </c>
      <c r="Q603">
        <v>22963</v>
      </c>
      <c r="R603">
        <v>397</v>
      </c>
      <c r="S603">
        <v>8.6999999999999993</v>
      </c>
      <c r="T603" s="8">
        <v>182.02</v>
      </c>
      <c r="U603">
        <v>11032680</v>
      </c>
      <c r="V603" t="s">
        <v>5903</v>
      </c>
      <c r="W603" t="s">
        <v>5409</v>
      </c>
      <c r="X603" t="s">
        <v>5904</v>
      </c>
      <c r="Y603" t="s">
        <v>5411</v>
      </c>
      <c r="Z603" t="s">
        <v>5905</v>
      </c>
      <c r="AA603" t="s">
        <v>5413</v>
      </c>
      <c r="AB603" t="s">
        <v>5414</v>
      </c>
      <c r="AC603" t="s">
        <v>5414</v>
      </c>
      <c r="AD603" t="s">
        <v>5414</v>
      </c>
      <c r="AG603" t="s">
        <v>5427</v>
      </c>
      <c r="AI603" t="s">
        <v>5906</v>
      </c>
      <c r="AJ603" t="s">
        <v>5564</v>
      </c>
      <c r="AL603" t="s">
        <v>5418</v>
      </c>
      <c r="AN603" t="s">
        <v>5419</v>
      </c>
    </row>
    <row r="604" spans="1:40" x14ac:dyDescent="0.25">
      <c r="A604">
        <v>1089107364</v>
      </c>
      <c r="B604" t="s">
        <v>5399</v>
      </c>
      <c r="C604">
        <v>252406</v>
      </c>
      <c r="D604" t="s">
        <v>5400</v>
      </c>
      <c r="E604">
        <v>46230.584872685184</v>
      </c>
      <c r="F604" t="s">
        <v>5462</v>
      </c>
      <c r="G604" t="s">
        <v>3668</v>
      </c>
      <c r="H604" t="s">
        <v>5402</v>
      </c>
      <c r="I604" t="s">
        <v>5403</v>
      </c>
      <c r="J604">
        <v>2026</v>
      </c>
      <c r="K604" t="s">
        <v>5463</v>
      </c>
      <c r="L604" t="s">
        <v>5464</v>
      </c>
      <c r="M604" t="s">
        <v>5406</v>
      </c>
      <c r="N604" s="1" t="s">
        <v>4565</v>
      </c>
      <c r="O604">
        <v>35.090000000000003</v>
      </c>
      <c r="P604">
        <v>3.99</v>
      </c>
      <c r="Q604">
        <v>30151</v>
      </c>
      <c r="R604">
        <v>188</v>
      </c>
      <c r="S604">
        <v>5.36</v>
      </c>
      <c r="T604" s="8">
        <v>140.01</v>
      </c>
      <c r="U604">
        <v>11032680</v>
      </c>
      <c r="V604" t="s">
        <v>5903</v>
      </c>
      <c r="W604" t="s">
        <v>5409</v>
      </c>
      <c r="X604" t="s">
        <v>5904</v>
      </c>
      <c r="Y604" t="s">
        <v>5411</v>
      </c>
      <c r="Z604" t="s">
        <v>5905</v>
      </c>
      <c r="AA604" t="s">
        <v>5413</v>
      </c>
      <c r="AB604" t="s">
        <v>5414</v>
      </c>
      <c r="AC604" t="s">
        <v>5414</v>
      </c>
      <c r="AD604" t="s">
        <v>5414</v>
      </c>
      <c r="AG604" t="s">
        <v>5427</v>
      </c>
      <c r="AI604" t="s">
        <v>5906</v>
      </c>
      <c r="AJ604" t="s">
        <v>5465</v>
      </c>
      <c r="AL604" t="s">
        <v>5418</v>
      </c>
      <c r="AN604" t="s">
        <v>5419</v>
      </c>
    </row>
    <row r="605" spans="1:40" x14ac:dyDescent="0.25">
      <c r="A605">
        <v>1089094699</v>
      </c>
      <c r="B605" t="s">
        <v>5399</v>
      </c>
      <c r="C605">
        <v>252406</v>
      </c>
      <c r="D605" t="s">
        <v>5400</v>
      </c>
      <c r="E605">
        <v>46230.592314814814</v>
      </c>
      <c r="F605" t="s">
        <v>5524</v>
      </c>
      <c r="G605" t="s">
        <v>3668</v>
      </c>
      <c r="H605" t="s">
        <v>5421</v>
      </c>
      <c r="I605" t="s">
        <v>5524</v>
      </c>
      <c r="J605">
        <v>2025</v>
      </c>
      <c r="K605" t="s">
        <v>5525</v>
      </c>
      <c r="L605" t="s">
        <v>5526</v>
      </c>
      <c r="M605" t="s">
        <v>5406</v>
      </c>
      <c r="N605" s="1" t="s">
        <v>4565</v>
      </c>
      <c r="O605">
        <v>40.32</v>
      </c>
      <c r="P605">
        <v>3.819</v>
      </c>
      <c r="Q605">
        <v>67458</v>
      </c>
      <c r="R605">
        <v>319</v>
      </c>
      <c r="S605">
        <v>7.91</v>
      </c>
      <c r="T605" s="8">
        <v>154.02000000000001</v>
      </c>
      <c r="U605">
        <v>490156</v>
      </c>
      <c r="V605" t="s">
        <v>5578</v>
      </c>
      <c r="W605" t="s">
        <v>5409</v>
      </c>
      <c r="X605" t="s">
        <v>5579</v>
      </c>
      <c r="Y605" t="s">
        <v>5458</v>
      </c>
      <c r="Z605" t="s">
        <v>5412</v>
      </c>
      <c r="AA605" t="s">
        <v>5413</v>
      </c>
      <c r="AB605" t="s">
        <v>5414</v>
      </c>
      <c r="AC605" t="s">
        <v>5414</v>
      </c>
      <c r="AD605" t="s">
        <v>5414</v>
      </c>
      <c r="AG605" t="s">
        <v>5415</v>
      </c>
      <c r="AI605" t="s">
        <v>5580</v>
      </c>
      <c r="AJ605" t="s">
        <v>5527</v>
      </c>
      <c r="AK605" t="s">
        <v>5528</v>
      </c>
      <c r="AL605" t="s">
        <v>5418</v>
      </c>
      <c r="AN605" t="s">
        <v>5529</v>
      </c>
    </row>
    <row r="606" spans="1:40" x14ac:dyDescent="0.25">
      <c r="A606">
        <v>1089116554</v>
      </c>
      <c r="B606" t="s">
        <v>5399</v>
      </c>
      <c r="C606">
        <v>252406</v>
      </c>
      <c r="D606" t="s">
        <v>5400</v>
      </c>
      <c r="E606">
        <v>46230.613715277781</v>
      </c>
      <c r="F606" t="s">
        <v>5703</v>
      </c>
      <c r="G606" t="s">
        <v>3668</v>
      </c>
      <c r="H606" t="s">
        <v>5549</v>
      </c>
      <c r="I606" t="s">
        <v>5403</v>
      </c>
      <c r="J606">
        <v>2026</v>
      </c>
      <c r="K606" t="s">
        <v>5704</v>
      </c>
      <c r="L606" t="s">
        <v>5705</v>
      </c>
      <c r="M606" t="s">
        <v>5406</v>
      </c>
      <c r="N606" s="1" t="s">
        <v>4565</v>
      </c>
      <c r="O606">
        <v>33</v>
      </c>
      <c r="P606">
        <v>4.29</v>
      </c>
      <c r="Q606">
        <v>33637</v>
      </c>
      <c r="R606">
        <v>251</v>
      </c>
      <c r="S606">
        <v>7.61</v>
      </c>
      <c r="T606" s="8">
        <v>141.57</v>
      </c>
      <c r="U606">
        <v>11198252</v>
      </c>
      <c r="V606" t="s">
        <v>5424</v>
      </c>
      <c r="W606" t="s">
        <v>5409</v>
      </c>
      <c r="X606" t="s">
        <v>5425</v>
      </c>
      <c r="Y606" t="s">
        <v>5411</v>
      </c>
      <c r="Z606" t="s">
        <v>5426</v>
      </c>
      <c r="AA606" t="s">
        <v>5413</v>
      </c>
      <c r="AB606" t="s">
        <v>5414</v>
      </c>
      <c r="AC606" t="s">
        <v>5414</v>
      </c>
      <c r="AD606" t="s">
        <v>5414</v>
      </c>
      <c r="AG606" t="s">
        <v>5427</v>
      </c>
      <c r="AI606" t="s">
        <v>5428</v>
      </c>
      <c r="AJ606" t="s">
        <v>5706</v>
      </c>
      <c r="AL606" t="s">
        <v>5418</v>
      </c>
      <c r="AN606" t="s">
        <v>5419</v>
      </c>
    </row>
    <row r="607" spans="1:40" x14ac:dyDescent="0.25">
      <c r="A607">
        <v>1089124037</v>
      </c>
      <c r="B607" t="s">
        <v>5399</v>
      </c>
      <c r="C607">
        <v>252406</v>
      </c>
      <c r="D607" t="s">
        <v>5400</v>
      </c>
      <c r="E607">
        <v>46230.632916666669</v>
      </c>
      <c r="F607" t="s">
        <v>5757</v>
      </c>
      <c r="G607" t="s">
        <v>3668</v>
      </c>
      <c r="H607" t="s">
        <v>5421</v>
      </c>
      <c r="I607" t="s">
        <v>5403</v>
      </c>
      <c r="J607">
        <v>2027</v>
      </c>
      <c r="K607" t="s">
        <v>5520</v>
      </c>
      <c r="L607" t="s">
        <v>5521</v>
      </c>
      <c r="M607" t="s">
        <v>5406</v>
      </c>
      <c r="N607" s="1" t="s">
        <v>4565</v>
      </c>
      <c r="O607">
        <v>38</v>
      </c>
      <c r="P607">
        <v>4.8899999999999997</v>
      </c>
      <c r="Q607">
        <v>3392</v>
      </c>
      <c r="R607">
        <v>316</v>
      </c>
      <c r="S607">
        <v>8.32</v>
      </c>
      <c r="T607" s="8">
        <v>185.82</v>
      </c>
      <c r="U607">
        <v>11160069</v>
      </c>
      <c r="V607" t="s">
        <v>5728</v>
      </c>
      <c r="W607" t="s">
        <v>5409</v>
      </c>
      <c r="X607" t="s">
        <v>5729</v>
      </c>
      <c r="Y607" t="s">
        <v>5458</v>
      </c>
      <c r="Z607" t="s">
        <v>5730</v>
      </c>
      <c r="AA607" t="s">
        <v>5413</v>
      </c>
      <c r="AB607" t="s">
        <v>5414</v>
      </c>
      <c r="AC607" t="s">
        <v>5414</v>
      </c>
      <c r="AD607" t="s">
        <v>5414</v>
      </c>
      <c r="AG607" t="s">
        <v>5427</v>
      </c>
      <c r="AI607" t="s">
        <v>5731</v>
      </c>
      <c r="AJ607" t="s">
        <v>5765</v>
      </c>
      <c r="AL607" t="s">
        <v>5418</v>
      </c>
      <c r="AN607" t="s">
        <v>5419</v>
      </c>
    </row>
    <row r="608" spans="1:40" x14ac:dyDescent="0.25">
      <c r="A608">
        <v>1089131853</v>
      </c>
      <c r="B608" t="s">
        <v>5399</v>
      </c>
      <c r="C608">
        <v>252406</v>
      </c>
      <c r="D608" t="s">
        <v>5400</v>
      </c>
      <c r="E608">
        <v>46230.655277777776</v>
      </c>
      <c r="F608" t="s">
        <v>5519</v>
      </c>
      <c r="G608" t="s">
        <v>3668</v>
      </c>
      <c r="H608" t="s">
        <v>5467</v>
      </c>
      <c r="I608" t="s">
        <v>5403</v>
      </c>
      <c r="J608">
        <v>2027</v>
      </c>
      <c r="K608" t="s">
        <v>5512</v>
      </c>
      <c r="L608" t="s">
        <v>5513</v>
      </c>
      <c r="M608" t="s">
        <v>5406</v>
      </c>
      <c r="N608" s="1" t="s">
        <v>4565</v>
      </c>
      <c r="O608">
        <v>44.69</v>
      </c>
      <c r="P608">
        <v>4.2889999999999997</v>
      </c>
      <c r="Q608">
        <v>13610</v>
      </c>
      <c r="R608">
        <v>259</v>
      </c>
      <c r="S608">
        <v>5.8</v>
      </c>
      <c r="T608" s="8">
        <v>191.72</v>
      </c>
      <c r="U608">
        <v>12193017</v>
      </c>
      <c r="V608" t="s">
        <v>5574</v>
      </c>
      <c r="W608" t="s">
        <v>5409</v>
      </c>
      <c r="X608" t="s">
        <v>5575</v>
      </c>
      <c r="Y608" t="s">
        <v>5576</v>
      </c>
      <c r="Z608" t="s">
        <v>5472</v>
      </c>
      <c r="AA608" t="s">
        <v>5413</v>
      </c>
      <c r="AB608" t="s">
        <v>5414</v>
      </c>
      <c r="AC608" t="s">
        <v>5414</v>
      </c>
      <c r="AD608" t="s">
        <v>5414</v>
      </c>
      <c r="AG608" t="s">
        <v>5427</v>
      </c>
      <c r="AI608" t="s">
        <v>5577</v>
      </c>
      <c r="AJ608" t="s">
        <v>5523</v>
      </c>
      <c r="AL608" t="s">
        <v>5418</v>
      </c>
      <c r="AN608" t="s">
        <v>5419</v>
      </c>
    </row>
    <row r="609" spans="1:40" x14ac:dyDescent="0.25">
      <c r="A609">
        <v>1089148377</v>
      </c>
      <c r="B609" t="s">
        <v>5399</v>
      </c>
      <c r="C609">
        <v>252406</v>
      </c>
      <c r="D609" t="s">
        <v>5400</v>
      </c>
      <c r="E609">
        <v>46230.701192129629</v>
      </c>
      <c r="F609" t="s">
        <v>5589</v>
      </c>
      <c r="G609" t="s">
        <v>3668</v>
      </c>
      <c r="H609" t="s">
        <v>5431</v>
      </c>
      <c r="I609" t="s">
        <v>5403</v>
      </c>
      <c r="J609">
        <v>2026</v>
      </c>
      <c r="K609" t="s">
        <v>5590</v>
      </c>
      <c r="L609" t="s">
        <v>5591</v>
      </c>
      <c r="M609" t="s">
        <v>5406</v>
      </c>
      <c r="N609" s="1" t="s">
        <v>4565</v>
      </c>
      <c r="O609">
        <v>44</v>
      </c>
      <c r="P609">
        <v>4.29</v>
      </c>
      <c r="Q609">
        <v>7490</v>
      </c>
      <c r="R609">
        <v>269</v>
      </c>
      <c r="S609">
        <v>6.11</v>
      </c>
      <c r="T609" s="8">
        <v>188.76</v>
      </c>
      <c r="U609">
        <v>11198252</v>
      </c>
      <c r="V609" t="s">
        <v>5424</v>
      </c>
      <c r="W609" t="s">
        <v>5409</v>
      </c>
      <c r="X609" t="s">
        <v>5425</v>
      </c>
      <c r="Y609" t="s">
        <v>5411</v>
      </c>
      <c r="Z609" t="s">
        <v>5426</v>
      </c>
      <c r="AA609" t="s">
        <v>5413</v>
      </c>
      <c r="AB609" t="s">
        <v>5414</v>
      </c>
      <c r="AC609" t="s">
        <v>5414</v>
      </c>
      <c r="AD609" t="s">
        <v>5414</v>
      </c>
      <c r="AG609" t="s">
        <v>5427</v>
      </c>
      <c r="AI609" t="s">
        <v>5428</v>
      </c>
      <c r="AJ609" t="s">
        <v>5890</v>
      </c>
      <c r="AL609" t="s">
        <v>5418</v>
      </c>
      <c r="AN609" t="s">
        <v>5419</v>
      </c>
    </row>
    <row r="610" spans="1:40" x14ac:dyDescent="0.25">
      <c r="A610">
        <v>1089162085</v>
      </c>
      <c r="B610" t="s">
        <v>5399</v>
      </c>
      <c r="C610">
        <v>252406</v>
      </c>
      <c r="D610" t="s">
        <v>5400</v>
      </c>
      <c r="E610">
        <v>46230.742303240739</v>
      </c>
      <c r="F610" t="s">
        <v>5444</v>
      </c>
      <c r="G610" t="s">
        <v>3668</v>
      </c>
      <c r="H610" t="s">
        <v>5431</v>
      </c>
      <c r="I610" t="s">
        <v>5403</v>
      </c>
      <c r="J610">
        <v>2026</v>
      </c>
      <c r="K610" t="s">
        <v>5445</v>
      </c>
      <c r="L610" t="s">
        <v>5446</v>
      </c>
      <c r="M610" t="s">
        <v>5406</v>
      </c>
      <c r="N610" s="1" t="s">
        <v>4565</v>
      </c>
      <c r="O610">
        <v>40.21</v>
      </c>
      <c r="P610">
        <v>4.2889999999999997</v>
      </c>
      <c r="Q610">
        <v>21518</v>
      </c>
      <c r="R610">
        <v>338</v>
      </c>
      <c r="S610">
        <v>8.41</v>
      </c>
      <c r="T610" s="8">
        <v>172.48</v>
      </c>
      <c r="U610">
        <v>12193017</v>
      </c>
      <c r="V610" t="s">
        <v>5574</v>
      </c>
      <c r="W610" t="s">
        <v>5409</v>
      </c>
      <c r="X610" t="s">
        <v>5575</v>
      </c>
      <c r="Y610" t="s">
        <v>5576</v>
      </c>
      <c r="Z610" t="s">
        <v>5472</v>
      </c>
      <c r="AA610" t="s">
        <v>5413</v>
      </c>
      <c r="AB610" t="s">
        <v>5414</v>
      </c>
      <c r="AC610" t="s">
        <v>5414</v>
      </c>
      <c r="AD610" t="s">
        <v>5414</v>
      </c>
      <c r="AG610" t="s">
        <v>5427</v>
      </c>
      <c r="AI610" t="s">
        <v>5577</v>
      </c>
      <c r="AJ610" t="s">
        <v>5447</v>
      </c>
      <c r="AL610" t="s">
        <v>5418</v>
      </c>
      <c r="AN610" t="s">
        <v>5419</v>
      </c>
    </row>
    <row r="611" spans="1:40" x14ac:dyDescent="0.25">
      <c r="A611">
        <v>1089150172</v>
      </c>
      <c r="B611" t="s">
        <v>5399</v>
      </c>
      <c r="C611">
        <v>252406</v>
      </c>
      <c r="D611" t="s">
        <v>5400</v>
      </c>
      <c r="E611">
        <v>46230.75172453704</v>
      </c>
      <c r="F611" t="s">
        <v>5847</v>
      </c>
      <c r="G611" t="s">
        <v>3668</v>
      </c>
      <c r="H611" t="s">
        <v>5421</v>
      </c>
      <c r="I611" t="s">
        <v>5403</v>
      </c>
      <c r="J611">
        <v>2027</v>
      </c>
      <c r="K611" t="s">
        <v>5694</v>
      </c>
      <c r="L611" t="s">
        <v>5695</v>
      </c>
      <c r="M611" t="s">
        <v>5406</v>
      </c>
      <c r="N611" s="1" t="s">
        <v>4565</v>
      </c>
      <c r="O611">
        <v>40.35</v>
      </c>
      <c r="P611">
        <v>4.1890000000000001</v>
      </c>
      <c r="Q611">
        <v>1864</v>
      </c>
      <c r="R611">
        <v>279</v>
      </c>
      <c r="S611">
        <v>6.91</v>
      </c>
      <c r="T611" s="8">
        <v>169.06</v>
      </c>
      <c r="U611">
        <v>11040306</v>
      </c>
      <c r="V611" t="s">
        <v>5408</v>
      </c>
      <c r="W611" t="s">
        <v>5409</v>
      </c>
      <c r="X611" t="s">
        <v>5410</v>
      </c>
      <c r="Y611" t="s">
        <v>5411</v>
      </c>
      <c r="Z611" t="s">
        <v>5412</v>
      </c>
      <c r="AA611" t="s">
        <v>5413</v>
      </c>
      <c r="AB611" t="s">
        <v>5414</v>
      </c>
      <c r="AC611" t="s">
        <v>5414</v>
      </c>
      <c r="AD611" t="s">
        <v>5414</v>
      </c>
      <c r="AG611" t="s">
        <v>5415</v>
      </c>
      <c r="AI611" t="s">
        <v>5460</v>
      </c>
      <c r="AJ611" t="s">
        <v>5855</v>
      </c>
      <c r="AL611" t="s">
        <v>5418</v>
      </c>
      <c r="AN611" t="s">
        <v>5419</v>
      </c>
    </row>
    <row r="612" spans="1:40" x14ac:dyDescent="0.25">
      <c r="A612">
        <v>1089151416</v>
      </c>
      <c r="B612" t="s">
        <v>5399</v>
      </c>
      <c r="C612">
        <v>252406</v>
      </c>
      <c r="D612" t="s">
        <v>5400</v>
      </c>
      <c r="E612">
        <v>46230.756168981483</v>
      </c>
      <c r="F612" t="s">
        <v>5740</v>
      </c>
      <c r="G612" t="s">
        <v>3668</v>
      </c>
      <c r="H612" t="s">
        <v>5431</v>
      </c>
      <c r="I612" t="s">
        <v>5403</v>
      </c>
      <c r="J612">
        <v>2026</v>
      </c>
      <c r="K612" t="s">
        <v>5557</v>
      </c>
      <c r="L612" t="s">
        <v>5558</v>
      </c>
      <c r="M612" t="s">
        <v>5406</v>
      </c>
      <c r="N612" s="1" t="s">
        <v>4565</v>
      </c>
      <c r="O612">
        <v>42.62</v>
      </c>
      <c r="P612">
        <v>4.1890000000000001</v>
      </c>
      <c r="Q612">
        <v>32325</v>
      </c>
      <c r="R612">
        <v>336</v>
      </c>
      <c r="S612">
        <v>7.88</v>
      </c>
      <c r="T612" s="8">
        <v>178.57</v>
      </c>
      <c r="U612">
        <v>11040306</v>
      </c>
      <c r="V612" t="s">
        <v>5408</v>
      </c>
      <c r="W612" t="s">
        <v>5409</v>
      </c>
      <c r="X612" t="s">
        <v>5410</v>
      </c>
      <c r="Y612" t="s">
        <v>5411</v>
      </c>
      <c r="Z612" t="s">
        <v>5412</v>
      </c>
      <c r="AA612" t="s">
        <v>5413</v>
      </c>
      <c r="AB612" t="s">
        <v>5414</v>
      </c>
      <c r="AC612" t="s">
        <v>5414</v>
      </c>
      <c r="AD612" t="s">
        <v>5414</v>
      </c>
      <c r="AG612" t="s">
        <v>5415</v>
      </c>
      <c r="AI612" t="s">
        <v>5460</v>
      </c>
      <c r="AJ612" t="s">
        <v>5742</v>
      </c>
      <c r="AL612" t="s">
        <v>5418</v>
      </c>
      <c r="AN612" t="s">
        <v>5419</v>
      </c>
    </row>
    <row r="613" spans="1:40" x14ac:dyDescent="0.25">
      <c r="A613">
        <v>1089183170</v>
      </c>
      <c r="B613" t="s">
        <v>5399</v>
      </c>
      <c r="C613">
        <v>252406</v>
      </c>
      <c r="D613" t="s">
        <v>5400</v>
      </c>
      <c r="E613">
        <v>46230.884328703702</v>
      </c>
      <c r="F613" t="s">
        <v>5477</v>
      </c>
      <c r="G613" t="s">
        <v>3668</v>
      </c>
      <c r="H613" t="s">
        <v>5478</v>
      </c>
      <c r="I613" t="s">
        <v>5403</v>
      </c>
      <c r="J613">
        <v>2015</v>
      </c>
      <c r="K613" t="s">
        <v>5479</v>
      </c>
      <c r="L613" t="s">
        <v>5480</v>
      </c>
      <c r="M613" t="s">
        <v>5406</v>
      </c>
      <c r="N613" s="1" t="s">
        <v>4565</v>
      </c>
      <c r="O613">
        <v>23.6</v>
      </c>
      <c r="P613">
        <v>3.589</v>
      </c>
      <c r="Q613">
        <v>252845</v>
      </c>
      <c r="R613">
        <v>529</v>
      </c>
      <c r="S613">
        <v>22.42</v>
      </c>
      <c r="T613" s="8">
        <v>84.72</v>
      </c>
      <c r="U613">
        <v>12815000</v>
      </c>
      <c r="V613" t="s">
        <v>5448</v>
      </c>
      <c r="W613" t="s">
        <v>5409</v>
      </c>
      <c r="X613" t="s">
        <v>5449</v>
      </c>
      <c r="Y613" t="s">
        <v>5450</v>
      </c>
      <c r="Z613" t="s">
        <v>5426</v>
      </c>
      <c r="AA613" t="s">
        <v>5413</v>
      </c>
      <c r="AB613" t="s">
        <v>5414</v>
      </c>
      <c r="AC613" t="s">
        <v>5414</v>
      </c>
      <c r="AD613" t="s">
        <v>5414</v>
      </c>
      <c r="AG613" t="s">
        <v>5427</v>
      </c>
      <c r="AI613" t="s">
        <v>5451</v>
      </c>
      <c r="AJ613" t="s">
        <v>5485</v>
      </c>
      <c r="AL613" t="s">
        <v>5418</v>
      </c>
      <c r="AN613" t="s">
        <v>5419</v>
      </c>
    </row>
    <row r="614" spans="1:40" x14ac:dyDescent="0.25">
      <c r="A614">
        <v>1089192192</v>
      </c>
      <c r="B614" t="s">
        <v>5399</v>
      </c>
      <c r="C614">
        <v>252406</v>
      </c>
      <c r="D614" t="s">
        <v>5400</v>
      </c>
      <c r="E614">
        <v>46231.241712962961</v>
      </c>
      <c r="F614" t="s">
        <v>5401</v>
      </c>
      <c r="G614" t="s">
        <v>3668</v>
      </c>
      <c r="H614" t="s">
        <v>5402</v>
      </c>
      <c r="I614" t="s">
        <v>5403</v>
      </c>
      <c r="J614">
        <v>2026</v>
      </c>
      <c r="K614" t="s">
        <v>5404</v>
      </c>
      <c r="L614" t="s">
        <v>5405</v>
      </c>
      <c r="M614" t="s">
        <v>5406</v>
      </c>
      <c r="N614" s="1" t="s">
        <v>4565</v>
      </c>
      <c r="O614">
        <v>31.59</v>
      </c>
      <c r="P614">
        <v>4.1890000000000001</v>
      </c>
      <c r="Q614">
        <v>37405</v>
      </c>
      <c r="R614">
        <v>262</v>
      </c>
      <c r="S614">
        <v>8.2899999999999991</v>
      </c>
      <c r="T614" s="8">
        <v>132.36000000000001</v>
      </c>
      <c r="U614">
        <v>11040306</v>
      </c>
      <c r="V614" t="s">
        <v>5408</v>
      </c>
      <c r="W614" t="s">
        <v>5409</v>
      </c>
      <c r="X614" t="s">
        <v>5410</v>
      </c>
      <c r="Y614" t="s">
        <v>5411</v>
      </c>
      <c r="Z614" t="s">
        <v>5412</v>
      </c>
      <c r="AA614" t="s">
        <v>5413</v>
      </c>
      <c r="AB614" t="s">
        <v>5414</v>
      </c>
      <c r="AC614" t="s">
        <v>5414</v>
      </c>
      <c r="AD614" t="s">
        <v>5414</v>
      </c>
      <c r="AG614" t="s">
        <v>5415</v>
      </c>
      <c r="AI614" t="s">
        <v>5629</v>
      </c>
      <c r="AJ614" t="s">
        <v>5417</v>
      </c>
      <c r="AL614" t="s">
        <v>5418</v>
      </c>
      <c r="AN614" t="s">
        <v>5419</v>
      </c>
    </row>
    <row r="615" spans="1:40" x14ac:dyDescent="0.25">
      <c r="A615">
        <v>1089208275</v>
      </c>
      <c r="B615" t="s">
        <v>5399</v>
      </c>
      <c r="C615">
        <v>252406</v>
      </c>
      <c r="D615" t="s">
        <v>5400</v>
      </c>
      <c r="E615">
        <v>46231.27003472222</v>
      </c>
      <c r="F615" t="s">
        <v>5435</v>
      </c>
      <c r="G615" t="s">
        <v>3668</v>
      </c>
      <c r="H615" t="s">
        <v>5421</v>
      </c>
      <c r="I615" t="s">
        <v>5403</v>
      </c>
      <c r="J615">
        <v>2026</v>
      </c>
      <c r="K615" t="s">
        <v>5436</v>
      </c>
      <c r="L615" t="s">
        <v>5437</v>
      </c>
      <c r="M615" t="s">
        <v>5406</v>
      </c>
      <c r="N615" s="1" t="s">
        <v>4565</v>
      </c>
      <c r="O615">
        <v>26.04</v>
      </c>
      <c r="P615">
        <v>4.66</v>
      </c>
      <c r="Q615">
        <v>50858</v>
      </c>
      <c r="R615">
        <v>192</v>
      </c>
      <c r="S615">
        <v>7.37</v>
      </c>
      <c r="T615" s="8">
        <v>121.35</v>
      </c>
      <c r="U615">
        <v>11120083</v>
      </c>
      <c r="V615" t="s">
        <v>5596</v>
      </c>
      <c r="W615" t="s">
        <v>5409</v>
      </c>
      <c r="X615" t="s">
        <v>5597</v>
      </c>
      <c r="Y615" t="s">
        <v>5458</v>
      </c>
      <c r="Z615" t="s">
        <v>5598</v>
      </c>
      <c r="AA615" t="s">
        <v>5413</v>
      </c>
      <c r="AB615" t="s">
        <v>5414</v>
      </c>
      <c r="AC615" t="s">
        <v>5414</v>
      </c>
      <c r="AD615" t="s">
        <v>5414</v>
      </c>
      <c r="AG615" t="s">
        <v>5427</v>
      </c>
      <c r="AI615" t="s">
        <v>5599</v>
      </c>
      <c r="AJ615" t="s">
        <v>5443</v>
      </c>
      <c r="AL615" t="s">
        <v>5418</v>
      </c>
      <c r="AN615" t="s">
        <v>5419</v>
      </c>
    </row>
    <row r="616" spans="1:40" x14ac:dyDescent="0.25">
      <c r="A616">
        <v>1089212495</v>
      </c>
      <c r="B616" t="s">
        <v>5399</v>
      </c>
      <c r="C616">
        <v>252406</v>
      </c>
      <c r="D616" t="s">
        <v>5400</v>
      </c>
      <c r="E616">
        <v>46231.280416666668</v>
      </c>
      <c r="F616" t="s">
        <v>5462</v>
      </c>
      <c r="G616" t="s">
        <v>3668</v>
      </c>
      <c r="H616" t="s">
        <v>5402</v>
      </c>
      <c r="I616" t="s">
        <v>5403</v>
      </c>
      <c r="J616">
        <v>2026</v>
      </c>
      <c r="K616" t="s">
        <v>5604</v>
      </c>
      <c r="L616" t="s">
        <v>5605</v>
      </c>
      <c r="M616" t="s">
        <v>5406</v>
      </c>
      <c r="N616" s="1" t="s">
        <v>4565</v>
      </c>
      <c r="O616">
        <v>24.19</v>
      </c>
      <c r="P616">
        <v>4.29</v>
      </c>
      <c r="Q616">
        <v>30336</v>
      </c>
      <c r="R616">
        <v>185</v>
      </c>
      <c r="S616">
        <v>7.65</v>
      </c>
      <c r="T616" s="8">
        <v>103.78</v>
      </c>
      <c r="U616">
        <v>11198252</v>
      </c>
      <c r="V616" t="s">
        <v>5424</v>
      </c>
      <c r="W616" t="s">
        <v>5409</v>
      </c>
      <c r="X616" t="s">
        <v>5425</v>
      </c>
      <c r="Y616" t="s">
        <v>5411</v>
      </c>
      <c r="Z616" t="s">
        <v>5426</v>
      </c>
      <c r="AA616" t="s">
        <v>5413</v>
      </c>
      <c r="AB616" t="s">
        <v>5414</v>
      </c>
      <c r="AC616" t="s">
        <v>5414</v>
      </c>
      <c r="AD616" t="s">
        <v>5414</v>
      </c>
      <c r="AG616" t="s">
        <v>5427</v>
      </c>
      <c r="AI616" t="s">
        <v>5428</v>
      </c>
      <c r="AJ616" t="s">
        <v>5465</v>
      </c>
      <c r="AL616" t="s">
        <v>5418</v>
      </c>
      <c r="AN616" t="s">
        <v>5419</v>
      </c>
    </row>
    <row r="617" spans="1:40" x14ac:dyDescent="0.25">
      <c r="A617">
        <v>1089271207</v>
      </c>
      <c r="B617" t="s">
        <v>5399</v>
      </c>
      <c r="C617">
        <v>252406</v>
      </c>
      <c r="D617" t="s">
        <v>5400</v>
      </c>
      <c r="E617">
        <v>46231.398032407407</v>
      </c>
      <c r="F617" t="s">
        <v>5401</v>
      </c>
      <c r="G617" t="s">
        <v>3668</v>
      </c>
      <c r="H617" t="s">
        <v>5402</v>
      </c>
      <c r="I617" t="s">
        <v>5403</v>
      </c>
      <c r="J617">
        <v>2026</v>
      </c>
      <c r="K617" t="s">
        <v>5404</v>
      </c>
      <c r="L617" t="s">
        <v>5405</v>
      </c>
      <c r="M617" t="s">
        <v>5406</v>
      </c>
      <c r="N617" s="1" t="s">
        <v>4565</v>
      </c>
      <c r="O617">
        <v>28.08</v>
      </c>
      <c r="P617">
        <v>4.2889999999999997</v>
      </c>
      <c r="Q617">
        <v>37679</v>
      </c>
      <c r="R617">
        <v>274</v>
      </c>
      <c r="S617">
        <v>9.76</v>
      </c>
      <c r="T617" s="8">
        <v>120.46</v>
      </c>
      <c r="U617">
        <v>11198252</v>
      </c>
      <c r="V617" t="s">
        <v>5424</v>
      </c>
      <c r="W617" t="s">
        <v>5409</v>
      </c>
      <c r="X617" t="s">
        <v>5425</v>
      </c>
      <c r="Y617" t="s">
        <v>5411</v>
      </c>
      <c r="Z617" t="s">
        <v>5426</v>
      </c>
      <c r="AA617" t="s">
        <v>5413</v>
      </c>
      <c r="AB617" t="s">
        <v>5414</v>
      </c>
      <c r="AC617" t="s">
        <v>5414</v>
      </c>
      <c r="AD617" t="s">
        <v>5414</v>
      </c>
      <c r="AG617" t="s">
        <v>5427</v>
      </c>
      <c r="AI617" t="s">
        <v>5428</v>
      </c>
      <c r="AJ617" t="s">
        <v>5417</v>
      </c>
      <c r="AL617" t="s">
        <v>5418</v>
      </c>
      <c r="AN617" t="s">
        <v>5419</v>
      </c>
    </row>
    <row r="618" spans="1:40" x14ac:dyDescent="0.25">
      <c r="A618">
        <v>1089275141</v>
      </c>
      <c r="B618" t="s">
        <v>5399</v>
      </c>
      <c r="C618">
        <v>252406</v>
      </c>
      <c r="D618" t="s">
        <v>5400</v>
      </c>
      <c r="E618">
        <v>46231.408310185187</v>
      </c>
      <c r="F618" t="s">
        <v>5475</v>
      </c>
      <c r="G618" t="s">
        <v>3668</v>
      </c>
      <c r="H618" t="s">
        <v>5467</v>
      </c>
      <c r="I618" t="s">
        <v>5403</v>
      </c>
      <c r="J618">
        <v>2026</v>
      </c>
      <c r="K618" t="s">
        <v>5463</v>
      </c>
      <c r="L618" t="s">
        <v>5464</v>
      </c>
      <c r="M618" t="s">
        <v>5406</v>
      </c>
      <c r="N618" s="1" t="s">
        <v>4565</v>
      </c>
      <c r="O618">
        <v>43.13</v>
      </c>
      <c r="P618">
        <v>4.29</v>
      </c>
      <c r="Q618">
        <v>39136</v>
      </c>
      <c r="R618">
        <v>250</v>
      </c>
      <c r="S618">
        <v>5.8</v>
      </c>
      <c r="T618" s="8">
        <v>185.03</v>
      </c>
      <c r="U618">
        <v>11198252</v>
      </c>
      <c r="V618" t="s">
        <v>5424</v>
      </c>
      <c r="W618" t="s">
        <v>5409</v>
      </c>
      <c r="X618" t="s">
        <v>5425</v>
      </c>
      <c r="Y618" t="s">
        <v>5411</v>
      </c>
      <c r="Z618" t="s">
        <v>5426</v>
      </c>
      <c r="AA618" t="s">
        <v>5413</v>
      </c>
      <c r="AB618" t="s">
        <v>5414</v>
      </c>
      <c r="AC618" t="s">
        <v>5414</v>
      </c>
      <c r="AD618" t="s">
        <v>5414</v>
      </c>
      <c r="AG618" t="s">
        <v>5427</v>
      </c>
      <c r="AI618" t="s">
        <v>5428</v>
      </c>
      <c r="AJ618" t="s">
        <v>5697</v>
      </c>
      <c r="AL618" t="s">
        <v>5418</v>
      </c>
      <c r="AN618" t="s">
        <v>5419</v>
      </c>
    </row>
    <row r="619" spans="1:40" x14ac:dyDescent="0.25">
      <c r="A619">
        <v>1089277094</v>
      </c>
      <c r="B619" t="s">
        <v>5399</v>
      </c>
      <c r="C619">
        <v>252406</v>
      </c>
      <c r="D619" t="s">
        <v>5400</v>
      </c>
      <c r="E619">
        <v>46231.415312500001</v>
      </c>
      <c r="F619" t="s">
        <v>5647</v>
      </c>
      <c r="G619" t="s">
        <v>3668</v>
      </c>
      <c r="H619" t="s">
        <v>5568</v>
      </c>
      <c r="I619" t="s">
        <v>5403</v>
      </c>
      <c r="J619">
        <v>2025</v>
      </c>
      <c r="K619" t="s">
        <v>5648</v>
      </c>
      <c r="L619" t="s">
        <v>5649</v>
      </c>
      <c r="M619" t="s">
        <v>5406</v>
      </c>
      <c r="N619" s="1" t="s">
        <v>4565</v>
      </c>
      <c r="O619">
        <v>46.39</v>
      </c>
      <c r="P619">
        <v>4.2889999999999997</v>
      </c>
      <c r="Q619">
        <v>18565</v>
      </c>
      <c r="R619">
        <v>346</v>
      </c>
      <c r="S619">
        <v>7.46</v>
      </c>
      <c r="T619" s="8">
        <v>199.01</v>
      </c>
      <c r="U619">
        <v>11198252</v>
      </c>
      <c r="V619" t="s">
        <v>5424</v>
      </c>
      <c r="W619" t="s">
        <v>5409</v>
      </c>
      <c r="X619" t="s">
        <v>5425</v>
      </c>
      <c r="Y619" t="s">
        <v>5411</v>
      </c>
      <c r="Z619" t="s">
        <v>5426</v>
      </c>
      <c r="AA619" t="s">
        <v>5413</v>
      </c>
      <c r="AB619" t="s">
        <v>5414</v>
      </c>
      <c r="AC619" t="s">
        <v>5414</v>
      </c>
      <c r="AD619" t="s">
        <v>5414</v>
      </c>
      <c r="AG619" t="s">
        <v>5427</v>
      </c>
      <c r="AI619" t="s">
        <v>5428</v>
      </c>
      <c r="AJ619" t="s">
        <v>5650</v>
      </c>
      <c r="AL619" t="s">
        <v>5418</v>
      </c>
      <c r="AN619" t="s">
        <v>5419</v>
      </c>
    </row>
    <row r="620" spans="1:40" x14ac:dyDescent="0.25">
      <c r="A620">
        <v>1089288178</v>
      </c>
      <c r="B620" t="s">
        <v>5399</v>
      </c>
      <c r="C620">
        <v>252406</v>
      </c>
      <c r="D620" t="s">
        <v>5400</v>
      </c>
      <c r="E620">
        <v>46231.444722222222</v>
      </c>
      <c r="F620" t="s">
        <v>5486</v>
      </c>
      <c r="G620" t="s">
        <v>3668</v>
      </c>
      <c r="H620" t="s">
        <v>5487</v>
      </c>
      <c r="I620" t="s">
        <v>5403</v>
      </c>
      <c r="J620">
        <v>2025</v>
      </c>
      <c r="K620" t="s">
        <v>5488</v>
      </c>
      <c r="L620" t="s">
        <v>5489</v>
      </c>
      <c r="M620" t="s">
        <v>5406</v>
      </c>
      <c r="N620" s="1" t="s">
        <v>4565</v>
      </c>
      <c r="O620">
        <v>34.200000000000003</v>
      </c>
      <c r="P620">
        <v>4.069</v>
      </c>
      <c r="Q620">
        <v>58801</v>
      </c>
      <c r="R620">
        <v>312</v>
      </c>
      <c r="S620">
        <v>9.1199999999999992</v>
      </c>
      <c r="T620" s="8">
        <v>139.19</v>
      </c>
      <c r="U620">
        <v>12192843</v>
      </c>
      <c r="V620" t="s">
        <v>5723</v>
      </c>
      <c r="W620" t="s">
        <v>5409</v>
      </c>
      <c r="X620" t="s">
        <v>5724</v>
      </c>
      <c r="Y620" t="s">
        <v>5725</v>
      </c>
      <c r="Z620" t="s">
        <v>5726</v>
      </c>
      <c r="AA620" t="s">
        <v>5413</v>
      </c>
      <c r="AB620" t="s">
        <v>5414</v>
      </c>
      <c r="AC620" t="s">
        <v>5414</v>
      </c>
      <c r="AD620" t="s">
        <v>5414</v>
      </c>
      <c r="AG620" t="s">
        <v>5427</v>
      </c>
      <c r="AI620" t="s">
        <v>5727</v>
      </c>
      <c r="AJ620" t="s">
        <v>5493</v>
      </c>
      <c r="AL620" t="s">
        <v>5418</v>
      </c>
      <c r="AN620" t="s">
        <v>5419</v>
      </c>
    </row>
    <row r="621" spans="1:40" x14ac:dyDescent="0.25">
      <c r="A621">
        <v>1089291663</v>
      </c>
      <c r="B621" t="s">
        <v>5399</v>
      </c>
      <c r="C621">
        <v>252406</v>
      </c>
      <c r="D621" t="s">
        <v>5400</v>
      </c>
      <c r="E621">
        <v>46231.459120370368</v>
      </c>
      <c r="F621" t="s">
        <v>5585</v>
      </c>
      <c r="G621" t="s">
        <v>3668</v>
      </c>
      <c r="H621" t="s">
        <v>5506</v>
      </c>
      <c r="I621" t="s">
        <v>5403</v>
      </c>
      <c r="J621">
        <v>2026</v>
      </c>
      <c r="K621" t="s">
        <v>5717</v>
      </c>
      <c r="L621" t="s">
        <v>5718</v>
      </c>
      <c r="M621" t="s">
        <v>5406</v>
      </c>
      <c r="N621" s="1" t="s">
        <v>4565</v>
      </c>
      <c r="O621">
        <v>30.54</v>
      </c>
      <c r="P621">
        <v>4.29</v>
      </c>
      <c r="Q621">
        <v>4961</v>
      </c>
      <c r="R621">
        <v>199</v>
      </c>
      <c r="S621">
        <v>6.52</v>
      </c>
      <c r="T621" s="8">
        <v>131.02000000000001</v>
      </c>
      <c r="U621">
        <v>11198252</v>
      </c>
      <c r="V621" t="s">
        <v>5424</v>
      </c>
      <c r="W621" t="s">
        <v>5409</v>
      </c>
      <c r="X621" t="s">
        <v>5425</v>
      </c>
      <c r="Y621" t="s">
        <v>5411</v>
      </c>
      <c r="Z621" t="s">
        <v>5426</v>
      </c>
      <c r="AA621" t="s">
        <v>5413</v>
      </c>
      <c r="AB621" t="s">
        <v>5414</v>
      </c>
      <c r="AC621" t="s">
        <v>5414</v>
      </c>
      <c r="AD621" t="s">
        <v>5414</v>
      </c>
      <c r="AG621" t="s">
        <v>5427</v>
      </c>
      <c r="AI621" t="s">
        <v>5428</v>
      </c>
      <c r="AJ621" t="s">
        <v>5588</v>
      </c>
      <c r="AL621" t="s">
        <v>5418</v>
      </c>
      <c r="AN621" t="s">
        <v>5419</v>
      </c>
    </row>
    <row r="622" spans="1:40" x14ac:dyDescent="0.25">
      <c r="A622">
        <v>1089305955</v>
      </c>
      <c r="B622" t="s">
        <v>5399</v>
      </c>
      <c r="C622">
        <v>252406</v>
      </c>
      <c r="D622" t="s">
        <v>5400</v>
      </c>
      <c r="E622">
        <v>46231.504930555559</v>
      </c>
      <c r="F622" t="s">
        <v>5743</v>
      </c>
      <c r="G622" t="s">
        <v>3668</v>
      </c>
      <c r="H622" t="s">
        <v>5539</v>
      </c>
      <c r="I622" t="s">
        <v>5403</v>
      </c>
      <c r="J622">
        <v>2026</v>
      </c>
      <c r="K622" t="s">
        <v>5753</v>
      </c>
      <c r="L622" t="s">
        <v>5754</v>
      </c>
      <c r="M622" t="s">
        <v>5406</v>
      </c>
      <c r="N622" s="1" t="s">
        <v>4565</v>
      </c>
      <c r="O622">
        <v>42.86</v>
      </c>
      <c r="P622">
        <v>4.29</v>
      </c>
      <c r="Q622">
        <v>20201</v>
      </c>
      <c r="R622">
        <v>348</v>
      </c>
      <c r="S622">
        <v>8.1199999999999992</v>
      </c>
      <c r="T622" s="8">
        <v>183.87</v>
      </c>
      <c r="U622">
        <v>11198252</v>
      </c>
      <c r="V622" t="s">
        <v>5424</v>
      </c>
      <c r="W622" t="s">
        <v>5409</v>
      </c>
      <c r="X622" t="s">
        <v>5425</v>
      </c>
      <c r="Y622" t="s">
        <v>5411</v>
      </c>
      <c r="Z622" t="s">
        <v>5426</v>
      </c>
      <c r="AA622" t="s">
        <v>5413</v>
      </c>
      <c r="AB622" t="s">
        <v>5414</v>
      </c>
      <c r="AC622" t="s">
        <v>5414</v>
      </c>
      <c r="AD622" t="s">
        <v>5414</v>
      </c>
      <c r="AG622" t="s">
        <v>5427</v>
      </c>
      <c r="AI622" t="s">
        <v>5428</v>
      </c>
      <c r="AJ622" t="s">
        <v>5746</v>
      </c>
      <c r="AL622" t="s">
        <v>5418</v>
      </c>
      <c r="AN622" t="s">
        <v>5419</v>
      </c>
    </row>
    <row r="623" spans="1:40" x14ac:dyDescent="0.25">
      <c r="A623">
        <v>1089295700</v>
      </c>
      <c r="B623" t="s">
        <v>5399</v>
      </c>
      <c r="C623">
        <v>252406</v>
      </c>
      <c r="D623" t="s">
        <v>5400</v>
      </c>
      <c r="E623">
        <v>46231.513854166667</v>
      </c>
      <c r="F623" t="s">
        <v>5551</v>
      </c>
      <c r="G623" t="s">
        <v>3668</v>
      </c>
      <c r="H623" t="s">
        <v>5552</v>
      </c>
      <c r="I623" t="s">
        <v>5403</v>
      </c>
      <c r="J623">
        <v>2026</v>
      </c>
      <c r="K623" t="s">
        <v>5553</v>
      </c>
      <c r="L623" t="s">
        <v>5554</v>
      </c>
      <c r="M623" t="s">
        <v>5406</v>
      </c>
      <c r="N623" s="1" t="s">
        <v>4565</v>
      </c>
      <c r="O623">
        <v>44.05</v>
      </c>
      <c r="P623">
        <v>4.1890000000000001</v>
      </c>
      <c r="Q623">
        <v>26503</v>
      </c>
      <c r="R623">
        <v>323</v>
      </c>
      <c r="S623">
        <v>7.33</v>
      </c>
      <c r="T623" s="8">
        <v>184.56</v>
      </c>
      <c r="U623">
        <v>11040306</v>
      </c>
      <c r="V623" t="s">
        <v>5408</v>
      </c>
      <c r="W623" t="s">
        <v>5409</v>
      </c>
      <c r="X623" t="s">
        <v>5410</v>
      </c>
      <c r="Y623" t="s">
        <v>5411</v>
      </c>
      <c r="Z623" t="s">
        <v>5412</v>
      </c>
      <c r="AA623" t="s">
        <v>5413</v>
      </c>
      <c r="AB623" t="s">
        <v>5414</v>
      </c>
      <c r="AC623" t="s">
        <v>5414</v>
      </c>
      <c r="AD623" t="s">
        <v>5414</v>
      </c>
      <c r="AG623" t="s">
        <v>5415</v>
      </c>
      <c r="AI623" t="s">
        <v>5522</v>
      </c>
      <c r="AJ623" t="s">
        <v>5555</v>
      </c>
      <c r="AL623" t="s">
        <v>5418</v>
      </c>
      <c r="AN623" t="s">
        <v>5419</v>
      </c>
    </row>
    <row r="624" spans="1:40" x14ac:dyDescent="0.25">
      <c r="A624">
        <v>1089309161</v>
      </c>
      <c r="B624" t="s">
        <v>5399</v>
      </c>
      <c r="C624">
        <v>252406</v>
      </c>
      <c r="D624" t="s">
        <v>5400</v>
      </c>
      <c r="E624">
        <v>46231.517789351848</v>
      </c>
      <c r="F624" t="s">
        <v>5505</v>
      </c>
      <c r="G624" t="s">
        <v>3668</v>
      </c>
      <c r="H624" t="s">
        <v>5506</v>
      </c>
      <c r="I624" t="s">
        <v>5403</v>
      </c>
      <c r="J624">
        <v>2026</v>
      </c>
      <c r="K624" t="s">
        <v>5507</v>
      </c>
      <c r="L624" t="s">
        <v>5508</v>
      </c>
      <c r="M624" t="s">
        <v>5406</v>
      </c>
      <c r="N624" s="1" t="s">
        <v>4565</v>
      </c>
      <c r="O624">
        <v>37.76</v>
      </c>
      <c r="P624">
        <v>3.59</v>
      </c>
      <c r="Q624">
        <v>7948</v>
      </c>
      <c r="R624">
        <v>301</v>
      </c>
      <c r="S624">
        <v>7.97</v>
      </c>
      <c r="T624" s="8">
        <v>135.56</v>
      </c>
      <c r="U624">
        <v>12815000</v>
      </c>
      <c r="V624" t="s">
        <v>5448</v>
      </c>
      <c r="W624" t="s">
        <v>5409</v>
      </c>
      <c r="X624" t="s">
        <v>5449</v>
      </c>
      <c r="Y624" t="s">
        <v>5450</v>
      </c>
      <c r="Z624" t="s">
        <v>5426</v>
      </c>
      <c r="AA624" t="s">
        <v>5413</v>
      </c>
      <c r="AB624" t="s">
        <v>5414</v>
      </c>
      <c r="AC624" t="s">
        <v>5414</v>
      </c>
      <c r="AD624" t="s">
        <v>5414</v>
      </c>
      <c r="AG624" t="s">
        <v>5427</v>
      </c>
      <c r="AI624" t="s">
        <v>5451</v>
      </c>
      <c r="AJ624" t="s">
        <v>5509</v>
      </c>
      <c r="AL624" t="s">
        <v>5418</v>
      </c>
      <c r="AN624" t="s">
        <v>5419</v>
      </c>
    </row>
    <row r="625" spans="1:40" x14ac:dyDescent="0.25">
      <c r="A625">
        <v>1089317170</v>
      </c>
      <c r="B625" t="s">
        <v>5399</v>
      </c>
      <c r="C625">
        <v>252406</v>
      </c>
      <c r="D625" t="s">
        <v>5400</v>
      </c>
      <c r="E625">
        <v>46231.54346064815</v>
      </c>
      <c r="F625" t="s">
        <v>5593</v>
      </c>
      <c r="G625" t="s">
        <v>3668</v>
      </c>
      <c r="H625" t="s">
        <v>5431</v>
      </c>
      <c r="I625" t="s">
        <v>5593</v>
      </c>
      <c r="J625">
        <v>2025</v>
      </c>
      <c r="K625" t="s">
        <v>5432</v>
      </c>
      <c r="L625" t="s">
        <v>5433</v>
      </c>
      <c r="M625" t="s">
        <v>5406</v>
      </c>
      <c r="N625" s="1" t="s">
        <v>4565</v>
      </c>
      <c r="O625">
        <v>41</v>
      </c>
      <c r="P625">
        <v>4.29</v>
      </c>
      <c r="Q625">
        <v>55279</v>
      </c>
      <c r="R625">
        <v>338</v>
      </c>
      <c r="S625">
        <v>8.24</v>
      </c>
      <c r="T625" s="8">
        <v>175.89</v>
      </c>
      <c r="U625">
        <v>11198252</v>
      </c>
      <c r="V625" t="s">
        <v>5424</v>
      </c>
      <c r="W625" t="s">
        <v>5409</v>
      </c>
      <c r="X625" t="s">
        <v>5425</v>
      </c>
      <c r="Y625" t="s">
        <v>5411</v>
      </c>
      <c r="Z625" t="s">
        <v>5426</v>
      </c>
      <c r="AA625" t="s">
        <v>5413</v>
      </c>
      <c r="AB625" t="s">
        <v>5414</v>
      </c>
      <c r="AC625" t="s">
        <v>5414</v>
      </c>
      <c r="AD625" t="s">
        <v>5414</v>
      </c>
      <c r="AG625" t="s">
        <v>5427</v>
      </c>
      <c r="AI625" t="s">
        <v>5428</v>
      </c>
      <c r="AJ625" t="s">
        <v>5594</v>
      </c>
      <c r="AK625" t="s">
        <v>5528</v>
      </c>
      <c r="AL625" t="s">
        <v>5418</v>
      </c>
      <c r="AN625" t="s">
        <v>5595</v>
      </c>
    </row>
    <row r="626" spans="1:40" x14ac:dyDescent="0.25">
      <c r="A626">
        <v>1089312500</v>
      </c>
      <c r="B626" t="s">
        <v>5399</v>
      </c>
      <c r="C626">
        <v>252406</v>
      </c>
      <c r="D626" t="s">
        <v>5400</v>
      </c>
      <c r="E626">
        <v>46231.572118055556</v>
      </c>
      <c r="F626" t="s">
        <v>5800</v>
      </c>
      <c r="G626" t="s">
        <v>3668</v>
      </c>
      <c r="H626" t="s">
        <v>5421</v>
      </c>
      <c r="I626" t="s">
        <v>5403</v>
      </c>
      <c r="J626">
        <v>2027</v>
      </c>
      <c r="K626" t="s">
        <v>5741</v>
      </c>
      <c r="L626" t="s">
        <v>5529</v>
      </c>
      <c r="M626" t="s">
        <v>5406</v>
      </c>
      <c r="N626" s="1" t="s">
        <v>4565</v>
      </c>
      <c r="O626">
        <v>38.340000000000003</v>
      </c>
      <c r="P626">
        <v>4.1890000000000001</v>
      </c>
      <c r="Q626">
        <v>1955</v>
      </c>
      <c r="R626">
        <v>282</v>
      </c>
      <c r="S626">
        <v>7.36</v>
      </c>
      <c r="T626" s="8">
        <v>160.63999999999999</v>
      </c>
      <c r="U626">
        <v>11040306</v>
      </c>
      <c r="V626" t="s">
        <v>5408</v>
      </c>
      <c r="W626" t="s">
        <v>5409</v>
      </c>
      <c r="X626" t="s">
        <v>5410</v>
      </c>
      <c r="Y626" t="s">
        <v>5411</v>
      </c>
      <c r="Z626" t="s">
        <v>5412</v>
      </c>
      <c r="AA626" t="s">
        <v>5413</v>
      </c>
      <c r="AB626" t="s">
        <v>5414</v>
      </c>
      <c r="AC626" t="s">
        <v>5414</v>
      </c>
      <c r="AD626" t="s">
        <v>5414</v>
      </c>
      <c r="AG626" t="s">
        <v>5415</v>
      </c>
      <c r="AI626" t="s">
        <v>5460</v>
      </c>
      <c r="AJ626" t="s">
        <v>5806</v>
      </c>
      <c r="AL626" t="s">
        <v>5418</v>
      </c>
      <c r="AN626" t="s">
        <v>5419</v>
      </c>
    </row>
    <row r="627" spans="1:40" x14ac:dyDescent="0.25">
      <c r="A627">
        <v>1089337908</v>
      </c>
      <c r="B627" t="s">
        <v>5399</v>
      </c>
      <c r="C627">
        <v>252406</v>
      </c>
      <c r="D627" t="s">
        <v>5400</v>
      </c>
      <c r="E627">
        <v>46231.599317129629</v>
      </c>
      <c r="F627" t="s">
        <v>5567</v>
      </c>
      <c r="G627" t="s">
        <v>3668</v>
      </c>
      <c r="H627" t="s">
        <v>5568</v>
      </c>
      <c r="I627" t="s">
        <v>5403</v>
      </c>
      <c r="J627">
        <v>2026</v>
      </c>
      <c r="K627" t="s">
        <v>5436</v>
      </c>
      <c r="L627" t="s">
        <v>5437</v>
      </c>
      <c r="M627" t="s">
        <v>5406</v>
      </c>
      <c r="N627" s="1" t="s">
        <v>4565</v>
      </c>
      <c r="O627">
        <v>46.62</v>
      </c>
      <c r="P627">
        <v>4.29</v>
      </c>
      <c r="Q627">
        <v>5714</v>
      </c>
      <c r="R627">
        <v>425</v>
      </c>
      <c r="S627">
        <v>9.1199999999999992</v>
      </c>
      <c r="T627" s="8">
        <v>200</v>
      </c>
      <c r="U627">
        <v>11198252</v>
      </c>
      <c r="V627" t="s">
        <v>5424</v>
      </c>
      <c r="W627" t="s">
        <v>5409</v>
      </c>
      <c r="X627" t="s">
        <v>5425</v>
      </c>
      <c r="Y627" t="s">
        <v>5411</v>
      </c>
      <c r="Z627" t="s">
        <v>5426</v>
      </c>
      <c r="AA627" t="s">
        <v>5413</v>
      </c>
      <c r="AB627" t="s">
        <v>5414</v>
      </c>
      <c r="AC627" t="s">
        <v>5414</v>
      </c>
      <c r="AD627" t="s">
        <v>5414</v>
      </c>
      <c r="AG627" t="s">
        <v>5427</v>
      </c>
      <c r="AI627" t="s">
        <v>5428</v>
      </c>
      <c r="AJ627" t="s">
        <v>5902</v>
      </c>
      <c r="AL627" t="s">
        <v>5418</v>
      </c>
      <c r="AN627" t="s">
        <v>5419</v>
      </c>
    </row>
    <row r="628" spans="1:40" x14ac:dyDescent="0.25">
      <c r="A628">
        <v>1089332488</v>
      </c>
      <c r="B628" t="s">
        <v>5399</v>
      </c>
      <c r="C628">
        <v>252406</v>
      </c>
      <c r="D628" t="s">
        <v>5400</v>
      </c>
      <c r="E628">
        <v>46231.628622685188</v>
      </c>
      <c r="F628" t="s">
        <v>5534</v>
      </c>
      <c r="G628" t="s">
        <v>3668</v>
      </c>
      <c r="H628" t="s">
        <v>5421</v>
      </c>
      <c r="I628" t="s">
        <v>5403</v>
      </c>
      <c r="J628">
        <v>2027</v>
      </c>
      <c r="K628" t="s">
        <v>5535</v>
      </c>
      <c r="L628" t="s">
        <v>5536</v>
      </c>
      <c r="M628" t="s">
        <v>5406</v>
      </c>
      <c r="N628" s="1" t="s">
        <v>4565</v>
      </c>
      <c r="O628">
        <v>21.4</v>
      </c>
      <c r="P628">
        <v>4.1890000000000001</v>
      </c>
      <c r="Q628">
        <v>4131</v>
      </c>
      <c r="R628">
        <v>160</v>
      </c>
      <c r="S628">
        <v>7.48</v>
      </c>
      <c r="T628" s="8">
        <v>89.66</v>
      </c>
      <c r="U628">
        <v>11040306</v>
      </c>
      <c r="V628" t="s">
        <v>5408</v>
      </c>
      <c r="W628" t="s">
        <v>5409</v>
      </c>
      <c r="X628" t="s">
        <v>5410</v>
      </c>
      <c r="Y628" t="s">
        <v>5411</v>
      </c>
      <c r="Z628" t="s">
        <v>5412</v>
      </c>
      <c r="AA628" t="s">
        <v>5413</v>
      </c>
      <c r="AB628" t="s">
        <v>5414</v>
      </c>
      <c r="AC628" t="s">
        <v>5414</v>
      </c>
      <c r="AD628" t="s">
        <v>5414</v>
      </c>
      <c r="AG628" t="s">
        <v>5415</v>
      </c>
      <c r="AI628" t="s">
        <v>5522</v>
      </c>
      <c r="AJ628" t="s">
        <v>5816</v>
      </c>
      <c r="AL628" t="s">
        <v>5418</v>
      </c>
      <c r="AN628" t="s">
        <v>5419</v>
      </c>
    </row>
    <row r="629" spans="1:40" x14ac:dyDescent="0.25">
      <c r="A629">
        <v>1089337451</v>
      </c>
      <c r="B629" t="s">
        <v>5399</v>
      </c>
      <c r="C629">
        <v>252406</v>
      </c>
      <c r="D629" t="s">
        <v>5400</v>
      </c>
      <c r="E629">
        <v>46231.641655092593</v>
      </c>
      <c r="F629" t="s">
        <v>5420</v>
      </c>
      <c r="G629" t="s">
        <v>3668</v>
      </c>
      <c r="H629" t="s">
        <v>5421</v>
      </c>
      <c r="I629" t="s">
        <v>5403</v>
      </c>
      <c r="J629">
        <v>2025</v>
      </c>
      <c r="K629" t="s">
        <v>5422</v>
      </c>
      <c r="L629" t="s">
        <v>5423</v>
      </c>
      <c r="M629" t="s">
        <v>5406</v>
      </c>
      <c r="N629" s="1" t="s">
        <v>4565</v>
      </c>
      <c r="O629">
        <v>30.89</v>
      </c>
      <c r="P629">
        <v>3.82</v>
      </c>
      <c r="Q629">
        <v>72935</v>
      </c>
      <c r="R629">
        <v>253</v>
      </c>
      <c r="S629">
        <v>8.19</v>
      </c>
      <c r="T629" s="8">
        <v>118</v>
      </c>
      <c r="U629">
        <v>490156</v>
      </c>
      <c r="V629" t="s">
        <v>5578</v>
      </c>
      <c r="W629" t="s">
        <v>5409</v>
      </c>
      <c r="X629" t="s">
        <v>5579</v>
      </c>
      <c r="Y629" t="s">
        <v>5458</v>
      </c>
      <c r="Z629" t="s">
        <v>5412</v>
      </c>
      <c r="AA629" t="s">
        <v>5413</v>
      </c>
      <c r="AB629" t="s">
        <v>5414</v>
      </c>
      <c r="AC629" t="s">
        <v>5414</v>
      </c>
      <c r="AD629" t="s">
        <v>5414</v>
      </c>
      <c r="AG629" t="s">
        <v>5415</v>
      </c>
      <c r="AI629" t="s">
        <v>5580</v>
      </c>
      <c r="AJ629" t="s">
        <v>5429</v>
      </c>
      <c r="AL629" t="s">
        <v>5418</v>
      </c>
      <c r="AN629" t="s">
        <v>5419</v>
      </c>
    </row>
    <row r="630" spans="1:40" x14ac:dyDescent="0.25">
      <c r="A630">
        <v>1089337999</v>
      </c>
      <c r="B630" t="s">
        <v>5399</v>
      </c>
      <c r="C630">
        <v>252406</v>
      </c>
      <c r="D630" t="s">
        <v>5400</v>
      </c>
      <c r="E630">
        <v>46231.642881944441</v>
      </c>
      <c r="F630" t="s">
        <v>5659</v>
      </c>
      <c r="G630" t="s">
        <v>3668</v>
      </c>
      <c r="H630" t="s">
        <v>5431</v>
      </c>
      <c r="I630" t="s">
        <v>5403</v>
      </c>
      <c r="J630">
        <v>2026</v>
      </c>
      <c r="K630" t="s">
        <v>5660</v>
      </c>
      <c r="L630" t="s">
        <v>5661</v>
      </c>
      <c r="M630" t="s">
        <v>5406</v>
      </c>
      <c r="N630" s="1" t="s">
        <v>4565</v>
      </c>
      <c r="O630">
        <v>28.73</v>
      </c>
      <c r="P630">
        <v>3.79</v>
      </c>
      <c r="Q630">
        <v>7816</v>
      </c>
      <c r="R630">
        <v>284</v>
      </c>
      <c r="S630">
        <v>9.89</v>
      </c>
      <c r="T630" s="8">
        <v>108.89</v>
      </c>
      <c r="U630">
        <v>12722443</v>
      </c>
      <c r="V630" t="s">
        <v>5936</v>
      </c>
      <c r="W630" t="s">
        <v>5409</v>
      </c>
      <c r="X630" t="s">
        <v>5937</v>
      </c>
      <c r="Y630" t="s">
        <v>5938</v>
      </c>
      <c r="Z630" t="s">
        <v>5939</v>
      </c>
      <c r="AA630" t="s">
        <v>5502</v>
      </c>
      <c r="AB630" t="s">
        <v>5414</v>
      </c>
      <c r="AC630" t="s">
        <v>5414</v>
      </c>
      <c r="AD630" t="s">
        <v>5414</v>
      </c>
      <c r="AG630" t="s">
        <v>5427</v>
      </c>
      <c r="AI630" t="s">
        <v>5940</v>
      </c>
      <c r="AJ630" t="s">
        <v>5662</v>
      </c>
      <c r="AL630" t="s">
        <v>5418</v>
      </c>
      <c r="AN630" t="s">
        <v>5419</v>
      </c>
    </row>
    <row r="631" spans="1:40" x14ac:dyDescent="0.25">
      <c r="A631">
        <v>1089355714</v>
      </c>
      <c r="B631" t="s">
        <v>5399</v>
      </c>
      <c r="C631">
        <v>252406</v>
      </c>
      <c r="D631" t="s">
        <v>5400</v>
      </c>
      <c r="E631">
        <v>46231.651678240742</v>
      </c>
      <c r="F631" t="s">
        <v>5757</v>
      </c>
      <c r="G631" t="s">
        <v>3668</v>
      </c>
      <c r="H631" t="s">
        <v>5421</v>
      </c>
      <c r="I631" t="s">
        <v>5403</v>
      </c>
      <c r="J631">
        <v>2027</v>
      </c>
      <c r="K631" t="s">
        <v>5520</v>
      </c>
      <c r="L631" t="s">
        <v>5521</v>
      </c>
      <c r="M631" t="s">
        <v>5406</v>
      </c>
      <c r="N631" s="1" t="s">
        <v>4565</v>
      </c>
      <c r="O631">
        <v>39</v>
      </c>
      <c r="P631">
        <v>4.8899999999999997</v>
      </c>
      <c r="Q631">
        <v>3726</v>
      </c>
      <c r="R631">
        <v>334</v>
      </c>
      <c r="S631">
        <v>8.56</v>
      </c>
      <c r="T631" s="8">
        <v>190.71</v>
      </c>
      <c r="U631">
        <v>11160069</v>
      </c>
      <c r="V631" t="s">
        <v>5728</v>
      </c>
      <c r="W631" t="s">
        <v>5409</v>
      </c>
      <c r="X631" t="s">
        <v>5729</v>
      </c>
      <c r="Y631" t="s">
        <v>5458</v>
      </c>
      <c r="Z631" t="s">
        <v>5730</v>
      </c>
      <c r="AA631" t="s">
        <v>5413</v>
      </c>
      <c r="AB631" t="s">
        <v>5414</v>
      </c>
      <c r="AC631" t="s">
        <v>5414</v>
      </c>
      <c r="AD631" t="s">
        <v>5414</v>
      </c>
      <c r="AG631" t="s">
        <v>5427</v>
      </c>
      <c r="AI631" t="s">
        <v>5731</v>
      </c>
      <c r="AJ631" t="s">
        <v>5765</v>
      </c>
      <c r="AL631" t="s">
        <v>5418</v>
      </c>
      <c r="AN631" t="s">
        <v>5419</v>
      </c>
    </row>
    <row r="632" spans="1:40" x14ac:dyDescent="0.25">
      <c r="A632">
        <v>1089366581</v>
      </c>
      <c r="B632" t="s">
        <v>5399</v>
      </c>
      <c r="C632">
        <v>252406</v>
      </c>
      <c r="D632" t="s">
        <v>5400</v>
      </c>
      <c r="E632">
        <v>46231.680601851855</v>
      </c>
      <c r="F632" t="s">
        <v>5581</v>
      </c>
      <c r="G632" t="s">
        <v>3668</v>
      </c>
      <c r="H632" t="s">
        <v>5467</v>
      </c>
      <c r="I632" t="s">
        <v>5403</v>
      </c>
      <c r="J632">
        <v>2026</v>
      </c>
      <c r="K632" t="s">
        <v>5582</v>
      </c>
      <c r="L632" t="s">
        <v>5583</v>
      </c>
      <c r="M632" t="s">
        <v>5406</v>
      </c>
      <c r="N632" s="1" t="s">
        <v>4565</v>
      </c>
      <c r="O632">
        <v>46.6</v>
      </c>
      <c r="P632">
        <v>4.2889999999999997</v>
      </c>
      <c r="Q632">
        <v>32394</v>
      </c>
      <c r="R632">
        <v>329</v>
      </c>
      <c r="S632">
        <v>7.06</v>
      </c>
      <c r="T632" s="8">
        <v>199.9</v>
      </c>
      <c r="U632">
        <v>12193017</v>
      </c>
      <c r="V632" t="s">
        <v>5574</v>
      </c>
      <c r="W632" t="s">
        <v>5409</v>
      </c>
      <c r="X632" t="s">
        <v>5575</v>
      </c>
      <c r="Y632" t="s">
        <v>5576</v>
      </c>
      <c r="Z632" t="s">
        <v>5472</v>
      </c>
      <c r="AA632" t="s">
        <v>5413</v>
      </c>
      <c r="AB632" t="s">
        <v>5414</v>
      </c>
      <c r="AC632" t="s">
        <v>5414</v>
      </c>
      <c r="AD632" t="s">
        <v>5414</v>
      </c>
      <c r="AG632" t="s">
        <v>5427</v>
      </c>
      <c r="AI632" t="s">
        <v>5577</v>
      </c>
      <c r="AJ632" t="s">
        <v>5584</v>
      </c>
      <c r="AL632" t="s">
        <v>5418</v>
      </c>
      <c r="AN632" t="s">
        <v>5419</v>
      </c>
    </row>
    <row r="633" spans="1:40" x14ac:dyDescent="0.25">
      <c r="A633">
        <v>1089387457</v>
      </c>
      <c r="B633" t="s">
        <v>5399</v>
      </c>
      <c r="C633">
        <v>252406</v>
      </c>
      <c r="D633" t="s">
        <v>5400</v>
      </c>
      <c r="E633">
        <v>46231.740543981483</v>
      </c>
      <c r="F633" t="s">
        <v>5494</v>
      </c>
      <c r="G633" t="s">
        <v>3668</v>
      </c>
      <c r="H633" t="s">
        <v>5495</v>
      </c>
      <c r="I633" t="s">
        <v>5403</v>
      </c>
      <c r="J633">
        <v>2026</v>
      </c>
      <c r="K633" t="s">
        <v>5496</v>
      </c>
      <c r="L633" t="s">
        <v>5497</v>
      </c>
      <c r="M633" t="s">
        <v>5406</v>
      </c>
      <c r="N633" s="1" t="s">
        <v>4565</v>
      </c>
      <c r="O633">
        <v>41.56</v>
      </c>
      <c r="P633">
        <v>3.589</v>
      </c>
      <c r="Q633">
        <v>60820</v>
      </c>
      <c r="R633">
        <v>390</v>
      </c>
      <c r="S633">
        <v>9.3800000000000008</v>
      </c>
      <c r="T633" s="8">
        <v>149.19999999999999</v>
      </c>
      <c r="U633">
        <v>12815000</v>
      </c>
      <c r="V633" t="s">
        <v>5448</v>
      </c>
      <c r="W633" t="s">
        <v>5409</v>
      </c>
      <c r="X633" t="s">
        <v>5449</v>
      </c>
      <c r="Y633" t="s">
        <v>5450</v>
      </c>
      <c r="Z633" t="s">
        <v>5426</v>
      </c>
      <c r="AA633" t="s">
        <v>5413</v>
      </c>
      <c r="AB633" t="s">
        <v>5414</v>
      </c>
      <c r="AC633" t="s">
        <v>5414</v>
      </c>
      <c r="AD633" t="s">
        <v>5414</v>
      </c>
      <c r="AG633" t="s">
        <v>5427</v>
      </c>
      <c r="AI633" t="s">
        <v>5451</v>
      </c>
      <c r="AJ633" t="s">
        <v>5504</v>
      </c>
      <c r="AL633" t="s">
        <v>5418</v>
      </c>
      <c r="AN633" t="s">
        <v>5419</v>
      </c>
    </row>
    <row r="634" spans="1:40" x14ac:dyDescent="0.25">
      <c r="A634">
        <v>1089391383</v>
      </c>
      <c r="B634" t="s">
        <v>5399</v>
      </c>
      <c r="C634">
        <v>252406</v>
      </c>
      <c r="D634" t="s">
        <v>5400</v>
      </c>
      <c r="E634">
        <v>46231.753171296295</v>
      </c>
      <c r="F634" t="s">
        <v>5755</v>
      </c>
      <c r="G634" t="s">
        <v>3668</v>
      </c>
      <c r="H634" t="s">
        <v>167</v>
      </c>
      <c r="I634" t="s">
        <v>5403</v>
      </c>
      <c r="J634">
        <v>2026</v>
      </c>
      <c r="K634" t="s">
        <v>5436</v>
      </c>
      <c r="L634" t="s">
        <v>5437</v>
      </c>
      <c r="M634" t="s">
        <v>5406</v>
      </c>
      <c r="N634" s="1" t="s">
        <v>4565</v>
      </c>
      <c r="O634">
        <v>40.5</v>
      </c>
      <c r="P634">
        <v>4.8899999999999997</v>
      </c>
      <c r="Q634">
        <v>3074</v>
      </c>
      <c r="R634">
        <v>341</v>
      </c>
      <c r="S634">
        <v>8.42</v>
      </c>
      <c r="T634" s="8">
        <v>198.05</v>
      </c>
      <c r="U634">
        <v>11160069</v>
      </c>
      <c r="V634" t="s">
        <v>5728</v>
      </c>
      <c r="W634" t="s">
        <v>5409</v>
      </c>
      <c r="X634" t="s">
        <v>5729</v>
      </c>
      <c r="Y634" t="s">
        <v>5458</v>
      </c>
      <c r="Z634" t="s">
        <v>5730</v>
      </c>
      <c r="AA634" t="s">
        <v>5413</v>
      </c>
      <c r="AB634" t="s">
        <v>5414</v>
      </c>
      <c r="AC634" t="s">
        <v>5414</v>
      </c>
      <c r="AD634" t="s">
        <v>5414</v>
      </c>
      <c r="AG634" t="s">
        <v>5427</v>
      </c>
      <c r="AI634" t="s">
        <v>5731</v>
      </c>
      <c r="AJ634" t="s">
        <v>5756</v>
      </c>
      <c r="AL634" t="s">
        <v>5418</v>
      </c>
      <c r="AN634" t="s">
        <v>5419</v>
      </c>
    </row>
    <row r="635" spans="1:40" x14ac:dyDescent="0.25">
      <c r="A635">
        <v>1089398546</v>
      </c>
      <c r="B635" t="s">
        <v>5399</v>
      </c>
      <c r="C635">
        <v>252406</v>
      </c>
      <c r="D635" t="s">
        <v>5400</v>
      </c>
      <c r="E635">
        <v>46231.784398148149</v>
      </c>
      <c r="F635" t="s">
        <v>5475</v>
      </c>
      <c r="G635" t="s">
        <v>3668</v>
      </c>
      <c r="H635" t="s">
        <v>5467</v>
      </c>
      <c r="I635" t="s">
        <v>5403</v>
      </c>
      <c r="J635">
        <v>2026</v>
      </c>
      <c r="K635" t="s">
        <v>5604</v>
      </c>
      <c r="L635" t="s">
        <v>5605</v>
      </c>
      <c r="M635" t="s">
        <v>5406</v>
      </c>
      <c r="N635" s="1" t="s">
        <v>4565</v>
      </c>
      <c r="O635">
        <v>36.5</v>
      </c>
      <c r="P635">
        <v>4.8899999999999997</v>
      </c>
      <c r="Q635">
        <v>39368</v>
      </c>
      <c r="R635">
        <v>232</v>
      </c>
      <c r="S635">
        <v>6.36</v>
      </c>
      <c r="T635" s="8">
        <v>178.49</v>
      </c>
      <c r="U635">
        <v>11160069</v>
      </c>
      <c r="V635" t="s">
        <v>5728</v>
      </c>
      <c r="W635" t="s">
        <v>5409</v>
      </c>
      <c r="X635" t="s">
        <v>5729</v>
      </c>
      <c r="Y635" t="s">
        <v>5458</v>
      </c>
      <c r="Z635" t="s">
        <v>5730</v>
      </c>
      <c r="AA635" t="s">
        <v>5413</v>
      </c>
      <c r="AB635" t="s">
        <v>5414</v>
      </c>
      <c r="AC635" t="s">
        <v>5414</v>
      </c>
      <c r="AD635" t="s">
        <v>5414</v>
      </c>
      <c r="AG635" t="s">
        <v>5427</v>
      </c>
      <c r="AI635" t="s">
        <v>5731</v>
      </c>
      <c r="AJ635" t="s">
        <v>5697</v>
      </c>
      <c r="AL635" t="s">
        <v>5418</v>
      </c>
      <c r="AN635" t="s">
        <v>5419</v>
      </c>
    </row>
    <row r="636" spans="1:40" x14ac:dyDescent="0.25">
      <c r="A636">
        <v>1089398303</v>
      </c>
      <c r="B636" t="s">
        <v>5399</v>
      </c>
      <c r="C636">
        <v>252406</v>
      </c>
      <c r="D636" t="s">
        <v>5400</v>
      </c>
      <c r="E636">
        <v>46231.824756944443</v>
      </c>
      <c r="F636" t="s">
        <v>5477</v>
      </c>
      <c r="G636" t="s">
        <v>3668</v>
      </c>
      <c r="H636" t="s">
        <v>5478</v>
      </c>
      <c r="I636" t="s">
        <v>5403</v>
      </c>
      <c r="J636">
        <v>2015</v>
      </c>
      <c r="K636" t="s">
        <v>5479</v>
      </c>
      <c r="L636" t="s">
        <v>5480</v>
      </c>
      <c r="M636" t="s">
        <v>5406</v>
      </c>
      <c r="N636" s="1" t="s">
        <v>4565</v>
      </c>
      <c r="O636">
        <v>49</v>
      </c>
      <c r="P636">
        <v>3.82</v>
      </c>
      <c r="Q636">
        <v>253186</v>
      </c>
      <c r="R636">
        <v>341</v>
      </c>
      <c r="S636">
        <v>6.96</v>
      </c>
      <c r="T636" s="8">
        <v>187.18</v>
      </c>
      <c r="U636">
        <v>490156</v>
      </c>
      <c r="V636" t="s">
        <v>5578</v>
      </c>
      <c r="W636" t="s">
        <v>5409</v>
      </c>
      <c r="X636" t="s">
        <v>5579</v>
      </c>
      <c r="Y636" t="s">
        <v>5458</v>
      </c>
      <c r="Z636" t="s">
        <v>5412</v>
      </c>
      <c r="AA636" t="s">
        <v>5413</v>
      </c>
      <c r="AB636" t="s">
        <v>5414</v>
      </c>
      <c r="AC636" t="s">
        <v>5414</v>
      </c>
      <c r="AD636" t="s">
        <v>5414</v>
      </c>
      <c r="AG636" t="s">
        <v>5415</v>
      </c>
      <c r="AI636" t="s">
        <v>5580</v>
      </c>
      <c r="AJ636" t="s">
        <v>5485</v>
      </c>
      <c r="AL636" t="s">
        <v>5418</v>
      </c>
      <c r="AN636" t="s">
        <v>5419</v>
      </c>
    </row>
    <row r="637" spans="1:40" x14ac:dyDescent="0.25">
      <c r="A637">
        <v>1089407367</v>
      </c>
      <c r="B637" t="s">
        <v>5399</v>
      </c>
      <c r="C637">
        <v>252406</v>
      </c>
      <c r="D637" t="s">
        <v>5400</v>
      </c>
      <c r="E637">
        <v>46231.882141203707</v>
      </c>
      <c r="F637" t="s">
        <v>5689</v>
      </c>
      <c r="G637" t="s">
        <v>3668</v>
      </c>
      <c r="H637" t="s">
        <v>5511</v>
      </c>
      <c r="I637" t="s">
        <v>5403</v>
      </c>
      <c r="J637">
        <v>2026</v>
      </c>
      <c r="K637" t="s">
        <v>5912</v>
      </c>
      <c r="L637" t="s">
        <v>5913</v>
      </c>
      <c r="M637" t="s">
        <v>5406</v>
      </c>
      <c r="N637" s="1" t="s">
        <v>4565</v>
      </c>
      <c r="O637">
        <v>32.14</v>
      </c>
      <c r="P637">
        <v>3.819</v>
      </c>
      <c r="Q637">
        <v>12000</v>
      </c>
      <c r="R637">
        <v>1123</v>
      </c>
      <c r="S637">
        <v>34.94</v>
      </c>
      <c r="T637" s="8">
        <v>122.77</v>
      </c>
      <c r="U637">
        <v>490156</v>
      </c>
      <c r="V637" t="s">
        <v>5578</v>
      </c>
      <c r="W637" t="s">
        <v>5409</v>
      </c>
      <c r="X637" t="s">
        <v>5579</v>
      </c>
      <c r="Y637" t="s">
        <v>5458</v>
      </c>
      <c r="Z637" t="s">
        <v>5412</v>
      </c>
      <c r="AA637" t="s">
        <v>5413</v>
      </c>
      <c r="AB637" t="s">
        <v>5414</v>
      </c>
      <c r="AC637" t="s">
        <v>5414</v>
      </c>
      <c r="AD637" t="s">
        <v>5414</v>
      </c>
      <c r="AG637" t="s">
        <v>5415</v>
      </c>
      <c r="AI637" t="s">
        <v>5580</v>
      </c>
      <c r="AJ637" t="s">
        <v>5692</v>
      </c>
      <c r="AL637" t="s">
        <v>5418</v>
      </c>
      <c r="AN637" t="s">
        <v>5419</v>
      </c>
    </row>
    <row r="638" spans="1:40" x14ac:dyDescent="0.25">
      <c r="A638">
        <v>1089434614</v>
      </c>
      <c r="B638" t="s">
        <v>5399</v>
      </c>
      <c r="C638">
        <v>252406</v>
      </c>
      <c r="D638" t="s">
        <v>5400</v>
      </c>
      <c r="E638">
        <v>46232.273877314816</v>
      </c>
      <c r="F638" t="s">
        <v>5435</v>
      </c>
      <c r="G638" t="s">
        <v>3668</v>
      </c>
      <c r="H638" t="s">
        <v>5421</v>
      </c>
      <c r="I638" t="s">
        <v>5403</v>
      </c>
      <c r="J638">
        <v>2026</v>
      </c>
      <c r="K638" t="s">
        <v>5436</v>
      </c>
      <c r="L638" t="s">
        <v>5437</v>
      </c>
      <c r="M638" t="s">
        <v>5406</v>
      </c>
      <c r="N638" s="1" t="s">
        <v>4565</v>
      </c>
      <c r="O638">
        <v>18.010000000000002</v>
      </c>
      <c r="P638">
        <v>4.6589999999999998</v>
      </c>
      <c r="Q638">
        <v>50916</v>
      </c>
      <c r="R638">
        <v>58</v>
      </c>
      <c r="S638">
        <v>3.22</v>
      </c>
      <c r="T638" s="8">
        <v>83.91</v>
      </c>
      <c r="U638">
        <v>11120083</v>
      </c>
      <c r="V638" t="s">
        <v>5596</v>
      </c>
      <c r="W638" t="s">
        <v>5409</v>
      </c>
      <c r="X638" t="s">
        <v>5597</v>
      </c>
      <c r="Y638" t="s">
        <v>5458</v>
      </c>
      <c r="Z638" t="s">
        <v>5598</v>
      </c>
      <c r="AA638" t="s">
        <v>5413</v>
      </c>
      <c r="AB638" t="s">
        <v>5414</v>
      </c>
      <c r="AC638" t="s">
        <v>5414</v>
      </c>
      <c r="AD638" t="s">
        <v>5414</v>
      </c>
      <c r="AG638" t="s">
        <v>5427</v>
      </c>
      <c r="AI638" t="s">
        <v>5599</v>
      </c>
      <c r="AJ638" t="s">
        <v>5443</v>
      </c>
      <c r="AL638" t="s">
        <v>5418</v>
      </c>
      <c r="AN638" t="s">
        <v>5419</v>
      </c>
    </row>
    <row r="639" spans="1:40" x14ac:dyDescent="0.25">
      <c r="A639">
        <v>1089438200</v>
      </c>
      <c r="B639" t="s">
        <v>5399</v>
      </c>
      <c r="C639">
        <v>252406</v>
      </c>
      <c r="D639" t="s">
        <v>5400</v>
      </c>
      <c r="E639">
        <v>46232.279861111114</v>
      </c>
      <c r="F639" t="s">
        <v>5462</v>
      </c>
      <c r="G639" t="s">
        <v>3668</v>
      </c>
      <c r="H639" t="s">
        <v>5402</v>
      </c>
      <c r="I639" t="s">
        <v>5403</v>
      </c>
      <c r="J639">
        <v>2026</v>
      </c>
      <c r="K639" t="s">
        <v>5463</v>
      </c>
      <c r="L639" t="s">
        <v>5464</v>
      </c>
      <c r="M639" t="s">
        <v>5406</v>
      </c>
      <c r="N639" s="1" t="s">
        <v>4565</v>
      </c>
      <c r="O639">
        <v>24.95</v>
      </c>
      <c r="P639">
        <v>4.29</v>
      </c>
      <c r="Q639">
        <v>30435</v>
      </c>
      <c r="R639">
        <v>99</v>
      </c>
      <c r="S639">
        <v>3.97</v>
      </c>
      <c r="T639" s="8">
        <v>107.04</v>
      </c>
      <c r="U639">
        <v>11198252</v>
      </c>
      <c r="V639" t="s">
        <v>5424</v>
      </c>
      <c r="W639" t="s">
        <v>5409</v>
      </c>
      <c r="X639" t="s">
        <v>5425</v>
      </c>
      <c r="Y639" t="s">
        <v>5411</v>
      </c>
      <c r="Z639" t="s">
        <v>5426</v>
      </c>
      <c r="AA639" t="s">
        <v>5413</v>
      </c>
      <c r="AB639" t="s">
        <v>5414</v>
      </c>
      <c r="AC639" t="s">
        <v>5414</v>
      </c>
      <c r="AD639" t="s">
        <v>5414</v>
      </c>
      <c r="AG639" t="s">
        <v>5427</v>
      </c>
      <c r="AI639" t="s">
        <v>5428</v>
      </c>
      <c r="AJ639" t="s">
        <v>5465</v>
      </c>
      <c r="AL639" t="s">
        <v>5418</v>
      </c>
      <c r="AN639" t="s">
        <v>5419</v>
      </c>
    </row>
    <row r="640" spans="1:40" x14ac:dyDescent="0.25">
      <c r="A640">
        <v>1089434521</v>
      </c>
      <c r="B640" t="s">
        <v>5399</v>
      </c>
      <c r="C640">
        <v>252406</v>
      </c>
      <c r="D640" t="s">
        <v>5400</v>
      </c>
      <c r="E640">
        <v>46232.315393518518</v>
      </c>
      <c r="F640" t="s">
        <v>5817</v>
      </c>
      <c r="G640" t="s">
        <v>3668</v>
      </c>
      <c r="H640" t="s">
        <v>5421</v>
      </c>
      <c r="I640" t="s">
        <v>5403</v>
      </c>
      <c r="J640">
        <v>2027</v>
      </c>
      <c r="K640" t="s">
        <v>5614</v>
      </c>
      <c r="L640" t="s">
        <v>5615</v>
      </c>
      <c r="M640" t="s">
        <v>5406</v>
      </c>
      <c r="N640" s="1" t="s">
        <v>4565</v>
      </c>
      <c r="O640">
        <v>39.6</v>
      </c>
      <c r="P640">
        <v>4.1890000000000001</v>
      </c>
      <c r="Q640">
        <v>2623</v>
      </c>
      <c r="R640">
        <v>177</v>
      </c>
      <c r="S640">
        <v>4.47</v>
      </c>
      <c r="T640" s="8">
        <v>165.92</v>
      </c>
      <c r="U640">
        <v>11040306</v>
      </c>
      <c r="V640" t="s">
        <v>5408</v>
      </c>
      <c r="W640" t="s">
        <v>5409</v>
      </c>
      <c r="X640" t="s">
        <v>5410</v>
      </c>
      <c r="Y640" t="s">
        <v>5411</v>
      </c>
      <c r="Z640" t="s">
        <v>5412</v>
      </c>
      <c r="AA640" t="s">
        <v>5413</v>
      </c>
      <c r="AB640" t="s">
        <v>5414</v>
      </c>
      <c r="AC640" t="s">
        <v>5414</v>
      </c>
      <c r="AD640" t="s">
        <v>5414</v>
      </c>
      <c r="AG640" t="s">
        <v>5415</v>
      </c>
      <c r="AI640" t="s">
        <v>5522</v>
      </c>
      <c r="AJ640" t="s">
        <v>5818</v>
      </c>
      <c r="AL640" t="s">
        <v>5418</v>
      </c>
      <c r="AN640" t="s">
        <v>5419</v>
      </c>
    </row>
    <row r="641" spans="1:40" x14ac:dyDescent="0.25">
      <c r="A641">
        <v>1089442324</v>
      </c>
      <c r="B641" t="s">
        <v>5399</v>
      </c>
      <c r="C641">
        <v>252406</v>
      </c>
      <c r="D641" t="s">
        <v>5400</v>
      </c>
      <c r="E641">
        <v>46232.329108796293</v>
      </c>
      <c r="F641" t="s">
        <v>5631</v>
      </c>
      <c r="G641" t="s">
        <v>3668</v>
      </c>
      <c r="H641" t="s">
        <v>5511</v>
      </c>
      <c r="I641" t="s">
        <v>5403</v>
      </c>
      <c r="J641">
        <v>2025</v>
      </c>
      <c r="K641" t="s">
        <v>5910</v>
      </c>
      <c r="L641" t="s">
        <v>5911</v>
      </c>
      <c r="M641" t="s">
        <v>5406</v>
      </c>
      <c r="N641" s="1" t="s">
        <v>4565</v>
      </c>
      <c r="O641">
        <v>37.799999999999997</v>
      </c>
      <c r="P641">
        <v>3.82</v>
      </c>
      <c r="Q641">
        <v>55029</v>
      </c>
      <c r="R641">
        <v>324</v>
      </c>
      <c r="S641">
        <v>8.57</v>
      </c>
      <c r="T641" s="8">
        <v>144.4</v>
      </c>
      <c r="U641">
        <v>490156</v>
      </c>
      <c r="V641" t="s">
        <v>5578</v>
      </c>
      <c r="W641" t="s">
        <v>5409</v>
      </c>
      <c r="X641" t="s">
        <v>5579</v>
      </c>
      <c r="Y641" t="s">
        <v>5458</v>
      </c>
      <c r="Z641" t="s">
        <v>5412</v>
      </c>
      <c r="AA641" t="s">
        <v>5413</v>
      </c>
      <c r="AB641" t="s">
        <v>5414</v>
      </c>
      <c r="AC641" t="s">
        <v>5414</v>
      </c>
      <c r="AD641" t="s">
        <v>5414</v>
      </c>
      <c r="AG641" t="s">
        <v>5415</v>
      </c>
      <c r="AI641" t="s">
        <v>5580</v>
      </c>
      <c r="AJ641" t="s">
        <v>5634</v>
      </c>
      <c r="AL641" t="s">
        <v>5418</v>
      </c>
      <c r="AN641" t="s">
        <v>5612</v>
      </c>
    </row>
    <row r="642" spans="1:40" x14ac:dyDescent="0.25">
      <c r="A642">
        <v>1089479313</v>
      </c>
      <c r="B642" t="s">
        <v>5399</v>
      </c>
      <c r="C642">
        <v>252406</v>
      </c>
      <c r="D642" t="s">
        <v>5400</v>
      </c>
      <c r="E642">
        <v>46232.399965277778</v>
      </c>
      <c r="F642" t="s">
        <v>5743</v>
      </c>
      <c r="G642" t="s">
        <v>3668</v>
      </c>
      <c r="H642" t="s">
        <v>5539</v>
      </c>
      <c r="I642" t="s">
        <v>5403</v>
      </c>
      <c r="J642">
        <v>2026</v>
      </c>
      <c r="K642" t="s">
        <v>5753</v>
      </c>
      <c r="L642" t="s">
        <v>5754</v>
      </c>
      <c r="M642" t="s">
        <v>5406</v>
      </c>
      <c r="N642" s="1" t="s">
        <v>4565</v>
      </c>
      <c r="O642">
        <v>39.31</v>
      </c>
      <c r="P642">
        <v>4.29</v>
      </c>
      <c r="Q642">
        <v>20542</v>
      </c>
      <c r="R642">
        <v>341</v>
      </c>
      <c r="S642">
        <v>8.67</v>
      </c>
      <c r="T642" s="8">
        <v>168.64</v>
      </c>
      <c r="U642">
        <v>491721</v>
      </c>
      <c r="V642" t="s">
        <v>5438</v>
      </c>
      <c r="W642" t="s">
        <v>5409</v>
      </c>
      <c r="X642" t="s">
        <v>5439</v>
      </c>
      <c r="Y642" t="s">
        <v>5440</v>
      </c>
      <c r="Z642" t="s">
        <v>5441</v>
      </c>
      <c r="AA642" t="s">
        <v>5413</v>
      </c>
      <c r="AB642" t="s">
        <v>5414</v>
      </c>
      <c r="AC642" t="s">
        <v>5414</v>
      </c>
      <c r="AD642" t="s">
        <v>5414</v>
      </c>
      <c r="AG642" t="s">
        <v>5415</v>
      </c>
      <c r="AI642" t="s">
        <v>5460</v>
      </c>
      <c r="AJ642" t="s">
        <v>5746</v>
      </c>
      <c r="AL642" t="s">
        <v>5418</v>
      </c>
      <c r="AN642" t="s">
        <v>5419</v>
      </c>
    </row>
    <row r="643" spans="1:40" x14ac:dyDescent="0.25">
      <c r="A643">
        <v>1089503633</v>
      </c>
      <c r="B643" t="s">
        <v>5399</v>
      </c>
      <c r="C643">
        <v>252406</v>
      </c>
      <c r="D643" t="s">
        <v>5400</v>
      </c>
      <c r="E643">
        <v>46232.423587962963</v>
      </c>
      <c r="F643" t="s">
        <v>5486</v>
      </c>
      <c r="G643" t="s">
        <v>3668</v>
      </c>
      <c r="H643" t="s">
        <v>5487</v>
      </c>
      <c r="I643" t="s">
        <v>5403</v>
      </c>
      <c r="J643">
        <v>2025</v>
      </c>
      <c r="K643" t="s">
        <v>5488</v>
      </c>
      <c r="L643" t="s">
        <v>5489</v>
      </c>
      <c r="M643" t="s">
        <v>5406</v>
      </c>
      <c r="N643" s="1" t="s">
        <v>4565</v>
      </c>
      <c r="O643">
        <v>35.15</v>
      </c>
      <c r="P643">
        <v>4.069</v>
      </c>
      <c r="Q643">
        <v>59132</v>
      </c>
      <c r="R643">
        <v>331</v>
      </c>
      <c r="S643">
        <v>9.42</v>
      </c>
      <c r="T643" s="8">
        <v>143.06</v>
      </c>
      <c r="U643">
        <v>12192843</v>
      </c>
      <c r="V643" t="s">
        <v>5723</v>
      </c>
      <c r="W643" t="s">
        <v>5409</v>
      </c>
      <c r="X643" t="s">
        <v>5724</v>
      </c>
      <c r="Y643" t="s">
        <v>5725</v>
      </c>
      <c r="Z643" t="s">
        <v>5726</v>
      </c>
      <c r="AA643" t="s">
        <v>5413</v>
      </c>
      <c r="AB643" t="s">
        <v>5414</v>
      </c>
      <c r="AC643" t="s">
        <v>5414</v>
      </c>
      <c r="AD643" t="s">
        <v>5414</v>
      </c>
      <c r="AG643" t="s">
        <v>5427</v>
      </c>
      <c r="AI643" t="s">
        <v>5727</v>
      </c>
      <c r="AJ643" t="s">
        <v>5493</v>
      </c>
      <c r="AL643" t="s">
        <v>5418</v>
      </c>
      <c r="AN643" t="s">
        <v>5419</v>
      </c>
    </row>
    <row r="644" spans="1:40" x14ac:dyDescent="0.25">
      <c r="A644">
        <v>1089494455</v>
      </c>
      <c r="B644" t="s">
        <v>5399</v>
      </c>
      <c r="C644">
        <v>252406</v>
      </c>
      <c r="D644" t="s">
        <v>5400</v>
      </c>
      <c r="E644">
        <v>46232.439884259256</v>
      </c>
      <c r="F644" t="s">
        <v>5626</v>
      </c>
      <c r="G644" t="s">
        <v>3668</v>
      </c>
      <c r="H644" t="s">
        <v>5552</v>
      </c>
      <c r="I644" t="s">
        <v>5403</v>
      </c>
      <c r="J644">
        <v>2026</v>
      </c>
      <c r="K644" t="s">
        <v>5627</v>
      </c>
      <c r="L644" t="s">
        <v>5628</v>
      </c>
      <c r="M644" t="s">
        <v>5406</v>
      </c>
      <c r="N644" s="1" t="s">
        <v>4565</v>
      </c>
      <c r="O644">
        <v>45.47</v>
      </c>
      <c r="P644">
        <v>4.1890000000000001</v>
      </c>
      <c r="Q644">
        <v>23038</v>
      </c>
      <c r="R644">
        <v>246</v>
      </c>
      <c r="S644">
        <v>5.41</v>
      </c>
      <c r="T644" s="8">
        <v>190.51</v>
      </c>
      <c r="U644">
        <v>11040306</v>
      </c>
      <c r="V644" t="s">
        <v>5408</v>
      </c>
      <c r="W644" t="s">
        <v>5409</v>
      </c>
      <c r="X644" t="s">
        <v>5410</v>
      </c>
      <c r="Y644" t="s">
        <v>5411</v>
      </c>
      <c r="Z644" t="s">
        <v>5412</v>
      </c>
      <c r="AA644" t="s">
        <v>5413</v>
      </c>
      <c r="AB644" t="s">
        <v>5414</v>
      </c>
      <c r="AC644" t="s">
        <v>5414</v>
      </c>
      <c r="AD644" t="s">
        <v>5414</v>
      </c>
      <c r="AG644" t="s">
        <v>5415</v>
      </c>
      <c r="AI644" t="s">
        <v>5522</v>
      </c>
      <c r="AJ644" t="s">
        <v>5630</v>
      </c>
      <c r="AL644" t="s">
        <v>5418</v>
      </c>
      <c r="AN644" t="s">
        <v>5419</v>
      </c>
    </row>
    <row r="645" spans="1:40" x14ac:dyDescent="0.25">
      <c r="A645">
        <v>1089518910</v>
      </c>
      <c r="B645" t="s">
        <v>5399</v>
      </c>
      <c r="C645">
        <v>252406</v>
      </c>
      <c r="D645" t="s">
        <v>5400</v>
      </c>
      <c r="E645">
        <v>46232.452916666669</v>
      </c>
      <c r="F645" t="s">
        <v>5530</v>
      </c>
      <c r="G645" t="s">
        <v>3668</v>
      </c>
      <c r="H645" t="s">
        <v>5431</v>
      </c>
      <c r="I645" t="s">
        <v>5403</v>
      </c>
      <c r="J645">
        <v>2025</v>
      </c>
      <c r="K645" t="s">
        <v>5531</v>
      </c>
      <c r="L645" t="s">
        <v>5532</v>
      </c>
      <c r="M645" t="s">
        <v>5406</v>
      </c>
      <c r="N645" s="1" t="s">
        <v>5783</v>
      </c>
      <c r="O645">
        <v>44.49</v>
      </c>
      <c r="P645">
        <v>3.79</v>
      </c>
      <c r="Q645">
        <v>110185</v>
      </c>
      <c r="R645">
        <v>522</v>
      </c>
      <c r="S645">
        <v>11.73</v>
      </c>
      <c r="T645" s="8">
        <v>168.62</v>
      </c>
      <c r="U645">
        <v>12815000</v>
      </c>
      <c r="V645" t="s">
        <v>5448</v>
      </c>
      <c r="W645" t="s">
        <v>5409</v>
      </c>
      <c r="X645" t="s">
        <v>5449</v>
      </c>
      <c r="Y645" t="s">
        <v>5450</v>
      </c>
      <c r="Z645" t="s">
        <v>5426</v>
      </c>
      <c r="AA645" t="s">
        <v>5413</v>
      </c>
      <c r="AB645" t="s">
        <v>5414</v>
      </c>
      <c r="AC645" t="s">
        <v>5414</v>
      </c>
      <c r="AD645" t="s">
        <v>5414</v>
      </c>
      <c r="AG645" t="s">
        <v>5427</v>
      </c>
      <c r="AI645" t="s">
        <v>5451</v>
      </c>
      <c r="AJ645" t="s">
        <v>5533</v>
      </c>
      <c r="AL645" t="s">
        <v>5418</v>
      </c>
      <c r="AN645" t="s">
        <v>5419</v>
      </c>
    </row>
    <row r="646" spans="1:40" x14ac:dyDescent="0.25">
      <c r="A646">
        <v>1089536614</v>
      </c>
      <c r="B646" t="s">
        <v>5399</v>
      </c>
      <c r="C646">
        <v>252406</v>
      </c>
      <c r="D646" t="s">
        <v>5400</v>
      </c>
      <c r="E646">
        <v>46232.553900462961</v>
      </c>
      <c r="F646" t="s">
        <v>5635</v>
      </c>
      <c r="G646" t="s">
        <v>3668</v>
      </c>
      <c r="H646" t="s">
        <v>5453</v>
      </c>
      <c r="I646" t="s">
        <v>5403</v>
      </c>
      <c r="J646">
        <v>2026</v>
      </c>
      <c r="K646" t="s">
        <v>5636</v>
      </c>
      <c r="L646" t="s">
        <v>5637</v>
      </c>
      <c r="M646" t="s">
        <v>5406</v>
      </c>
      <c r="N646" s="1" t="s">
        <v>4565</v>
      </c>
      <c r="O646">
        <v>40.700000000000003</v>
      </c>
      <c r="P646">
        <v>4.2889999999999997</v>
      </c>
      <c r="Q646">
        <v>13066</v>
      </c>
      <c r="R646">
        <v>277</v>
      </c>
      <c r="S646">
        <v>6.81</v>
      </c>
      <c r="T646" s="8">
        <v>174.6</v>
      </c>
      <c r="U646">
        <v>491721</v>
      </c>
      <c r="V646" t="s">
        <v>5438</v>
      </c>
      <c r="W646" t="s">
        <v>5409</v>
      </c>
      <c r="X646" t="s">
        <v>5439</v>
      </c>
      <c r="Y646" t="s">
        <v>5440</v>
      </c>
      <c r="Z646" t="s">
        <v>5441</v>
      </c>
      <c r="AA646" t="s">
        <v>5413</v>
      </c>
      <c r="AB646" t="s">
        <v>5414</v>
      </c>
      <c r="AC646" t="s">
        <v>5414</v>
      </c>
      <c r="AD646" t="s">
        <v>5414</v>
      </c>
      <c r="AG646" t="s">
        <v>5415</v>
      </c>
      <c r="AI646" t="s">
        <v>5460</v>
      </c>
      <c r="AJ646" t="s">
        <v>5638</v>
      </c>
      <c r="AL646" t="s">
        <v>5418</v>
      </c>
      <c r="AN646" t="s">
        <v>5419</v>
      </c>
    </row>
    <row r="647" spans="1:40" x14ac:dyDescent="0.25">
      <c r="A647">
        <v>1089561450</v>
      </c>
      <c r="B647" t="s">
        <v>5399</v>
      </c>
      <c r="C647">
        <v>252406</v>
      </c>
      <c r="D647" t="s">
        <v>5400</v>
      </c>
      <c r="E647">
        <v>46232.583969907406</v>
      </c>
      <c r="F647" t="s">
        <v>5475</v>
      </c>
      <c r="G647" t="s">
        <v>3668</v>
      </c>
      <c r="H647" t="s">
        <v>5467</v>
      </c>
      <c r="I647" t="s">
        <v>5403</v>
      </c>
      <c r="J647">
        <v>2026</v>
      </c>
      <c r="K647" t="s">
        <v>5463</v>
      </c>
      <c r="L647" t="s">
        <v>5464</v>
      </c>
      <c r="M647" t="s">
        <v>5406</v>
      </c>
      <c r="N647" s="1" t="s">
        <v>4565</v>
      </c>
      <c r="O647">
        <v>44.76</v>
      </c>
      <c r="P647">
        <v>4.2889999999999997</v>
      </c>
      <c r="Q647">
        <v>39635</v>
      </c>
      <c r="R647">
        <v>267</v>
      </c>
      <c r="S647">
        <v>5.97</v>
      </c>
      <c r="T647" s="8">
        <v>192.02</v>
      </c>
      <c r="U647">
        <v>11198252</v>
      </c>
      <c r="V647" t="s">
        <v>5424</v>
      </c>
      <c r="W647" t="s">
        <v>5409</v>
      </c>
      <c r="X647" t="s">
        <v>5425</v>
      </c>
      <c r="Y647" t="s">
        <v>5411</v>
      </c>
      <c r="Z647" t="s">
        <v>5426</v>
      </c>
      <c r="AA647" t="s">
        <v>5413</v>
      </c>
      <c r="AB647" t="s">
        <v>5414</v>
      </c>
      <c r="AC647" t="s">
        <v>5414</v>
      </c>
      <c r="AD647" t="s">
        <v>5414</v>
      </c>
      <c r="AG647" t="s">
        <v>5427</v>
      </c>
      <c r="AI647" t="s">
        <v>5428</v>
      </c>
      <c r="AJ647" t="s">
        <v>5697</v>
      </c>
      <c r="AL647" t="s">
        <v>5418</v>
      </c>
      <c r="AN647" t="s">
        <v>5419</v>
      </c>
    </row>
    <row r="648" spans="1:40" x14ac:dyDescent="0.25">
      <c r="A648">
        <v>1089568531</v>
      </c>
      <c r="B648" t="s">
        <v>5399</v>
      </c>
      <c r="C648">
        <v>252406</v>
      </c>
      <c r="D648" t="s">
        <v>5400</v>
      </c>
      <c r="E648">
        <v>46232.602210648147</v>
      </c>
      <c r="F648" t="s">
        <v>5585</v>
      </c>
      <c r="G648" t="s">
        <v>3668</v>
      </c>
      <c r="H648" t="s">
        <v>5506</v>
      </c>
      <c r="I648" t="s">
        <v>5403</v>
      </c>
      <c r="J648">
        <v>2026</v>
      </c>
      <c r="K648" t="s">
        <v>5717</v>
      </c>
      <c r="L648" t="s">
        <v>5718</v>
      </c>
      <c r="M648" t="s">
        <v>5406</v>
      </c>
      <c r="N648" s="1" t="s">
        <v>4565</v>
      </c>
      <c r="O648">
        <v>24.97</v>
      </c>
      <c r="P648">
        <v>4.2889999999999997</v>
      </c>
      <c r="Q648">
        <v>5102</v>
      </c>
      <c r="R648">
        <v>141</v>
      </c>
      <c r="S648">
        <v>5.65</v>
      </c>
      <c r="T648" s="8">
        <v>107.12</v>
      </c>
      <c r="U648">
        <v>11198252</v>
      </c>
      <c r="V648" t="s">
        <v>5424</v>
      </c>
      <c r="W648" t="s">
        <v>5409</v>
      </c>
      <c r="X648" t="s">
        <v>5425</v>
      </c>
      <c r="Y648" t="s">
        <v>5411</v>
      </c>
      <c r="Z648" t="s">
        <v>5426</v>
      </c>
      <c r="AA648" t="s">
        <v>5413</v>
      </c>
      <c r="AB648" t="s">
        <v>5414</v>
      </c>
      <c r="AC648" t="s">
        <v>5414</v>
      </c>
      <c r="AD648" t="s">
        <v>5414</v>
      </c>
      <c r="AG648" t="s">
        <v>5427</v>
      </c>
      <c r="AI648" t="s">
        <v>5428</v>
      </c>
      <c r="AJ648" t="s">
        <v>5588</v>
      </c>
      <c r="AL648" t="s">
        <v>5418</v>
      </c>
      <c r="AN648" t="s">
        <v>5419</v>
      </c>
    </row>
    <row r="649" spans="1:40" x14ac:dyDescent="0.25">
      <c r="A649">
        <v>1089574494</v>
      </c>
      <c r="B649" t="s">
        <v>5399</v>
      </c>
      <c r="C649">
        <v>252406</v>
      </c>
      <c r="D649" t="s">
        <v>5400</v>
      </c>
      <c r="E649">
        <v>46232.619618055556</v>
      </c>
      <c r="F649" t="s">
        <v>5647</v>
      </c>
      <c r="G649" t="s">
        <v>3668</v>
      </c>
      <c r="H649" t="s">
        <v>5568</v>
      </c>
      <c r="I649" t="s">
        <v>5403</v>
      </c>
      <c r="J649">
        <v>2025</v>
      </c>
      <c r="K649" t="s">
        <v>5648</v>
      </c>
      <c r="L649" t="s">
        <v>5649</v>
      </c>
      <c r="M649" t="s">
        <v>5406</v>
      </c>
      <c r="N649" s="1" t="s">
        <v>4565</v>
      </c>
      <c r="O649">
        <v>35</v>
      </c>
      <c r="P649">
        <v>4.8899999999999997</v>
      </c>
      <c r="Q649">
        <v>18876</v>
      </c>
      <c r="R649">
        <v>311</v>
      </c>
      <c r="S649">
        <v>8.89</v>
      </c>
      <c r="T649" s="8">
        <v>171.15</v>
      </c>
      <c r="U649">
        <v>11160069</v>
      </c>
      <c r="V649" t="s">
        <v>5728</v>
      </c>
      <c r="W649" t="s">
        <v>5409</v>
      </c>
      <c r="X649" t="s">
        <v>5729</v>
      </c>
      <c r="Y649" t="s">
        <v>5458</v>
      </c>
      <c r="Z649" t="s">
        <v>5730</v>
      </c>
      <c r="AA649" t="s">
        <v>5413</v>
      </c>
      <c r="AB649" t="s">
        <v>5414</v>
      </c>
      <c r="AC649" t="s">
        <v>5414</v>
      </c>
      <c r="AD649" t="s">
        <v>5414</v>
      </c>
      <c r="AG649" t="s">
        <v>5427</v>
      </c>
      <c r="AI649" t="s">
        <v>5731</v>
      </c>
      <c r="AJ649" t="s">
        <v>5650</v>
      </c>
      <c r="AL649" t="s">
        <v>5418</v>
      </c>
      <c r="AN649" t="s">
        <v>5419</v>
      </c>
    </row>
    <row r="650" spans="1:40" x14ac:dyDescent="0.25">
      <c r="A650">
        <v>1089571191</v>
      </c>
      <c r="B650" t="s">
        <v>5399</v>
      </c>
      <c r="C650">
        <v>252406</v>
      </c>
      <c r="D650" t="s">
        <v>5400</v>
      </c>
      <c r="E650">
        <v>46232.651886574073</v>
      </c>
      <c r="F650" t="s">
        <v>5651</v>
      </c>
      <c r="G650" t="s">
        <v>3668</v>
      </c>
      <c r="H650" t="s">
        <v>5467</v>
      </c>
      <c r="I650" t="s">
        <v>5403</v>
      </c>
      <c r="J650">
        <v>2026</v>
      </c>
      <c r="K650" t="s">
        <v>5738</v>
      </c>
      <c r="L650" t="s">
        <v>5739</v>
      </c>
      <c r="M650" t="s">
        <v>5406</v>
      </c>
      <c r="N650" s="1" t="s">
        <v>4565</v>
      </c>
      <c r="O650">
        <v>40.36</v>
      </c>
      <c r="P650">
        <v>4.0890000000000004</v>
      </c>
      <c r="Q650">
        <v>49670</v>
      </c>
      <c r="R650">
        <v>310</v>
      </c>
      <c r="S650">
        <v>7.68</v>
      </c>
      <c r="T650" s="8">
        <v>165.07</v>
      </c>
      <c r="U650">
        <v>491721</v>
      </c>
      <c r="V650" t="s">
        <v>5438</v>
      </c>
      <c r="W650" t="s">
        <v>5409</v>
      </c>
      <c r="X650" t="s">
        <v>5439</v>
      </c>
      <c r="Y650" t="s">
        <v>5440</v>
      </c>
      <c r="Z650" t="s">
        <v>5441</v>
      </c>
      <c r="AA650" t="s">
        <v>5413</v>
      </c>
      <c r="AB650" t="s">
        <v>5414</v>
      </c>
      <c r="AC650" t="s">
        <v>5414</v>
      </c>
      <c r="AD650" t="s">
        <v>5414</v>
      </c>
      <c r="AG650" t="s">
        <v>5415</v>
      </c>
      <c r="AI650" t="s">
        <v>5522</v>
      </c>
      <c r="AJ650" t="s">
        <v>5654</v>
      </c>
      <c r="AL650" t="s">
        <v>5418</v>
      </c>
      <c r="AN650" t="s">
        <v>5419</v>
      </c>
    </row>
    <row r="651" spans="1:40" x14ac:dyDescent="0.25">
      <c r="A651">
        <v>1089595068</v>
      </c>
      <c r="B651" t="s">
        <v>5399</v>
      </c>
      <c r="C651">
        <v>252406</v>
      </c>
      <c r="D651" t="s">
        <v>5400</v>
      </c>
      <c r="E651">
        <v>46232.673321759263</v>
      </c>
      <c r="F651" t="s">
        <v>5430</v>
      </c>
      <c r="G651" t="s">
        <v>3668</v>
      </c>
      <c r="H651" t="s">
        <v>5431</v>
      </c>
      <c r="I651" t="s">
        <v>5403</v>
      </c>
      <c r="J651">
        <v>2025</v>
      </c>
      <c r="K651" t="s">
        <v>5432</v>
      </c>
      <c r="L651" t="s">
        <v>5433</v>
      </c>
      <c r="M651" t="s">
        <v>5406</v>
      </c>
      <c r="N651" s="1" t="s">
        <v>4565</v>
      </c>
      <c r="O651">
        <v>39.96</v>
      </c>
      <c r="P651">
        <v>4.29</v>
      </c>
      <c r="Q651">
        <v>65028</v>
      </c>
      <c r="R651">
        <v>314</v>
      </c>
      <c r="S651">
        <v>7.86</v>
      </c>
      <c r="T651" s="8">
        <v>171.43</v>
      </c>
      <c r="U651">
        <v>11198252</v>
      </c>
      <c r="V651" t="s">
        <v>5424</v>
      </c>
      <c r="W651" t="s">
        <v>5409</v>
      </c>
      <c r="X651" t="s">
        <v>5425</v>
      </c>
      <c r="Y651" t="s">
        <v>5411</v>
      </c>
      <c r="Z651" t="s">
        <v>5426</v>
      </c>
      <c r="AA651" t="s">
        <v>5413</v>
      </c>
      <c r="AB651" t="s">
        <v>5414</v>
      </c>
      <c r="AC651" t="s">
        <v>5414</v>
      </c>
      <c r="AD651" t="s">
        <v>5414</v>
      </c>
      <c r="AG651" t="s">
        <v>5427</v>
      </c>
      <c r="AI651" t="s">
        <v>5428</v>
      </c>
      <c r="AJ651" t="s">
        <v>5434</v>
      </c>
      <c r="AL651" t="s">
        <v>5418</v>
      </c>
      <c r="AN651" t="s">
        <v>5419</v>
      </c>
    </row>
    <row r="652" spans="1:40" x14ac:dyDescent="0.25">
      <c r="A652">
        <v>1089595670</v>
      </c>
      <c r="B652" t="s">
        <v>5399</v>
      </c>
      <c r="C652">
        <v>252406</v>
      </c>
      <c r="D652" t="s">
        <v>5400</v>
      </c>
      <c r="E652">
        <v>46232.67523148148</v>
      </c>
      <c r="F652" t="s">
        <v>5617</v>
      </c>
      <c r="G652" t="s">
        <v>3668</v>
      </c>
      <c r="H652" t="s">
        <v>5467</v>
      </c>
      <c r="I652" t="s">
        <v>5403</v>
      </c>
      <c r="J652">
        <v>2026</v>
      </c>
      <c r="K652" t="s">
        <v>5618</v>
      </c>
      <c r="L652" t="s">
        <v>5619</v>
      </c>
      <c r="M652" t="s">
        <v>5406</v>
      </c>
      <c r="N652" s="1" t="s">
        <v>4565</v>
      </c>
      <c r="O652">
        <v>36.619999999999997</v>
      </c>
      <c r="P652">
        <v>4.29</v>
      </c>
      <c r="Q652">
        <v>57359</v>
      </c>
      <c r="R652">
        <v>400</v>
      </c>
      <c r="S652">
        <v>10.92</v>
      </c>
      <c r="T652" s="8">
        <v>157.1</v>
      </c>
      <c r="U652">
        <v>11198252</v>
      </c>
      <c r="V652" t="s">
        <v>5424</v>
      </c>
      <c r="W652" t="s">
        <v>5409</v>
      </c>
      <c r="X652" t="s">
        <v>5425</v>
      </c>
      <c r="Y652" t="s">
        <v>5411</v>
      </c>
      <c r="Z652" t="s">
        <v>5426</v>
      </c>
      <c r="AA652" t="s">
        <v>5413</v>
      </c>
      <c r="AB652" t="s">
        <v>5414</v>
      </c>
      <c r="AC652" t="s">
        <v>5414</v>
      </c>
      <c r="AD652" t="s">
        <v>5414</v>
      </c>
      <c r="AG652" t="s">
        <v>5427</v>
      </c>
      <c r="AI652" t="s">
        <v>5428</v>
      </c>
      <c r="AJ652" t="s">
        <v>5620</v>
      </c>
      <c r="AL652" t="s">
        <v>5418</v>
      </c>
      <c r="AN652" t="s">
        <v>5419</v>
      </c>
    </row>
    <row r="653" spans="1:40" x14ac:dyDescent="0.25">
      <c r="A653">
        <v>1089590185</v>
      </c>
      <c r="B653" t="s">
        <v>5399</v>
      </c>
      <c r="C653">
        <v>252406</v>
      </c>
      <c r="D653" t="s">
        <v>5400</v>
      </c>
      <c r="E653">
        <v>46232.701874999999</v>
      </c>
      <c r="F653" t="s">
        <v>5524</v>
      </c>
      <c r="G653" t="s">
        <v>3668</v>
      </c>
      <c r="H653" t="s">
        <v>5421</v>
      </c>
      <c r="I653" t="s">
        <v>5524</v>
      </c>
      <c r="J653">
        <v>2025</v>
      </c>
      <c r="K653" t="s">
        <v>5525</v>
      </c>
      <c r="L653" t="s">
        <v>5526</v>
      </c>
      <c r="M653" t="s">
        <v>5406</v>
      </c>
      <c r="N653" s="1" t="s">
        <v>4565</v>
      </c>
      <c r="O653">
        <v>39.6</v>
      </c>
      <c r="P653">
        <v>4.1890000000000001</v>
      </c>
      <c r="Q653">
        <v>67795</v>
      </c>
      <c r="R653">
        <v>337</v>
      </c>
      <c r="S653">
        <v>8.51</v>
      </c>
      <c r="T653" s="8">
        <v>165.92</v>
      </c>
      <c r="U653">
        <v>11040306</v>
      </c>
      <c r="V653" t="s">
        <v>5408</v>
      </c>
      <c r="W653" t="s">
        <v>5409</v>
      </c>
      <c r="X653" t="s">
        <v>5410</v>
      </c>
      <c r="Y653" t="s">
        <v>5411</v>
      </c>
      <c r="Z653" t="s">
        <v>5412</v>
      </c>
      <c r="AA653" t="s">
        <v>5413</v>
      </c>
      <c r="AB653" t="s">
        <v>5414</v>
      </c>
      <c r="AC653" t="s">
        <v>5414</v>
      </c>
      <c r="AD653" t="s">
        <v>5414</v>
      </c>
      <c r="AG653" t="s">
        <v>5415</v>
      </c>
      <c r="AI653" t="s">
        <v>5416</v>
      </c>
      <c r="AJ653" t="s">
        <v>5527</v>
      </c>
      <c r="AK653" t="s">
        <v>5528</v>
      </c>
      <c r="AL653" t="s">
        <v>5418</v>
      </c>
      <c r="AN653" t="s">
        <v>5529</v>
      </c>
    </row>
    <row r="654" spans="1:40" x14ac:dyDescent="0.25">
      <c r="A654">
        <v>1089632570</v>
      </c>
      <c r="B654" t="s">
        <v>5399</v>
      </c>
      <c r="C654">
        <v>252406</v>
      </c>
      <c r="D654" t="s">
        <v>5400</v>
      </c>
      <c r="E654">
        <v>46232.803368055553</v>
      </c>
      <c r="F654" t="s">
        <v>5401</v>
      </c>
      <c r="G654" t="s">
        <v>3668</v>
      </c>
      <c r="H654" t="s">
        <v>5402</v>
      </c>
      <c r="I654" t="s">
        <v>5403</v>
      </c>
      <c r="J654">
        <v>2026</v>
      </c>
      <c r="K654" t="s">
        <v>5941</v>
      </c>
      <c r="L654" t="s">
        <v>5942</v>
      </c>
      <c r="M654" t="s">
        <v>5406</v>
      </c>
      <c r="N654" s="1" t="s">
        <v>4565</v>
      </c>
      <c r="O654">
        <v>37.340000000000003</v>
      </c>
      <c r="P654">
        <v>4.29</v>
      </c>
      <c r="Q654">
        <v>37932</v>
      </c>
      <c r="R654">
        <v>253</v>
      </c>
      <c r="S654">
        <v>6.78</v>
      </c>
      <c r="T654" s="8">
        <v>160.19</v>
      </c>
      <c r="U654">
        <v>12193017</v>
      </c>
      <c r="V654" t="s">
        <v>5574</v>
      </c>
      <c r="W654" t="s">
        <v>5409</v>
      </c>
      <c r="X654" t="s">
        <v>5575</v>
      </c>
      <c r="Y654" t="s">
        <v>5576</v>
      </c>
      <c r="Z654" t="s">
        <v>5472</v>
      </c>
      <c r="AA654" t="s">
        <v>5413</v>
      </c>
      <c r="AB654" t="s">
        <v>5414</v>
      </c>
      <c r="AC654" t="s">
        <v>5414</v>
      </c>
      <c r="AD654" t="s">
        <v>5414</v>
      </c>
      <c r="AG654" t="s">
        <v>5427</v>
      </c>
      <c r="AI654" t="s">
        <v>5577</v>
      </c>
      <c r="AJ654" t="s">
        <v>5417</v>
      </c>
      <c r="AL654" t="s">
        <v>5418</v>
      </c>
      <c r="AN654" t="s">
        <v>5419</v>
      </c>
    </row>
    <row r="655" spans="1:40" x14ac:dyDescent="0.25">
      <c r="A655">
        <v>1089637787</v>
      </c>
      <c r="B655" t="s">
        <v>5399</v>
      </c>
      <c r="C655">
        <v>252406</v>
      </c>
      <c r="D655" t="s">
        <v>5400</v>
      </c>
      <c r="E655">
        <v>46232.882777777777</v>
      </c>
      <c r="F655" t="s">
        <v>5757</v>
      </c>
      <c r="G655" t="s">
        <v>3668</v>
      </c>
      <c r="H655" t="s">
        <v>5421</v>
      </c>
      <c r="I655" t="s">
        <v>5403</v>
      </c>
      <c r="J655">
        <v>2027</v>
      </c>
      <c r="K655" t="s">
        <v>5520</v>
      </c>
      <c r="L655" t="s">
        <v>5521</v>
      </c>
      <c r="M655" t="s">
        <v>5406</v>
      </c>
      <c r="N655" s="1" t="s">
        <v>4565</v>
      </c>
      <c r="O655">
        <v>39.299999999999997</v>
      </c>
      <c r="P655">
        <v>4.1890000000000001</v>
      </c>
      <c r="Q655">
        <v>4055</v>
      </c>
      <c r="R655">
        <v>329</v>
      </c>
      <c r="S655">
        <v>8.3699999999999992</v>
      </c>
      <c r="T655" s="8">
        <v>164.66</v>
      </c>
      <c r="U655">
        <v>11040306</v>
      </c>
      <c r="V655" t="s">
        <v>5408</v>
      </c>
      <c r="W655" t="s">
        <v>5409</v>
      </c>
      <c r="X655" t="s">
        <v>5410</v>
      </c>
      <c r="Y655" t="s">
        <v>5411</v>
      </c>
      <c r="Z655" t="s">
        <v>5412</v>
      </c>
      <c r="AA655" t="s">
        <v>5413</v>
      </c>
      <c r="AB655" t="s">
        <v>5414</v>
      </c>
      <c r="AC655" t="s">
        <v>5414</v>
      </c>
      <c r="AD655" t="s">
        <v>5414</v>
      </c>
      <c r="AG655" t="s">
        <v>5415</v>
      </c>
      <c r="AI655" t="s">
        <v>5522</v>
      </c>
      <c r="AJ655" t="s">
        <v>5765</v>
      </c>
      <c r="AL655" t="s">
        <v>5418</v>
      </c>
      <c r="AN655" t="s">
        <v>5419</v>
      </c>
    </row>
    <row r="656" spans="1:40" x14ac:dyDescent="0.25">
      <c r="A656">
        <v>1089637969</v>
      </c>
      <c r="B656" t="s">
        <v>5399</v>
      </c>
      <c r="C656">
        <v>252406</v>
      </c>
      <c r="D656" t="s">
        <v>5400</v>
      </c>
      <c r="E656">
        <v>46232.884641203702</v>
      </c>
      <c r="F656" t="s">
        <v>5659</v>
      </c>
      <c r="G656" t="s">
        <v>3668</v>
      </c>
      <c r="H656" t="s">
        <v>5431</v>
      </c>
      <c r="I656" t="s">
        <v>5403</v>
      </c>
      <c r="J656">
        <v>2026</v>
      </c>
      <c r="K656" t="s">
        <v>5660</v>
      </c>
      <c r="L656" t="s">
        <v>5661</v>
      </c>
      <c r="M656" t="s">
        <v>5406</v>
      </c>
      <c r="N656" s="1" t="s">
        <v>4565</v>
      </c>
      <c r="O656">
        <v>45.12</v>
      </c>
      <c r="P656">
        <v>4.1890000000000001</v>
      </c>
      <c r="Q656">
        <v>8140</v>
      </c>
      <c r="R656">
        <v>324</v>
      </c>
      <c r="S656">
        <v>7.18</v>
      </c>
      <c r="T656" s="8">
        <v>189.05</v>
      </c>
      <c r="U656">
        <v>11040306</v>
      </c>
      <c r="V656" t="s">
        <v>5408</v>
      </c>
      <c r="W656" t="s">
        <v>5409</v>
      </c>
      <c r="X656" t="s">
        <v>5410</v>
      </c>
      <c r="Y656" t="s">
        <v>5411</v>
      </c>
      <c r="Z656" t="s">
        <v>5412</v>
      </c>
      <c r="AA656" t="s">
        <v>5413</v>
      </c>
      <c r="AB656" t="s">
        <v>5414</v>
      </c>
      <c r="AC656" t="s">
        <v>5414</v>
      </c>
      <c r="AD656" t="s">
        <v>5414</v>
      </c>
      <c r="AG656" t="s">
        <v>5415</v>
      </c>
      <c r="AI656" t="s">
        <v>5460</v>
      </c>
      <c r="AJ656" t="s">
        <v>5662</v>
      </c>
      <c r="AL656" t="s">
        <v>5418</v>
      </c>
      <c r="AN656" t="s">
        <v>5419</v>
      </c>
    </row>
    <row r="657" spans="1:40" x14ac:dyDescent="0.25">
      <c r="A657">
        <v>1089644566</v>
      </c>
      <c r="B657" t="s">
        <v>5399</v>
      </c>
      <c r="C657">
        <v>252406</v>
      </c>
      <c r="D657" t="s">
        <v>5400</v>
      </c>
      <c r="E657">
        <v>46232.964062500003</v>
      </c>
      <c r="F657" t="s">
        <v>5494</v>
      </c>
      <c r="G657" t="s">
        <v>3668</v>
      </c>
      <c r="H657" t="s">
        <v>5495</v>
      </c>
      <c r="I657" t="s">
        <v>5403</v>
      </c>
      <c r="J657">
        <v>2026</v>
      </c>
      <c r="K657" t="s">
        <v>5496</v>
      </c>
      <c r="L657" t="s">
        <v>5497</v>
      </c>
      <c r="M657" t="s">
        <v>5406</v>
      </c>
      <c r="N657" s="1" t="s">
        <v>4565</v>
      </c>
      <c r="O657">
        <v>30.02</v>
      </c>
      <c r="P657">
        <v>3.589</v>
      </c>
      <c r="Q657">
        <v>61120</v>
      </c>
      <c r="R657">
        <v>300</v>
      </c>
      <c r="S657">
        <v>9.99</v>
      </c>
      <c r="T657" s="8">
        <v>107.77</v>
      </c>
      <c r="U657">
        <v>12815000</v>
      </c>
      <c r="V657" t="s">
        <v>5448</v>
      </c>
      <c r="W657" t="s">
        <v>5409</v>
      </c>
      <c r="X657" t="s">
        <v>5449</v>
      </c>
      <c r="Y657" t="s">
        <v>5450</v>
      </c>
      <c r="Z657" t="s">
        <v>5426</v>
      </c>
      <c r="AA657" t="s">
        <v>5413</v>
      </c>
      <c r="AB657" t="s">
        <v>5414</v>
      </c>
      <c r="AC657" t="s">
        <v>5414</v>
      </c>
      <c r="AD657" t="s">
        <v>5414</v>
      </c>
      <c r="AG657" t="s">
        <v>5427</v>
      </c>
      <c r="AI657" t="s">
        <v>5451</v>
      </c>
      <c r="AJ657" t="s">
        <v>5504</v>
      </c>
      <c r="AL657" t="s">
        <v>5418</v>
      </c>
      <c r="AN657" t="s">
        <v>5419</v>
      </c>
    </row>
    <row r="658" spans="1:40" x14ac:dyDescent="0.25">
      <c r="A658">
        <v>1089666209</v>
      </c>
      <c r="B658" t="s">
        <v>5399</v>
      </c>
      <c r="C658">
        <v>252406</v>
      </c>
      <c r="D658" t="s">
        <v>5400</v>
      </c>
      <c r="E658">
        <v>46233.267569444448</v>
      </c>
      <c r="F658" t="s">
        <v>5435</v>
      </c>
      <c r="G658" t="s">
        <v>3668</v>
      </c>
      <c r="H658" t="s">
        <v>5421</v>
      </c>
      <c r="I658" t="s">
        <v>5403</v>
      </c>
      <c r="J658">
        <v>2026</v>
      </c>
      <c r="K658" t="s">
        <v>5436</v>
      </c>
      <c r="L658" t="s">
        <v>5437</v>
      </c>
      <c r="M658" t="s">
        <v>5406</v>
      </c>
      <c r="N658" s="1" t="s">
        <v>4565</v>
      </c>
      <c r="O658">
        <v>17.170000000000002</v>
      </c>
      <c r="P658">
        <v>4.6589999999999998</v>
      </c>
      <c r="Q658">
        <v>50979</v>
      </c>
      <c r="R658">
        <v>63</v>
      </c>
      <c r="S658">
        <v>3.67</v>
      </c>
      <c r="T658" s="8">
        <v>80.010000000000005</v>
      </c>
      <c r="U658">
        <v>11120083</v>
      </c>
      <c r="V658" t="s">
        <v>5596</v>
      </c>
      <c r="W658" t="s">
        <v>5409</v>
      </c>
      <c r="X658" t="s">
        <v>5597</v>
      </c>
      <c r="Y658" t="s">
        <v>5458</v>
      </c>
      <c r="Z658" t="s">
        <v>5598</v>
      </c>
      <c r="AA658" t="s">
        <v>5413</v>
      </c>
      <c r="AB658" t="s">
        <v>5414</v>
      </c>
      <c r="AC658" t="s">
        <v>5414</v>
      </c>
      <c r="AD658" t="s">
        <v>5414</v>
      </c>
      <c r="AG658" t="s">
        <v>5427</v>
      </c>
      <c r="AI658" t="s">
        <v>5599</v>
      </c>
      <c r="AJ658" t="s">
        <v>5443</v>
      </c>
      <c r="AL658" t="s">
        <v>5418</v>
      </c>
      <c r="AN658" t="s">
        <v>5419</v>
      </c>
    </row>
    <row r="659" spans="1:40" x14ac:dyDescent="0.25">
      <c r="A659">
        <v>1089684874</v>
      </c>
      <c r="B659" t="s">
        <v>5399</v>
      </c>
      <c r="C659">
        <v>252406</v>
      </c>
      <c r="D659" t="s">
        <v>5400</v>
      </c>
      <c r="E659">
        <v>46233.302349537036</v>
      </c>
      <c r="F659" t="s">
        <v>5589</v>
      </c>
      <c r="G659" t="s">
        <v>3668</v>
      </c>
      <c r="H659" t="s">
        <v>5431</v>
      </c>
      <c r="I659" t="s">
        <v>5403</v>
      </c>
      <c r="J659">
        <v>2026</v>
      </c>
      <c r="K659" t="s">
        <v>5590</v>
      </c>
      <c r="L659" t="s">
        <v>5591</v>
      </c>
      <c r="M659" t="s">
        <v>5406</v>
      </c>
      <c r="N659" s="1" t="s">
        <v>4565</v>
      </c>
      <c r="O659">
        <v>34.729999999999997</v>
      </c>
      <c r="P659">
        <v>4.2889999999999997</v>
      </c>
      <c r="Q659">
        <v>7762</v>
      </c>
      <c r="R659">
        <v>272</v>
      </c>
      <c r="S659">
        <v>7.83</v>
      </c>
      <c r="T659" s="8">
        <v>148.99</v>
      </c>
      <c r="U659">
        <v>11198252</v>
      </c>
      <c r="V659" t="s">
        <v>5424</v>
      </c>
      <c r="W659" t="s">
        <v>5409</v>
      </c>
      <c r="X659" t="s">
        <v>5425</v>
      </c>
      <c r="Y659" t="s">
        <v>5411</v>
      </c>
      <c r="Z659" t="s">
        <v>5426</v>
      </c>
      <c r="AA659" t="s">
        <v>5413</v>
      </c>
      <c r="AB659" t="s">
        <v>5414</v>
      </c>
      <c r="AC659" t="s">
        <v>5414</v>
      </c>
      <c r="AD659" t="s">
        <v>5414</v>
      </c>
      <c r="AG659" t="s">
        <v>5427</v>
      </c>
      <c r="AI659" t="s">
        <v>5428</v>
      </c>
      <c r="AJ659" t="s">
        <v>5890</v>
      </c>
      <c r="AL659" t="s">
        <v>5418</v>
      </c>
      <c r="AN659" t="s">
        <v>5419</v>
      </c>
    </row>
    <row r="660" spans="1:40" x14ac:dyDescent="0.25">
      <c r="A660">
        <v>1089667122</v>
      </c>
      <c r="B660" t="s">
        <v>5399</v>
      </c>
      <c r="C660">
        <v>252406</v>
      </c>
      <c r="D660" t="s">
        <v>5400</v>
      </c>
      <c r="E660">
        <v>46233.311631944445</v>
      </c>
      <c r="F660" t="s">
        <v>5740</v>
      </c>
      <c r="G660" t="s">
        <v>3668</v>
      </c>
      <c r="H660" t="s">
        <v>5431</v>
      </c>
      <c r="I660" t="s">
        <v>5403</v>
      </c>
      <c r="J660">
        <v>2026</v>
      </c>
      <c r="K660" t="s">
        <v>5557</v>
      </c>
      <c r="L660" t="s">
        <v>5558</v>
      </c>
      <c r="M660" t="s">
        <v>5406</v>
      </c>
      <c r="N660" s="1" t="s">
        <v>4565</v>
      </c>
      <c r="O660">
        <v>40.369999999999997</v>
      </c>
      <c r="P660">
        <v>4.1890000000000001</v>
      </c>
      <c r="Q660">
        <v>32560</v>
      </c>
      <c r="R660">
        <v>235</v>
      </c>
      <c r="S660">
        <v>5.82</v>
      </c>
      <c r="T660" s="8">
        <v>169.15</v>
      </c>
      <c r="U660">
        <v>11040306</v>
      </c>
      <c r="V660" t="s">
        <v>5408</v>
      </c>
      <c r="W660" t="s">
        <v>5409</v>
      </c>
      <c r="X660" t="s">
        <v>5410</v>
      </c>
      <c r="Y660" t="s">
        <v>5411</v>
      </c>
      <c r="Z660" t="s">
        <v>5412</v>
      </c>
      <c r="AA660" t="s">
        <v>5413</v>
      </c>
      <c r="AB660" t="s">
        <v>5414</v>
      </c>
      <c r="AC660" t="s">
        <v>5414</v>
      </c>
      <c r="AD660" t="s">
        <v>5414</v>
      </c>
      <c r="AG660" t="s">
        <v>5415</v>
      </c>
      <c r="AI660" t="s">
        <v>5460</v>
      </c>
      <c r="AJ660" t="s">
        <v>5742</v>
      </c>
      <c r="AL660" t="s">
        <v>5418</v>
      </c>
      <c r="AN660" t="s">
        <v>5419</v>
      </c>
    </row>
    <row r="661" spans="1:40" x14ac:dyDescent="0.25">
      <c r="A661">
        <v>1089667482</v>
      </c>
      <c r="B661" t="s">
        <v>5399</v>
      </c>
      <c r="C661">
        <v>252406</v>
      </c>
      <c r="D661" t="s">
        <v>5400</v>
      </c>
      <c r="E661">
        <v>46233.312754629631</v>
      </c>
      <c r="F661" t="s">
        <v>5466</v>
      </c>
      <c r="G661" t="s">
        <v>3668</v>
      </c>
      <c r="H661" t="s">
        <v>5467</v>
      </c>
      <c r="I661" t="s">
        <v>5403</v>
      </c>
      <c r="J661">
        <v>2025</v>
      </c>
      <c r="K661" t="s">
        <v>5468</v>
      </c>
      <c r="L661" t="s">
        <v>5469</v>
      </c>
      <c r="M661" t="s">
        <v>5406</v>
      </c>
      <c r="N661" s="1" t="s">
        <v>4565</v>
      </c>
      <c r="O661">
        <v>46.38</v>
      </c>
      <c r="P661">
        <v>4.6500000000000004</v>
      </c>
      <c r="Q661">
        <v>65801</v>
      </c>
      <c r="R661">
        <v>407</v>
      </c>
      <c r="S661">
        <v>8.7799999999999994</v>
      </c>
      <c r="T661" s="8">
        <v>215.67</v>
      </c>
      <c r="U661">
        <v>11040292</v>
      </c>
      <c r="V661" t="s">
        <v>5456</v>
      </c>
      <c r="W661" t="s">
        <v>5409</v>
      </c>
      <c r="X661" t="s">
        <v>5457</v>
      </c>
      <c r="Y661" t="s">
        <v>5458</v>
      </c>
      <c r="Z661" t="s">
        <v>5459</v>
      </c>
      <c r="AA661" t="s">
        <v>5413</v>
      </c>
      <c r="AB661" t="s">
        <v>5414</v>
      </c>
      <c r="AC661" t="s">
        <v>5414</v>
      </c>
      <c r="AD661" t="s">
        <v>5414</v>
      </c>
      <c r="AG661" t="s">
        <v>5415</v>
      </c>
      <c r="AI661" t="s">
        <v>5460</v>
      </c>
      <c r="AJ661" t="s">
        <v>5474</v>
      </c>
      <c r="AL661" t="s">
        <v>5418</v>
      </c>
      <c r="AN661" t="s">
        <v>5419</v>
      </c>
    </row>
    <row r="662" spans="1:40" x14ac:dyDescent="0.25">
      <c r="A662">
        <v>1089669855</v>
      </c>
      <c r="B662" t="s">
        <v>5399</v>
      </c>
      <c r="C662">
        <v>252406</v>
      </c>
      <c r="D662" t="s">
        <v>5400</v>
      </c>
      <c r="E662">
        <v>46233.318888888891</v>
      </c>
      <c r="F662" t="s">
        <v>5551</v>
      </c>
      <c r="G662" t="s">
        <v>3668</v>
      </c>
      <c r="H662" t="s">
        <v>5552</v>
      </c>
      <c r="I662" t="s">
        <v>5403</v>
      </c>
      <c r="J662">
        <v>2026</v>
      </c>
      <c r="K662" t="s">
        <v>5553</v>
      </c>
      <c r="L662" t="s">
        <v>5554</v>
      </c>
      <c r="M662" t="s">
        <v>5406</v>
      </c>
      <c r="N662" s="1" t="s">
        <v>4565</v>
      </c>
      <c r="O662">
        <v>39.6</v>
      </c>
      <c r="P662">
        <v>4.1890000000000001</v>
      </c>
      <c r="Q662">
        <v>26656</v>
      </c>
      <c r="R662">
        <v>153</v>
      </c>
      <c r="S662">
        <v>3.86</v>
      </c>
      <c r="T662" s="8">
        <v>165.92</v>
      </c>
      <c r="U662">
        <v>11040306</v>
      </c>
      <c r="V662" t="s">
        <v>5408</v>
      </c>
      <c r="W662" t="s">
        <v>5409</v>
      </c>
      <c r="X662" t="s">
        <v>5410</v>
      </c>
      <c r="Y662" t="s">
        <v>5411</v>
      </c>
      <c r="Z662" t="s">
        <v>5412</v>
      </c>
      <c r="AA662" t="s">
        <v>5413</v>
      </c>
      <c r="AB662" t="s">
        <v>5414</v>
      </c>
      <c r="AC662" t="s">
        <v>5414</v>
      </c>
      <c r="AD662" t="s">
        <v>5414</v>
      </c>
      <c r="AG662" t="s">
        <v>5415</v>
      </c>
      <c r="AI662" t="s">
        <v>5522</v>
      </c>
      <c r="AJ662" t="s">
        <v>5555</v>
      </c>
      <c r="AL662" t="s">
        <v>5418</v>
      </c>
      <c r="AN662" t="s">
        <v>5419</v>
      </c>
    </row>
    <row r="663" spans="1:40" x14ac:dyDescent="0.25">
      <c r="A663">
        <v>1089670718</v>
      </c>
      <c r="B663" t="s">
        <v>5399</v>
      </c>
      <c r="C663">
        <v>252406</v>
      </c>
      <c r="D663" t="s">
        <v>5400</v>
      </c>
      <c r="E663">
        <v>46233.320868055554</v>
      </c>
      <c r="F663" t="s">
        <v>5847</v>
      </c>
      <c r="G663" t="s">
        <v>3668</v>
      </c>
      <c r="H663" t="s">
        <v>5421</v>
      </c>
      <c r="I663" t="s">
        <v>5403</v>
      </c>
      <c r="J663">
        <v>2027</v>
      </c>
      <c r="K663" t="s">
        <v>5694</v>
      </c>
      <c r="L663" t="s">
        <v>5695</v>
      </c>
      <c r="M663" t="s">
        <v>5406</v>
      </c>
      <c r="N663" s="1" t="s">
        <v>4565</v>
      </c>
      <c r="O663">
        <v>35.08</v>
      </c>
      <c r="P663">
        <v>3.82</v>
      </c>
      <c r="Q663">
        <v>2072</v>
      </c>
      <c r="R663">
        <v>208</v>
      </c>
      <c r="S663">
        <v>5.93</v>
      </c>
      <c r="T663" s="8">
        <v>134.01</v>
      </c>
      <c r="U663">
        <v>490156</v>
      </c>
      <c r="V663" t="s">
        <v>5578</v>
      </c>
      <c r="W663" t="s">
        <v>5409</v>
      </c>
      <c r="X663" t="s">
        <v>5579</v>
      </c>
      <c r="Y663" t="s">
        <v>5458</v>
      </c>
      <c r="Z663" t="s">
        <v>5412</v>
      </c>
      <c r="AA663" t="s">
        <v>5413</v>
      </c>
      <c r="AB663" t="s">
        <v>5414</v>
      </c>
      <c r="AC663" t="s">
        <v>5414</v>
      </c>
      <c r="AD663" t="s">
        <v>5414</v>
      </c>
      <c r="AG663" t="s">
        <v>5415</v>
      </c>
      <c r="AI663" t="s">
        <v>5580</v>
      </c>
      <c r="AJ663" t="s">
        <v>5855</v>
      </c>
      <c r="AL663" t="s">
        <v>5418</v>
      </c>
      <c r="AN663" t="s">
        <v>5419</v>
      </c>
    </row>
    <row r="664" spans="1:40" x14ac:dyDescent="0.25">
      <c r="A664">
        <v>1089696210</v>
      </c>
      <c r="B664" t="s">
        <v>5399</v>
      </c>
      <c r="C664">
        <v>252406</v>
      </c>
      <c r="D664" t="s">
        <v>5400</v>
      </c>
      <c r="E664">
        <v>46233.326793981483</v>
      </c>
      <c r="F664" t="s">
        <v>5703</v>
      </c>
      <c r="G664" t="s">
        <v>3668</v>
      </c>
      <c r="H664" t="s">
        <v>5549</v>
      </c>
      <c r="I664" t="s">
        <v>5403</v>
      </c>
      <c r="J664">
        <v>2026</v>
      </c>
      <c r="K664" t="s">
        <v>5704</v>
      </c>
      <c r="L664" t="s">
        <v>5705</v>
      </c>
      <c r="M664" t="s">
        <v>5406</v>
      </c>
      <c r="N664" s="1" t="s">
        <v>4565</v>
      </c>
      <c r="O664">
        <v>35.909999999999997</v>
      </c>
      <c r="P664">
        <v>4.2889999999999997</v>
      </c>
      <c r="Q664">
        <v>33966</v>
      </c>
      <c r="R664">
        <v>329</v>
      </c>
      <c r="S664">
        <v>9.16</v>
      </c>
      <c r="T664" s="8">
        <v>154.05000000000001</v>
      </c>
      <c r="U664">
        <v>11198252</v>
      </c>
      <c r="V664" t="s">
        <v>5424</v>
      </c>
      <c r="W664" t="s">
        <v>5409</v>
      </c>
      <c r="X664" t="s">
        <v>5425</v>
      </c>
      <c r="Y664" t="s">
        <v>5411</v>
      </c>
      <c r="Z664" t="s">
        <v>5426</v>
      </c>
      <c r="AA664" t="s">
        <v>5413</v>
      </c>
      <c r="AB664" t="s">
        <v>5414</v>
      </c>
      <c r="AC664" t="s">
        <v>5414</v>
      </c>
      <c r="AD664" t="s">
        <v>5414</v>
      </c>
      <c r="AG664" t="s">
        <v>5427</v>
      </c>
      <c r="AI664" t="s">
        <v>5428</v>
      </c>
      <c r="AJ664" t="s">
        <v>5706</v>
      </c>
      <c r="AL664" t="s">
        <v>5418</v>
      </c>
      <c r="AN664" t="s">
        <v>5419</v>
      </c>
    </row>
    <row r="665" spans="1:40" x14ac:dyDescent="0.25">
      <c r="A665">
        <v>1089709660</v>
      </c>
      <c r="B665" t="s">
        <v>5399</v>
      </c>
      <c r="C665">
        <v>252406</v>
      </c>
      <c r="D665" t="s">
        <v>5400</v>
      </c>
      <c r="E665">
        <v>46233.352210648147</v>
      </c>
      <c r="F665" t="s">
        <v>5475</v>
      </c>
      <c r="G665" t="s">
        <v>3668</v>
      </c>
      <c r="H665" t="s">
        <v>5467</v>
      </c>
      <c r="I665" t="s">
        <v>5403</v>
      </c>
      <c r="J665">
        <v>2026</v>
      </c>
      <c r="K665" t="s">
        <v>5837</v>
      </c>
      <c r="L665" t="s">
        <v>5838</v>
      </c>
      <c r="M665" t="s">
        <v>5406</v>
      </c>
      <c r="N665" s="1" t="s">
        <v>4565</v>
      </c>
      <c r="O665">
        <v>24.19</v>
      </c>
      <c r="P665">
        <v>4.29</v>
      </c>
      <c r="Q665">
        <v>39799</v>
      </c>
      <c r="R665">
        <v>164</v>
      </c>
      <c r="S665">
        <v>6.78</v>
      </c>
      <c r="T665" s="8">
        <v>103.78</v>
      </c>
      <c r="U665">
        <v>11198252</v>
      </c>
      <c r="V665" t="s">
        <v>5424</v>
      </c>
      <c r="W665" t="s">
        <v>5409</v>
      </c>
      <c r="X665" t="s">
        <v>5425</v>
      </c>
      <c r="Y665" t="s">
        <v>5411</v>
      </c>
      <c r="Z665" t="s">
        <v>5426</v>
      </c>
      <c r="AA665" t="s">
        <v>5413</v>
      </c>
      <c r="AB665" t="s">
        <v>5414</v>
      </c>
      <c r="AC665" t="s">
        <v>5414</v>
      </c>
      <c r="AD665" t="s">
        <v>5414</v>
      </c>
      <c r="AG665" t="s">
        <v>5427</v>
      </c>
      <c r="AI665" t="s">
        <v>5428</v>
      </c>
      <c r="AJ665" t="s">
        <v>5697</v>
      </c>
      <c r="AL665" t="s">
        <v>5418</v>
      </c>
      <c r="AN665" t="s">
        <v>5419</v>
      </c>
    </row>
    <row r="666" spans="1:40" x14ac:dyDescent="0.25">
      <c r="A666">
        <v>1089725248</v>
      </c>
      <c r="B666" t="s">
        <v>5399</v>
      </c>
      <c r="C666">
        <v>252406</v>
      </c>
      <c r="D666" t="s">
        <v>5400</v>
      </c>
      <c r="E666">
        <v>46233.386759259258</v>
      </c>
      <c r="F666" t="s">
        <v>5621</v>
      </c>
      <c r="G666" t="s">
        <v>3668</v>
      </c>
      <c r="H666" t="s">
        <v>5421</v>
      </c>
      <c r="I666" t="s">
        <v>5621</v>
      </c>
      <c r="J666">
        <v>2024</v>
      </c>
      <c r="K666" t="s">
        <v>5622</v>
      </c>
      <c r="L666" t="s">
        <v>5623</v>
      </c>
      <c r="M666" t="s">
        <v>5406</v>
      </c>
      <c r="N666" s="1" t="s">
        <v>4565</v>
      </c>
      <c r="O666">
        <v>30.68</v>
      </c>
      <c r="P666">
        <v>4.8899999999999997</v>
      </c>
      <c r="Q666">
        <v>100295</v>
      </c>
      <c r="R666">
        <v>248</v>
      </c>
      <c r="S666">
        <v>8.08</v>
      </c>
      <c r="T666" s="8">
        <v>150.03</v>
      </c>
      <c r="U666">
        <v>11160069</v>
      </c>
      <c r="V666" t="s">
        <v>5728</v>
      </c>
      <c r="W666" t="s">
        <v>5409</v>
      </c>
      <c r="X666" t="s">
        <v>5729</v>
      </c>
      <c r="Y666" t="s">
        <v>5458</v>
      </c>
      <c r="Z666" t="s">
        <v>5730</v>
      </c>
      <c r="AA666" t="s">
        <v>5413</v>
      </c>
      <c r="AB666" t="s">
        <v>5414</v>
      </c>
      <c r="AC666" t="s">
        <v>5414</v>
      </c>
      <c r="AD666" t="s">
        <v>5414</v>
      </c>
      <c r="AG666" t="s">
        <v>5427</v>
      </c>
      <c r="AI666" t="s">
        <v>5731</v>
      </c>
      <c r="AJ666" t="s">
        <v>5624</v>
      </c>
      <c r="AK666" t="s">
        <v>5528</v>
      </c>
      <c r="AL666" t="s">
        <v>5418</v>
      </c>
      <c r="AN666" t="s">
        <v>5625</v>
      </c>
    </row>
    <row r="667" spans="1:40" x14ac:dyDescent="0.25">
      <c r="A667">
        <v>1089732866</v>
      </c>
      <c r="B667" t="s">
        <v>5399</v>
      </c>
      <c r="C667">
        <v>252406</v>
      </c>
      <c r="D667" t="s">
        <v>5400</v>
      </c>
      <c r="E667">
        <v>46233.404490740744</v>
      </c>
      <c r="F667" t="s">
        <v>5581</v>
      </c>
      <c r="G667" t="s">
        <v>3668</v>
      </c>
      <c r="H667" t="s">
        <v>5467</v>
      </c>
      <c r="I667" t="s">
        <v>5403</v>
      </c>
      <c r="J667">
        <v>2026</v>
      </c>
      <c r="K667" t="s">
        <v>5582</v>
      </c>
      <c r="L667" t="s">
        <v>5583</v>
      </c>
      <c r="M667" t="s">
        <v>5406</v>
      </c>
      <c r="N667" s="1" t="s">
        <v>4565</v>
      </c>
      <c r="O667">
        <v>50.93</v>
      </c>
      <c r="P667">
        <v>4.29</v>
      </c>
      <c r="Q667">
        <v>32785</v>
      </c>
      <c r="R667">
        <v>391</v>
      </c>
      <c r="S667">
        <v>7.68</v>
      </c>
      <c r="T667" s="8">
        <v>218.49</v>
      </c>
      <c r="U667">
        <v>11359299</v>
      </c>
      <c r="V667" t="s">
        <v>5943</v>
      </c>
      <c r="W667" t="s">
        <v>5409</v>
      </c>
      <c r="X667" t="s">
        <v>5944</v>
      </c>
      <c r="Y667" t="s">
        <v>5945</v>
      </c>
      <c r="Z667" t="s">
        <v>5426</v>
      </c>
      <c r="AA667" t="s">
        <v>5413</v>
      </c>
      <c r="AB667" t="s">
        <v>5414</v>
      </c>
      <c r="AC667" t="s">
        <v>5414</v>
      </c>
      <c r="AD667" t="s">
        <v>5414</v>
      </c>
      <c r="AG667" t="s">
        <v>5427</v>
      </c>
      <c r="AI667" t="s">
        <v>5946</v>
      </c>
      <c r="AJ667" t="s">
        <v>5584</v>
      </c>
      <c r="AL667" t="s">
        <v>5418</v>
      </c>
      <c r="AN667" t="s">
        <v>5419</v>
      </c>
    </row>
    <row r="668" spans="1:40" x14ac:dyDescent="0.25">
      <c r="A668">
        <v>1089744463</v>
      </c>
      <c r="B668" t="s">
        <v>5399</v>
      </c>
      <c r="C668">
        <v>252406</v>
      </c>
      <c r="D668" t="s">
        <v>5400</v>
      </c>
      <c r="E668">
        <v>46233.436412037037</v>
      </c>
      <c r="F668" t="s">
        <v>5635</v>
      </c>
      <c r="G668" t="s">
        <v>3668</v>
      </c>
      <c r="H668" t="s">
        <v>5453</v>
      </c>
      <c r="I668" t="s">
        <v>5403</v>
      </c>
      <c r="J668">
        <v>2026</v>
      </c>
      <c r="K668" t="s">
        <v>5636</v>
      </c>
      <c r="L668" t="s">
        <v>5637</v>
      </c>
      <c r="M668" t="s">
        <v>5406</v>
      </c>
      <c r="N668" s="1" t="s">
        <v>4565</v>
      </c>
      <c r="O668">
        <v>28.44</v>
      </c>
      <c r="P668">
        <v>4.29</v>
      </c>
      <c r="Q668">
        <v>13355</v>
      </c>
      <c r="R668">
        <v>289</v>
      </c>
      <c r="S668">
        <v>10.16</v>
      </c>
      <c r="T668" s="8">
        <v>122.01</v>
      </c>
      <c r="U668">
        <v>11198252</v>
      </c>
      <c r="V668" t="s">
        <v>5424</v>
      </c>
      <c r="W668" t="s">
        <v>5409</v>
      </c>
      <c r="X668" t="s">
        <v>5425</v>
      </c>
      <c r="Y668" t="s">
        <v>5411</v>
      </c>
      <c r="Z668" t="s">
        <v>5426</v>
      </c>
      <c r="AA668" t="s">
        <v>5413</v>
      </c>
      <c r="AB668" t="s">
        <v>5414</v>
      </c>
      <c r="AC668" t="s">
        <v>5414</v>
      </c>
      <c r="AD668" t="s">
        <v>5414</v>
      </c>
      <c r="AG668" t="s">
        <v>5427</v>
      </c>
      <c r="AI668" t="s">
        <v>5428</v>
      </c>
      <c r="AJ668" t="s">
        <v>5638</v>
      </c>
      <c r="AL668" t="s">
        <v>5418</v>
      </c>
      <c r="AN668" t="s">
        <v>5419</v>
      </c>
    </row>
    <row r="669" spans="1:40" x14ac:dyDescent="0.25">
      <c r="A669">
        <v>1089758154</v>
      </c>
      <c r="B669" t="s">
        <v>5399</v>
      </c>
      <c r="C669">
        <v>252406</v>
      </c>
      <c r="D669" t="s">
        <v>5400</v>
      </c>
      <c r="E669">
        <v>46233.477233796293</v>
      </c>
      <c r="F669" t="s">
        <v>5519</v>
      </c>
      <c r="G669" t="s">
        <v>3668</v>
      </c>
      <c r="H669" t="s">
        <v>5467</v>
      </c>
      <c r="I669" t="s">
        <v>5403</v>
      </c>
      <c r="J669">
        <v>2027</v>
      </c>
      <c r="K669" t="s">
        <v>5512</v>
      </c>
      <c r="L669" t="s">
        <v>5513</v>
      </c>
      <c r="M669" t="s">
        <v>5406</v>
      </c>
      <c r="N669" s="1" t="s">
        <v>4565</v>
      </c>
      <c r="O669">
        <v>37</v>
      </c>
      <c r="P669">
        <v>4.25</v>
      </c>
      <c r="Q669">
        <v>13859</v>
      </c>
      <c r="R669">
        <v>249</v>
      </c>
      <c r="S669">
        <v>6.73</v>
      </c>
      <c r="T669" s="8">
        <v>157.25</v>
      </c>
      <c r="U669">
        <v>108758</v>
      </c>
      <c r="V669" t="s">
        <v>5470</v>
      </c>
      <c r="W669" t="s">
        <v>5409</v>
      </c>
      <c r="X669" t="s">
        <v>5471</v>
      </c>
      <c r="Y669" t="s">
        <v>5411</v>
      </c>
      <c r="Z669" t="s">
        <v>5472</v>
      </c>
      <c r="AA669" t="s">
        <v>5413</v>
      </c>
      <c r="AB669" t="s">
        <v>5414</v>
      </c>
      <c r="AC669" t="s">
        <v>5414</v>
      </c>
      <c r="AD669" t="s">
        <v>5414</v>
      </c>
      <c r="AG669" t="s">
        <v>5427</v>
      </c>
      <c r="AI669" t="s">
        <v>5473</v>
      </c>
      <c r="AJ669" t="s">
        <v>5523</v>
      </c>
      <c r="AL669" t="s">
        <v>5418</v>
      </c>
      <c r="AN669" t="s">
        <v>5419</v>
      </c>
    </row>
    <row r="670" spans="1:40" x14ac:dyDescent="0.25">
      <c r="A670">
        <v>1089747254</v>
      </c>
      <c r="B670" t="s">
        <v>5399</v>
      </c>
      <c r="C670">
        <v>252406</v>
      </c>
      <c r="D670" t="s">
        <v>5400</v>
      </c>
      <c r="E670">
        <v>46233.488298611112</v>
      </c>
      <c r="F670" t="s">
        <v>5486</v>
      </c>
      <c r="G670" t="s">
        <v>3668</v>
      </c>
      <c r="H670" t="s">
        <v>5487</v>
      </c>
      <c r="I670" t="s">
        <v>5403</v>
      </c>
      <c r="J670">
        <v>2025</v>
      </c>
      <c r="K670" t="s">
        <v>5488</v>
      </c>
      <c r="L670" t="s">
        <v>5489</v>
      </c>
      <c r="M670" t="s">
        <v>5406</v>
      </c>
      <c r="N670" s="1" t="s">
        <v>4565</v>
      </c>
      <c r="O670">
        <v>34.200000000000003</v>
      </c>
      <c r="P670">
        <v>4.069</v>
      </c>
      <c r="Q670">
        <v>59432</v>
      </c>
      <c r="R670">
        <v>300</v>
      </c>
      <c r="S670">
        <v>8.77</v>
      </c>
      <c r="T670" s="8">
        <v>139.19</v>
      </c>
      <c r="U670">
        <v>12192843</v>
      </c>
      <c r="V670" t="s">
        <v>5723</v>
      </c>
      <c r="W670" t="s">
        <v>5409</v>
      </c>
      <c r="X670" t="s">
        <v>5724</v>
      </c>
      <c r="Y670" t="s">
        <v>5725</v>
      </c>
      <c r="Z670" t="s">
        <v>5726</v>
      </c>
      <c r="AA670" t="s">
        <v>5413</v>
      </c>
      <c r="AB670" t="s">
        <v>5414</v>
      </c>
      <c r="AC670" t="s">
        <v>5414</v>
      </c>
      <c r="AD670" t="s">
        <v>5414</v>
      </c>
      <c r="AG670" t="s">
        <v>5415</v>
      </c>
      <c r="AI670" t="s">
        <v>5460</v>
      </c>
      <c r="AJ670" t="s">
        <v>5493</v>
      </c>
      <c r="AL670" t="s">
        <v>5418</v>
      </c>
      <c r="AN670" t="s">
        <v>5419</v>
      </c>
    </row>
    <row r="671" spans="1:40" x14ac:dyDescent="0.25">
      <c r="A671">
        <v>1089763282</v>
      </c>
      <c r="B671" t="s">
        <v>5399</v>
      </c>
      <c r="C671">
        <v>252406</v>
      </c>
      <c r="D671" t="s">
        <v>5400</v>
      </c>
      <c r="E671">
        <v>46233.49486111111</v>
      </c>
      <c r="F671" t="s">
        <v>5755</v>
      </c>
      <c r="G671" t="s">
        <v>3668</v>
      </c>
      <c r="H671" t="s">
        <v>167</v>
      </c>
      <c r="I671" t="s">
        <v>5403</v>
      </c>
      <c r="J671">
        <v>2026</v>
      </c>
      <c r="K671" t="s">
        <v>5436</v>
      </c>
      <c r="L671" t="s">
        <v>5437</v>
      </c>
      <c r="M671" t="s">
        <v>5406</v>
      </c>
      <c r="N671" s="1" t="s">
        <v>4565</v>
      </c>
      <c r="O671">
        <v>40.28</v>
      </c>
      <c r="P671">
        <v>4.8899999999999997</v>
      </c>
      <c r="Q671">
        <v>3441</v>
      </c>
      <c r="R671">
        <v>367</v>
      </c>
      <c r="S671">
        <v>9.11</v>
      </c>
      <c r="T671" s="8">
        <v>196.97</v>
      </c>
      <c r="U671">
        <v>11160069</v>
      </c>
      <c r="V671" t="s">
        <v>5728</v>
      </c>
      <c r="W671" t="s">
        <v>5409</v>
      </c>
      <c r="X671" t="s">
        <v>5729</v>
      </c>
      <c r="Y671" t="s">
        <v>5458</v>
      </c>
      <c r="Z671" t="s">
        <v>5730</v>
      </c>
      <c r="AA671" t="s">
        <v>5413</v>
      </c>
      <c r="AB671" t="s">
        <v>5414</v>
      </c>
      <c r="AC671" t="s">
        <v>5414</v>
      </c>
      <c r="AD671" t="s">
        <v>5414</v>
      </c>
      <c r="AG671" t="s">
        <v>5427</v>
      </c>
      <c r="AI671" t="s">
        <v>5731</v>
      </c>
      <c r="AJ671" t="s">
        <v>5756</v>
      </c>
      <c r="AL671" t="s">
        <v>5418</v>
      </c>
      <c r="AN671" t="s">
        <v>5419</v>
      </c>
    </row>
    <row r="672" spans="1:40" x14ac:dyDescent="0.25">
      <c r="A672">
        <v>1089780171</v>
      </c>
      <c r="B672" t="s">
        <v>5399</v>
      </c>
      <c r="C672">
        <v>252406</v>
      </c>
      <c r="D672" t="s">
        <v>5400</v>
      </c>
      <c r="E672">
        <v>46233.502534722225</v>
      </c>
      <c r="F672" t="s">
        <v>5444</v>
      </c>
      <c r="G672" t="s">
        <v>3668</v>
      </c>
      <c r="H672" t="s">
        <v>5431</v>
      </c>
      <c r="I672" t="s">
        <v>5403</v>
      </c>
      <c r="J672">
        <v>2026</v>
      </c>
      <c r="K672" t="s">
        <v>5445</v>
      </c>
      <c r="L672" t="s">
        <v>5446</v>
      </c>
      <c r="M672" t="s">
        <v>5406</v>
      </c>
      <c r="N672" s="1" t="s">
        <v>4565</v>
      </c>
      <c r="O672">
        <v>40.799999999999997</v>
      </c>
      <c r="P672">
        <v>4.2889999999999997</v>
      </c>
      <c r="Q672">
        <v>21710</v>
      </c>
      <c r="R672">
        <v>192</v>
      </c>
      <c r="S672">
        <v>4.71</v>
      </c>
      <c r="T672" s="8">
        <v>175.01</v>
      </c>
      <c r="U672">
        <v>12193017</v>
      </c>
      <c r="V672" t="s">
        <v>5574</v>
      </c>
      <c r="W672" t="s">
        <v>5409</v>
      </c>
      <c r="X672" t="s">
        <v>5575</v>
      </c>
      <c r="Y672" t="s">
        <v>5576</v>
      </c>
      <c r="Z672" t="s">
        <v>5472</v>
      </c>
      <c r="AA672" t="s">
        <v>5413</v>
      </c>
      <c r="AB672" t="s">
        <v>5414</v>
      </c>
      <c r="AC672" t="s">
        <v>5414</v>
      </c>
      <c r="AD672" t="s">
        <v>5414</v>
      </c>
      <c r="AG672" t="s">
        <v>5427</v>
      </c>
      <c r="AI672" t="s">
        <v>5577</v>
      </c>
      <c r="AJ672" t="s">
        <v>5447</v>
      </c>
      <c r="AL672" t="s">
        <v>5418</v>
      </c>
      <c r="AN672" t="s">
        <v>5419</v>
      </c>
    </row>
    <row r="673" spans="1:40" x14ac:dyDescent="0.25">
      <c r="A673">
        <v>1089785485</v>
      </c>
      <c r="B673" t="s">
        <v>5399</v>
      </c>
      <c r="C673">
        <v>252406</v>
      </c>
      <c r="D673" t="s">
        <v>5400</v>
      </c>
      <c r="E673">
        <v>46233.561180555553</v>
      </c>
      <c r="F673" t="s">
        <v>5817</v>
      </c>
      <c r="G673" t="s">
        <v>3668</v>
      </c>
      <c r="H673" t="s">
        <v>5421</v>
      </c>
      <c r="I673" t="s">
        <v>5403</v>
      </c>
      <c r="J673">
        <v>2027</v>
      </c>
      <c r="K673" t="s">
        <v>5614</v>
      </c>
      <c r="L673" t="s">
        <v>5615</v>
      </c>
      <c r="M673" t="s">
        <v>5406</v>
      </c>
      <c r="N673" s="1" t="s">
        <v>4565</v>
      </c>
      <c r="O673">
        <v>39.24</v>
      </c>
      <c r="P673">
        <v>4.1890000000000001</v>
      </c>
      <c r="Q673">
        <v>2825</v>
      </c>
      <c r="R673">
        <v>202</v>
      </c>
      <c r="S673">
        <v>5.15</v>
      </c>
      <c r="T673" s="8">
        <v>164.41</v>
      </c>
      <c r="U673">
        <v>11040306</v>
      </c>
      <c r="V673" t="s">
        <v>5408</v>
      </c>
      <c r="W673" t="s">
        <v>5409</v>
      </c>
      <c r="X673" t="s">
        <v>5410</v>
      </c>
      <c r="Y673" t="s">
        <v>5411</v>
      </c>
      <c r="Z673" t="s">
        <v>5412</v>
      </c>
      <c r="AA673" t="s">
        <v>5413</v>
      </c>
      <c r="AB673" t="s">
        <v>5414</v>
      </c>
      <c r="AC673" t="s">
        <v>5414</v>
      </c>
      <c r="AD673" t="s">
        <v>5414</v>
      </c>
      <c r="AG673" t="s">
        <v>5415</v>
      </c>
      <c r="AI673" t="s">
        <v>5629</v>
      </c>
      <c r="AJ673" t="s">
        <v>5818</v>
      </c>
      <c r="AL673" t="s">
        <v>5418</v>
      </c>
      <c r="AN673" t="s">
        <v>5419</v>
      </c>
    </row>
    <row r="674" spans="1:40" x14ac:dyDescent="0.25">
      <c r="A674">
        <v>1089789184</v>
      </c>
      <c r="B674" t="s">
        <v>5399</v>
      </c>
      <c r="C674">
        <v>252406</v>
      </c>
      <c r="D674" t="s">
        <v>5400</v>
      </c>
      <c r="E674">
        <v>46233.570347222223</v>
      </c>
      <c r="F674" t="s">
        <v>5462</v>
      </c>
      <c r="G674" t="s">
        <v>3668</v>
      </c>
      <c r="H674" t="s">
        <v>5402</v>
      </c>
      <c r="I674" t="s">
        <v>5403</v>
      </c>
      <c r="J674">
        <v>2026</v>
      </c>
      <c r="K674" t="s">
        <v>5463</v>
      </c>
      <c r="L674" t="s">
        <v>5464</v>
      </c>
      <c r="M674" t="s">
        <v>5406</v>
      </c>
      <c r="N674" s="1" t="s">
        <v>4565</v>
      </c>
      <c r="O674">
        <v>31.26</v>
      </c>
      <c r="P674">
        <v>4.5890000000000004</v>
      </c>
      <c r="Q674">
        <v>30555</v>
      </c>
      <c r="R674">
        <v>120</v>
      </c>
      <c r="S674">
        <v>3.84</v>
      </c>
      <c r="T674" s="8">
        <v>143.47999999999999</v>
      </c>
      <c r="U674">
        <v>11289550</v>
      </c>
      <c r="V674" t="s">
        <v>5565</v>
      </c>
      <c r="W674" t="s">
        <v>5409</v>
      </c>
      <c r="X674" t="s">
        <v>5566</v>
      </c>
      <c r="Y674" t="s">
        <v>5458</v>
      </c>
      <c r="Z674" t="s">
        <v>5426</v>
      </c>
      <c r="AA674" t="s">
        <v>5413</v>
      </c>
      <c r="AB674" t="s">
        <v>5414</v>
      </c>
      <c r="AC674" t="s">
        <v>5414</v>
      </c>
      <c r="AD674" t="s">
        <v>5414</v>
      </c>
      <c r="AG674" t="s">
        <v>5415</v>
      </c>
      <c r="AI674" t="s">
        <v>5460</v>
      </c>
      <c r="AJ674" t="s">
        <v>5465</v>
      </c>
      <c r="AL674" t="s">
        <v>5418</v>
      </c>
      <c r="AN674" t="s">
        <v>5419</v>
      </c>
    </row>
    <row r="675" spans="1:40" x14ac:dyDescent="0.25">
      <c r="A675">
        <v>1089808918</v>
      </c>
      <c r="B675" t="s">
        <v>5399</v>
      </c>
      <c r="C675">
        <v>252406</v>
      </c>
      <c r="D675" t="s">
        <v>5400</v>
      </c>
      <c r="E675">
        <v>46233.62537037037</v>
      </c>
      <c r="F675" t="s">
        <v>5560</v>
      </c>
      <c r="G675" t="s">
        <v>3668</v>
      </c>
      <c r="H675" t="s">
        <v>5561</v>
      </c>
      <c r="I675" t="s">
        <v>5403</v>
      </c>
      <c r="J675">
        <v>2026</v>
      </c>
      <c r="K675" t="s">
        <v>5562</v>
      </c>
      <c r="L675" t="s">
        <v>5563</v>
      </c>
      <c r="M675" t="s">
        <v>5406</v>
      </c>
      <c r="N675" s="1" t="s">
        <v>4565</v>
      </c>
      <c r="O675">
        <v>44.51</v>
      </c>
      <c r="P675">
        <v>4.09</v>
      </c>
      <c r="Q675">
        <v>23330</v>
      </c>
      <c r="R675">
        <v>367</v>
      </c>
      <c r="S675">
        <v>8.25</v>
      </c>
      <c r="T675" s="8">
        <v>182.05</v>
      </c>
      <c r="U675">
        <v>491721</v>
      </c>
      <c r="V675" t="s">
        <v>5438</v>
      </c>
      <c r="W675" t="s">
        <v>5409</v>
      </c>
      <c r="X675" t="s">
        <v>5439</v>
      </c>
      <c r="Y675" t="s">
        <v>5440</v>
      </c>
      <c r="Z675" t="s">
        <v>5441</v>
      </c>
      <c r="AA675" t="s">
        <v>5413</v>
      </c>
      <c r="AB675" t="s">
        <v>5414</v>
      </c>
      <c r="AC675" t="s">
        <v>5414</v>
      </c>
      <c r="AD675" t="s">
        <v>5414</v>
      </c>
      <c r="AG675" t="s">
        <v>5415</v>
      </c>
      <c r="AI675" t="s">
        <v>5460</v>
      </c>
      <c r="AJ675" t="s">
        <v>5564</v>
      </c>
      <c r="AL675" t="s">
        <v>5418</v>
      </c>
      <c r="AN675" t="s">
        <v>5419</v>
      </c>
    </row>
    <row r="676" spans="1:40" x14ac:dyDescent="0.25">
      <c r="A676">
        <v>1089826691</v>
      </c>
      <c r="B676" t="s">
        <v>5399</v>
      </c>
      <c r="C676">
        <v>252406</v>
      </c>
      <c r="D676" t="s">
        <v>5400</v>
      </c>
      <c r="E676">
        <v>46233.633993055555</v>
      </c>
      <c r="F676" t="s">
        <v>5567</v>
      </c>
      <c r="G676" t="s">
        <v>3668</v>
      </c>
      <c r="H676" t="s">
        <v>5568</v>
      </c>
      <c r="I676" t="s">
        <v>5403</v>
      </c>
      <c r="J676">
        <v>2026</v>
      </c>
      <c r="K676" t="s">
        <v>5436</v>
      </c>
      <c r="L676" t="s">
        <v>5437</v>
      </c>
      <c r="M676" t="s">
        <v>5406</v>
      </c>
      <c r="N676" s="1" t="s">
        <v>4565</v>
      </c>
      <c r="O676">
        <v>27.1</v>
      </c>
      <c r="P676">
        <v>4.29</v>
      </c>
      <c r="Q676">
        <v>5941</v>
      </c>
      <c r="R676">
        <v>227</v>
      </c>
      <c r="S676">
        <v>8.3800000000000008</v>
      </c>
      <c r="T676" s="8">
        <v>116.26</v>
      </c>
      <c r="U676">
        <v>11198252</v>
      </c>
      <c r="V676" t="s">
        <v>5424</v>
      </c>
      <c r="W676" t="s">
        <v>5409</v>
      </c>
      <c r="X676" t="s">
        <v>5425</v>
      </c>
      <c r="Y676" t="s">
        <v>5411</v>
      </c>
      <c r="Z676" t="s">
        <v>5426</v>
      </c>
      <c r="AA676" t="s">
        <v>5413</v>
      </c>
      <c r="AB676" t="s">
        <v>5414</v>
      </c>
      <c r="AC676" t="s">
        <v>5414</v>
      </c>
      <c r="AD676" t="s">
        <v>5414</v>
      </c>
      <c r="AG676" t="s">
        <v>5427</v>
      </c>
      <c r="AI676" t="s">
        <v>5428</v>
      </c>
      <c r="AJ676" t="s">
        <v>5902</v>
      </c>
      <c r="AL676" t="s">
        <v>5418</v>
      </c>
      <c r="AN676" t="s">
        <v>5419</v>
      </c>
    </row>
    <row r="677" spans="1:40" x14ac:dyDescent="0.25">
      <c r="A677">
        <v>1089832150</v>
      </c>
      <c r="B677" t="s">
        <v>5399</v>
      </c>
      <c r="C677">
        <v>252406</v>
      </c>
      <c r="D677" t="s">
        <v>5400</v>
      </c>
      <c r="E677">
        <v>46233.646168981482</v>
      </c>
      <c r="F677" t="s">
        <v>5743</v>
      </c>
      <c r="G677" t="s">
        <v>3668</v>
      </c>
      <c r="H677" t="s">
        <v>5539</v>
      </c>
      <c r="I677" t="s">
        <v>5403</v>
      </c>
      <c r="J677">
        <v>2026</v>
      </c>
      <c r="K677" t="s">
        <v>5753</v>
      </c>
      <c r="L677" t="s">
        <v>5754</v>
      </c>
      <c r="M677" t="s">
        <v>5406</v>
      </c>
      <c r="N677" s="1" t="s">
        <v>4565</v>
      </c>
      <c r="O677">
        <v>47.23</v>
      </c>
      <c r="P677">
        <v>4.6589999999999998</v>
      </c>
      <c r="Q677">
        <v>20860</v>
      </c>
      <c r="R677">
        <v>318</v>
      </c>
      <c r="S677">
        <v>6.73</v>
      </c>
      <c r="T677" s="8">
        <v>220.09</v>
      </c>
      <c r="U677">
        <v>11120083</v>
      </c>
      <c r="V677" t="s">
        <v>5596</v>
      </c>
      <c r="W677" t="s">
        <v>5409</v>
      </c>
      <c r="X677" t="s">
        <v>5597</v>
      </c>
      <c r="Y677" t="s">
        <v>5458</v>
      </c>
      <c r="Z677" t="s">
        <v>5598</v>
      </c>
      <c r="AA677" t="s">
        <v>5413</v>
      </c>
      <c r="AB677" t="s">
        <v>5414</v>
      </c>
      <c r="AC677" t="s">
        <v>5414</v>
      </c>
      <c r="AD677" t="s">
        <v>5414</v>
      </c>
      <c r="AG677" t="s">
        <v>5427</v>
      </c>
      <c r="AI677" t="s">
        <v>5599</v>
      </c>
      <c r="AJ677" t="s">
        <v>5746</v>
      </c>
      <c r="AL677" t="s">
        <v>5418</v>
      </c>
      <c r="AN677" t="s">
        <v>5419</v>
      </c>
    </row>
    <row r="678" spans="1:40" x14ac:dyDescent="0.25">
      <c r="A678">
        <v>1089876462</v>
      </c>
      <c r="B678" t="s">
        <v>5399</v>
      </c>
      <c r="C678">
        <v>252406</v>
      </c>
      <c r="D678" t="s">
        <v>5400</v>
      </c>
      <c r="E678">
        <v>46233.777002314811</v>
      </c>
      <c r="F678" t="s">
        <v>5897</v>
      </c>
      <c r="G678" t="s">
        <v>3668</v>
      </c>
      <c r="H678" t="s">
        <v>5898</v>
      </c>
      <c r="I678" t="s">
        <v>5403</v>
      </c>
      <c r="J678">
        <v>2026</v>
      </c>
      <c r="K678" t="s">
        <v>5873</v>
      </c>
      <c r="L678" t="s">
        <v>5595</v>
      </c>
      <c r="M678" t="s">
        <v>5406</v>
      </c>
      <c r="N678" s="1" t="s">
        <v>4565</v>
      </c>
      <c r="O678">
        <v>23.9</v>
      </c>
      <c r="P678">
        <v>3.589</v>
      </c>
      <c r="Q678">
        <v>4714</v>
      </c>
      <c r="R678">
        <v>838</v>
      </c>
      <c r="S678">
        <v>35.06</v>
      </c>
      <c r="T678" s="8">
        <v>85.8</v>
      </c>
      <c r="U678">
        <v>12815000</v>
      </c>
      <c r="V678" t="s">
        <v>5448</v>
      </c>
      <c r="W678" t="s">
        <v>5409</v>
      </c>
      <c r="X678" t="s">
        <v>5449</v>
      </c>
      <c r="Y678" t="s">
        <v>5450</v>
      </c>
      <c r="Z678" t="s">
        <v>5426</v>
      </c>
      <c r="AA678" t="s">
        <v>5413</v>
      </c>
      <c r="AB678" t="s">
        <v>5414</v>
      </c>
      <c r="AC678" t="s">
        <v>5414</v>
      </c>
      <c r="AD678" t="s">
        <v>5414</v>
      </c>
      <c r="AG678" t="s">
        <v>5427</v>
      </c>
      <c r="AI678" t="s">
        <v>5451</v>
      </c>
      <c r="AJ678" t="s">
        <v>5901</v>
      </c>
      <c r="AL678" t="s">
        <v>5418</v>
      </c>
      <c r="AN678" t="s">
        <v>5419</v>
      </c>
    </row>
    <row r="679" spans="1:40" x14ac:dyDescent="0.25">
      <c r="A679">
        <v>1089878734</v>
      </c>
      <c r="B679" t="s">
        <v>5399</v>
      </c>
      <c r="C679">
        <v>252406</v>
      </c>
      <c r="D679" t="s">
        <v>5400</v>
      </c>
      <c r="E679">
        <v>46233.790231481478</v>
      </c>
      <c r="F679" t="s">
        <v>5505</v>
      </c>
      <c r="G679" t="s">
        <v>3668</v>
      </c>
      <c r="H679" t="s">
        <v>5506</v>
      </c>
      <c r="I679" t="s">
        <v>5403</v>
      </c>
      <c r="J679">
        <v>2026</v>
      </c>
      <c r="K679" t="s">
        <v>5507</v>
      </c>
      <c r="L679" t="s">
        <v>5508</v>
      </c>
      <c r="M679" t="s">
        <v>5406</v>
      </c>
      <c r="N679" s="1" t="s">
        <v>4565</v>
      </c>
      <c r="O679">
        <v>35.72</v>
      </c>
      <c r="P679">
        <v>3.589</v>
      </c>
      <c r="Q679">
        <v>8186</v>
      </c>
      <c r="R679">
        <v>238</v>
      </c>
      <c r="S679">
        <v>6.66</v>
      </c>
      <c r="T679" s="8">
        <v>128.22999999999999</v>
      </c>
      <c r="U679">
        <v>12815000</v>
      </c>
      <c r="V679" t="s">
        <v>5448</v>
      </c>
      <c r="W679" t="s">
        <v>5409</v>
      </c>
      <c r="X679" t="s">
        <v>5449</v>
      </c>
      <c r="Y679" t="s">
        <v>5450</v>
      </c>
      <c r="Z679" t="s">
        <v>5426</v>
      </c>
      <c r="AA679" t="s">
        <v>5413</v>
      </c>
      <c r="AB679" t="s">
        <v>5414</v>
      </c>
      <c r="AC679" t="s">
        <v>5414</v>
      </c>
      <c r="AD679" t="s">
        <v>5414</v>
      </c>
      <c r="AG679" t="s">
        <v>5427</v>
      </c>
      <c r="AI679" t="s">
        <v>5451</v>
      </c>
      <c r="AJ679" t="s">
        <v>5509</v>
      </c>
      <c r="AL679" t="s">
        <v>5418</v>
      </c>
      <c r="AN679" t="s">
        <v>5419</v>
      </c>
    </row>
    <row r="680" spans="1:40" x14ac:dyDescent="0.25">
      <c r="A680">
        <v>1089914342</v>
      </c>
      <c r="B680" t="s">
        <v>5399</v>
      </c>
      <c r="C680">
        <v>252406</v>
      </c>
      <c r="D680" t="s">
        <v>5400</v>
      </c>
      <c r="E680">
        <v>46234.26599537037</v>
      </c>
      <c r="F680" t="s">
        <v>5435</v>
      </c>
      <c r="G680" t="s">
        <v>3668</v>
      </c>
      <c r="H680" t="s">
        <v>5421</v>
      </c>
      <c r="I680" t="s">
        <v>5403</v>
      </c>
      <c r="J680">
        <v>2026</v>
      </c>
      <c r="K680" t="s">
        <v>5436</v>
      </c>
      <c r="L680" t="s">
        <v>5437</v>
      </c>
      <c r="M680" t="s">
        <v>5406</v>
      </c>
      <c r="N680" s="1" t="s">
        <v>4565</v>
      </c>
      <c r="O680">
        <v>22.46</v>
      </c>
      <c r="P680">
        <v>4.6589999999999998</v>
      </c>
      <c r="Q680">
        <v>51167</v>
      </c>
      <c r="R680">
        <v>188</v>
      </c>
      <c r="S680">
        <v>8.3699999999999992</v>
      </c>
      <c r="T680" s="8">
        <v>104.66</v>
      </c>
      <c r="U680">
        <v>11120083</v>
      </c>
      <c r="V680" t="s">
        <v>5596</v>
      </c>
      <c r="W680" t="s">
        <v>5409</v>
      </c>
      <c r="X680" t="s">
        <v>5597</v>
      </c>
      <c r="Y680" t="s">
        <v>5458</v>
      </c>
      <c r="Z680" t="s">
        <v>5598</v>
      </c>
      <c r="AA680" t="s">
        <v>5413</v>
      </c>
      <c r="AB680" t="s">
        <v>5414</v>
      </c>
      <c r="AC680" t="s">
        <v>5414</v>
      </c>
      <c r="AD680" t="s">
        <v>5414</v>
      </c>
      <c r="AG680" t="s">
        <v>5427</v>
      </c>
      <c r="AI680" t="s">
        <v>5599</v>
      </c>
      <c r="AJ680" t="s">
        <v>5443</v>
      </c>
      <c r="AL680" t="s">
        <v>5418</v>
      </c>
      <c r="AN680" t="s">
        <v>5419</v>
      </c>
    </row>
    <row r="681" spans="1:40" x14ac:dyDescent="0.25">
      <c r="A681">
        <v>1089915563</v>
      </c>
      <c r="B681" t="s">
        <v>5399</v>
      </c>
      <c r="C681">
        <v>252406</v>
      </c>
      <c r="D681" t="s">
        <v>5400</v>
      </c>
      <c r="E681">
        <v>46234.269525462965</v>
      </c>
      <c r="F681" t="s">
        <v>5530</v>
      </c>
      <c r="G681" t="s">
        <v>3668</v>
      </c>
      <c r="H681" t="s">
        <v>5431</v>
      </c>
      <c r="I681" t="s">
        <v>5403</v>
      </c>
      <c r="J681">
        <v>2025</v>
      </c>
      <c r="K681" t="s">
        <v>5531</v>
      </c>
      <c r="L681" t="s">
        <v>5532</v>
      </c>
      <c r="M681" t="s">
        <v>5406</v>
      </c>
      <c r="N681" s="1" t="s">
        <v>4565</v>
      </c>
      <c r="O681">
        <v>42.66</v>
      </c>
      <c r="P681">
        <v>3.59</v>
      </c>
      <c r="Q681">
        <v>110582</v>
      </c>
      <c r="R681">
        <v>397</v>
      </c>
      <c r="S681">
        <v>9.31</v>
      </c>
      <c r="T681" s="8">
        <v>153.15</v>
      </c>
      <c r="U681">
        <v>12815000</v>
      </c>
      <c r="V681" t="s">
        <v>5448</v>
      </c>
      <c r="W681" t="s">
        <v>5409</v>
      </c>
      <c r="X681" t="s">
        <v>5449</v>
      </c>
      <c r="Y681" t="s">
        <v>5450</v>
      </c>
      <c r="Z681" t="s">
        <v>5426</v>
      </c>
      <c r="AA681" t="s">
        <v>5413</v>
      </c>
      <c r="AB681" t="s">
        <v>5414</v>
      </c>
      <c r="AC681" t="s">
        <v>5414</v>
      </c>
      <c r="AD681" t="s">
        <v>5414</v>
      </c>
      <c r="AG681" t="s">
        <v>5427</v>
      </c>
      <c r="AI681" t="s">
        <v>5451</v>
      </c>
      <c r="AJ681" t="s">
        <v>5533</v>
      </c>
      <c r="AL681" t="s">
        <v>5418</v>
      </c>
      <c r="AN681" t="s">
        <v>5419</v>
      </c>
    </row>
    <row r="682" spans="1:40" x14ac:dyDescent="0.25">
      <c r="A682">
        <v>1089916146</v>
      </c>
      <c r="B682" t="s">
        <v>5399</v>
      </c>
      <c r="C682">
        <v>252406</v>
      </c>
      <c r="D682" t="s">
        <v>5400</v>
      </c>
      <c r="E682">
        <v>46234.270937499998</v>
      </c>
      <c r="F682" t="s">
        <v>5617</v>
      </c>
      <c r="G682" t="s">
        <v>3668</v>
      </c>
      <c r="H682" t="s">
        <v>5467</v>
      </c>
      <c r="I682" t="s">
        <v>5403</v>
      </c>
      <c r="J682">
        <v>2026</v>
      </c>
      <c r="K682" t="s">
        <v>5618</v>
      </c>
      <c r="L682" t="s">
        <v>5619</v>
      </c>
      <c r="M682" t="s">
        <v>5406</v>
      </c>
      <c r="N682" s="1" t="s">
        <v>4565</v>
      </c>
      <c r="O682">
        <v>36.93</v>
      </c>
      <c r="P682">
        <v>3.59</v>
      </c>
      <c r="Q682">
        <v>57494</v>
      </c>
      <c r="R682">
        <v>135</v>
      </c>
      <c r="S682">
        <v>3.66</v>
      </c>
      <c r="T682" s="8">
        <v>132.58000000000001</v>
      </c>
      <c r="U682">
        <v>12815000</v>
      </c>
      <c r="V682" t="s">
        <v>5448</v>
      </c>
      <c r="W682" t="s">
        <v>5409</v>
      </c>
      <c r="X682" t="s">
        <v>5449</v>
      </c>
      <c r="Y682" t="s">
        <v>5450</v>
      </c>
      <c r="Z682" t="s">
        <v>5426</v>
      </c>
      <c r="AA682" t="s">
        <v>5413</v>
      </c>
      <c r="AB682" t="s">
        <v>5414</v>
      </c>
      <c r="AC682" t="s">
        <v>5414</v>
      </c>
      <c r="AD682" t="s">
        <v>5414</v>
      </c>
      <c r="AG682" t="s">
        <v>5427</v>
      </c>
      <c r="AI682" t="s">
        <v>5451</v>
      </c>
      <c r="AJ682" t="s">
        <v>5620</v>
      </c>
      <c r="AL682" t="s">
        <v>5418</v>
      </c>
      <c r="AN682" t="s">
        <v>5419</v>
      </c>
    </row>
    <row r="683" spans="1:40" x14ac:dyDescent="0.25">
      <c r="A683">
        <v>1089933862</v>
      </c>
      <c r="B683" t="s">
        <v>5399</v>
      </c>
      <c r="C683">
        <v>252406</v>
      </c>
      <c r="D683" t="s">
        <v>5400</v>
      </c>
      <c r="E683">
        <v>46234.292731481481</v>
      </c>
      <c r="F683" t="s">
        <v>5466</v>
      </c>
      <c r="G683" t="s">
        <v>3668</v>
      </c>
      <c r="H683" t="s">
        <v>5467</v>
      </c>
      <c r="I683" t="s">
        <v>5403</v>
      </c>
      <c r="J683">
        <v>2025</v>
      </c>
      <c r="K683" t="s">
        <v>5468</v>
      </c>
      <c r="L683" t="s">
        <v>5469</v>
      </c>
      <c r="M683" t="s">
        <v>5406</v>
      </c>
      <c r="N683" s="1" t="s">
        <v>4565</v>
      </c>
      <c r="O683">
        <v>48.17</v>
      </c>
      <c r="P683">
        <v>4.29</v>
      </c>
      <c r="Q683">
        <v>66100</v>
      </c>
      <c r="R683">
        <v>299</v>
      </c>
      <c r="S683">
        <v>6.21</v>
      </c>
      <c r="T683" s="8">
        <v>206.65</v>
      </c>
      <c r="U683">
        <v>11198252</v>
      </c>
      <c r="V683" t="s">
        <v>5424</v>
      </c>
      <c r="W683" t="s">
        <v>5409</v>
      </c>
      <c r="X683" t="s">
        <v>5425</v>
      </c>
      <c r="Y683" t="s">
        <v>5411</v>
      </c>
      <c r="Z683" t="s">
        <v>5426</v>
      </c>
      <c r="AA683" t="s">
        <v>5413</v>
      </c>
      <c r="AB683" t="s">
        <v>5414</v>
      </c>
      <c r="AC683" t="s">
        <v>5414</v>
      </c>
      <c r="AD683" t="s">
        <v>5414</v>
      </c>
      <c r="AG683" t="s">
        <v>5427</v>
      </c>
      <c r="AI683" t="s">
        <v>5428</v>
      </c>
      <c r="AJ683" t="s">
        <v>5474</v>
      </c>
      <c r="AL683" t="s">
        <v>5418</v>
      </c>
      <c r="AN683" t="s">
        <v>5419</v>
      </c>
    </row>
    <row r="684" spans="1:40" x14ac:dyDescent="0.25">
      <c r="A684">
        <v>1089911563</v>
      </c>
      <c r="B684" t="s">
        <v>5399</v>
      </c>
      <c r="C684">
        <v>252406</v>
      </c>
      <c r="D684" t="s">
        <v>5400</v>
      </c>
      <c r="E684">
        <v>46234.299780092595</v>
      </c>
      <c r="F684" t="s">
        <v>5420</v>
      </c>
      <c r="G684" t="s">
        <v>3668</v>
      </c>
      <c r="H684" t="s">
        <v>5421</v>
      </c>
      <c r="I684" t="s">
        <v>5403</v>
      </c>
      <c r="J684">
        <v>2025</v>
      </c>
      <c r="K684" t="s">
        <v>5422</v>
      </c>
      <c r="L684" t="s">
        <v>5423</v>
      </c>
      <c r="M684" t="s">
        <v>5406</v>
      </c>
      <c r="N684" s="1" t="s">
        <v>4565</v>
      </c>
      <c r="O684">
        <v>26.18</v>
      </c>
      <c r="P684">
        <v>3.82</v>
      </c>
      <c r="Q684">
        <v>73147</v>
      </c>
      <c r="R684">
        <v>212</v>
      </c>
      <c r="S684">
        <v>8.1</v>
      </c>
      <c r="T684" s="8">
        <v>100.01</v>
      </c>
      <c r="U684">
        <v>490156</v>
      </c>
      <c r="V684" t="s">
        <v>5578</v>
      </c>
      <c r="W684" t="s">
        <v>5409</v>
      </c>
      <c r="X684" t="s">
        <v>5579</v>
      </c>
      <c r="Y684" t="s">
        <v>5458</v>
      </c>
      <c r="Z684" t="s">
        <v>5412</v>
      </c>
      <c r="AA684" t="s">
        <v>5413</v>
      </c>
      <c r="AB684" t="s">
        <v>5414</v>
      </c>
      <c r="AC684" t="s">
        <v>5414</v>
      </c>
      <c r="AD684" t="s">
        <v>5414</v>
      </c>
      <c r="AG684" t="s">
        <v>5415</v>
      </c>
      <c r="AI684" t="s">
        <v>5580</v>
      </c>
      <c r="AJ684" t="s">
        <v>5429</v>
      </c>
      <c r="AL684" t="s">
        <v>5418</v>
      </c>
      <c r="AN684" t="s">
        <v>5419</v>
      </c>
    </row>
    <row r="685" spans="1:40" x14ac:dyDescent="0.25">
      <c r="A685">
        <v>1089932634</v>
      </c>
      <c r="B685" t="s">
        <v>5399</v>
      </c>
      <c r="C685">
        <v>252406</v>
      </c>
      <c r="D685" t="s">
        <v>5400</v>
      </c>
      <c r="E685">
        <v>46234.306828703702</v>
      </c>
      <c r="F685" t="s">
        <v>5475</v>
      </c>
      <c r="G685" t="s">
        <v>3668</v>
      </c>
      <c r="H685" t="s">
        <v>5467</v>
      </c>
      <c r="I685" t="s">
        <v>5403</v>
      </c>
      <c r="J685">
        <v>2026</v>
      </c>
      <c r="K685" t="s">
        <v>5837</v>
      </c>
      <c r="L685" t="s">
        <v>5838</v>
      </c>
      <c r="M685" t="s">
        <v>5406</v>
      </c>
      <c r="N685" s="1" t="s">
        <v>4565</v>
      </c>
      <c r="O685">
        <v>39.450000000000003</v>
      </c>
      <c r="P685">
        <v>3.59</v>
      </c>
      <c r="Q685">
        <v>40018</v>
      </c>
      <c r="R685">
        <v>219</v>
      </c>
      <c r="S685">
        <v>5.55</v>
      </c>
      <c r="T685" s="8">
        <v>141.63</v>
      </c>
      <c r="U685">
        <v>12815000</v>
      </c>
      <c r="V685" t="s">
        <v>5448</v>
      </c>
      <c r="W685" t="s">
        <v>5409</v>
      </c>
      <c r="X685" t="s">
        <v>5449</v>
      </c>
      <c r="Y685" t="s">
        <v>5450</v>
      </c>
      <c r="Z685" t="s">
        <v>5426</v>
      </c>
      <c r="AA685" t="s">
        <v>5413</v>
      </c>
      <c r="AB685" t="s">
        <v>5414</v>
      </c>
      <c r="AC685" t="s">
        <v>5414</v>
      </c>
      <c r="AD685" t="s">
        <v>5414</v>
      </c>
      <c r="AG685" t="s">
        <v>5427</v>
      </c>
      <c r="AI685" t="s">
        <v>5451</v>
      </c>
      <c r="AJ685" t="s">
        <v>5697</v>
      </c>
      <c r="AL685" t="s">
        <v>5418</v>
      </c>
      <c r="AN685" t="s">
        <v>5419</v>
      </c>
    </row>
    <row r="686" spans="1:40" x14ac:dyDescent="0.25">
      <c r="A686">
        <v>1089919759</v>
      </c>
      <c r="B686" t="s">
        <v>5399</v>
      </c>
      <c r="C686">
        <v>252406</v>
      </c>
      <c r="D686" t="s">
        <v>5400</v>
      </c>
      <c r="E686">
        <v>46234.324513888889</v>
      </c>
      <c r="F686" t="s">
        <v>5757</v>
      </c>
      <c r="G686" t="s">
        <v>3668</v>
      </c>
      <c r="H686" t="s">
        <v>5421</v>
      </c>
      <c r="I686" t="s">
        <v>5403</v>
      </c>
      <c r="J686">
        <v>2027</v>
      </c>
      <c r="K686" t="s">
        <v>5520</v>
      </c>
      <c r="L686" t="s">
        <v>5521</v>
      </c>
      <c r="M686" t="s">
        <v>5406</v>
      </c>
      <c r="N686" s="1" t="s">
        <v>4565</v>
      </c>
      <c r="O686">
        <v>33.17</v>
      </c>
      <c r="P686">
        <v>4.1890000000000001</v>
      </c>
      <c r="Q686">
        <v>4302</v>
      </c>
      <c r="R686">
        <v>247</v>
      </c>
      <c r="S686">
        <v>7.45</v>
      </c>
      <c r="T686" s="8">
        <v>138.97999999999999</v>
      </c>
      <c r="U686">
        <v>11040306</v>
      </c>
      <c r="V686" t="s">
        <v>5408</v>
      </c>
      <c r="W686" t="s">
        <v>5409</v>
      </c>
      <c r="X686" t="s">
        <v>5410</v>
      </c>
      <c r="Y686" t="s">
        <v>5411</v>
      </c>
      <c r="Z686" t="s">
        <v>5412</v>
      </c>
      <c r="AA686" t="s">
        <v>5413</v>
      </c>
      <c r="AB686" t="s">
        <v>5414</v>
      </c>
      <c r="AC686" t="s">
        <v>5414</v>
      </c>
      <c r="AD686" t="s">
        <v>5414</v>
      </c>
      <c r="AG686" t="s">
        <v>5415</v>
      </c>
      <c r="AI686" t="s">
        <v>5460</v>
      </c>
      <c r="AJ686" t="s">
        <v>5765</v>
      </c>
      <c r="AL686" t="s">
        <v>5418</v>
      </c>
      <c r="AN686" t="s">
        <v>5419</v>
      </c>
    </row>
    <row r="687" spans="1:40" x14ac:dyDescent="0.25">
      <c r="A687">
        <v>1089933111</v>
      </c>
      <c r="B687" t="s">
        <v>5399</v>
      </c>
      <c r="C687">
        <v>252406</v>
      </c>
      <c r="D687" t="s">
        <v>5400</v>
      </c>
      <c r="E687">
        <v>46234.33253472222</v>
      </c>
      <c r="F687" t="s">
        <v>5534</v>
      </c>
      <c r="G687" t="s">
        <v>3668</v>
      </c>
      <c r="H687" t="s">
        <v>5421</v>
      </c>
      <c r="I687" t="s">
        <v>5403</v>
      </c>
      <c r="J687">
        <v>2027</v>
      </c>
      <c r="K687" t="s">
        <v>5535</v>
      </c>
      <c r="L687" t="s">
        <v>5536</v>
      </c>
      <c r="M687" t="s">
        <v>5406</v>
      </c>
      <c r="N687" s="1" t="s">
        <v>4565</v>
      </c>
      <c r="O687">
        <v>33.590000000000003</v>
      </c>
      <c r="P687">
        <v>4.1890000000000001</v>
      </c>
      <c r="Q687">
        <v>4382</v>
      </c>
      <c r="R687">
        <v>251</v>
      </c>
      <c r="S687">
        <v>7.47</v>
      </c>
      <c r="T687" s="8">
        <v>140.74</v>
      </c>
      <c r="U687">
        <v>11040306</v>
      </c>
      <c r="V687" t="s">
        <v>5408</v>
      </c>
      <c r="W687" t="s">
        <v>5409</v>
      </c>
      <c r="X687" t="s">
        <v>5410</v>
      </c>
      <c r="Y687" t="s">
        <v>5411</v>
      </c>
      <c r="Z687" t="s">
        <v>5412</v>
      </c>
      <c r="AA687" t="s">
        <v>5413</v>
      </c>
      <c r="AB687" t="s">
        <v>5414</v>
      </c>
      <c r="AC687" t="s">
        <v>5414</v>
      </c>
      <c r="AD687" t="s">
        <v>5414</v>
      </c>
      <c r="AG687" t="s">
        <v>5415</v>
      </c>
      <c r="AI687" t="s">
        <v>5460</v>
      </c>
      <c r="AJ687" t="s">
        <v>5816</v>
      </c>
      <c r="AL687" t="s">
        <v>5418</v>
      </c>
      <c r="AN687" t="s">
        <v>5419</v>
      </c>
    </row>
    <row r="688" spans="1:40" x14ac:dyDescent="0.25">
      <c r="A688">
        <v>1089930941</v>
      </c>
      <c r="B688" t="s">
        <v>5399</v>
      </c>
      <c r="C688">
        <v>252406</v>
      </c>
      <c r="D688" t="s">
        <v>5400</v>
      </c>
      <c r="E688">
        <v>46234.344212962962</v>
      </c>
      <c r="F688" t="s">
        <v>5452</v>
      </c>
      <c r="G688" t="s">
        <v>3668</v>
      </c>
      <c r="H688" t="s">
        <v>5453</v>
      </c>
      <c r="I688" t="s">
        <v>5403</v>
      </c>
      <c r="J688">
        <v>2026</v>
      </c>
      <c r="K688" t="s">
        <v>5432</v>
      </c>
      <c r="L688" t="s">
        <v>5433</v>
      </c>
      <c r="M688" t="s">
        <v>5406</v>
      </c>
      <c r="N688" s="1" t="s">
        <v>4565</v>
      </c>
      <c r="O688">
        <v>30.63</v>
      </c>
      <c r="P688">
        <v>4.1890000000000001</v>
      </c>
      <c r="Q688">
        <v>40909</v>
      </c>
      <c r="R688">
        <v>203</v>
      </c>
      <c r="S688">
        <v>6.63</v>
      </c>
      <c r="T688" s="8">
        <v>128.33000000000001</v>
      </c>
      <c r="U688">
        <v>11040306</v>
      </c>
      <c r="V688" t="s">
        <v>5408</v>
      </c>
      <c r="W688" t="s">
        <v>5409</v>
      </c>
      <c r="X688" t="s">
        <v>5410</v>
      </c>
      <c r="Y688" t="s">
        <v>5411</v>
      </c>
      <c r="Z688" t="s">
        <v>5412</v>
      </c>
      <c r="AA688" t="s">
        <v>5413</v>
      </c>
      <c r="AB688" t="s">
        <v>5414</v>
      </c>
      <c r="AC688" t="s">
        <v>5414</v>
      </c>
      <c r="AD688" t="s">
        <v>5414</v>
      </c>
      <c r="AG688" t="s">
        <v>5415</v>
      </c>
      <c r="AI688" t="s">
        <v>5460</v>
      </c>
      <c r="AJ688" t="s">
        <v>5461</v>
      </c>
      <c r="AL688" t="s">
        <v>5418</v>
      </c>
      <c r="AN688" t="s">
        <v>5419</v>
      </c>
    </row>
    <row r="689" spans="1:40" x14ac:dyDescent="0.25">
      <c r="A689">
        <v>1090049447</v>
      </c>
      <c r="B689" t="s">
        <v>5399</v>
      </c>
      <c r="C689">
        <v>252406</v>
      </c>
      <c r="D689" t="s">
        <v>5400</v>
      </c>
      <c r="E689">
        <v>46234.38790509259</v>
      </c>
      <c r="F689" t="s">
        <v>5800</v>
      </c>
      <c r="G689" t="s">
        <v>3668</v>
      </c>
      <c r="H689" t="s">
        <v>5421</v>
      </c>
      <c r="I689" t="s">
        <v>5403</v>
      </c>
      <c r="J689">
        <v>2027</v>
      </c>
      <c r="K689" t="s">
        <v>5741</v>
      </c>
      <c r="L689" t="s">
        <v>5529</v>
      </c>
      <c r="M689" t="s">
        <v>5406</v>
      </c>
      <c r="N689" s="1" t="s">
        <v>4565</v>
      </c>
      <c r="O689">
        <v>38.15</v>
      </c>
      <c r="P689">
        <v>4.1890000000000001</v>
      </c>
      <c r="Q689">
        <v>2185</v>
      </c>
      <c r="R689">
        <v>230</v>
      </c>
      <c r="S689">
        <v>6.03</v>
      </c>
      <c r="T689" s="8">
        <v>159.84</v>
      </c>
      <c r="U689">
        <v>11040306</v>
      </c>
      <c r="V689" t="s">
        <v>5408</v>
      </c>
      <c r="W689" t="s">
        <v>5409</v>
      </c>
      <c r="X689" t="s">
        <v>5410</v>
      </c>
      <c r="Y689" t="s">
        <v>5411</v>
      </c>
      <c r="Z689" t="s">
        <v>5412</v>
      </c>
      <c r="AA689" t="s">
        <v>5413</v>
      </c>
      <c r="AB689" t="s">
        <v>5414</v>
      </c>
      <c r="AC689" t="s">
        <v>5414</v>
      </c>
      <c r="AD689" t="s">
        <v>5414</v>
      </c>
      <c r="AG689" t="s">
        <v>5415</v>
      </c>
      <c r="AI689" t="s">
        <v>5522</v>
      </c>
      <c r="AJ689" t="s">
        <v>5806</v>
      </c>
      <c r="AL689" t="s">
        <v>5418</v>
      </c>
      <c r="AN689" t="s">
        <v>5419</v>
      </c>
    </row>
    <row r="690" spans="1:40" x14ac:dyDescent="0.25">
      <c r="A690">
        <v>1089962273</v>
      </c>
      <c r="B690" t="s">
        <v>5399</v>
      </c>
      <c r="C690">
        <v>252406</v>
      </c>
      <c r="D690" t="s">
        <v>5400</v>
      </c>
      <c r="E690">
        <v>46234.419745370367</v>
      </c>
      <c r="F690" t="s">
        <v>5613</v>
      </c>
      <c r="G690" t="s">
        <v>3668</v>
      </c>
      <c r="H690" t="s">
        <v>5467</v>
      </c>
      <c r="I690" t="s">
        <v>5403</v>
      </c>
      <c r="J690">
        <v>2025</v>
      </c>
      <c r="K690" t="s">
        <v>5652</v>
      </c>
      <c r="L690" t="s">
        <v>5653</v>
      </c>
      <c r="M690" t="s">
        <v>5406</v>
      </c>
      <c r="N690" s="1" t="s">
        <v>4565</v>
      </c>
      <c r="O690">
        <v>44.65</v>
      </c>
      <c r="P690">
        <v>4.1890000000000001</v>
      </c>
      <c r="Q690">
        <v>75319</v>
      </c>
      <c r="R690">
        <v>324</v>
      </c>
      <c r="S690">
        <v>7.26</v>
      </c>
      <c r="T690" s="8">
        <v>187.08</v>
      </c>
      <c r="U690">
        <v>11040306</v>
      </c>
      <c r="V690" t="s">
        <v>5408</v>
      </c>
      <c r="W690" t="s">
        <v>5409</v>
      </c>
      <c r="X690" t="s">
        <v>5410</v>
      </c>
      <c r="Y690" t="s">
        <v>5411</v>
      </c>
      <c r="Z690" t="s">
        <v>5412</v>
      </c>
      <c r="AA690" t="s">
        <v>5413</v>
      </c>
      <c r="AB690" t="s">
        <v>5414</v>
      </c>
      <c r="AC690" t="s">
        <v>5414</v>
      </c>
      <c r="AD690" t="s">
        <v>5414</v>
      </c>
      <c r="AG690" t="s">
        <v>5415</v>
      </c>
      <c r="AI690" t="s">
        <v>5460</v>
      </c>
      <c r="AJ690" t="s">
        <v>5616</v>
      </c>
      <c r="AL690" t="s">
        <v>5418</v>
      </c>
      <c r="AN690" t="s">
        <v>5419</v>
      </c>
    </row>
    <row r="691" spans="1:40" x14ac:dyDescent="0.25">
      <c r="A691">
        <v>1090005545</v>
      </c>
      <c r="B691" t="s">
        <v>5399</v>
      </c>
      <c r="C691">
        <v>252406</v>
      </c>
      <c r="D691" t="s">
        <v>5400</v>
      </c>
      <c r="E691">
        <v>46234.491574074076</v>
      </c>
      <c r="F691" t="s">
        <v>5477</v>
      </c>
      <c r="G691" t="s">
        <v>3668</v>
      </c>
      <c r="H691" t="s">
        <v>5478</v>
      </c>
      <c r="I691" t="s">
        <v>5403</v>
      </c>
      <c r="J691">
        <v>2015</v>
      </c>
      <c r="K691" t="s">
        <v>5479</v>
      </c>
      <c r="L691" t="s">
        <v>5480</v>
      </c>
      <c r="M691" t="s">
        <v>5406</v>
      </c>
      <c r="N691" s="1" t="s">
        <v>4565</v>
      </c>
      <c r="O691">
        <v>23.31</v>
      </c>
      <c r="P691">
        <v>4.29</v>
      </c>
      <c r="Q691">
        <v>253554</v>
      </c>
      <c r="R691">
        <v>368</v>
      </c>
      <c r="S691">
        <v>15.79</v>
      </c>
      <c r="T691" s="8">
        <v>100</v>
      </c>
      <c r="U691">
        <v>12193017</v>
      </c>
      <c r="V691" t="s">
        <v>5574</v>
      </c>
      <c r="W691" t="s">
        <v>5409</v>
      </c>
      <c r="X691" t="s">
        <v>5575</v>
      </c>
      <c r="Y691" t="s">
        <v>5576</v>
      </c>
      <c r="Z691" t="s">
        <v>5472</v>
      </c>
      <c r="AA691" t="s">
        <v>5413</v>
      </c>
      <c r="AB691" t="s">
        <v>5414</v>
      </c>
      <c r="AC691" t="s">
        <v>5414</v>
      </c>
      <c r="AD691" t="s">
        <v>5414</v>
      </c>
      <c r="AG691" t="s">
        <v>5427</v>
      </c>
      <c r="AI691" t="s">
        <v>5577</v>
      </c>
      <c r="AJ691" t="s">
        <v>5485</v>
      </c>
      <c r="AL691" t="s">
        <v>5418</v>
      </c>
      <c r="AN691" t="s">
        <v>5419</v>
      </c>
    </row>
    <row r="692" spans="1:40" x14ac:dyDescent="0.25">
      <c r="A692">
        <v>1090001793</v>
      </c>
      <c r="B692" t="s">
        <v>5399</v>
      </c>
      <c r="C692">
        <v>252406</v>
      </c>
      <c r="D692" t="s">
        <v>5400</v>
      </c>
      <c r="E692">
        <v>46234.523287037038</v>
      </c>
      <c r="F692" t="s">
        <v>5524</v>
      </c>
      <c r="G692" t="s">
        <v>3668</v>
      </c>
      <c r="H692" t="s">
        <v>5421</v>
      </c>
      <c r="I692" t="s">
        <v>5524</v>
      </c>
      <c r="J692">
        <v>2025</v>
      </c>
      <c r="K692" t="s">
        <v>5525</v>
      </c>
      <c r="L692" t="s">
        <v>5526</v>
      </c>
      <c r="M692" t="s">
        <v>5406</v>
      </c>
      <c r="N692" s="1" t="s">
        <v>4565</v>
      </c>
      <c r="O692">
        <v>36.32</v>
      </c>
      <c r="P692">
        <v>4.1890000000000001</v>
      </c>
      <c r="Q692">
        <v>68088</v>
      </c>
      <c r="R692">
        <v>293</v>
      </c>
      <c r="S692">
        <v>8.07</v>
      </c>
      <c r="T692" s="8">
        <v>152.18</v>
      </c>
      <c r="U692">
        <v>11040306</v>
      </c>
      <c r="V692" t="s">
        <v>5408</v>
      </c>
      <c r="W692" t="s">
        <v>5409</v>
      </c>
      <c r="X692" t="s">
        <v>5410</v>
      </c>
      <c r="Y692" t="s">
        <v>5411</v>
      </c>
      <c r="Z692" t="s">
        <v>5412</v>
      </c>
      <c r="AA692" t="s">
        <v>5413</v>
      </c>
      <c r="AB692" t="s">
        <v>5414</v>
      </c>
      <c r="AC692" t="s">
        <v>5414</v>
      </c>
      <c r="AD692" t="s">
        <v>5414</v>
      </c>
      <c r="AG692" t="s">
        <v>5415</v>
      </c>
      <c r="AI692" t="s">
        <v>5629</v>
      </c>
      <c r="AJ692" t="s">
        <v>5527</v>
      </c>
      <c r="AK692" t="s">
        <v>5528</v>
      </c>
      <c r="AL692" t="s">
        <v>5418</v>
      </c>
      <c r="AN692" t="s">
        <v>5529</v>
      </c>
    </row>
    <row r="693" spans="1:40" x14ac:dyDescent="0.25">
      <c r="A693">
        <v>1090031733</v>
      </c>
      <c r="B693" t="s">
        <v>5399</v>
      </c>
      <c r="C693">
        <v>252406</v>
      </c>
      <c r="D693" t="s">
        <v>5400</v>
      </c>
      <c r="E693">
        <v>46234.554247685184</v>
      </c>
      <c r="F693" t="s">
        <v>5401</v>
      </c>
      <c r="G693" t="s">
        <v>3668</v>
      </c>
      <c r="H693" t="s">
        <v>5402</v>
      </c>
      <c r="I693" t="s">
        <v>5403</v>
      </c>
      <c r="J693">
        <v>2026</v>
      </c>
      <c r="K693" t="s">
        <v>5404</v>
      </c>
      <c r="L693" t="s">
        <v>5405</v>
      </c>
      <c r="M693" t="s">
        <v>5406</v>
      </c>
      <c r="N693" s="1" t="s">
        <v>4565</v>
      </c>
      <c r="O693">
        <v>31.41</v>
      </c>
      <c r="P693">
        <v>4.29</v>
      </c>
      <c r="Q693">
        <v>38193</v>
      </c>
      <c r="R693">
        <v>261</v>
      </c>
      <c r="S693">
        <v>8.31</v>
      </c>
      <c r="T693" s="8">
        <v>134.75</v>
      </c>
      <c r="U693">
        <v>11198252</v>
      </c>
      <c r="V693" t="s">
        <v>5424</v>
      </c>
      <c r="W693" t="s">
        <v>5409</v>
      </c>
      <c r="X693" t="s">
        <v>5425</v>
      </c>
      <c r="Y693" t="s">
        <v>5411</v>
      </c>
      <c r="Z693" t="s">
        <v>5426</v>
      </c>
      <c r="AA693" t="s">
        <v>5413</v>
      </c>
      <c r="AB693" t="s">
        <v>5414</v>
      </c>
      <c r="AC693" t="s">
        <v>5414</v>
      </c>
      <c r="AD693" t="s">
        <v>5414</v>
      </c>
      <c r="AG693" t="s">
        <v>5427</v>
      </c>
      <c r="AI693" t="s">
        <v>5428</v>
      </c>
      <c r="AJ693" t="s">
        <v>5417</v>
      </c>
      <c r="AL693" t="s">
        <v>5418</v>
      </c>
      <c r="AN693" t="s">
        <v>5419</v>
      </c>
    </row>
    <row r="694" spans="1:40" x14ac:dyDescent="0.25">
      <c r="A694">
        <v>1090034293</v>
      </c>
      <c r="B694" t="s">
        <v>5399</v>
      </c>
      <c r="C694">
        <v>252406</v>
      </c>
      <c r="D694" t="s">
        <v>5400</v>
      </c>
      <c r="E694">
        <v>46234.600104166668</v>
      </c>
      <c r="F694" t="s">
        <v>5486</v>
      </c>
      <c r="G694" t="s">
        <v>3668</v>
      </c>
      <c r="H694" t="s">
        <v>5487</v>
      </c>
      <c r="I694" t="s">
        <v>5403</v>
      </c>
      <c r="J694">
        <v>2025</v>
      </c>
      <c r="K694" t="s">
        <v>5488</v>
      </c>
      <c r="L694" t="s">
        <v>5489</v>
      </c>
      <c r="M694" t="s">
        <v>5406</v>
      </c>
      <c r="N694" s="1" t="s">
        <v>4565</v>
      </c>
      <c r="O694">
        <v>34.15</v>
      </c>
      <c r="P694">
        <v>4.2889999999999997</v>
      </c>
      <c r="Q694">
        <v>59727</v>
      </c>
      <c r="R694">
        <v>295</v>
      </c>
      <c r="S694">
        <v>8.64</v>
      </c>
      <c r="T694" s="8">
        <v>146.5</v>
      </c>
      <c r="U694">
        <v>11153887</v>
      </c>
      <c r="V694" t="s">
        <v>5490</v>
      </c>
      <c r="W694" t="s">
        <v>5409</v>
      </c>
      <c r="X694" t="s">
        <v>5491</v>
      </c>
      <c r="Y694" t="s">
        <v>5492</v>
      </c>
      <c r="Z694" t="s">
        <v>5426</v>
      </c>
      <c r="AA694" t="s">
        <v>5413</v>
      </c>
      <c r="AB694" t="s">
        <v>5414</v>
      </c>
      <c r="AC694" t="s">
        <v>5414</v>
      </c>
      <c r="AD694" t="s">
        <v>5414</v>
      </c>
      <c r="AG694" t="s">
        <v>5415</v>
      </c>
      <c r="AI694" t="s">
        <v>5460</v>
      </c>
      <c r="AJ694" t="s">
        <v>5493</v>
      </c>
      <c r="AL694" t="s">
        <v>5418</v>
      </c>
      <c r="AN694" t="s">
        <v>5419</v>
      </c>
    </row>
    <row r="695" spans="1:40" x14ac:dyDescent="0.25">
      <c r="A695">
        <v>1090034628</v>
      </c>
      <c r="B695" t="s">
        <v>5399</v>
      </c>
      <c r="C695">
        <v>252406</v>
      </c>
      <c r="D695" t="s">
        <v>5400</v>
      </c>
      <c r="E695">
        <v>46234.601111111115</v>
      </c>
      <c r="F695" t="s">
        <v>5420</v>
      </c>
      <c r="G695" t="s">
        <v>3668</v>
      </c>
      <c r="H695" t="s">
        <v>5421</v>
      </c>
      <c r="I695" t="s">
        <v>5403</v>
      </c>
      <c r="J695">
        <v>2025</v>
      </c>
      <c r="K695" t="s">
        <v>5422</v>
      </c>
      <c r="L695" t="s">
        <v>5423</v>
      </c>
      <c r="M695" t="s">
        <v>5406</v>
      </c>
      <c r="N695" s="1" t="s">
        <v>4565</v>
      </c>
      <c r="O695">
        <v>24.81</v>
      </c>
      <c r="P695">
        <v>3.99</v>
      </c>
      <c r="Q695">
        <v>73398</v>
      </c>
      <c r="R695">
        <v>251</v>
      </c>
      <c r="S695">
        <v>10.119999999999999</v>
      </c>
      <c r="T695" s="8">
        <v>99</v>
      </c>
      <c r="U695">
        <v>10000505</v>
      </c>
      <c r="V695" t="s">
        <v>5947</v>
      </c>
      <c r="W695" t="s">
        <v>5409</v>
      </c>
      <c r="X695" t="s">
        <v>5948</v>
      </c>
      <c r="Y695" t="s">
        <v>5411</v>
      </c>
      <c r="Z695" t="s">
        <v>5949</v>
      </c>
      <c r="AA695" t="s">
        <v>5502</v>
      </c>
      <c r="AB695" t="s">
        <v>5414</v>
      </c>
      <c r="AC695" t="s">
        <v>5414</v>
      </c>
      <c r="AD695" t="s">
        <v>5414</v>
      </c>
      <c r="AG695" t="s">
        <v>5415</v>
      </c>
      <c r="AI695" t="s">
        <v>5676</v>
      </c>
      <c r="AJ695" t="s">
        <v>5429</v>
      </c>
      <c r="AL695" t="s">
        <v>5418</v>
      </c>
      <c r="AN695" t="s">
        <v>5419</v>
      </c>
    </row>
    <row r="696" spans="1:40" x14ac:dyDescent="0.25">
      <c r="A696">
        <v>1090065634</v>
      </c>
      <c r="B696" t="s">
        <v>5399</v>
      </c>
      <c r="C696">
        <v>252406</v>
      </c>
      <c r="D696" t="s">
        <v>5400</v>
      </c>
      <c r="E696">
        <v>46234.612141203703</v>
      </c>
      <c r="F696" t="s">
        <v>5581</v>
      </c>
      <c r="G696" t="s">
        <v>3668</v>
      </c>
      <c r="H696" t="s">
        <v>5467</v>
      </c>
      <c r="I696" t="s">
        <v>5403</v>
      </c>
      <c r="J696">
        <v>2026</v>
      </c>
      <c r="K696" t="s">
        <v>5582</v>
      </c>
      <c r="L696" t="s">
        <v>5583</v>
      </c>
      <c r="M696" t="s">
        <v>5406</v>
      </c>
      <c r="N696" s="1" t="s">
        <v>4565</v>
      </c>
      <c r="O696">
        <v>42.99</v>
      </c>
      <c r="P696">
        <v>4.29</v>
      </c>
      <c r="Q696">
        <v>33023</v>
      </c>
      <c r="R696">
        <v>238</v>
      </c>
      <c r="S696">
        <v>5.54</v>
      </c>
      <c r="T696" s="8">
        <v>184.43</v>
      </c>
      <c r="U696">
        <v>12193017</v>
      </c>
      <c r="V696" t="s">
        <v>5574</v>
      </c>
      <c r="W696" t="s">
        <v>5409</v>
      </c>
      <c r="X696" t="s">
        <v>5575</v>
      </c>
      <c r="Y696" t="s">
        <v>5576</v>
      </c>
      <c r="Z696" t="s">
        <v>5472</v>
      </c>
      <c r="AA696" t="s">
        <v>5413</v>
      </c>
      <c r="AB696" t="s">
        <v>5414</v>
      </c>
      <c r="AC696" t="s">
        <v>5414</v>
      </c>
      <c r="AD696" t="s">
        <v>5414</v>
      </c>
      <c r="AG696" t="s">
        <v>5427</v>
      </c>
      <c r="AI696" t="s">
        <v>5577</v>
      </c>
      <c r="AJ696" t="s">
        <v>5584</v>
      </c>
      <c r="AL696" t="s">
        <v>5418</v>
      </c>
      <c r="AN696" t="s">
        <v>5419</v>
      </c>
    </row>
    <row r="697" spans="1:40" x14ac:dyDescent="0.25">
      <c r="A697">
        <v>1090053091</v>
      </c>
      <c r="B697" t="s">
        <v>5399</v>
      </c>
      <c r="C697">
        <v>252406</v>
      </c>
      <c r="D697" t="s">
        <v>5400</v>
      </c>
      <c r="E697">
        <v>46234.624525462961</v>
      </c>
      <c r="F697" t="s">
        <v>5655</v>
      </c>
      <c r="G697" t="s">
        <v>3668</v>
      </c>
      <c r="H697" t="s">
        <v>5506</v>
      </c>
      <c r="I697" t="s">
        <v>5403</v>
      </c>
      <c r="J697">
        <v>2026</v>
      </c>
      <c r="K697" t="s">
        <v>5712</v>
      </c>
      <c r="L697" t="s">
        <v>5713</v>
      </c>
      <c r="M697" t="s">
        <v>5406</v>
      </c>
      <c r="N697" s="1" t="s">
        <v>4565</v>
      </c>
      <c r="O697">
        <v>39.06</v>
      </c>
      <c r="P697">
        <v>3.82</v>
      </c>
      <c r="Q697">
        <v>6456</v>
      </c>
      <c r="R697">
        <v>208</v>
      </c>
      <c r="S697">
        <v>5.33</v>
      </c>
      <c r="T697" s="8">
        <v>149.21</v>
      </c>
      <c r="U697">
        <v>490156</v>
      </c>
      <c r="V697" t="s">
        <v>5578</v>
      </c>
      <c r="W697" t="s">
        <v>5409</v>
      </c>
      <c r="X697" t="s">
        <v>5579</v>
      </c>
      <c r="Y697" t="s">
        <v>5458</v>
      </c>
      <c r="Z697" t="s">
        <v>5412</v>
      </c>
      <c r="AA697" t="s">
        <v>5413</v>
      </c>
      <c r="AB697" t="s">
        <v>5414</v>
      </c>
      <c r="AC697" t="s">
        <v>5414</v>
      </c>
      <c r="AD697" t="s">
        <v>5414</v>
      </c>
      <c r="AG697" t="s">
        <v>5415</v>
      </c>
      <c r="AI697" t="s">
        <v>5580</v>
      </c>
      <c r="AJ697" t="s">
        <v>5658</v>
      </c>
      <c r="AL697" t="s">
        <v>5418</v>
      </c>
      <c r="AN697" t="s">
        <v>5419</v>
      </c>
    </row>
    <row r="698" spans="1:40" x14ac:dyDescent="0.25">
      <c r="A698">
        <v>1090084890</v>
      </c>
      <c r="B698" t="s">
        <v>5399</v>
      </c>
      <c r="C698">
        <v>252406</v>
      </c>
      <c r="D698" t="s">
        <v>5400</v>
      </c>
      <c r="E698">
        <v>46234.692141203705</v>
      </c>
      <c r="F698" t="s">
        <v>5621</v>
      </c>
      <c r="G698" t="s">
        <v>3668</v>
      </c>
      <c r="H698" t="s">
        <v>5421</v>
      </c>
      <c r="I698" t="s">
        <v>5621</v>
      </c>
      <c r="J698">
        <v>2024</v>
      </c>
      <c r="K698" t="s">
        <v>5622</v>
      </c>
      <c r="L698" t="s">
        <v>5623</v>
      </c>
      <c r="M698" t="s">
        <v>5406</v>
      </c>
      <c r="N698" s="1" t="s">
        <v>4565</v>
      </c>
      <c r="O698">
        <v>27.1</v>
      </c>
      <c r="P698">
        <v>4.29</v>
      </c>
      <c r="Q698">
        <v>100541</v>
      </c>
      <c r="R698">
        <v>246</v>
      </c>
      <c r="S698">
        <v>9.08</v>
      </c>
      <c r="T698" s="8">
        <v>116.26</v>
      </c>
      <c r="U698">
        <v>11153887</v>
      </c>
      <c r="V698" t="s">
        <v>5490</v>
      </c>
      <c r="W698" t="s">
        <v>5409</v>
      </c>
      <c r="X698" t="s">
        <v>5491</v>
      </c>
      <c r="Y698" t="s">
        <v>5492</v>
      </c>
      <c r="Z698" t="s">
        <v>5426</v>
      </c>
      <c r="AA698" t="s">
        <v>5413</v>
      </c>
      <c r="AB698" t="s">
        <v>5414</v>
      </c>
      <c r="AC698" t="s">
        <v>5414</v>
      </c>
      <c r="AD698" t="s">
        <v>5414</v>
      </c>
      <c r="AG698" t="s">
        <v>5415</v>
      </c>
      <c r="AI698" t="s">
        <v>5460</v>
      </c>
      <c r="AJ698" t="s">
        <v>5624</v>
      </c>
      <c r="AK698" t="s">
        <v>5528</v>
      </c>
      <c r="AL698" t="s">
        <v>5418</v>
      </c>
      <c r="AN698" t="s">
        <v>5625</v>
      </c>
    </row>
    <row r="699" spans="1:40" x14ac:dyDescent="0.25">
      <c r="A699">
        <v>1090086501</v>
      </c>
      <c r="B699" t="s">
        <v>5399</v>
      </c>
      <c r="C699">
        <v>252406</v>
      </c>
      <c r="D699" t="s">
        <v>5400</v>
      </c>
      <c r="E699">
        <v>46234.697314814817</v>
      </c>
      <c r="F699" t="s">
        <v>5626</v>
      </c>
      <c r="G699" t="s">
        <v>3668</v>
      </c>
      <c r="H699" t="s">
        <v>5552</v>
      </c>
      <c r="I699" t="s">
        <v>5403</v>
      </c>
      <c r="J699">
        <v>2026</v>
      </c>
      <c r="K699" t="s">
        <v>5627</v>
      </c>
      <c r="L699" t="s">
        <v>5628</v>
      </c>
      <c r="M699" t="s">
        <v>5406</v>
      </c>
      <c r="N699" s="1" t="s">
        <v>4565</v>
      </c>
      <c r="O699">
        <v>47.62</v>
      </c>
      <c r="P699">
        <v>4.1890000000000001</v>
      </c>
      <c r="Q699">
        <v>23232</v>
      </c>
      <c r="R699">
        <v>194</v>
      </c>
      <c r="S699">
        <v>4.07</v>
      </c>
      <c r="T699" s="8">
        <v>199.52</v>
      </c>
      <c r="U699">
        <v>11040306</v>
      </c>
      <c r="V699" t="s">
        <v>5408</v>
      </c>
      <c r="W699" t="s">
        <v>5409</v>
      </c>
      <c r="X699" t="s">
        <v>5410</v>
      </c>
      <c r="Y699" t="s">
        <v>5411</v>
      </c>
      <c r="Z699" t="s">
        <v>5412</v>
      </c>
      <c r="AA699" t="s">
        <v>5413</v>
      </c>
      <c r="AB699" t="s">
        <v>5414</v>
      </c>
      <c r="AC699" t="s">
        <v>5414</v>
      </c>
      <c r="AD699" t="s">
        <v>5414</v>
      </c>
      <c r="AG699" t="s">
        <v>5415</v>
      </c>
      <c r="AI699" t="s">
        <v>5522</v>
      </c>
      <c r="AJ699" t="s">
        <v>5630</v>
      </c>
      <c r="AL699" t="s">
        <v>5418</v>
      </c>
      <c r="AN699" t="s">
        <v>5419</v>
      </c>
    </row>
    <row r="700" spans="1:40" x14ac:dyDescent="0.25">
      <c r="A700">
        <v>1090116958</v>
      </c>
      <c r="B700" t="s">
        <v>5399</v>
      </c>
      <c r="C700">
        <v>252406</v>
      </c>
      <c r="D700" t="s">
        <v>5400</v>
      </c>
      <c r="E700">
        <v>46234.719027777777</v>
      </c>
      <c r="F700" t="s">
        <v>5519</v>
      </c>
      <c r="G700" t="s">
        <v>3668</v>
      </c>
      <c r="H700" t="s">
        <v>5467</v>
      </c>
      <c r="I700" t="s">
        <v>5403</v>
      </c>
      <c r="J700">
        <v>2027</v>
      </c>
      <c r="K700" t="s">
        <v>5512</v>
      </c>
      <c r="L700" t="s">
        <v>5513</v>
      </c>
      <c r="M700" t="s">
        <v>5406</v>
      </c>
      <c r="N700" s="1" t="s">
        <v>4565</v>
      </c>
      <c r="O700">
        <v>22</v>
      </c>
      <c r="P700">
        <v>4.25</v>
      </c>
      <c r="Q700">
        <v>13970</v>
      </c>
      <c r="R700">
        <v>111</v>
      </c>
      <c r="S700">
        <v>5.05</v>
      </c>
      <c r="T700" s="8">
        <v>93.5</v>
      </c>
      <c r="U700">
        <v>108758</v>
      </c>
      <c r="V700" t="s">
        <v>5470</v>
      </c>
      <c r="W700" t="s">
        <v>5409</v>
      </c>
      <c r="X700" t="s">
        <v>5471</v>
      </c>
      <c r="Y700" t="s">
        <v>5411</v>
      </c>
      <c r="Z700" t="s">
        <v>5472</v>
      </c>
      <c r="AA700" t="s">
        <v>5413</v>
      </c>
      <c r="AB700" t="s">
        <v>5414</v>
      </c>
      <c r="AC700" t="s">
        <v>5414</v>
      </c>
      <c r="AD700" t="s">
        <v>5414</v>
      </c>
      <c r="AG700" t="s">
        <v>5427</v>
      </c>
      <c r="AI700" t="s">
        <v>5473</v>
      </c>
      <c r="AJ700" t="s">
        <v>5523</v>
      </c>
      <c r="AL700" t="s">
        <v>5418</v>
      </c>
      <c r="AN700" t="s">
        <v>5419</v>
      </c>
    </row>
    <row r="701" spans="1:40" x14ac:dyDescent="0.25">
      <c r="A701">
        <v>1090121478</v>
      </c>
      <c r="B701" t="s">
        <v>5399</v>
      </c>
      <c r="C701">
        <v>252406</v>
      </c>
      <c r="D701" t="s">
        <v>5400</v>
      </c>
      <c r="E701">
        <v>46234.729699074072</v>
      </c>
      <c r="F701" t="s">
        <v>5743</v>
      </c>
      <c r="G701" t="s">
        <v>3668</v>
      </c>
      <c r="H701" t="s">
        <v>5539</v>
      </c>
      <c r="I701" t="s">
        <v>5403</v>
      </c>
      <c r="J701">
        <v>2026</v>
      </c>
      <c r="K701" t="s">
        <v>5753</v>
      </c>
      <c r="L701" t="s">
        <v>5754</v>
      </c>
      <c r="M701" t="s">
        <v>5406</v>
      </c>
      <c r="N701" s="1" t="s">
        <v>4565</v>
      </c>
      <c r="O701">
        <v>16.32</v>
      </c>
      <c r="P701">
        <v>4.2889999999999997</v>
      </c>
      <c r="Q701">
        <v>21143</v>
      </c>
      <c r="R701">
        <v>283</v>
      </c>
      <c r="S701">
        <v>17.34</v>
      </c>
      <c r="T701" s="8">
        <v>70</v>
      </c>
      <c r="U701">
        <v>12193017</v>
      </c>
      <c r="V701" t="s">
        <v>5574</v>
      </c>
      <c r="W701" t="s">
        <v>5409</v>
      </c>
      <c r="X701" t="s">
        <v>5575</v>
      </c>
      <c r="Y701" t="s">
        <v>5576</v>
      </c>
      <c r="Z701" t="s">
        <v>5472</v>
      </c>
      <c r="AA701" t="s">
        <v>5413</v>
      </c>
      <c r="AB701" t="s">
        <v>5414</v>
      </c>
      <c r="AC701" t="s">
        <v>5414</v>
      </c>
      <c r="AD701" t="s">
        <v>5414</v>
      </c>
      <c r="AG701" t="s">
        <v>5427</v>
      </c>
      <c r="AI701" t="s">
        <v>5577</v>
      </c>
      <c r="AJ701" t="s">
        <v>5746</v>
      </c>
      <c r="AL701" t="s">
        <v>5418</v>
      </c>
      <c r="AN701" t="s">
        <v>5419</v>
      </c>
    </row>
    <row r="702" spans="1:40" x14ac:dyDescent="0.25">
      <c r="A702">
        <v>1090123697</v>
      </c>
      <c r="B702" t="s">
        <v>5399</v>
      </c>
      <c r="C702">
        <v>252406</v>
      </c>
      <c r="D702" t="s">
        <v>5400</v>
      </c>
      <c r="E702">
        <v>46234.736215277779</v>
      </c>
      <c r="F702" t="s">
        <v>5567</v>
      </c>
      <c r="G702" t="s">
        <v>3668</v>
      </c>
      <c r="H702" t="s">
        <v>5568</v>
      </c>
      <c r="I702" t="s">
        <v>5403</v>
      </c>
      <c r="J702">
        <v>2026</v>
      </c>
      <c r="K702" t="s">
        <v>5436</v>
      </c>
      <c r="L702" t="s">
        <v>5437</v>
      </c>
      <c r="M702" t="s">
        <v>5406</v>
      </c>
      <c r="N702" s="1" t="s">
        <v>4565</v>
      </c>
      <c r="O702">
        <v>41.27</v>
      </c>
      <c r="P702">
        <v>4.2290000000000001</v>
      </c>
      <c r="Q702">
        <v>6350</v>
      </c>
      <c r="R702">
        <v>409</v>
      </c>
      <c r="S702">
        <v>9.91</v>
      </c>
      <c r="T702" s="8">
        <v>174.57</v>
      </c>
      <c r="U702">
        <v>11918417</v>
      </c>
      <c r="V702" t="s">
        <v>5861</v>
      </c>
      <c r="W702" t="s">
        <v>5409</v>
      </c>
      <c r="X702" t="s">
        <v>5862</v>
      </c>
      <c r="Y702" t="s">
        <v>5458</v>
      </c>
      <c r="Z702" t="s">
        <v>5426</v>
      </c>
      <c r="AA702" t="s">
        <v>5413</v>
      </c>
      <c r="AB702" t="s">
        <v>5414</v>
      </c>
      <c r="AC702" t="s">
        <v>5414</v>
      </c>
      <c r="AD702" t="s">
        <v>5414</v>
      </c>
      <c r="AG702" t="s">
        <v>5427</v>
      </c>
      <c r="AI702" t="s">
        <v>5863</v>
      </c>
      <c r="AJ702" t="s">
        <v>5902</v>
      </c>
      <c r="AL702" t="s">
        <v>5418</v>
      </c>
      <c r="AN702" t="s">
        <v>5419</v>
      </c>
    </row>
    <row r="703" spans="1:40" x14ac:dyDescent="0.25">
      <c r="A703">
        <v>1090120690</v>
      </c>
      <c r="B703" t="s">
        <v>5399</v>
      </c>
      <c r="C703">
        <v>252406</v>
      </c>
      <c r="D703" t="s">
        <v>5400</v>
      </c>
      <c r="E703">
        <v>46234.769224537034</v>
      </c>
      <c r="F703" t="s">
        <v>5651</v>
      </c>
      <c r="G703" t="s">
        <v>3668</v>
      </c>
      <c r="H703" t="s">
        <v>5467</v>
      </c>
      <c r="I703" t="s">
        <v>5403</v>
      </c>
      <c r="J703">
        <v>2026</v>
      </c>
      <c r="K703" t="s">
        <v>5738</v>
      </c>
      <c r="L703" t="s">
        <v>5739</v>
      </c>
      <c r="M703" t="s">
        <v>5406</v>
      </c>
      <c r="N703" s="1" t="s">
        <v>4565</v>
      </c>
      <c r="O703">
        <v>40</v>
      </c>
      <c r="P703">
        <v>4.09</v>
      </c>
      <c r="Q703">
        <v>50026</v>
      </c>
      <c r="R703">
        <v>356</v>
      </c>
      <c r="S703">
        <v>8.9</v>
      </c>
      <c r="T703" s="8">
        <v>163.6</v>
      </c>
      <c r="U703">
        <v>491721</v>
      </c>
      <c r="V703" t="s">
        <v>5438</v>
      </c>
      <c r="W703" t="s">
        <v>5409</v>
      </c>
      <c r="X703" t="s">
        <v>5439</v>
      </c>
      <c r="Y703" t="s">
        <v>5440</v>
      </c>
      <c r="Z703" t="s">
        <v>5441</v>
      </c>
      <c r="AA703" t="s">
        <v>5413</v>
      </c>
      <c r="AB703" t="s">
        <v>5414</v>
      </c>
      <c r="AC703" t="s">
        <v>5414</v>
      </c>
      <c r="AD703" t="s">
        <v>5414</v>
      </c>
      <c r="AG703" t="s">
        <v>5415</v>
      </c>
      <c r="AI703" t="s">
        <v>5522</v>
      </c>
      <c r="AJ703" t="s">
        <v>5654</v>
      </c>
      <c r="AL703" t="s">
        <v>5418</v>
      </c>
      <c r="AN703" t="s">
        <v>5419</v>
      </c>
    </row>
    <row r="704" spans="1:40" x14ac:dyDescent="0.25">
      <c r="A704">
        <v>1090136421</v>
      </c>
      <c r="B704" t="s">
        <v>5399</v>
      </c>
      <c r="C704">
        <v>252406</v>
      </c>
      <c r="D704" t="s">
        <v>5400</v>
      </c>
      <c r="E704">
        <v>46234.785358796296</v>
      </c>
      <c r="F704" t="s">
        <v>5477</v>
      </c>
      <c r="G704" t="s">
        <v>3668</v>
      </c>
      <c r="H704" t="s">
        <v>5478</v>
      </c>
      <c r="I704" t="s">
        <v>5403</v>
      </c>
      <c r="J704">
        <v>2015</v>
      </c>
      <c r="K704" t="s">
        <v>5479</v>
      </c>
      <c r="L704" t="s">
        <v>5480</v>
      </c>
      <c r="M704" t="s">
        <v>5406</v>
      </c>
      <c r="N704" s="1" t="s">
        <v>4565</v>
      </c>
      <c r="O704">
        <v>49</v>
      </c>
      <c r="P704">
        <v>3.59</v>
      </c>
      <c r="Q704">
        <v>253695</v>
      </c>
      <c r="R704">
        <v>141</v>
      </c>
      <c r="S704">
        <v>2.88</v>
      </c>
      <c r="T704" s="8">
        <v>175.91</v>
      </c>
      <c r="U704">
        <v>12815000</v>
      </c>
      <c r="V704" t="s">
        <v>5448</v>
      </c>
      <c r="W704" t="s">
        <v>5409</v>
      </c>
      <c r="X704" t="s">
        <v>5449</v>
      </c>
      <c r="Y704" t="s">
        <v>5450</v>
      </c>
      <c r="Z704" t="s">
        <v>5426</v>
      </c>
      <c r="AA704" t="s">
        <v>5413</v>
      </c>
      <c r="AB704" t="s">
        <v>5414</v>
      </c>
      <c r="AC704" t="s">
        <v>5414</v>
      </c>
      <c r="AD704" t="s">
        <v>5414</v>
      </c>
      <c r="AG704" t="s">
        <v>5427</v>
      </c>
      <c r="AI704" t="s">
        <v>5451</v>
      </c>
      <c r="AJ704" t="s">
        <v>5485</v>
      </c>
      <c r="AL704" t="s">
        <v>5418</v>
      </c>
      <c r="AN704" t="s">
        <v>5419</v>
      </c>
    </row>
    <row r="705" spans="1:41" x14ac:dyDescent="0.25">
      <c r="A705">
        <v>1090139758</v>
      </c>
      <c r="B705" t="s">
        <v>5399</v>
      </c>
      <c r="C705">
        <v>252406</v>
      </c>
      <c r="D705" t="s">
        <v>5400</v>
      </c>
      <c r="E705">
        <v>46234.843541666669</v>
      </c>
      <c r="F705" t="s">
        <v>5635</v>
      </c>
      <c r="G705" t="s">
        <v>3668</v>
      </c>
      <c r="H705" t="s">
        <v>5453</v>
      </c>
      <c r="I705" t="s">
        <v>5403</v>
      </c>
      <c r="J705">
        <v>2026</v>
      </c>
      <c r="K705" t="s">
        <v>5636</v>
      </c>
      <c r="L705" t="s">
        <v>5637</v>
      </c>
      <c r="M705" t="s">
        <v>5406</v>
      </c>
      <c r="N705" s="1" t="s">
        <v>4565</v>
      </c>
      <c r="O705">
        <v>35.08</v>
      </c>
      <c r="P705">
        <v>4.59</v>
      </c>
      <c r="Q705">
        <v>13568</v>
      </c>
      <c r="R705">
        <v>213</v>
      </c>
      <c r="S705">
        <v>6.07</v>
      </c>
      <c r="T705" s="8">
        <v>161.02000000000001</v>
      </c>
      <c r="U705">
        <v>11289550</v>
      </c>
      <c r="V705" t="s">
        <v>5565</v>
      </c>
      <c r="W705" t="s">
        <v>5409</v>
      </c>
      <c r="X705" t="s">
        <v>5566</v>
      </c>
      <c r="Y705" t="s">
        <v>5458</v>
      </c>
      <c r="Z705" t="s">
        <v>5426</v>
      </c>
      <c r="AA705" t="s">
        <v>5413</v>
      </c>
      <c r="AB705" t="s">
        <v>5414</v>
      </c>
      <c r="AC705" t="s">
        <v>5414</v>
      </c>
      <c r="AD705" t="s">
        <v>5414</v>
      </c>
      <c r="AG705" t="s">
        <v>5415</v>
      </c>
      <c r="AI705" t="s">
        <v>5460</v>
      </c>
      <c r="AJ705" t="s">
        <v>5638</v>
      </c>
      <c r="AL705" t="s">
        <v>5418</v>
      </c>
      <c r="AN705" t="s">
        <v>5419</v>
      </c>
    </row>
    <row r="706" spans="1:41" x14ac:dyDescent="0.25">
      <c r="A706">
        <v>1090143198</v>
      </c>
      <c r="B706" t="s">
        <v>5399</v>
      </c>
      <c r="C706">
        <v>252406</v>
      </c>
      <c r="D706" t="s">
        <v>5400</v>
      </c>
      <c r="E706">
        <v>46234.856469907405</v>
      </c>
      <c r="F706" t="s">
        <v>5847</v>
      </c>
      <c r="G706" t="s">
        <v>3668</v>
      </c>
      <c r="H706" t="s">
        <v>5421</v>
      </c>
      <c r="I706" t="s">
        <v>5403</v>
      </c>
      <c r="J706">
        <v>2027</v>
      </c>
      <c r="K706" t="s">
        <v>5694</v>
      </c>
      <c r="L706" t="s">
        <v>5695</v>
      </c>
      <c r="M706" t="s">
        <v>5406</v>
      </c>
      <c r="N706" s="1" t="s">
        <v>4565</v>
      </c>
      <c r="O706">
        <v>38.07</v>
      </c>
      <c r="P706">
        <v>3.82</v>
      </c>
      <c r="Q706">
        <v>2310</v>
      </c>
      <c r="R706">
        <v>238</v>
      </c>
      <c r="S706">
        <v>6.25</v>
      </c>
      <c r="T706" s="8">
        <v>145.43</v>
      </c>
      <c r="U706">
        <v>490156</v>
      </c>
      <c r="V706" t="s">
        <v>5578</v>
      </c>
      <c r="W706" t="s">
        <v>5409</v>
      </c>
      <c r="X706" t="s">
        <v>5579</v>
      </c>
      <c r="Y706" t="s">
        <v>5458</v>
      </c>
      <c r="Z706" t="s">
        <v>5412</v>
      </c>
      <c r="AA706" t="s">
        <v>5413</v>
      </c>
      <c r="AB706" t="s">
        <v>5414</v>
      </c>
      <c r="AC706" t="s">
        <v>5414</v>
      </c>
      <c r="AD706" t="s">
        <v>5414</v>
      </c>
      <c r="AG706" t="s">
        <v>5415</v>
      </c>
      <c r="AI706" t="s">
        <v>5580</v>
      </c>
      <c r="AJ706" t="s">
        <v>5855</v>
      </c>
      <c r="AL706" t="s">
        <v>5418</v>
      </c>
      <c r="AN706" t="s">
        <v>5419</v>
      </c>
    </row>
    <row r="707" spans="1:41" x14ac:dyDescent="0.25">
      <c r="A707" t="s">
        <v>5950</v>
      </c>
      <c r="B707" t="s">
        <v>5403</v>
      </c>
      <c r="C707" t="s">
        <v>5403</v>
      </c>
      <c r="D707" t="s">
        <v>5403</v>
      </c>
      <c r="E707" t="s">
        <v>5403</v>
      </c>
      <c r="F707" t="s">
        <v>5403</v>
      </c>
      <c r="G707" t="s">
        <v>5403</v>
      </c>
      <c r="H707" t="s">
        <v>5403</v>
      </c>
      <c r="I707" t="s">
        <v>5403</v>
      </c>
      <c r="J707" t="s">
        <v>5403</v>
      </c>
      <c r="K707" t="s">
        <v>5403</v>
      </c>
      <c r="L707" t="s">
        <v>5403</v>
      </c>
      <c r="M707" t="s">
        <v>5403</v>
      </c>
      <c r="N707" s="1" t="s">
        <v>5403</v>
      </c>
      <c r="P707" t="s">
        <v>5403</v>
      </c>
      <c r="Q707" t="s">
        <v>5403</v>
      </c>
      <c r="R707" t="s">
        <v>5403</v>
      </c>
      <c r="S707" t="s">
        <v>5403</v>
      </c>
      <c r="T707" s="8"/>
      <c r="U707" t="s">
        <v>5403</v>
      </c>
      <c r="V707" t="s">
        <v>5403</v>
      </c>
      <c r="W707" t="s">
        <v>5403</v>
      </c>
      <c r="X707" t="s">
        <v>5403</v>
      </c>
      <c r="Y707" t="s">
        <v>5403</v>
      </c>
      <c r="Z707" t="s">
        <v>5403</v>
      </c>
      <c r="AA707" t="s">
        <v>5403</v>
      </c>
      <c r="AB707" t="s">
        <v>5403</v>
      </c>
      <c r="AC707" t="s">
        <v>5403</v>
      </c>
      <c r="AD707" t="s">
        <v>5403</v>
      </c>
      <c r="AE707" t="s">
        <v>5403</v>
      </c>
      <c r="AF707" t="s">
        <v>5403</v>
      </c>
      <c r="AG707" t="s">
        <v>5403</v>
      </c>
      <c r="AH707" t="s">
        <v>5403</v>
      </c>
      <c r="AI707" t="s">
        <v>5403</v>
      </c>
      <c r="AJ707" t="s">
        <v>5403</v>
      </c>
      <c r="AK707" t="s">
        <v>5403</v>
      </c>
      <c r="AL707" t="s">
        <v>5403</v>
      </c>
      <c r="AM707" t="s">
        <v>5403</v>
      </c>
      <c r="AN707" t="s">
        <v>5403</v>
      </c>
      <c r="AO707" t="s">
        <v>5403</v>
      </c>
    </row>
    <row r="708" spans="1:41" x14ac:dyDescent="0.25">
      <c r="N708" s="1">
        <f>SUBTOTAL(103,Tabela5[TIPO COMBUSTIVEL])</f>
        <v>706</v>
      </c>
      <c r="O708" s="10">
        <f>SUBTOTAL(109,Tabela5[LITROS])</f>
        <v>25522.33999999996</v>
      </c>
      <c r="P708">
        <f>SUBTOTAL(101,Tabela5[VL/LITRO])</f>
        <v>4.2332297872340465</v>
      </c>
      <c r="T708" s="9">
        <f>SUBTOTAL(109,Tabela5[VALOR EMISSAO])</f>
        <v>107900.61000000007</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C232-7D9C-4DF0-97C7-0B697163218D}">
  <dimension ref="A1:J52"/>
  <sheetViews>
    <sheetView topLeftCell="A25" workbookViewId="0">
      <selection activeCell="P11" sqref="P11"/>
    </sheetView>
  </sheetViews>
  <sheetFormatPr defaultRowHeight="15" x14ac:dyDescent="0.25"/>
  <cols>
    <col min="1" max="1" width="13.140625" style="1" customWidth="1"/>
    <col min="2" max="2" width="15.5703125" style="1" bestFit="1" customWidth="1"/>
    <col min="3" max="3" width="13.28515625" style="1" customWidth="1"/>
    <col min="4" max="4" width="9.140625" style="1"/>
    <col min="5" max="5" width="12.5703125" style="1" customWidth="1"/>
    <col min="6" max="6" width="9.140625" style="1"/>
    <col min="7" max="7" width="15.5703125" style="1" customWidth="1"/>
    <col min="8" max="8" width="9.140625" style="1"/>
    <col min="9" max="9" width="13.5703125" style="1" customWidth="1"/>
    <col min="10" max="10" width="12.42578125" style="1" customWidth="1"/>
    <col min="11" max="16384" width="9.140625" style="1"/>
  </cols>
  <sheetData>
    <row r="1" spans="1:10" x14ac:dyDescent="0.25">
      <c r="A1" s="1" t="s">
        <v>918</v>
      </c>
      <c r="B1" s="1" t="s">
        <v>5294</v>
      </c>
      <c r="C1" s="1" t="s">
        <v>5295</v>
      </c>
      <c r="D1" s="1" t="s">
        <v>5951</v>
      </c>
      <c r="E1" s="1" t="s">
        <v>5952</v>
      </c>
      <c r="F1" s="1" t="s">
        <v>5953</v>
      </c>
      <c r="G1" s="1" t="s">
        <v>5954</v>
      </c>
      <c r="H1" s="1" t="s">
        <v>5955</v>
      </c>
      <c r="I1" s="1" t="s">
        <v>5297</v>
      </c>
      <c r="J1" s="1" t="s">
        <v>5956</v>
      </c>
    </row>
    <row r="2" spans="1:10" x14ac:dyDescent="0.25">
      <c r="A2" s="1" t="s">
        <v>5957</v>
      </c>
      <c r="B2" s="11">
        <v>46204.62222222222</v>
      </c>
      <c r="C2" s="1">
        <v>209069</v>
      </c>
      <c r="D2" s="1">
        <v>0</v>
      </c>
      <c r="E2" s="1">
        <v>30750</v>
      </c>
      <c r="F2" s="1">
        <v>232</v>
      </c>
      <c r="G2" s="1">
        <v>410</v>
      </c>
      <c r="H2" s="1">
        <v>0</v>
      </c>
      <c r="I2" s="1">
        <v>5000</v>
      </c>
      <c r="J2" s="1">
        <v>6.15</v>
      </c>
    </row>
    <row r="3" spans="1:10" x14ac:dyDescent="0.25">
      <c r="A3" s="1" t="s">
        <v>5957</v>
      </c>
      <c r="B3" s="11">
        <v>46205.46875</v>
      </c>
      <c r="C3" s="1">
        <v>209143</v>
      </c>
      <c r="D3" s="1">
        <v>0</v>
      </c>
      <c r="E3" s="1">
        <v>18450</v>
      </c>
      <c r="F3" s="1">
        <v>232</v>
      </c>
      <c r="G3" s="1">
        <v>410</v>
      </c>
      <c r="H3" s="1">
        <v>0</v>
      </c>
      <c r="I3" s="1">
        <v>3000</v>
      </c>
      <c r="J3" s="1">
        <v>6.15</v>
      </c>
    </row>
    <row r="4" spans="1:10" x14ac:dyDescent="0.25">
      <c r="A4" s="1" t="s">
        <v>5957</v>
      </c>
      <c r="B4" s="11">
        <v>46207.436805555553</v>
      </c>
      <c r="C4" s="1">
        <v>209205</v>
      </c>
      <c r="D4" s="1">
        <v>0</v>
      </c>
      <c r="E4" s="1">
        <v>6150</v>
      </c>
      <c r="F4" s="1">
        <v>129</v>
      </c>
      <c r="G4" s="1">
        <v>410</v>
      </c>
      <c r="H4" s="1">
        <v>0</v>
      </c>
      <c r="I4" s="1">
        <v>1000</v>
      </c>
      <c r="J4" s="1">
        <v>6.15</v>
      </c>
    </row>
    <row r="5" spans="1:10" x14ac:dyDescent="0.25">
      <c r="A5" s="1" t="s">
        <v>5957</v>
      </c>
      <c r="B5" s="11">
        <v>46207.445138888892</v>
      </c>
      <c r="C5" s="1">
        <v>209209</v>
      </c>
      <c r="D5" s="1">
        <v>0</v>
      </c>
      <c r="E5" s="1">
        <v>30750</v>
      </c>
      <c r="F5" s="1">
        <v>232</v>
      </c>
      <c r="G5" s="1">
        <v>410</v>
      </c>
      <c r="H5" s="1">
        <v>0</v>
      </c>
      <c r="I5" s="1">
        <v>5000</v>
      </c>
      <c r="J5" s="1">
        <v>6.15</v>
      </c>
    </row>
    <row r="6" spans="1:10" x14ac:dyDescent="0.25">
      <c r="A6" s="1" t="s">
        <v>5958</v>
      </c>
      <c r="B6" s="11">
        <v>46208.445833333331</v>
      </c>
      <c r="C6" s="1">
        <v>62975</v>
      </c>
      <c r="D6" s="1">
        <v>0</v>
      </c>
      <c r="E6" s="1">
        <v>6420</v>
      </c>
      <c r="F6" s="1">
        <v>232</v>
      </c>
      <c r="G6" s="1">
        <v>410</v>
      </c>
      <c r="H6" s="1">
        <v>0</v>
      </c>
      <c r="I6" s="1">
        <v>1000</v>
      </c>
      <c r="J6" s="1">
        <v>6.42</v>
      </c>
    </row>
    <row r="7" spans="1:10" x14ac:dyDescent="0.25">
      <c r="A7" s="1" t="s">
        <v>5958</v>
      </c>
      <c r="B7" s="11">
        <v>46208.446527777778</v>
      </c>
      <c r="C7" s="1">
        <v>62976</v>
      </c>
      <c r="D7" s="1">
        <v>0</v>
      </c>
      <c r="E7" s="1">
        <v>6420</v>
      </c>
      <c r="F7" s="1">
        <v>232</v>
      </c>
      <c r="G7" s="1">
        <v>410</v>
      </c>
      <c r="H7" s="1">
        <v>0</v>
      </c>
      <c r="I7" s="1">
        <v>1000</v>
      </c>
      <c r="J7" s="1">
        <v>6.42</v>
      </c>
    </row>
    <row r="8" spans="1:10" x14ac:dyDescent="0.25">
      <c r="A8" s="1" t="s">
        <v>5957</v>
      </c>
      <c r="B8" s="11">
        <v>46209.470833333333</v>
      </c>
      <c r="C8" s="1">
        <v>209271</v>
      </c>
      <c r="D8" s="1">
        <v>0</v>
      </c>
      <c r="E8" s="1">
        <v>24600</v>
      </c>
      <c r="F8" s="1">
        <v>232</v>
      </c>
      <c r="G8" s="1">
        <v>410</v>
      </c>
      <c r="H8" s="1">
        <v>0</v>
      </c>
      <c r="I8" s="1">
        <v>4000</v>
      </c>
      <c r="J8" s="1">
        <v>6.15</v>
      </c>
    </row>
    <row r="9" spans="1:10" x14ac:dyDescent="0.25">
      <c r="A9" s="1" t="s">
        <v>5957</v>
      </c>
      <c r="B9" s="11">
        <v>46210.405555555553</v>
      </c>
      <c r="C9" s="1">
        <v>209332</v>
      </c>
      <c r="D9" s="1">
        <v>0</v>
      </c>
      <c r="E9" s="1">
        <v>18450</v>
      </c>
      <c r="F9" s="1">
        <v>232</v>
      </c>
      <c r="G9" s="1">
        <v>410</v>
      </c>
      <c r="H9" s="1">
        <v>0</v>
      </c>
      <c r="I9" s="1">
        <v>3000</v>
      </c>
      <c r="J9" s="1">
        <v>6.15</v>
      </c>
    </row>
    <row r="10" spans="1:10" x14ac:dyDescent="0.25">
      <c r="A10" s="1" t="s">
        <v>5957</v>
      </c>
      <c r="B10" s="11">
        <v>46211.504861111112</v>
      </c>
      <c r="C10" s="1">
        <v>209400</v>
      </c>
      <c r="D10" s="1">
        <v>0</v>
      </c>
      <c r="E10" s="1">
        <v>18450</v>
      </c>
      <c r="F10" s="1">
        <v>232</v>
      </c>
      <c r="G10" s="1">
        <v>410</v>
      </c>
      <c r="H10" s="1">
        <v>0</v>
      </c>
      <c r="I10" s="1">
        <v>3000</v>
      </c>
      <c r="J10" s="1">
        <v>6.15</v>
      </c>
    </row>
    <row r="11" spans="1:10" x14ac:dyDescent="0.25">
      <c r="A11" s="1" t="s">
        <v>5959</v>
      </c>
      <c r="B11" s="11">
        <v>46211.673611111109</v>
      </c>
      <c r="C11" s="1">
        <v>98271</v>
      </c>
      <c r="D11" s="1">
        <v>0</v>
      </c>
      <c r="E11" s="1">
        <v>61500</v>
      </c>
      <c r="F11" s="1">
        <v>245</v>
      </c>
      <c r="G11" s="1">
        <v>410</v>
      </c>
      <c r="H11" s="1">
        <v>0</v>
      </c>
      <c r="I11" s="1">
        <v>10000</v>
      </c>
      <c r="J11" s="1">
        <v>6.15</v>
      </c>
    </row>
    <row r="12" spans="1:10" x14ac:dyDescent="0.25">
      <c r="A12" s="1" t="s">
        <v>5957</v>
      </c>
      <c r="B12" s="11">
        <v>46212.390277777777</v>
      </c>
      <c r="C12" s="1">
        <v>209521</v>
      </c>
      <c r="D12" s="1">
        <v>0</v>
      </c>
      <c r="E12" s="1">
        <v>9225</v>
      </c>
      <c r="F12" s="1">
        <v>129</v>
      </c>
      <c r="G12" s="1">
        <v>410</v>
      </c>
      <c r="H12" s="1">
        <v>0</v>
      </c>
      <c r="I12" s="1">
        <v>1500</v>
      </c>
      <c r="J12" s="1">
        <v>6.15</v>
      </c>
    </row>
    <row r="13" spans="1:10" x14ac:dyDescent="0.25">
      <c r="A13" s="1" t="s">
        <v>5957</v>
      </c>
      <c r="B13" s="11">
        <v>46212.432638888888</v>
      </c>
      <c r="C13" s="1">
        <v>209479</v>
      </c>
      <c r="D13" s="1">
        <v>0</v>
      </c>
      <c r="E13" s="1">
        <v>18450</v>
      </c>
      <c r="F13" s="1">
        <v>232</v>
      </c>
      <c r="G13" s="1">
        <v>410</v>
      </c>
      <c r="H13" s="1">
        <v>0</v>
      </c>
      <c r="I13" s="1">
        <v>3000</v>
      </c>
      <c r="J13" s="1">
        <v>6.15</v>
      </c>
    </row>
    <row r="14" spans="1:10" x14ac:dyDescent="0.25">
      <c r="A14" s="1" t="s">
        <v>5957</v>
      </c>
      <c r="B14" s="11">
        <v>46213.448611111111</v>
      </c>
      <c r="C14" s="1">
        <v>209550</v>
      </c>
      <c r="D14" s="1">
        <v>0</v>
      </c>
      <c r="E14" s="1">
        <v>24600</v>
      </c>
      <c r="F14" s="1">
        <v>232</v>
      </c>
      <c r="G14" s="1">
        <v>410</v>
      </c>
      <c r="H14" s="1">
        <v>0</v>
      </c>
      <c r="I14" s="1">
        <v>4000</v>
      </c>
      <c r="J14" s="1">
        <v>6.15</v>
      </c>
    </row>
    <row r="15" spans="1:10" x14ac:dyDescent="0.25">
      <c r="A15" s="1" t="s">
        <v>5957</v>
      </c>
      <c r="B15" s="11">
        <v>46214.402083333334</v>
      </c>
      <c r="C15" s="1">
        <v>209609</v>
      </c>
      <c r="D15" s="1">
        <v>0</v>
      </c>
      <c r="E15" s="1">
        <v>18450</v>
      </c>
      <c r="F15" s="1">
        <v>232</v>
      </c>
      <c r="G15" s="1">
        <v>410</v>
      </c>
      <c r="H15" s="1">
        <v>0</v>
      </c>
      <c r="I15" s="1">
        <v>3000</v>
      </c>
      <c r="J15" s="1">
        <v>6.15</v>
      </c>
    </row>
    <row r="16" spans="1:10" x14ac:dyDescent="0.25">
      <c r="A16" s="1" t="s">
        <v>5957</v>
      </c>
      <c r="B16" s="11">
        <v>46214.681944444441</v>
      </c>
      <c r="C16" s="1">
        <v>209614</v>
      </c>
      <c r="D16" s="1">
        <v>0</v>
      </c>
      <c r="E16" s="1">
        <v>9255</v>
      </c>
      <c r="F16" s="1">
        <v>129</v>
      </c>
      <c r="G16" s="1">
        <v>410</v>
      </c>
      <c r="H16" s="1">
        <v>0</v>
      </c>
      <c r="I16" s="1">
        <v>1500</v>
      </c>
      <c r="J16" s="1">
        <v>6.15</v>
      </c>
    </row>
    <row r="17" spans="1:10" x14ac:dyDescent="0.25">
      <c r="A17" s="1" t="s">
        <v>5957</v>
      </c>
      <c r="B17" s="11">
        <v>46215.488194444442</v>
      </c>
      <c r="C17" s="1">
        <v>209615</v>
      </c>
      <c r="D17" s="1">
        <v>0</v>
      </c>
      <c r="E17" s="1">
        <v>12300</v>
      </c>
      <c r="F17" s="1">
        <v>232</v>
      </c>
      <c r="G17" s="1">
        <v>410</v>
      </c>
      <c r="H17" s="1">
        <v>0</v>
      </c>
      <c r="I17" s="1">
        <v>2000</v>
      </c>
      <c r="J17" s="1">
        <v>6.15</v>
      </c>
    </row>
    <row r="18" spans="1:10" x14ac:dyDescent="0.25">
      <c r="A18" s="1" t="s">
        <v>5957</v>
      </c>
      <c r="B18" s="11">
        <v>46216.478472222225</v>
      </c>
      <c r="C18" s="1">
        <v>209659</v>
      </c>
      <c r="D18" s="1">
        <v>0</v>
      </c>
      <c r="E18" s="1">
        <v>12300</v>
      </c>
      <c r="F18" s="1">
        <v>232</v>
      </c>
      <c r="G18" s="1">
        <v>410</v>
      </c>
      <c r="H18" s="1">
        <v>0</v>
      </c>
      <c r="I18" s="1">
        <v>2000</v>
      </c>
      <c r="J18" s="1">
        <v>6.15</v>
      </c>
    </row>
    <row r="19" spans="1:10" x14ac:dyDescent="0.25">
      <c r="A19" s="1" t="s">
        <v>5959</v>
      </c>
      <c r="B19" s="11">
        <v>46216.491666666669</v>
      </c>
      <c r="C19" s="1">
        <v>98348</v>
      </c>
      <c r="D19" s="1">
        <v>0</v>
      </c>
      <c r="E19" s="1">
        <v>61500</v>
      </c>
      <c r="F19" s="1">
        <v>246</v>
      </c>
      <c r="G19" s="1">
        <v>410</v>
      </c>
      <c r="H19" s="1">
        <v>0</v>
      </c>
      <c r="I19" s="1">
        <v>10000</v>
      </c>
      <c r="J19" s="1">
        <v>6.15</v>
      </c>
    </row>
    <row r="20" spans="1:10" x14ac:dyDescent="0.25">
      <c r="A20" s="1" t="s">
        <v>5959</v>
      </c>
      <c r="B20" s="11">
        <v>46216.493055555555</v>
      </c>
      <c r="C20" s="1">
        <v>98347</v>
      </c>
      <c r="D20" s="1">
        <v>0</v>
      </c>
      <c r="E20" s="1">
        <v>30750</v>
      </c>
      <c r="F20" s="1">
        <v>246</v>
      </c>
      <c r="G20" s="1">
        <v>410</v>
      </c>
      <c r="H20" s="1">
        <v>0</v>
      </c>
      <c r="I20" s="1">
        <v>5000</v>
      </c>
      <c r="J20" s="1">
        <v>6.15</v>
      </c>
    </row>
    <row r="21" spans="1:10" x14ac:dyDescent="0.25">
      <c r="A21" s="1" t="s">
        <v>5957</v>
      </c>
      <c r="B21" s="11">
        <v>46217.606249999997</v>
      </c>
      <c r="C21" s="1">
        <v>209733</v>
      </c>
      <c r="D21" s="1">
        <v>0</v>
      </c>
      <c r="E21" s="1">
        <v>18450</v>
      </c>
      <c r="F21" s="1">
        <v>232</v>
      </c>
      <c r="G21" s="1">
        <v>410</v>
      </c>
      <c r="H21" s="1">
        <v>0</v>
      </c>
      <c r="I21" s="1">
        <v>3000</v>
      </c>
      <c r="J21" s="1">
        <v>6.15</v>
      </c>
    </row>
    <row r="22" spans="1:10" x14ac:dyDescent="0.25">
      <c r="A22" s="1" t="s">
        <v>5957</v>
      </c>
      <c r="B22" s="11">
        <v>46218.509027777778</v>
      </c>
      <c r="C22" s="1">
        <v>209793</v>
      </c>
      <c r="D22" s="1">
        <v>0</v>
      </c>
      <c r="E22" s="1">
        <v>27675</v>
      </c>
      <c r="F22" s="1">
        <v>232</v>
      </c>
      <c r="G22" s="1">
        <v>410</v>
      </c>
      <c r="H22" s="1">
        <v>0</v>
      </c>
      <c r="I22" s="1">
        <v>4500</v>
      </c>
      <c r="J22" s="1">
        <v>6.15</v>
      </c>
    </row>
    <row r="23" spans="1:10" x14ac:dyDescent="0.25">
      <c r="A23" s="1" t="s">
        <v>5957</v>
      </c>
      <c r="B23" s="11">
        <v>46218.645138888889</v>
      </c>
      <c r="C23" s="1">
        <v>209771</v>
      </c>
      <c r="D23" s="1">
        <v>0</v>
      </c>
      <c r="E23" s="1">
        <v>8007.3</v>
      </c>
      <c r="F23" s="1">
        <v>129</v>
      </c>
      <c r="G23" s="1">
        <v>410</v>
      </c>
      <c r="H23" s="1">
        <v>0</v>
      </c>
      <c r="I23" s="1">
        <v>1302</v>
      </c>
      <c r="J23" s="1">
        <v>6.15</v>
      </c>
    </row>
    <row r="24" spans="1:10" x14ac:dyDescent="0.25">
      <c r="A24" s="1" t="s">
        <v>5957</v>
      </c>
      <c r="B24" s="11">
        <v>46219.37777777778</v>
      </c>
      <c r="C24" s="1">
        <v>209883</v>
      </c>
      <c r="D24" s="1">
        <v>0</v>
      </c>
      <c r="E24" s="1">
        <v>18450</v>
      </c>
      <c r="F24" s="1">
        <v>232</v>
      </c>
      <c r="G24" s="1">
        <v>410</v>
      </c>
      <c r="H24" s="1">
        <v>0</v>
      </c>
      <c r="I24" s="1">
        <v>3000</v>
      </c>
      <c r="J24" s="1">
        <v>6.15</v>
      </c>
    </row>
    <row r="25" spans="1:10" x14ac:dyDescent="0.25">
      <c r="A25" s="1" t="s">
        <v>5960</v>
      </c>
      <c r="B25" s="11">
        <v>46219.42291666667</v>
      </c>
      <c r="C25" s="1">
        <v>35709</v>
      </c>
      <c r="D25" s="1">
        <v>0</v>
      </c>
      <c r="E25" s="1">
        <v>9655.5</v>
      </c>
      <c r="F25" s="1">
        <v>129</v>
      </c>
      <c r="G25" s="1">
        <v>410</v>
      </c>
      <c r="H25" s="1">
        <v>0</v>
      </c>
      <c r="I25" s="1">
        <v>1570</v>
      </c>
      <c r="J25" s="1">
        <v>6.15</v>
      </c>
    </row>
    <row r="26" spans="1:10" x14ac:dyDescent="0.25">
      <c r="A26" s="1" t="s">
        <v>5960</v>
      </c>
      <c r="B26" s="11">
        <v>46220.440972222219</v>
      </c>
      <c r="C26" s="1">
        <v>35720</v>
      </c>
      <c r="D26" s="1">
        <v>0</v>
      </c>
      <c r="E26" s="1">
        <v>18450</v>
      </c>
      <c r="F26" s="1">
        <v>232</v>
      </c>
      <c r="G26" s="1">
        <v>410</v>
      </c>
      <c r="H26" s="1">
        <v>0</v>
      </c>
      <c r="I26" s="1">
        <v>3000</v>
      </c>
      <c r="J26" s="1">
        <v>6.15</v>
      </c>
    </row>
    <row r="27" spans="1:10" x14ac:dyDescent="0.25">
      <c r="A27" s="1" t="s">
        <v>5959</v>
      </c>
      <c r="B27" s="11">
        <v>46220.618055555555</v>
      </c>
      <c r="C27" s="1">
        <v>98457</v>
      </c>
      <c r="D27" s="1">
        <v>0</v>
      </c>
      <c r="E27" s="1">
        <v>62000</v>
      </c>
      <c r="F27" s="1">
        <v>245</v>
      </c>
      <c r="G27" s="1">
        <v>410</v>
      </c>
      <c r="H27" s="1">
        <v>0</v>
      </c>
      <c r="I27" s="1">
        <v>10000</v>
      </c>
      <c r="J27" s="1">
        <v>6.2</v>
      </c>
    </row>
    <row r="28" spans="1:10" x14ac:dyDescent="0.25">
      <c r="A28" s="1" t="s">
        <v>5960</v>
      </c>
      <c r="B28" s="11">
        <v>46221.449305555558</v>
      </c>
      <c r="C28" s="1">
        <v>35754</v>
      </c>
      <c r="D28" s="1">
        <v>0</v>
      </c>
      <c r="E28" s="1">
        <v>18450</v>
      </c>
      <c r="F28" s="1">
        <v>232</v>
      </c>
      <c r="G28" s="1">
        <v>410</v>
      </c>
      <c r="H28" s="1">
        <v>0</v>
      </c>
      <c r="I28" s="1">
        <v>3000</v>
      </c>
      <c r="J28" s="1">
        <v>6.15</v>
      </c>
    </row>
    <row r="29" spans="1:10" x14ac:dyDescent="0.25">
      <c r="A29" s="1" t="s">
        <v>5961</v>
      </c>
      <c r="B29" s="11">
        <v>46222.329861111109</v>
      </c>
      <c r="C29" s="1">
        <v>108745975</v>
      </c>
      <c r="D29" s="1">
        <v>1</v>
      </c>
      <c r="E29" s="1">
        <v>6990.14</v>
      </c>
      <c r="F29" s="1">
        <v>129</v>
      </c>
      <c r="G29" s="1">
        <v>410</v>
      </c>
      <c r="H29" s="1">
        <v>0</v>
      </c>
      <c r="I29" s="1">
        <v>1000.02</v>
      </c>
      <c r="J29" s="1">
        <v>6.99</v>
      </c>
    </row>
    <row r="30" spans="1:10" x14ac:dyDescent="0.25">
      <c r="A30" s="1" t="s">
        <v>5957</v>
      </c>
      <c r="B30" s="11">
        <v>46222.525000000001</v>
      </c>
      <c r="C30" s="1">
        <v>210043</v>
      </c>
      <c r="D30" s="1">
        <v>0</v>
      </c>
      <c r="E30" s="1">
        <v>18900</v>
      </c>
      <c r="F30" s="1">
        <v>232</v>
      </c>
      <c r="G30" s="1">
        <v>410</v>
      </c>
      <c r="H30" s="1">
        <v>0</v>
      </c>
      <c r="I30" s="1">
        <v>3000</v>
      </c>
      <c r="J30" s="1">
        <v>6.3</v>
      </c>
    </row>
    <row r="31" spans="1:10" x14ac:dyDescent="0.25">
      <c r="A31" s="1" t="s">
        <v>5960</v>
      </c>
      <c r="B31" s="11">
        <v>46223.474305555559</v>
      </c>
      <c r="C31" s="1">
        <v>35792</v>
      </c>
      <c r="D31" s="1">
        <v>0</v>
      </c>
      <c r="E31" s="1">
        <v>12500</v>
      </c>
      <c r="F31" s="1">
        <v>232</v>
      </c>
      <c r="G31" s="1">
        <v>410</v>
      </c>
      <c r="H31" s="1">
        <v>0</v>
      </c>
      <c r="I31" s="1">
        <v>2000</v>
      </c>
      <c r="J31" s="1">
        <v>6.25</v>
      </c>
    </row>
    <row r="32" spans="1:10" x14ac:dyDescent="0.25">
      <c r="A32" s="1" t="s">
        <v>5959</v>
      </c>
      <c r="B32" s="11">
        <v>46223.773611111108</v>
      </c>
      <c r="C32" s="1">
        <v>95506</v>
      </c>
      <c r="D32" s="1">
        <v>0</v>
      </c>
      <c r="E32" s="1">
        <v>31550</v>
      </c>
      <c r="F32" s="1">
        <v>246</v>
      </c>
      <c r="G32" s="1">
        <v>410</v>
      </c>
      <c r="H32" s="1">
        <v>0</v>
      </c>
      <c r="I32" s="1">
        <v>5000</v>
      </c>
      <c r="J32" s="1">
        <v>6.31</v>
      </c>
    </row>
    <row r="33" spans="1:10" x14ac:dyDescent="0.25">
      <c r="A33" s="1" t="s">
        <v>5959</v>
      </c>
      <c r="B33" s="11">
        <v>46223.775000000001</v>
      </c>
      <c r="C33" s="1">
        <v>98507</v>
      </c>
      <c r="D33" s="1">
        <v>0</v>
      </c>
      <c r="E33" s="1">
        <v>63100</v>
      </c>
      <c r="F33" s="1">
        <v>246</v>
      </c>
      <c r="G33" s="1">
        <v>410</v>
      </c>
      <c r="H33" s="1">
        <v>0</v>
      </c>
      <c r="I33" s="1">
        <v>10000</v>
      </c>
      <c r="J33" s="1">
        <v>6.31</v>
      </c>
    </row>
    <row r="34" spans="1:10" x14ac:dyDescent="0.25">
      <c r="A34" s="1" t="s">
        <v>5961</v>
      </c>
      <c r="B34" s="11">
        <v>46223.890277777777</v>
      </c>
      <c r="C34" s="1">
        <v>108776396</v>
      </c>
      <c r="D34" s="1">
        <v>1</v>
      </c>
      <c r="E34" s="1">
        <v>7689</v>
      </c>
      <c r="F34" s="1">
        <v>129</v>
      </c>
      <c r="G34" s="1">
        <v>410</v>
      </c>
      <c r="H34" s="1">
        <v>0</v>
      </c>
      <c r="I34" s="1">
        <v>1100</v>
      </c>
      <c r="J34" s="1">
        <v>6.99</v>
      </c>
    </row>
    <row r="35" spans="1:10" x14ac:dyDescent="0.25">
      <c r="A35" s="1" t="s">
        <v>5960</v>
      </c>
      <c r="B35" s="11">
        <v>46224.481944444444</v>
      </c>
      <c r="C35" s="1">
        <v>35824</v>
      </c>
      <c r="D35" s="1">
        <v>0</v>
      </c>
      <c r="E35" s="1">
        <v>18750</v>
      </c>
      <c r="F35" s="1">
        <v>232</v>
      </c>
      <c r="G35" s="1">
        <v>410</v>
      </c>
      <c r="H35" s="1">
        <v>0</v>
      </c>
      <c r="I35" s="1">
        <v>3000</v>
      </c>
      <c r="J35" s="1">
        <v>6.25</v>
      </c>
    </row>
    <row r="36" spans="1:10" x14ac:dyDescent="0.25">
      <c r="A36" s="1" t="s">
        <v>5960</v>
      </c>
      <c r="B36" s="11">
        <v>46225.423611111109</v>
      </c>
      <c r="C36" s="1">
        <v>35854</v>
      </c>
      <c r="D36" s="1">
        <v>0</v>
      </c>
      <c r="E36" s="1">
        <v>6250</v>
      </c>
      <c r="F36" s="1">
        <v>232</v>
      </c>
      <c r="G36" s="1">
        <v>410</v>
      </c>
      <c r="H36" s="1">
        <v>0</v>
      </c>
      <c r="I36" s="1">
        <v>1000</v>
      </c>
      <c r="J36" s="1">
        <v>6.25</v>
      </c>
    </row>
    <row r="37" spans="1:10" x14ac:dyDescent="0.25">
      <c r="A37" s="1" t="s">
        <v>5960</v>
      </c>
      <c r="B37" s="11">
        <v>46226.600694444445</v>
      </c>
      <c r="C37" s="1">
        <v>35871</v>
      </c>
      <c r="D37" s="1">
        <v>0</v>
      </c>
      <c r="E37" s="1">
        <v>18750</v>
      </c>
      <c r="F37" s="1">
        <v>232</v>
      </c>
      <c r="G37" s="1">
        <v>410</v>
      </c>
      <c r="H37" s="1">
        <v>0</v>
      </c>
      <c r="I37" s="1">
        <v>3000</v>
      </c>
      <c r="J37" s="1">
        <v>6.25</v>
      </c>
    </row>
    <row r="38" spans="1:10" x14ac:dyDescent="0.25">
      <c r="A38" s="1" t="s">
        <v>5960</v>
      </c>
      <c r="B38" s="11">
        <v>46226.621527777781</v>
      </c>
      <c r="C38" s="1">
        <v>35865</v>
      </c>
      <c r="D38" s="1">
        <v>0</v>
      </c>
      <c r="E38" s="1">
        <v>6250</v>
      </c>
      <c r="F38" s="1">
        <v>129</v>
      </c>
      <c r="G38" s="1">
        <v>410</v>
      </c>
      <c r="H38" s="1">
        <v>0</v>
      </c>
      <c r="I38" s="1">
        <v>1000</v>
      </c>
      <c r="J38" s="1">
        <v>6.25</v>
      </c>
    </row>
    <row r="39" spans="1:10" x14ac:dyDescent="0.25">
      <c r="A39" s="1" t="s">
        <v>5959</v>
      </c>
      <c r="B39" s="11">
        <v>46228.603472222225</v>
      </c>
      <c r="C39" s="1">
        <v>98607</v>
      </c>
      <c r="D39" s="1">
        <v>0</v>
      </c>
      <c r="E39" s="1">
        <v>62800</v>
      </c>
      <c r="F39" s="1">
        <v>245</v>
      </c>
      <c r="G39" s="1">
        <v>410</v>
      </c>
      <c r="H39" s="1">
        <v>0</v>
      </c>
      <c r="I39" s="1">
        <v>10000</v>
      </c>
      <c r="J39" s="1">
        <v>6.28</v>
      </c>
    </row>
    <row r="40" spans="1:10" x14ac:dyDescent="0.25">
      <c r="A40" s="1" t="s">
        <v>5960</v>
      </c>
      <c r="B40" s="11">
        <v>46228.673611111109</v>
      </c>
      <c r="C40" s="1">
        <v>35910</v>
      </c>
      <c r="D40" s="1">
        <v>0</v>
      </c>
      <c r="E40" s="1">
        <v>25000</v>
      </c>
      <c r="F40" s="1">
        <v>232</v>
      </c>
      <c r="G40" s="1">
        <v>410</v>
      </c>
      <c r="H40" s="1">
        <v>0</v>
      </c>
      <c r="I40" s="1">
        <v>4000</v>
      </c>
      <c r="J40" s="1">
        <v>6.25</v>
      </c>
    </row>
    <row r="41" spans="1:10" x14ac:dyDescent="0.25">
      <c r="A41" s="1" t="s">
        <v>5957</v>
      </c>
      <c r="B41" s="11">
        <v>46229.76666666667</v>
      </c>
      <c r="C41" s="1">
        <v>210369</v>
      </c>
      <c r="D41" s="1">
        <v>0</v>
      </c>
      <c r="E41" s="1">
        <v>12600</v>
      </c>
      <c r="F41" s="1">
        <v>232</v>
      </c>
      <c r="G41" s="1">
        <v>410</v>
      </c>
      <c r="H41" s="1">
        <v>0</v>
      </c>
      <c r="I41" s="1">
        <v>2000</v>
      </c>
      <c r="J41" s="1">
        <v>6.3</v>
      </c>
    </row>
    <row r="42" spans="1:10" x14ac:dyDescent="0.25">
      <c r="A42" s="1" t="s">
        <v>5960</v>
      </c>
      <c r="B42" s="11">
        <v>46230.436111111114</v>
      </c>
      <c r="C42" s="1">
        <v>35937</v>
      </c>
      <c r="D42" s="1">
        <v>0</v>
      </c>
      <c r="E42" s="1">
        <v>18750</v>
      </c>
      <c r="F42" s="1">
        <v>232</v>
      </c>
      <c r="G42" s="1">
        <v>410</v>
      </c>
      <c r="H42" s="1">
        <v>0</v>
      </c>
      <c r="I42" s="1">
        <v>3000</v>
      </c>
      <c r="J42" s="1">
        <v>6.25</v>
      </c>
    </row>
    <row r="43" spans="1:10" x14ac:dyDescent="0.25">
      <c r="A43" s="1" t="s">
        <v>5960</v>
      </c>
      <c r="B43" s="11">
        <v>46231.62777777778</v>
      </c>
      <c r="C43" s="1">
        <v>35985</v>
      </c>
      <c r="D43" s="1">
        <v>0</v>
      </c>
      <c r="E43" s="1">
        <v>12500</v>
      </c>
      <c r="F43" s="1">
        <v>232</v>
      </c>
      <c r="G43" s="1">
        <v>410</v>
      </c>
      <c r="H43" s="1">
        <v>0</v>
      </c>
      <c r="I43" s="1">
        <v>2000</v>
      </c>
      <c r="J43" s="1">
        <v>6.25</v>
      </c>
    </row>
    <row r="44" spans="1:10" x14ac:dyDescent="0.25">
      <c r="A44" s="1" t="s">
        <v>5961</v>
      </c>
      <c r="B44" s="11">
        <v>46231.885416666664</v>
      </c>
      <c r="C44" s="1">
        <v>108941086</v>
      </c>
      <c r="D44" s="1">
        <v>1</v>
      </c>
      <c r="E44" s="1">
        <v>6990</v>
      </c>
      <c r="F44" s="1">
        <v>129</v>
      </c>
      <c r="G44" s="1">
        <v>410</v>
      </c>
      <c r="H44" s="1">
        <v>0</v>
      </c>
      <c r="I44" s="1">
        <v>1000</v>
      </c>
      <c r="J44" s="1">
        <v>6.99</v>
      </c>
    </row>
    <row r="45" spans="1:10" x14ac:dyDescent="0.25">
      <c r="A45" s="1" t="s">
        <v>5960</v>
      </c>
      <c r="B45" s="11">
        <v>46232.732638888891</v>
      </c>
      <c r="C45" s="1">
        <v>36010</v>
      </c>
      <c r="D45" s="1">
        <v>0</v>
      </c>
      <c r="E45" s="1">
        <v>12500</v>
      </c>
      <c r="F45" s="1">
        <v>232</v>
      </c>
      <c r="G45" s="1">
        <v>410</v>
      </c>
      <c r="H45" s="1">
        <v>0</v>
      </c>
      <c r="I45" s="1">
        <v>2000</v>
      </c>
      <c r="J45" s="1">
        <v>6.25</v>
      </c>
    </row>
    <row r="46" spans="1:10" x14ac:dyDescent="0.25">
      <c r="A46" s="1" t="s">
        <v>5960</v>
      </c>
      <c r="B46" s="11">
        <v>46233.60833333333</v>
      </c>
      <c r="C46" s="1">
        <v>36038</v>
      </c>
      <c r="D46" s="1">
        <v>0</v>
      </c>
      <c r="E46" s="1">
        <v>12500</v>
      </c>
      <c r="F46" s="1">
        <v>232</v>
      </c>
      <c r="G46" s="1">
        <v>410</v>
      </c>
      <c r="H46" s="1">
        <v>0</v>
      </c>
      <c r="I46" s="1">
        <v>2000</v>
      </c>
      <c r="J46" s="1">
        <v>6.25</v>
      </c>
    </row>
    <row r="47" spans="1:10" x14ac:dyDescent="0.25">
      <c r="A47" s="1" t="s">
        <v>5961</v>
      </c>
      <c r="B47" s="11">
        <v>46233.622916666667</v>
      </c>
      <c r="C47" s="1">
        <v>108982300</v>
      </c>
      <c r="D47" s="1">
        <v>1</v>
      </c>
      <c r="E47" s="1">
        <v>12232.5</v>
      </c>
      <c r="F47" s="1">
        <v>129</v>
      </c>
      <c r="G47" s="1">
        <v>410</v>
      </c>
      <c r="H47" s="1">
        <v>0</v>
      </c>
      <c r="I47" s="1">
        <v>1750</v>
      </c>
      <c r="J47" s="1">
        <v>6.99</v>
      </c>
    </row>
    <row r="48" spans="1:10" x14ac:dyDescent="0.25">
      <c r="A48" s="1" t="s">
        <v>5960</v>
      </c>
      <c r="B48" s="11">
        <v>46233.713888888888</v>
      </c>
      <c r="C48" s="1">
        <v>36044</v>
      </c>
      <c r="D48" s="1">
        <v>0</v>
      </c>
      <c r="E48" s="1">
        <v>62800</v>
      </c>
      <c r="F48" s="1">
        <v>246</v>
      </c>
      <c r="G48" s="1">
        <v>410</v>
      </c>
      <c r="H48" s="1">
        <v>0</v>
      </c>
      <c r="I48" s="1">
        <v>10000</v>
      </c>
      <c r="J48" s="1">
        <v>6.28</v>
      </c>
    </row>
    <row r="49" spans="1:10" x14ac:dyDescent="0.25">
      <c r="A49" s="1" t="s">
        <v>5960</v>
      </c>
      <c r="B49" s="11">
        <v>46233.71597222222</v>
      </c>
      <c r="C49" s="1">
        <v>36045</v>
      </c>
      <c r="D49" s="1">
        <v>0</v>
      </c>
      <c r="E49" s="1">
        <v>31400</v>
      </c>
      <c r="F49" s="1">
        <v>246</v>
      </c>
      <c r="G49" s="1">
        <v>410</v>
      </c>
      <c r="H49" s="1">
        <v>0</v>
      </c>
      <c r="I49" s="1">
        <v>5000</v>
      </c>
      <c r="J49" s="1">
        <v>6.28</v>
      </c>
    </row>
    <row r="50" spans="1:10" x14ac:dyDescent="0.25">
      <c r="A50" s="1" t="s">
        <v>5960</v>
      </c>
      <c r="B50" s="11">
        <v>46234.399305555555</v>
      </c>
      <c r="C50" s="1">
        <v>36070</v>
      </c>
      <c r="D50" s="1">
        <v>0</v>
      </c>
      <c r="E50" s="1">
        <v>12500</v>
      </c>
      <c r="F50" s="1">
        <v>232</v>
      </c>
      <c r="G50" s="1">
        <v>410</v>
      </c>
      <c r="H50" s="1">
        <v>0</v>
      </c>
      <c r="I50" s="1">
        <v>2000</v>
      </c>
      <c r="J50" s="1">
        <v>6.25</v>
      </c>
    </row>
    <row r="51" spans="1:10" x14ac:dyDescent="0.25">
      <c r="A51" s="1" t="s">
        <v>5961</v>
      </c>
      <c r="B51" s="11">
        <v>46234.446527777778</v>
      </c>
      <c r="C51" s="1">
        <v>108999016</v>
      </c>
      <c r="D51" s="1">
        <v>1</v>
      </c>
      <c r="E51" s="1">
        <v>7549.2</v>
      </c>
      <c r="F51" s="1">
        <v>129</v>
      </c>
      <c r="G51" s="1">
        <v>410</v>
      </c>
      <c r="H51" s="1">
        <v>0</v>
      </c>
      <c r="I51" s="1">
        <v>1080</v>
      </c>
      <c r="J51" s="1">
        <v>6.99</v>
      </c>
    </row>
    <row r="52" spans="1:10" x14ac:dyDescent="0.25">
      <c r="A52" s="1">
        <f>SUBTOTAL(103,Tabela6[Fornecedor])</f>
        <v>50</v>
      </c>
      <c r="B52" s="11"/>
      <c r="E52" s="1">
        <f>SUBTOTAL(109,Tabela6[Vl Total NF])</f>
        <v>1080758.6399999999</v>
      </c>
      <c r="I52" s="1">
        <f>SUBTOTAL(109,Tabela6[Quantidade])</f>
        <v>173302.02000000002</v>
      </c>
      <c r="J52" s="1">
        <f>SUBTOTAL(101,Tabela6[Valor Unit.])</f>
        <v>6.288000000000002</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FA2F-4632-49E3-9188-991BD2BF60CE}">
  <sheetPr>
    <pageSetUpPr fitToPage="1"/>
  </sheetPr>
  <dimension ref="A1:M161"/>
  <sheetViews>
    <sheetView zoomScale="120" zoomScaleNormal="120" workbookViewId="0">
      <pane ySplit="3" topLeftCell="A148" activePane="bottomLeft" state="frozen"/>
      <selection pane="bottomLeft" activeCell="A158" sqref="A158"/>
    </sheetView>
  </sheetViews>
  <sheetFormatPr defaultColWidth="14" defaultRowHeight="15" customHeight="1" x14ac:dyDescent="0.2"/>
  <cols>
    <col min="1" max="1" width="59.140625" style="20" bestFit="1" customWidth="1"/>
    <col min="2" max="2" width="14.28515625" style="61" bestFit="1" customWidth="1"/>
    <col min="3" max="3" width="16" style="20" bestFit="1" customWidth="1"/>
    <col min="4" max="4" width="13.28515625" style="20" bestFit="1" customWidth="1"/>
    <col min="5" max="5" width="15.85546875" style="20" bestFit="1" customWidth="1"/>
    <col min="6" max="6" width="13" style="20" bestFit="1" customWidth="1"/>
    <col min="7" max="7" width="18.42578125" style="20" bestFit="1" customWidth="1"/>
    <col min="8" max="8" width="13.5703125" style="20" bestFit="1" customWidth="1"/>
    <col min="9" max="9" width="16.5703125" style="20" customWidth="1"/>
    <col min="10" max="10" width="11.42578125" style="20" bestFit="1" customWidth="1"/>
    <col min="11" max="11" width="16.42578125" style="72" bestFit="1" customWidth="1"/>
    <col min="12" max="12" width="2.140625" style="20" customWidth="1"/>
    <col min="13" max="16384" width="14" style="20"/>
  </cols>
  <sheetData>
    <row r="1" spans="1:11" ht="31.5" customHeight="1" thickBot="1" x14ac:dyDescent="0.3">
      <c r="A1" s="12" t="s">
        <v>5962</v>
      </c>
      <c r="B1" s="13" t="s">
        <v>5963</v>
      </c>
      <c r="C1" s="14"/>
      <c r="D1" s="15" t="s">
        <v>5964</v>
      </c>
      <c r="E1" s="16"/>
      <c r="F1" s="17" t="s">
        <v>5965</v>
      </c>
      <c r="G1" s="18"/>
      <c r="H1" s="18"/>
      <c r="I1" s="18"/>
      <c r="J1" s="18"/>
      <c r="K1" s="19"/>
    </row>
    <row r="2" spans="1:11" ht="25.35" customHeight="1" thickBot="1" x14ac:dyDescent="0.3">
      <c r="A2" s="21"/>
      <c r="B2" s="13" t="s">
        <v>5966</v>
      </c>
      <c r="C2" s="14"/>
      <c r="D2" s="22" t="s">
        <v>5967</v>
      </c>
      <c r="E2" s="23"/>
      <c r="F2" s="24" t="s">
        <v>5968</v>
      </c>
      <c r="G2" s="25"/>
      <c r="H2" s="26" t="s">
        <v>5969</v>
      </c>
      <c r="I2" s="27" t="s">
        <v>5970</v>
      </c>
      <c r="K2" s="28"/>
    </row>
    <row r="3" spans="1:11" ht="30.75" thickBot="1" x14ac:dyDescent="0.3">
      <c r="A3" s="29" t="s">
        <v>5971</v>
      </c>
      <c r="B3" s="30" t="s">
        <v>5972</v>
      </c>
      <c r="C3" s="31" t="s">
        <v>5973</v>
      </c>
      <c r="D3" s="32" t="s">
        <v>5974</v>
      </c>
      <c r="E3" s="33" t="s">
        <v>5975</v>
      </c>
      <c r="F3" s="34" t="s">
        <v>5976</v>
      </c>
      <c r="G3" s="35" t="s">
        <v>5977</v>
      </c>
      <c r="H3" s="36" t="s">
        <v>5978</v>
      </c>
      <c r="I3" s="37" t="s">
        <v>5979</v>
      </c>
      <c r="J3" s="38" t="s">
        <v>5980</v>
      </c>
      <c r="K3" s="39" t="s">
        <v>5981</v>
      </c>
    </row>
    <row r="4" spans="1:11" x14ac:dyDescent="0.25">
      <c r="A4" s="40" t="s">
        <v>5982</v>
      </c>
      <c r="B4" s="41" t="s">
        <v>5983</v>
      </c>
      <c r="C4" s="42">
        <v>3.4</v>
      </c>
      <c r="D4" s="43">
        <v>700</v>
      </c>
      <c r="E4" s="44">
        <f t="shared" ref="E4:E67" si="0">C4*D4</f>
        <v>2380</v>
      </c>
      <c r="F4" s="45">
        <v>800</v>
      </c>
      <c r="G4" s="46">
        <f t="shared" ref="G4:G67" si="1">IFERROR(C4*F4,"")</f>
        <v>2720</v>
      </c>
      <c r="H4" s="47">
        <v>1000</v>
      </c>
      <c r="I4" s="48">
        <f t="shared" ref="I4:I67" si="2">IFERROR(C4*H4,"")</f>
        <v>3400</v>
      </c>
      <c r="J4" s="43">
        <f t="shared" ref="J4:J67" si="3">F4+D4-H4</f>
        <v>500</v>
      </c>
      <c r="K4" s="49">
        <f t="shared" ref="K4:K67" si="4">IFERROR(C4*J4,"")</f>
        <v>1700</v>
      </c>
    </row>
    <row r="5" spans="1:11" x14ac:dyDescent="0.25">
      <c r="A5" s="40" t="s">
        <v>5984</v>
      </c>
      <c r="B5" s="41" t="s">
        <v>5983</v>
      </c>
      <c r="C5" s="42">
        <v>750</v>
      </c>
      <c r="D5" s="43">
        <v>1</v>
      </c>
      <c r="E5" s="44">
        <f t="shared" si="0"/>
        <v>750</v>
      </c>
      <c r="F5" s="45"/>
      <c r="G5" s="46">
        <f t="shared" si="1"/>
        <v>0</v>
      </c>
      <c r="H5" s="47"/>
      <c r="I5" s="48">
        <f t="shared" si="2"/>
        <v>0</v>
      </c>
      <c r="J5" s="43">
        <f t="shared" si="3"/>
        <v>1</v>
      </c>
      <c r="K5" s="49">
        <f t="shared" si="4"/>
        <v>750</v>
      </c>
    </row>
    <row r="6" spans="1:11" x14ac:dyDescent="0.25">
      <c r="A6" s="40" t="s">
        <v>5985</v>
      </c>
      <c r="B6" s="41" t="s">
        <v>5983</v>
      </c>
      <c r="C6" s="42">
        <v>1000</v>
      </c>
      <c r="D6" s="43">
        <v>1</v>
      </c>
      <c r="E6" s="44">
        <f t="shared" si="0"/>
        <v>1000</v>
      </c>
      <c r="F6" s="45"/>
      <c r="G6" s="46">
        <f t="shared" si="1"/>
        <v>0</v>
      </c>
      <c r="H6" s="47"/>
      <c r="I6" s="48">
        <f t="shared" si="2"/>
        <v>0</v>
      </c>
      <c r="J6" s="43">
        <f t="shared" si="3"/>
        <v>1</v>
      </c>
      <c r="K6" s="49">
        <f t="shared" si="4"/>
        <v>1000</v>
      </c>
    </row>
    <row r="7" spans="1:11" x14ac:dyDescent="0.25">
      <c r="A7" s="40" t="s">
        <v>5986</v>
      </c>
      <c r="B7" s="41" t="s">
        <v>5983</v>
      </c>
      <c r="C7" s="42">
        <v>38</v>
      </c>
      <c r="D7" s="43">
        <v>2250</v>
      </c>
      <c r="E7" s="44">
        <f t="shared" si="0"/>
        <v>85500</v>
      </c>
      <c r="F7" s="45"/>
      <c r="G7" s="46">
        <f t="shared" si="1"/>
        <v>0</v>
      </c>
      <c r="H7" s="47">
        <v>700</v>
      </c>
      <c r="I7" s="48">
        <f t="shared" si="2"/>
        <v>26600</v>
      </c>
      <c r="J7" s="43">
        <f t="shared" si="3"/>
        <v>1550</v>
      </c>
      <c r="K7" s="49">
        <f t="shared" si="4"/>
        <v>58900</v>
      </c>
    </row>
    <row r="8" spans="1:11" x14ac:dyDescent="0.25">
      <c r="A8" s="40" t="s">
        <v>5987</v>
      </c>
      <c r="B8" s="41" t="s">
        <v>5983</v>
      </c>
      <c r="C8" s="42">
        <v>59.890999999999998</v>
      </c>
      <c r="D8" s="43">
        <v>3400</v>
      </c>
      <c r="E8" s="44">
        <f t="shared" si="0"/>
        <v>203629.4</v>
      </c>
      <c r="F8" s="45"/>
      <c r="G8" s="46">
        <f t="shared" si="1"/>
        <v>0</v>
      </c>
      <c r="H8" s="47">
        <v>2040</v>
      </c>
      <c r="I8" s="48">
        <f t="shared" si="2"/>
        <v>122177.64</v>
      </c>
      <c r="J8" s="43">
        <f t="shared" si="3"/>
        <v>1360</v>
      </c>
      <c r="K8" s="49">
        <f t="shared" si="4"/>
        <v>81451.759999999995</v>
      </c>
    </row>
    <row r="9" spans="1:11" x14ac:dyDescent="0.25">
      <c r="A9" s="40" t="s">
        <v>5988</v>
      </c>
      <c r="B9" s="41" t="s">
        <v>5983</v>
      </c>
      <c r="C9" s="42">
        <v>1950</v>
      </c>
      <c r="D9" s="43">
        <v>1</v>
      </c>
      <c r="E9" s="44">
        <f t="shared" si="0"/>
        <v>1950</v>
      </c>
      <c r="F9" s="45"/>
      <c r="G9" s="46">
        <f t="shared" si="1"/>
        <v>0</v>
      </c>
      <c r="H9" s="47"/>
      <c r="I9" s="48">
        <f t="shared" si="2"/>
        <v>0</v>
      </c>
      <c r="J9" s="43">
        <f t="shared" si="3"/>
        <v>1</v>
      </c>
      <c r="K9" s="49">
        <f t="shared" si="4"/>
        <v>1950</v>
      </c>
    </row>
    <row r="10" spans="1:11" x14ac:dyDescent="0.25">
      <c r="A10" s="40" t="s">
        <v>5989</v>
      </c>
      <c r="B10" s="41" t="s">
        <v>5983</v>
      </c>
      <c r="C10" s="42">
        <v>80</v>
      </c>
      <c r="D10" s="43">
        <v>3</v>
      </c>
      <c r="E10" s="44">
        <f t="shared" si="0"/>
        <v>240</v>
      </c>
      <c r="F10" s="45"/>
      <c r="G10" s="46">
        <f t="shared" si="1"/>
        <v>0</v>
      </c>
      <c r="H10" s="47">
        <v>1</v>
      </c>
      <c r="I10" s="48">
        <f t="shared" si="2"/>
        <v>80</v>
      </c>
      <c r="J10" s="43">
        <f t="shared" si="3"/>
        <v>2</v>
      </c>
      <c r="K10" s="49">
        <f t="shared" si="4"/>
        <v>160</v>
      </c>
    </row>
    <row r="11" spans="1:11" x14ac:dyDescent="0.25">
      <c r="A11" s="40" t="s">
        <v>5990</v>
      </c>
      <c r="B11" s="41" t="s">
        <v>5983</v>
      </c>
      <c r="C11" s="42">
        <v>1500</v>
      </c>
      <c r="D11" s="43">
        <v>1</v>
      </c>
      <c r="E11" s="44">
        <f t="shared" si="0"/>
        <v>1500</v>
      </c>
      <c r="F11" s="45"/>
      <c r="G11" s="46">
        <f t="shared" si="1"/>
        <v>0</v>
      </c>
      <c r="H11" s="47"/>
      <c r="I11" s="48">
        <f t="shared" si="2"/>
        <v>0</v>
      </c>
      <c r="J11" s="43">
        <f t="shared" si="3"/>
        <v>1</v>
      </c>
      <c r="K11" s="49">
        <f t="shared" si="4"/>
        <v>1500</v>
      </c>
    </row>
    <row r="12" spans="1:11" x14ac:dyDescent="0.25">
      <c r="A12" s="40" t="s">
        <v>5991</v>
      </c>
      <c r="B12" s="41" t="s">
        <v>5983</v>
      </c>
      <c r="C12" s="42">
        <v>1480</v>
      </c>
      <c r="D12" s="43">
        <v>1</v>
      </c>
      <c r="E12" s="44">
        <f t="shared" si="0"/>
        <v>1480</v>
      </c>
      <c r="F12" s="45"/>
      <c r="G12" s="46">
        <f t="shared" si="1"/>
        <v>0</v>
      </c>
      <c r="H12" s="47"/>
      <c r="I12" s="48">
        <f t="shared" si="2"/>
        <v>0</v>
      </c>
      <c r="J12" s="43">
        <f t="shared" si="3"/>
        <v>1</v>
      </c>
      <c r="K12" s="49">
        <f t="shared" si="4"/>
        <v>1480</v>
      </c>
    </row>
    <row r="13" spans="1:11" x14ac:dyDescent="0.25">
      <c r="A13" s="40" t="s">
        <v>5992</v>
      </c>
      <c r="B13" s="41" t="s">
        <v>5983</v>
      </c>
      <c r="C13" s="42">
        <v>70</v>
      </c>
      <c r="D13" s="43">
        <v>4</v>
      </c>
      <c r="E13" s="44">
        <f t="shared" si="0"/>
        <v>280</v>
      </c>
      <c r="F13" s="45"/>
      <c r="G13" s="46">
        <f t="shared" si="1"/>
        <v>0</v>
      </c>
      <c r="H13" s="47"/>
      <c r="I13" s="48">
        <f t="shared" si="2"/>
        <v>0</v>
      </c>
      <c r="J13" s="43">
        <f t="shared" si="3"/>
        <v>4</v>
      </c>
      <c r="K13" s="49">
        <f t="shared" si="4"/>
        <v>280</v>
      </c>
    </row>
    <row r="14" spans="1:11" x14ac:dyDescent="0.25">
      <c r="A14" s="40" t="s">
        <v>5993</v>
      </c>
      <c r="B14" s="41" t="s">
        <v>5983</v>
      </c>
      <c r="C14" s="42">
        <v>800</v>
      </c>
      <c r="D14" s="43">
        <v>19</v>
      </c>
      <c r="E14" s="44">
        <f t="shared" si="0"/>
        <v>15200</v>
      </c>
      <c r="F14" s="45"/>
      <c r="G14" s="46">
        <f t="shared" si="1"/>
        <v>0</v>
      </c>
      <c r="H14" s="47"/>
      <c r="I14" s="48">
        <f t="shared" si="2"/>
        <v>0</v>
      </c>
      <c r="J14" s="43">
        <f t="shared" si="3"/>
        <v>19</v>
      </c>
      <c r="K14" s="49">
        <f t="shared" si="4"/>
        <v>15200</v>
      </c>
    </row>
    <row r="15" spans="1:11" x14ac:dyDescent="0.25">
      <c r="A15" s="40" t="s">
        <v>5994</v>
      </c>
      <c r="B15" s="41" t="s">
        <v>5983</v>
      </c>
      <c r="C15" s="42">
        <v>50</v>
      </c>
      <c r="D15" s="43">
        <v>20</v>
      </c>
      <c r="E15" s="44">
        <f t="shared" si="0"/>
        <v>1000</v>
      </c>
      <c r="F15" s="45"/>
      <c r="G15" s="46">
        <f t="shared" si="1"/>
        <v>0</v>
      </c>
      <c r="H15" s="47">
        <v>17</v>
      </c>
      <c r="I15" s="48">
        <f t="shared" si="2"/>
        <v>850</v>
      </c>
      <c r="J15" s="43">
        <f t="shared" si="3"/>
        <v>3</v>
      </c>
      <c r="K15" s="49">
        <f t="shared" si="4"/>
        <v>150</v>
      </c>
    </row>
    <row r="16" spans="1:11" x14ac:dyDescent="0.25">
      <c r="A16" s="40" t="s">
        <v>5995</v>
      </c>
      <c r="B16" s="41" t="s">
        <v>5983</v>
      </c>
      <c r="C16" s="44">
        <v>195</v>
      </c>
      <c r="D16" s="43">
        <v>6</v>
      </c>
      <c r="E16" s="44">
        <f t="shared" si="0"/>
        <v>1170</v>
      </c>
      <c r="F16" s="45"/>
      <c r="G16" s="46">
        <f t="shared" si="1"/>
        <v>0</v>
      </c>
      <c r="H16" s="47">
        <v>3</v>
      </c>
      <c r="I16" s="48">
        <f t="shared" si="2"/>
        <v>585</v>
      </c>
      <c r="J16" s="43">
        <f t="shared" si="3"/>
        <v>3</v>
      </c>
      <c r="K16" s="49">
        <f t="shared" si="4"/>
        <v>585</v>
      </c>
    </row>
    <row r="17" spans="1:11" x14ac:dyDescent="0.25">
      <c r="A17" s="40" t="s">
        <v>5996</v>
      </c>
      <c r="B17" s="41" t="s">
        <v>5983</v>
      </c>
      <c r="C17" s="44">
        <v>150</v>
      </c>
      <c r="D17" s="43">
        <v>1</v>
      </c>
      <c r="E17" s="44">
        <f t="shared" si="0"/>
        <v>150</v>
      </c>
      <c r="F17" s="45"/>
      <c r="G17" s="46">
        <f t="shared" si="1"/>
        <v>0</v>
      </c>
      <c r="H17" s="47"/>
      <c r="I17" s="48">
        <f t="shared" si="2"/>
        <v>0</v>
      </c>
      <c r="J17" s="43">
        <f t="shared" si="3"/>
        <v>1</v>
      </c>
      <c r="K17" s="49">
        <f t="shared" si="4"/>
        <v>150</v>
      </c>
    </row>
    <row r="18" spans="1:11" x14ac:dyDescent="0.25">
      <c r="A18" s="40" t="s">
        <v>5997</v>
      </c>
      <c r="B18" s="41" t="s">
        <v>5983</v>
      </c>
      <c r="C18" s="44">
        <v>28.6</v>
      </c>
      <c r="D18" s="43">
        <v>600</v>
      </c>
      <c r="E18" s="44">
        <f t="shared" si="0"/>
        <v>17160</v>
      </c>
      <c r="F18" s="45">
        <v>600</v>
      </c>
      <c r="G18" s="46">
        <f t="shared" si="1"/>
        <v>17160</v>
      </c>
      <c r="H18" s="47">
        <v>600</v>
      </c>
      <c r="I18" s="48">
        <f t="shared" si="2"/>
        <v>17160</v>
      </c>
      <c r="J18" s="43">
        <f t="shared" si="3"/>
        <v>600</v>
      </c>
      <c r="K18" s="49">
        <f t="shared" si="4"/>
        <v>17160</v>
      </c>
    </row>
    <row r="19" spans="1:11" x14ac:dyDescent="0.25">
      <c r="A19" s="40" t="s">
        <v>5998</v>
      </c>
      <c r="B19" s="41" t="s">
        <v>5983</v>
      </c>
      <c r="C19" s="42">
        <v>30</v>
      </c>
      <c r="D19" s="43">
        <v>770</v>
      </c>
      <c r="E19" s="44">
        <f t="shared" si="0"/>
        <v>23100</v>
      </c>
      <c r="F19" s="45"/>
      <c r="G19" s="46">
        <f t="shared" si="1"/>
        <v>0</v>
      </c>
      <c r="H19" s="47">
        <v>400</v>
      </c>
      <c r="I19" s="48">
        <f t="shared" si="2"/>
        <v>12000</v>
      </c>
      <c r="J19" s="43">
        <f t="shared" si="3"/>
        <v>370</v>
      </c>
      <c r="K19" s="49">
        <f t="shared" si="4"/>
        <v>11100</v>
      </c>
    </row>
    <row r="20" spans="1:11" x14ac:dyDescent="0.25">
      <c r="A20" s="40" t="s">
        <v>5999</v>
      </c>
      <c r="B20" s="41" t="s">
        <v>5983</v>
      </c>
      <c r="C20" s="42">
        <v>61.87</v>
      </c>
      <c r="D20" s="43">
        <v>1</v>
      </c>
      <c r="E20" s="44">
        <f t="shared" si="0"/>
        <v>61.87</v>
      </c>
      <c r="F20" s="45"/>
      <c r="G20" s="46">
        <f t="shared" si="1"/>
        <v>0</v>
      </c>
      <c r="H20" s="47">
        <v>1</v>
      </c>
      <c r="I20" s="48">
        <f t="shared" si="2"/>
        <v>61.87</v>
      </c>
      <c r="J20" s="43">
        <f t="shared" si="3"/>
        <v>0</v>
      </c>
      <c r="K20" s="49">
        <f t="shared" si="4"/>
        <v>0</v>
      </c>
    </row>
    <row r="21" spans="1:11" x14ac:dyDescent="0.25">
      <c r="A21" s="40" t="s">
        <v>6000</v>
      </c>
      <c r="B21" s="41" t="s">
        <v>5983</v>
      </c>
      <c r="C21" s="42">
        <v>445.2</v>
      </c>
      <c r="D21" s="43">
        <v>2</v>
      </c>
      <c r="E21" s="44">
        <f t="shared" si="0"/>
        <v>890.4</v>
      </c>
      <c r="F21" s="45"/>
      <c r="G21" s="46">
        <f t="shared" si="1"/>
        <v>0</v>
      </c>
      <c r="H21" s="47"/>
      <c r="I21" s="48">
        <f t="shared" si="2"/>
        <v>0</v>
      </c>
      <c r="J21" s="43">
        <f t="shared" si="3"/>
        <v>2</v>
      </c>
      <c r="K21" s="49">
        <f t="shared" si="4"/>
        <v>890.4</v>
      </c>
    </row>
    <row r="22" spans="1:11" x14ac:dyDescent="0.25">
      <c r="A22" s="40" t="s">
        <v>6001</v>
      </c>
      <c r="B22" s="41" t="s">
        <v>5983</v>
      </c>
      <c r="C22" s="42">
        <v>870</v>
      </c>
      <c r="D22" s="43">
        <v>0</v>
      </c>
      <c r="E22" s="44">
        <f t="shared" si="0"/>
        <v>0</v>
      </c>
      <c r="F22" s="45"/>
      <c r="G22" s="46">
        <f t="shared" si="1"/>
        <v>0</v>
      </c>
      <c r="H22" s="47"/>
      <c r="I22" s="48">
        <f t="shared" si="2"/>
        <v>0</v>
      </c>
      <c r="J22" s="43">
        <f t="shared" si="3"/>
        <v>0</v>
      </c>
      <c r="K22" s="49">
        <f t="shared" si="4"/>
        <v>0</v>
      </c>
    </row>
    <row r="23" spans="1:11" x14ac:dyDescent="0.25">
      <c r="A23" s="40" t="s">
        <v>6002</v>
      </c>
      <c r="B23" s="41" t="s">
        <v>6003</v>
      </c>
      <c r="C23" s="42">
        <v>774.32</v>
      </c>
      <c r="D23" s="43">
        <v>17</v>
      </c>
      <c r="E23" s="44">
        <f t="shared" si="0"/>
        <v>13163.44</v>
      </c>
      <c r="F23" s="45"/>
      <c r="G23" s="46">
        <f t="shared" si="1"/>
        <v>0</v>
      </c>
      <c r="H23" s="47"/>
      <c r="I23" s="48">
        <f t="shared" si="2"/>
        <v>0</v>
      </c>
      <c r="J23" s="43">
        <f t="shared" si="3"/>
        <v>17</v>
      </c>
      <c r="K23" s="49">
        <f t="shared" si="4"/>
        <v>13163.44</v>
      </c>
    </row>
    <row r="24" spans="1:11" x14ac:dyDescent="0.25">
      <c r="A24" s="40" t="s">
        <v>6004</v>
      </c>
      <c r="B24" s="41" t="s">
        <v>5983</v>
      </c>
      <c r="C24" s="42">
        <v>70</v>
      </c>
      <c r="D24" s="43">
        <v>1</v>
      </c>
      <c r="E24" s="44">
        <f t="shared" si="0"/>
        <v>70</v>
      </c>
      <c r="F24" s="45"/>
      <c r="G24" s="46">
        <f t="shared" si="1"/>
        <v>0</v>
      </c>
      <c r="H24" s="47"/>
      <c r="I24" s="48">
        <f t="shared" si="2"/>
        <v>0</v>
      </c>
      <c r="J24" s="43">
        <f t="shared" si="3"/>
        <v>1</v>
      </c>
      <c r="K24" s="49">
        <f t="shared" si="4"/>
        <v>70</v>
      </c>
    </row>
    <row r="25" spans="1:11" x14ac:dyDescent="0.25">
      <c r="A25" s="40" t="s">
        <v>6005</v>
      </c>
      <c r="B25" s="41" t="s">
        <v>6003</v>
      </c>
      <c r="C25" s="42">
        <v>600</v>
      </c>
      <c r="D25" s="43">
        <v>8</v>
      </c>
      <c r="E25" s="44">
        <f t="shared" si="0"/>
        <v>4800</v>
      </c>
      <c r="F25" s="45"/>
      <c r="G25" s="46">
        <f t="shared" si="1"/>
        <v>0</v>
      </c>
      <c r="H25" s="47">
        <v>8</v>
      </c>
      <c r="I25" s="48">
        <f t="shared" si="2"/>
        <v>4800</v>
      </c>
      <c r="J25" s="43">
        <f>F25+D25-H25</f>
        <v>0</v>
      </c>
      <c r="K25" s="49">
        <f t="shared" si="4"/>
        <v>0</v>
      </c>
    </row>
    <row r="26" spans="1:11" x14ac:dyDescent="0.25">
      <c r="A26" s="40" t="s">
        <v>6006</v>
      </c>
      <c r="B26" s="41" t="s">
        <v>6003</v>
      </c>
      <c r="C26" s="42">
        <v>780</v>
      </c>
      <c r="D26" s="43">
        <v>10</v>
      </c>
      <c r="E26" s="44">
        <f t="shared" si="0"/>
        <v>7800</v>
      </c>
      <c r="F26" s="45">
        <v>30</v>
      </c>
      <c r="G26" s="46">
        <f t="shared" si="1"/>
        <v>23400</v>
      </c>
      <c r="H26" s="47">
        <v>28</v>
      </c>
      <c r="I26" s="48">
        <f t="shared" si="2"/>
        <v>21840</v>
      </c>
      <c r="J26" s="43">
        <f t="shared" si="3"/>
        <v>12</v>
      </c>
      <c r="K26" s="49">
        <f t="shared" si="4"/>
        <v>9360</v>
      </c>
    </row>
    <row r="27" spans="1:11" x14ac:dyDescent="0.25">
      <c r="A27" s="40" t="s">
        <v>6007</v>
      </c>
      <c r="B27" s="41" t="s">
        <v>5983</v>
      </c>
      <c r="C27" s="42">
        <v>790</v>
      </c>
      <c r="D27" s="43">
        <v>2</v>
      </c>
      <c r="E27" s="44">
        <f t="shared" si="0"/>
        <v>1580</v>
      </c>
      <c r="F27" s="45"/>
      <c r="G27" s="46">
        <f t="shared" si="1"/>
        <v>0</v>
      </c>
      <c r="H27" s="47"/>
      <c r="I27" s="48">
        <f t="shared" si="2"/>
        <v>0</v>
      </c>
      <c r="J27" s="43">
        <f t="shared" si="3"/>
        <v>2</v>
      </c>
      <c r="K27" s="49">
        <f t="shared" si="4"/>
        <v>1580</v>
      </c>
    </row>
    <row r="28" spans="1:11" x14ac:dyDescent="0.25">
      <c r="A28" s="40" t="s">
        <v>6008</v>
      </c>
      <c r="B28" s="41" t="s">
        <v>5983</v>
      </c>
      <c r="C28" s="42">
        <v>289</v>
      </c>
      <c r="D28" s="43">
        <v>2</v>
      </c>
      <c r="E28" s="44">
        <f t="shared" si="0"/>
        <v>578</v>
      </c>
      <c r="F28" s="45"/>
      <c r="G28" s="46">
        <f t="shared" si="1"/>
        <v>0</v>
      </c>
      <c r="H28" s="47"/>
      <c r="I28" s="48">
        <f t="shared" si="2"/>
        <v>0</v>
      </c>
      <c r="J28" s="43">
        <f t="shared" si="3"/>
        <v>2</v>
      </c>
      <c r="K28" s="49">
        <f t="shared" si="4"/>
        <v>578</v>
      </c>
    </row>
    <row r="29" spans="1:11" x14ac:dyDescent="0.25">
      <c r="A29" s="40" t="s">
        <v>6009</v>
      </c>
      <c r="B29" s="41" t="s">
        <v>5983</v>
      </c>
      <c r="C29" s="42">
        <v>387</v>
      </c>
      <c r="D29" s="43">
        <v>3</v>
      </c>
      <c r="E29" s="44">
        <f t="shared" si="0"/>
        <v>1161</v>
      </c>
      <c r="F29" s="45"/>
      <c r="G29" s="46">
        <f t="shared" si="1"/>
        <v>0</v>
      </c>
      <c r="H29" s="47"/>
      <c r="I29" s="48">
        <f t="shared" si="2"/>
        <v>0</v>
      </c>
      <c r="J29" s="43">
        <f t="shared" si="3"/>
        <v>3</v>
      </c>
      <c r="K29" s="49">
        <f t="shared" si="4"/>
        <v>1161</v>
      </c>
    </row>
    <row r="30" spans="1:11" x14ac:dyDescent="0.25">
      <c r="A30" s="40" t="s">
        <v>6010</v>
      </c>
      <c r="B30" s="41" t="s">
        <v>5983</v>
      </c>
      <c r="C30" s="42">
        <v>625</v>
      </c>
      <c r="D30" s="43">
        <v>2</v>
      </c>
      <c r="E30" s="44">
        <f t="shared" si="0"/>
        <v>1250</v>
      </c>
      <c r="F30" s="45"/>
      <c r="G30" s="46">
        <f t="shared" si="1"/>
        <v>0</v>
      </c>
      <c r="H30" s="47"/>
      <c r="I30" s="48">
        <f t="shared" si="2"/>
        <v>0</v>
      </c>
      <c r="J30" s="43">
        <f t="shared" si="3"/>
        <v>2</v>
      </c>
      <c r="K30" s="49">
        <f t="shared" si="4"/>
        <v>1250</v>
      </c>
    </row>
    <row r="31" spans="1:11" x14ac:dyDescent="0.25">
      <c r="A31" s="40" t="s">
        <v>6011</v>
      </c>
      <c r="B31" s="41" t="s">
        <v>5983</v>
      </c>
      <c r="C31" s="42">
        <v>380</v>
      </c>
      <c r="D31" s="43">
        <v>1</v>
      </c>
      <c r="E31" s="44">
        <f t="shared" si="0"/>
        <v>380</v>
      </c>
      <c r="F31" s="45"/>
      <c r="G31" s="46">
        <f t="shared" si="1"/>
        <v>0</v>
      </c>
      <c r="H31" s="47"/>
      <c r="I31" s="48">
        <f t="shared" si="2"/>
        <v>0</v>
      </c>
      <c r="J31" s="43">
        <f t="shared" si="3"/>
        <v>1</v>
      </c>
      <c r="K31" s="49">
        <f t="shared" si="4"/>
        <v>380</v>
      </c>
    </row>
    <row r="32" spans="1:11" x14ac:dyDescent="0.25">
      <c r="A32" s="40" t="s">
        <v>6012</v>
      </c>
      <c r="B32" s="41" t="s">
        <v>5983</v>
      </c>
      <c r="C32" s="42">
        <v>1200</v>
      </c>
      <c r="D32" s="43">
        <v>1</v>
      </c>
      <c r="E32" s="44">
        <f t="shared" si="0"/>
        <v>1200</v>
      </c>
      <c r="F32" s="45"/>
      <c r="G32" s="46">
        <f t="shared" si="1"/>
        <v>0</v>
      </c>
      <c r="H32" s="47"/>
      <c r="I32" s="48">
        <f t="shared" si="2"/>
        <v>0</v>
      </c>
      <c r="J32" s="43">
        <f t="shared" si="3"/>
        <v>1</v>
      </c>
      <c r="K32" s="49">
        <f t="shared" si="4"/>
        <v>1200</v>
      </c>
    </row>
    <row r="33" spans="1:11" x14ac:dyDescent="0.25">
      <c r="A33" s="40" t="s">
        <v>6013</v>
      </c>
      <c r="B33" s="41" t="s">
        <v>5983</v>
      </c>
      <c r="C33" s="42">
        <v>469</v>
      </c>
      <c r="D33" s="43">
        <v>3</v>
      </c>
      <c r="E33" s="44">
        <f t="shared" si="0"/>
        <v>1407</v>
      </c>
      <c r="F33" s="45"/>
      <c r="G33" s="46">
        <f t="shared" si="1"/>
        <v>0</v>
      </c>
      <c r="H33" s="47"/>
      <c r="I33" s="48">
        <f t="shared" si="2"/>
        <v>0</v>
      </c>
      <c r="J33" s="43">
        <f t="shared" si="3"/>
        <v>3</v>
      </c>
      <c r="K33" s="49">
        <f t="shared" si="4"/>
        <v>1407</v>
      </c>
    </row>
    <row r="34" spans="1:11" x14ac:dyDescent="0.25">
      <c r="A34" s="40" t="s">
        <v>6014</v>
      </c>
      <c r="B34" s="41" t="s">
        <v>5983</v>
      </c>
      <c r="C34" s="42">
        <v>50</v>
      </c>
      <c r="D34" s="43">
        <v>8</v>
      </c>
      <c r="E34" s="44">
        <f t="shared" si="0"/>
        <v>400</v>
      </c>
      <c r="F34" s="45"/>
      <c r="G34" s="46">
        <f t="shared" si="1"/>
        <v>0</v>
      </c>
      <c r="H34" s="47"/>
      <c r="I34" s="48">
        <f t="shared" si="2"/>
        <v>0</v>
      </c>
      <c r="J34" s="43">
        <f t="shared" si="3"/>
        <v>8</v>
      </c>
      <c r="K34" s="49">
        <f t="shared" si="4"/>
        <v>400</v>
      </c>
    </row>
    <row r="35" spans="1:11" x14ac:dyDescent="0.25">
      <c r="A35" s="40" t="s">
        <v>6015</v>
      </c>
      <c r="B35" s="41" t="s">
        <v>5983</v>
      </c>
      <c r="C35" s="42">
        <v>200</v>
      </c>
      <c r="D35" s="43">
        <v>20</v>
      </c>
      <c r="E35" s="44">
        <f t="shared" si="0"/>
        <v>4000</v>
      </c>
      <c r="F35" s="45"/>
      <c r="G35" s="46">
        <f t="shared" si="1"/>
        <v>0</v>
      </c>
      <c r="H35" s="47"/>
      <c r="I35" s="48">
        <f t="shared" si="2"/>
        <v>0</v>
      </c>
      <c r="J35" s="43">
        <f t="shared" si="3"/>
        <v>20</v>
      </c>
      <c r="K35" s="49">
        <f t="shared" si="4"/>
        <v>4000</v>
      </c>
    </row>
    <row r="36" spans="1:11" x14ac:dyDescent="0.25">
      <c r="A36" s="40" t="s">
        <v>6016</v>
      </c>
      <c r="B36" s="41" t="s">
        <v>5983</v>
      </c>
      <c r="C36" s="42">
        <v>150</v>
      </c>
      <c r="D36" s="43">
        <v>40</v>
      </c>
      <c r="E36" s="44">
        <f t="shared" si="0"/>
        <v>6000</v>
      </c>
      <c r="F36" s="45"/>
      <c r="G36" s="46">
        <f t="shared" si="1"/>
        <v>0</v>
      </c>
      <c r="H36" s="47">
        <v>24</v>
      </c>
      <c r="I36" s="48">
        <f t="shared" si="2"/>
        <v>3600</v>
      </c>
      <c r="J36" s="43">
        <f t="shared" si="3"/>
        <v>16</v>
      </c>
      <c r="K36" s="49">
        <f t="shared" si="4"/>
        <v>2400</v>
      </c>
    </row>
    <row r="37" spans="1:11" x14ac:dyDescent="0.25">
      <c r="A37" s="40" t="s">
        <v>6017</v>
      </c>
      <c r="B37" s="41" t="s">
        <v>5983</v>
      </c>
      <c r="C37" s="42">
        <v>85</v>
      </c>
      <c r="D37" s="43">
        <v>22</v>
      </c>
      <c r="E37" s="44">
        <f t="shared" si="0"/>
        <v>1870</v>
      </c>
      <c r="F37" s="45">
        <v>8</v>
      </c>
      <c r="G37" s="46">
        <f t="shared" si="1"/>
        <v>680</v>
      </c>
      <c r="H37" s="47">
        <v>30</v>
      </c>
      <c r="I37" s="48">
        <f t="shared" si="2"/>
        <v>2550</v>
      </c>
      <c r="J37" s="43">
        <f t="shared" si="3"/>
        <v>0</v>
      </c>
      <c r="K37" s="49">
        <f t="shared" si="4"/>
        <v>0</v>
      </c>
    </row>
    <row r="38" spans="1:11" x14ac:dyDescent="0.25">
      <c r="A38" s="40" t="s">
        <v>6018</v>
      </c>
      <c r="B38" s="41" t="s">
        <v>5983</v>
      </c>
      <c r="C38" s="42">
        <v>290</v>
      </c>
      <c r="D38" s="43">
        <v>1</v>
      </c>
      <c r="E38" s="44">
        <f t="shared" si="0"/>
        <v>290</v>
      </c>
      <c r="F38" s="45">
        <v>2</v>
      </c>
      <c r="G38" s="46">
        <f t="shared" si="1"/>
        <v>580</v>
      </c>
      <c r="H38" s="47"/>
      <c r="I38" s="48">
        <f t="shared" si="2"/>
        <v>0</v>
      </c>
      <c r="J38" s="43">
        <f t="shared" si="3"/>
        <v>3</v>
      </c>
      <c r="K38" s="49">
        <f t="shared" si="4"/>
        <v>870</v>
      </c>
    </row>
    <row r="39" spans="1:11" x14ac:dyDescent="0.25">
      <c r="A39" s="40" t="s">
        <v>6019</v>
      </c>
      <c r="B39" s="41" t="s">
        <v>5983</v>
      </c>
      <c r="C39" s="42">
        <v>168</v>
      </c>
      <c r="D39" s="43">
        <v>34</v>
      </c>
      <c r="E39" s="44">
        <f t="shared" si="0"/>
        <v>5712</v>
      </c>
      <c r="F39" s="45"/>
      <c r="G39" s="46">
        <f t="shared" si="1"/>
        <v>0</v>
      </c>
      <c r="H39" s="47">
        <v>16</v>
      </c>
      <c r="I39" s="48">
        <f t="shared" si="2"/>
        <v>2688</v>
      </c>
      <c r="J39" s="43">
        <f t="shared" si="3"/>
        <v>18</v>
      </c>
      <c r="K39" s="49">
        <f t="shared" si="4"/>
        <v>3024</v>
      </c>
    </row>
    <row r="40" spans="1:11" x14ac:dyDescent="0.25">
      <c r="A40" s="40" t="s">
        <v>6020</v>
      </c>
      <c r="B40" s="41" t="s">
        <v>5983</v>
      </c>
      <c r="C40" s="42">
        <v>593</v>
      </c>
      <c r="D40" s="43">
        <v>1</v>
      </c>
      <c r="E40" s="44">
        <f t="shared" si="0"/>
        <v>593</v>
      </c>
      <c r="F40" s="45"/>
      <c r="G40" s="46">
        <f t="shared" si="1"/>
        <v>0</v>
      </c>
      <c r="H40" s="47"/>
      <c r="I40" s="48">
        <f t="shared" si="2"/>
        <v>0</v>
      </c>
      <c r="J40" s="43">
        <f t="shared" si="3"/>
        <v>1</v>
      </c>
      <c r="K40" s="49">
        <f t="shared" si="4"/>
        <v>593</v>
      </c>
    </row>
    <row r="41" spans="1:11" x14ac:dyDescent="0.25">
      <c r="A41" s="40" t="s">
        <v>6021</v>
      </c>
      <c r="B41" s="41" t="s">
        <v>5983</v>
      </c>
      <c r="C41" s="42">
        <v>580</v>
      </c>
      <c r="D41" s="43">
        <v>4</v>
      </c>
      <c r="E41" s="44">
        <f t="shared" si="0"/>
        <v>2320</v>
      </c>
      <c r="F41" s="45"/>
      <c r="G41" s="46">
        <f t="shared" si="1"/>
        <v>0</v>
      </c>
      <c r="H41" s="47"/>
      <c r="I41" s="48">
        <f t="shared" si="2"/>
        <v>0</v>
      </c>
      <c r="J41" s="43">
        <f t="shared" si="3"/>
        <v>4</v>
      </c>
      <c r="K41" s="49">
        <f t="shared" si="4"/>
        <v>2320</v>
      </c>
    </row>
    <row r="42" spans="1:11" x14ac:dyDescent="0.25">
      <c r="A42" s="40" t="s">
        <v>6022</v>
      </c>
      <c r="B42" s="41" t="s">
        <v>5983</v>
      </c>
      <c r="C42" s="42">
        <v>300</v>
      </c>
      <c r="D42" s="43">
        <v>5</v>
      </c>
      <c r="E42" s="44">
        <f t="shared" si="0"/>
        <v>1500</v>
      </c>
      <c r="F42" s="45"/>
      <c r="G42" s="46">
        <f t="shared" si="1"/>
        <v>0</v>
      </c>
      <c r="H42" s="47"/>
      <c r="I42" s="48">
        <f t="shared" si="2"/>
        <v>0</v>
      </c>
      <c r="J42" s="43">
        <f t="shared" si="3"/>
        <v>5</v>
      </c>
      <c r="K42" s="49">
        <f t="shared" si="4"/>
        <v>1500</v>
      </c>
    </row>
    <row r="43" spans="1:11" x14ac:dyDescent="0.25">
      <c r="A43" s="40" t="s">
        <v>6023</v>
      </c>
      <c r="B43" s="41" t="s">
        <v>5983</v>
      </c>
      <c r="C43" s="42">
        <v>300</v>
      </c>
      <c r="D43" s="43">
        <v>5</v>
      </c>
      <c r="E43" s="44">
        <f t="shared" si="0"/>
        <v>1500</v>
      </c>
      <c r="F43" s="45"/>
      <c r="G43" s="46">
        <f t="shared" si="1"/>
        <v>0</v>
      </c>
      <c r="H43" s="47"/>
      <c r="I43" s="48">
        <f t="shared" si="2"/>
        <v>0</v>
      </c>
      <c r="J43" s="43">
        <f t="shared" si="3"/>
        <v>5</v>
      </c>
      <c r="K43" s="49">
        <f t="shared" si="4"/>
        <v>1500</v>
      </c>
    </row>
    <row r="44" spans="1:11" x14ac:dyDescent="0.25">
      <c r="A44" s="40" t="s">
        <v>6024</v>
      </c>
      <c r="B44" s="41" t="s">
        <v>5983</v>
      </c>
      <c r="C44" s="42">
        <v>800</v>
      </c>
      <c r="D44" s="43">
        <v>1</v>
      </c>
      <c r="E44" s="44">
        <f t="shared" si="0"/>
        <v>800</v>
      </c>
      <c r="F44" s="45"/>
      <c r="G44" s="46">
        <f t="shared" si="1"/>
        <v>0</v>
      </c>
      <c r="H44" s="47"/>
      <c r="I44" s="48">
        <f t="shared" si="2"/>
        <v>0</v>
      </c>
      <c r="J44" s="43">
        <f t="shared" si="3"/>
        <v>1</v>
      </c>
      <c r="K44" s="49">
        <f t="shared" si="4"/>
        <v>800</v>
      </c>
    </row>
    <row r="45" spans="1:11" x14ac:dyDescent="0.25">
      <c r="A45" s="40" t="s">
        <v>6025</v>
      </c>
      <c r="B45" s="41" t="s">
        <v>5983</v>
      </c>
      <c r="C45" s="42">
        <v>364</v>
      </c>
      <c r="D45" s="43">
        <v>1</v>
      </c>
      <c r="E45" s="44">
        <f t="shared" si="0"/>
        <v>364</v>
      </c>
      <c r="F45" s="45"/>
      <c r="G45" s="46">
        <f t="shared" si="1"/>
        <v>0</v>
      </c>
      <c r="H45" s="47"/>
      <c r="I45" s="48">
        <f t="shared" si="2"/>
        <v>0</v>
      </c>
      <c r="J45" s="43">
        <f t="shared" si="3"/>
        <v>1</v>
      </c>
      <c r="K45" s="49">
        <f t="shared" si="4"/>
        <v>364</v>
      </c>
    </row>
    <row r="46" spans="1:11" x14ac:dyDescent="0.25">
      <c r="A46" s="40" t="s">
        <v>6026</v>
      </c>
      <c r="B46" s="41" t="s">
        <v>5983</v>
      </c>
      <c r="C46" s="42">
        <v>615</v>
      </c>
      <c r="D46" s="43">
        <v>2</v>
      </c>
      <c r="E46" s="44">
        <f t="shared" si="0"/>
        <v>1230</v>
      </c>
      <c r="F46" s="45"/>
      <c r="G46" s="46">
        <f t="shared" si="1"/>
        <v>0</v>
      </c>
      <c r="H46" s="47"/>
      <c r="I46" s="48">
        <f t="shared" si="2"/>
        <v>0</v>
      </c>
      <c r="J46" s="43">
        <f t="shared" si="3"/>
        <v>2</v>
      </c>
      <c r="K46" s="49">
        <f t="shared" si="4"/>
        <v>1230</v>
      </c>
    </row>
    <row r="47" spans="1:11" x14ac:dyDescent="0.25">
      <c r="A47" s="40" t="s">
        <v>6027</v>
      </c>
      <c r="B47" s="41" t="s">
        <v>5983</v>
      </c>
      <c r="C47" s="42">
        <v>268</v>
      </c>
      <c r="D47" s="43">
        <v>1</v>
      </c>
      <c r="E47" s="44">
        <f t="shared" si="0"/>
        <v>268</v>
      </c>
      <c r="F47" s="45"/>
      <c r="G47" s="46">
        <f t="shared" si="1"/>
        <v>0</v>
      </c>
      <c r="H47" s="47"/>
      <c r="I47" s="48">
        <f t="shared" si="2"/>
        <v>0</v>
      </c>
      <c r="J47" s="43">
        <f t="shared" si="3"/>
        <v>1</v>
      </c>
      <c r="K47" s="49">
        <f t="shared" si="4"/>
        <v>268</v>
      </c>
    </row>
    <row r="48" spans="1:11" x14ac:dyDescent="0.25">
      <c r="A48" s="40" t="s">
        <v>6028</v>
      </c>
      <c r="B48" s="41" t="s">
        <v>5983</v>
      </c>
      <c r="C48" s="42">
        <v>650</v>
      </c>
      <c r="D48" s="43">
        <v>3</v>
      </c>
      <c r="E48" s="44">
        <f t="shared" si="0"/>
        <v>1950</v>
      </c>
      <c r="F48" s="45"/>
      <c r="G48" s="46">
        <f t="shared" si="1"/>
        <v>0</v>
      </c>
      <c r="H48" s="47"/>
      <c r="I48" s="48">
        <f t="shared" si="2"/>
        <v>0</v>
      </c>
      <c r="J48" s="43">
        <f t="shared" si="3"/>
        <v>3</v>
      </c>
      <c r="K48" s="49">
        <f t="shared" si="4"/>
        <v>1950</v>
      </c>
    </row>
    <row r="49" spans="1:11" x14ac:dyDescent="0.25">
      <c r="A49" s="40" t="s">
        <v>6029</v>
      </c>
      <c r="B49" s="41" t="s">
        <v>5983</v>
      </c>
      <c r="C49" s="42">
        <v>544</v>
      </c>
      <c r="D49" s="43">
        <v>3</v>
      </c>
      <c r="E49" s="44">
        <f t="shared" si="0"/>
        <v>1632</v>
      </c>
      <c r="F49" s="45"/>
      <c r="G49" s="46">
        <f t="shared" si="1"/>
        <v>0</v>
      </c>
      <c r="H49" s="47"/>
      <c r="I49" s="48">
        <f t="shared" si="2"/>
        <v>0</v>
      </c>
      <c r="J49" s="43">
        <f t="shared" si="3"/>
        <v>3</v>
      </c>
      <c r="K49" s="49">
        <f t="shared" si="4"/>
        <v>1632</v>
      </c>
    </row>
    <row r="50" spans="1:11" x14ac:dyDescent="0.25">
      <c r="A50" s="40" t="s">
        <v>6030</v>
      </c>
      <c r="B50" s="41" t="s">
        <v>5983</v>
      </c>
      <c r="C50" s="42">
        <v>359</v>
      </c>
      <c r="D50" s="43">
        <v>4</v>
      </c>
      <c r="E50" s="44">
        <f t="shared" si="0"/>
        <v>1436</v>
      </c>
      <c r="F50" s="45"/>
      <c r="G50" s="46">
        <f t="shared" si="1"/>
        <v>0</v>
      </c>
      <c r="H50" s="47"/>
      <c r="I50" s="48">
        <f t="shared" si="2"/>
        <v>0</v>
      </c>
      <c r="J50" s="43">
        <f t="shared" si="3"/>
        <v>4</v>
      </c>
      <c r="K50" s="49">
        <f t="shared" si="4"/>
        <v>1436</v>
      </c>
    </row>
    <row r="51" spans="1:11" x14ac:dyDescent="0.25">
      <c r="A51" s="40" t="s">
        <v>6031</v>
      </c>
      <c r="B51" s="41" t="s">
        <v>5983</v>
      </c>
      <c r="C51" s="42">
        <v>664</v>
      </c>
      <c r="D51" s="43">
        <v>5</v>
      </c>
      <c r="E51" s="44">
        <f t="shared" si="0"/>
        <v>3320</v>
      </c>
      <c r="F51" s="45"/>
      <c r="G51" s="46">
        <f t="shared" si="1"/>
        <v>0</v>
      </c>
      <c r="H51" s="47"/>
      <c r="I51" s="48">
        <f t="shared" si="2"/>
        <v>0</v>
      </c>
      <c r="J51" s="43">
        <f t="shared" si="3"/>
        <v>5</v>
      </c>
      <c r="K51" s="49">
        <f t="shared" si="4"/>
        <v>3320</v>
      </c>
    </row>
    <row r="52" spans="1:11" x14ac:dyDescent="0.25">
      <c r="A52" s="40" t="s">
        <v>6032</v>
      </c>
      <c r="B52" s="41" t="s">
        <v>5983</v>
      </c>
      <c r="C52" s="42">
        <v>328</v>
      </c>
      <c r="D52" s="43">
        <v>3</v>
      </c>
      <c r="E52" s="44">
        <f t="shared" si="0"/>
        <v>984</v>
      </c>
      <c r="F52" s="45"/>
      <c r="G52" s="46">
        <f t="shared" si="1"/>
        <v>0</v>
      </c>
      <c r="H52" s="47"/>
      <c r="I52" s="48">
        <f t="shared" si="2"/>
        <v>0</v>
      </c>
      <c r="J52" s="43">
        <f t="shared" si="3"/>
        <v>3</v>
      </c>
      <c r="K52" s="49">
        <f t="shared" si="4"/>
        <v>984</v>
      </c>
    </row>
    <row r="53" spans="1:11" x14ac:dyDescent="0.25">
      <c r="A53" s="40" t="s">
        <v>6033</v>
      </c>
      <c r="B53" s="41" t="s">
        <v>5983</v>
      </c>
      <c r="C53" s="42">
        <v>1270</v>
      </c>
      <c r="D53" s="43">
        <v>2</v>
      </c>
      <c r="E53" s="44">
        <f t="shared" si="0"/>
        <v>2540</v>
      </c>
      <c r="F53" s="45"/>
      <c r="G53" s="46">
        <f t="shared" si="1"/>
        <v>0</v>
      </c>
      <c r="H53" s="47"/>
      <c r="I53" s="48">
        <f t="shared" si="2"/>
        <v>0</v>
      </c>
      <c r="J53" s="43">
        <f t="shared" si="3"/>
        <v>2</v>
      </c>
      <c r="K53" s="49">
        <f t="shared" si="4"/>
        <v>2540</v>
      </c>
    </row>
    <row r="54" spans="1:11" x14ac:dyDescent="0.25">
      <c r="A54" s="40" t="s">
        <v>6034</v>
      </c>
      <c r="B54" s="41" t="s">
        <v>5983</v>
      </c>
      <c r="C54" s="42">
        <v>596</v>
      </c>
      <c r="D54" s="43">
        <v>1</v>
      </c>
      <c r="E54" s="44">
        <f t="shared" si="0"/>
        <v>596</v>
      </c>
      <c r="F54" s="45"/>
      <c r="G54" s="46">
        <f t="shared" si="1"/>
        <v>0</v>
      </c>
      <c r="H54" s="47"/>
      <c r="I54" s="48">
        <f t="shared" si="2"/>
        <v>0</v>
      </c>
      <c r="J54" s="43">
        <f t="shared" si="3"/>
        <v>1</v>
      </c>
      <c r="K54" s="49">
        <f t="shared" si="4"/>
        <v>596</v>
      </c>
    </row>
    <row r="55" spans="1:11" s="54" customFormat="1" x14ac:dyDescent="0.25">
      <c r="A55" s="40" t="s">
        <v>6035</v>
      </c>
      <c r="B55" s="50" t="s">
        <v>5983</v>
      </c>
      <c r="C55" s="51">
        <v>651</v>
      </c>
      <c r="D55" s="43">
        <v>1</v>
      </c>
      <c r="E55" s="52">
        <f t="shared" si="0"/>
        <v>651</v>
      </c>
      <c r="F55" s="45"/>
      <c r="G55" s="46">
        <f t="shared" si="1"/>
        <v>0</v>
      </c>
      <c r="H55" s="47"/>
      <c r="I55" s="53">
        <f t="shared" si="2"/>
        <v>0</v>
      </c>
      <c r="J55" s="43">
        <f t="shared" si="3"/>
        <v>1</v>
      </c>
      <c r="K55" s="49">
        <f t="shared" si="4"/>
        <v>651</v>
      </c>
    </row>
    <row r="56" spans="1:11" x14ac:dyDescent="0.25">
      <c r="A56" s="40" t="s">
        <v>6036</v>
      </c>
      <c r="B56" s="41" t="s">
        <v>5983</v>
      </c>
      <c r="C56" s="42">
        <v>250</v>
      </c>
      <c r="D56" s="43">
        <v>3</v>
      </c>
      <c r="E56" s="44">
        <f t="shared" si="0"/>
        <v>750</v>
      </c>
      <c r="F56" s="45"/>
      <c r="G56" s="46">
        <f t="shared" si="1"/>
        <v>0</v>
      </c>
      <c r="H56" s="47"/>
      <c r="I56" s="48">
        <f t="shared" si="2"/>
        <v>0</v>
      </c>
      <c r="J56" s="43">
        <f t="shared" si="3"/>
        <v>3</v>
      </c>
      <c r="K56" s="49">
        <f t="shared" si="4"/>
        <v>750</v>
      </c>
    </row>
    <row r="57" spans="1:11" x14ac:dyDescent="0.25">
      <c r="A57" s="40" t="s">
        <v>6037</v>
      </c>
      <c r="B57" s="41" t="s">
        <v>5983</v>
      </c>
      <c r="C57" s="42">
        <v>640</v>
      </c>
      <c r="D57" s="43">
        <v>2</v>
      </c>
      <c r="E57" s="44">
        <f t="shared" si="0"/>
        <v>1280</v>
      </c>
      <c r="F57" s="45"/>
      <c r="G57" s="46">
        <f t="shared" si="1"/>
        <v>0</v>
      </c>
      <c r="H57" s="47"/>
      <c r="I57" s="48">
        <f t="shared" si="2"/>
        <v>0</v>
      </c>
      <c r="J57" s="43">
        <f t="shared" si="3"/>
        <v>2</v>
      </c>
      <c r="K57" s="49">
        <f t="shared" si="4"/>
        <v>1280</v>
      </c>
    </row>
    <row r="58" spans="1:11" x14ac:dyDescent="0.25">
      <c r="A58" s="40" t="s">
        <v>6038</v>
      </c>
      <c r="B58" s="41" t="s">
        <v>5983</v>
      </c>
      <c r="C58" s="42">
        <v>309</v>
      </c>
      <c r="D58" s="43">
        <v>3</v>
      </c>
      <c r="E58" s="44">
        <f t="shared" si="0"/>
        <v>927</v>
      </c>
      <c r="F58" s="45"/>
      <c r="G58" s="46">
        <f t="shared" si="1"/>
        <v>0</v>
      </c>
      <c r="H58" s="47"/>
      <c r="I58" s="48">
        <f t="shared" si="2"/>
        <v>0</v>
      </c>
      <c r="J58" s="43">
        <f t="shared" si="3"/>
        <v>3</v>
      </c>
      <c r="K58" s="49">
        <f t="shared" si="4"/>
        <v>927</v>
      </c>
    </row>
    <row r="59" spans="1:11" x14ac:dyDescent="0.25">
      <c r="A59" s="40" t="s">
        <v>6039</v>
      </c>
      <c r="B59" s="41" t="s">
        <v>5983</v>
      </c>
      <c r="C59" s="42">
        <v>818</v>
      </c>
      <c r="D59" s="43">
        <v>1</v>
      </c>
      <c r="E59" s="44">
        <f t="shared" si="0"/>
        <v>818</v>
      </c>
      <c r="F59" s="45"/>
      <c r="G59" s="46">
        <f t="shared" si="1"/>
        <v>0</v>
      </c>
      <c r="H59" s="47"/>
      <c r="I59" s="48">
        <f t="shared" si="2"/>
        <v>0</v>
      </c>
      <c r="J59" s="43">
        <f t="shared" si="3"/>
        <v>1</v>
      </c>
      <c r="K59" s="49">
        <f t="shared" si="4"/>
        <v>818</v>
      </c>
    </row>
    <row r="60" spans="1:11" x14ac:dyDescent="0.25">
      <c r="A60" s="40" t="s">
        <v>6040</v>
      </c>
      <c r="B60" s="41" t="s">
        <v>5983</v>
      </c>
      <c r="C60" s="42">
        <v>493</v>
      </c>
      <c r="D60" s="43">
        <v>8</v>
      </c>
      <c r="E60" s="44">
        <f t="shared" si="0"/>
        <v>3944</v>
      </c>
      <c r="F60" s="45"/>
      <c r="G60" s="46">
        <f t="shared" si="1"/>
        <v>0</v>
      </c>
      <c r="H60" s="47"/>
      <c r="I60" s="48">
        <f t="shared" si="2"/>
        <v>0</v>
      </c>
      <c r="J60" s="43">
        <f t="shared" si="3"/>
        <v>8</v>
      </c>
      <c r="K60" s="49">
        <f t="shared" si="4"/>
        <v>3944</v>
      </c>
    </row>
    <row r="61" spans="1:11" x14ac:dyDescent="0.25">
      <c r="A61" s="40" t="s">
        <v>6041</v>
      </c>
      <c r="B61" s="41" t="s">
        <v>5983</v>
      </c>
      <c r="C61" s="42">
        <v>423</v>
      </c>
      <c r="D61" s="43">
        <v>1</v>
      </c>
      <c r="E61" s="44">
        <f t="shared" si="0"/>
        <v>423</v>
      </c>
      <c r="F61" s="45"/>
      <c r="G61" s="46">
        <f t="shared" si="1"/>
        <v>0</v>
      </c>
      <c r="H61" s="47"/>
      <c r="I61" s="48">
        <f t="shared" si="2"/>
        <v>0</v>
      </c>
      <c r="J61" s="43">
        <f t="shared" si="3"/>
        <v>1</v>
      </c>
      <c r="K61" s="49">
        <f t="shared" si="4"/>
        <v>423</v>
      </c>
    </row>
    <row r="62" spans="1:11" x14ac:dyDescent="0.25">
      <c r="A62" s="40" t="s">
        <v>6042</v>
      </c>
      <c r="B62" s="41" t="s">
        <v>5983</v>
      </c>
      <c r="C62" s="42">
        <v>607</v>
      </c>
      <c r="D62" s="43">
        <v>2</v>
      </c>
      <c r="E62" s="44">
        <f t="shared" si="0"/>
        <v>1214</v>
      </c>
      <c r="F62" s="45"/>
      <c r="G62" s="46">
        <f t="shared" si="1"/>
        <v>0</v>
      </c>
      <c r="H62" s="47"/>
      <c r="I62" s="48">
        <f t="shared" si="2"/>
        <v>0</v>
      </c>
      <c r="J62" s="43">
        <f t="shared" si="3"/>
        <v>2</v>
      </c>
      <c r="K62" s="49">
        <f t="shared" si="4"/>
        <v>1214</v>
      </c>
    </row>
    <row r="63" spans="1:11" x14ac:dyDescent="0.25">
      <c r="A63" s="40" t="s">
        <v>6043</v>
      </c>
      <c r="B63" s="41" t="s">
        <v>5983</v>
      </c>
      <c r="C63" s="42">
        <v>544</v>
      </c>
      <c r="D63" s="43">
        <v>2</v>
      </c>
      <c r="E63" s="44">
        <f t="shared" si="0"/>
        <v>1088</v>
      </c>
      <c r="F63" s="45"/>
      <c r="G63" s="46">
        <f t="shared" si="1"/>
        <v>0</v>
      </c>
      <c r="H63" s="47"/>
      <c r="I63" s="48">
        <f t="shared" si="2"/>
        <v>0</v>
      </c>
      <c r="J63" s="43">
        <f t="shared" si="3"/>
        <v>2</v>
      </c>
      <c r="K63" s="49">
        <f t="shared" si="4"/>
        <v>1088</v>
      </c>
    </row>
    <row r="64" spans="1:11" x14ac:dyDescent="0.25">
      <c r="A64" s="40" t="s">
        <v>6044</v>
      </c>
      <c r="B64" s="41" t="s">
        <v>5983</v>
      </c>
      <c r="C64" s="42">
        <v>1126</v>
      </c>
      <c r="D64" s="43">
        <v>1</v>
      </c>
      <c r="E64" s="44">
        <f t="shared" si="0"/>
        <v>1126</v>
      </c>
      <c r="F64" s="45"/>
      <c r="G64" s="46">
        <f t="shared" si="1"/>
        <v>0</v>
      </c>
      <c r="H64" s="47"/>
      <c r="I64" s="48">
        <f t="shared" si="2"/>
        <v>0</v>
      </c>
      <c r="J64" s="43">
        <f t="shared" si="3"/>
        <v>1</v>
      </c>
      <c r="K64" s="49">
        <f t="shared" si="4"/>
        <v>1126</v>
      </c>
    </row>
    <row r="65" spans="1:11" x14ac:dyDescent="0.25">
      <c r="A65" s="40" t="s">
        <v>6045</v>
      </c>
      <c r="B65" s="41" t="s">
        <v>5983</v>
      </c>
      <c r="C65" s="42">
        <v>1086</v>
      </c>
      <c r="D65" s="43">
        <v>4</v>
      </c>
      <c r="E65" s="44">
        <f t="shared" si="0"/>
        <v>4344</v>
      </c>
      <c r="F65" s="45"/>
      <c r="G65" s="46">
        <f t="shared" si="1"/>
        <v>0</v>
      </c>
      <c r="H65" s="47"/>
      <c r="I65" s="48">
        <f t="shared" si="2"/>
        <v>0</v>
      </c>
      <c r="J65" s="43">
        <f t="shared" si="3"/>
        <v>4</v>
      </c>
      <c r="K65" s="49">
        <f t="shared" si="4"/>
        <v>4344</v>
      </c>
    </row>
    <row r="66" spans="1:11" x14ac:dyDescent="0.25">
      <c r="A66" s="40" t="s">
        <v>6046</v>
      </c>
      <c r="B66" s="41" t="s">
        <v>5983</v>
      </c>
      <c r="C66" s="42">
        <v>120</v>
      </c>
      <c r="D66" s="43">
        <v>1</v>
      </c>
      <c r="E66" s="44">
        <f t="shared" si="0"/>
        <v>120</v>
      </c>
      <c r="F66" s="45"/>
      <c r="G66" s="46">
        <f t="shared" si="1"/>
        <v>0</v>
      </c>
      <c r="H66" s="47"/>
      <c r="I66" s="48">
        <f t="shared" si="2"/>
        <v>0</v>
      </c>
      <c r="J66" s="43">
        <f t="shared" si="3"/>
        <v>1</v>
      </c>
      <c r="K66" s="49">
        <f t="shared" si="4"/>
        <v>120</v>
      </c>
    </row>
    <row r="67" spans="1:11" x14ac:dyDescent="0.25">
      <c r="A67" s="40" t="s">
        <v>6047</v>
      </c>
      <c r="B67" s="41" t="s">
        <v>5983</v>
      </c>
      <c r="C67" s="42">
        <v>150</v>
      </c>
      <c r="D67" s="43">
        <v>2</v>
      </c>
      <c r="E67" s="44">
        <f t="shared" si="0"/>
        <v>300</v>
      </c>
      <c r="F67" s="45"/>
      <c r="G67" s="46">
        <f t="shared" si="1"/>
        <v>0</v>
      </c>
      <c r="H67" s="47"/>
      <c r="I67" s="48">
        <f t="shared" si="2"/>
        <v>0</v>
      </c>
      <c r="J67" s="43">
        <f t="shared" si="3"/>
        <v>2</v>
      </c>
      <c r="K67" s="49">
        <f t="shared" si="4"/>
        <v>300</v>
      </c>
    </row>
    <row r="68" spans="1:11" x14ac:dyDescent="0.25">
      <c r="A68" s="40" t="s">
        <v>6048</v>
      </c>
      <c r="B68" s="41" t="s">
        <v>5983</v>
      </c>
      <c r="C68" s="42">
        <v>149</v>
      </c>
      <c r="D68" s="43">
        <v>1</v>
      </c>
      <c r="E68" s="44">
        <f t="shared" ref="E68:E131" si="5">C68*D68</f>
        <v>149</v>
      </c>
      <c r="F68" s="45"/>
      <c r="G68" s="46">
        <f t="shared" ref="G68:G131" si="6">IFERROR(C68*F68,"")</f>
        <v>0</v>
      </c>
      <c r="H68" s="47"/>
      <c r="I68" s="48">
        <f t="shared" ref="I68:I131" si="7">IFERROR(C68*H68,"")</f>
        <v>0</v>
      </c>
      <c r="J68" s="43">
        <f t="shared" ref="J68:J131" si="8">F68+D68-H68</f>
        <v>1</v>
      </c>
      <c r="K68" s="49">
        <f t="shared" ref="K68:K131" si="9">IFERROR(C68*J68,"")</f>
        <v>149</v>
      </c>
    </row>
    <row r="69" spans="1:11" x14ac:dyDescent="0.25">
      <c r="A69" s="40" t="s">
        <v>6049</v>
      </c>
      <c r="B69" s="41" t="s">
        <v>5983</v>
      </c>
      <c r="C69" s="42">
        <v>292</v>
      </c>
      <c r="D69" s="43">
        <v>1</v>
      </c>
      <c r="E69" s="44">
        <f t="shared" si="5"/>
        <v>292</v>
      </c>
      <c r="F69" s="45"/>
      <c r="G69" s="46">
        <f t="shared" si="6"/>
        <v>0</v>
      </c>
      <c r="H69" s="47"/>
      <c r="I69" s="48">
        <f t="shared" si="7"/>
        <v>0</v>
      </c>
      <c r="J69" s="43">
        <f t="shared" si="8"/>
        <v>1</v>
      </c>
      <c r="K69" s="49">
        <f t="shared" si="9"/>
        <v>292</v>
      </c>
    </row>
    <row r="70" spans="1:11" x14ac:dyDescent="0.25">
      <c r="A70" s="40" t="s">
        <v>6050</v>
      </c>
      <c r="B70" s="41" t="s">
        <v>5983</v>
      </c>
      <c r="C70" s="42">
        <v>143</v>
      </c>
      <c r="D70" s="43">
        <v>1</v>
      </c>
      <c r="E70" s="44">
        <f t="shared" si="5"/>
        <v>143</v>
      </c>
      <c r="F70" s="45"/>
      <c r="G70" s="46">
        <f t="shared" si="6"/>
        <v>0</v>
      </c>
      <c r="H70" s="47"/>
      <c r="I70" s="48">
        <f t="shared" si="7"/>
        <v>0</v>
      </c>
      <c r="J70" s="43">
        <f t="shared" si="8"/>
        <v>1</v>
      </c>
      <c r="K70" s="49">
        <f t="shared" si="9"/>
        <v>143</v>
      </c>
    </row>
    <row r="71" spans="1:11" x14ac:dyDescent="0.25">
      <c r="A71" s="40" t="s">
        <v>6051</v>
      </c>
      <c r="B71" s="41" t="s">
        <v>5983</v>
      </c>
      <c r="C71" s="42">
        <v>220</v>
      </c>
      <c r="D71" s="43">
        <v>1</v>
      </c>
      <c r="E71" s="44">
        <f t="shared" si="5"/>
        <v>220</v>
      </c>
      <c r="F71" s="45"/>
      <c r="G71" s="46">
        <f t="shared" si="6"/>
        <v>0</v>
      </c>
      <c r="H71" s="47"/>
      <c r="I71" s="48">
        <f t="shared" si="7"/>
        <v>0</v>
      </c>
      <c r="J71" s="43">
        <f t="shared" si="8"/>
        <v>1</v>
      </c>
      <c r="K71" s="49">
        <f t="shared" si="9"/>
        <v>220</v>
      </c>
    </row>
    <row r="72" spans="1:11" x14ac:dyDescent="0.25">
      <c r="A72" s="40" t="s">
        <v>6052</v>
      </c>
      <c r="B72" s="41" t="s">
        <v>5983</v>
      </c>
      <c r="C72" s="42">
        <v>110</v>
      </c>
      <c r="D72" s="43">
        <v>2</v>
      </c>
      <c r="E72" s="44">
        <f t="shared" si="5"/>
        <v>220</v>
      </c>
      <c r="F72" s="45"/>
      <c r="G72" s="46">
        <f t="shared" si="6"/>
        <v>0</v>
      </c>
      <c r="H72" s="47"/>
      <c r="I72" s="48">
        <f t="shared" si="7"/>
        <v>0</v>
      </c>
      <c r="J72" s="43">
        <f t="shared" si="8"/>
        <v>2</v>
      </c>
      <c r="K72" s="49">
        <f t="shared" si="9"/>
        <v>220</v>
      </c>
    </row>
    <row r="73" spans="1:11" x14ac:dyDescent="0.25">
      <c r="A73" s="40" t="s">
        <v>6053</v>
      </c>
      <c r="B73" s="41" t="s">
        <v>5983</v>
      </c>
      <c r="C73" s="42">
        <v>202</v>
      </c>
      <c r="D73" s="43">
        <v>1</v>
      </c>
      <c r="E73" s="44">
        <f t="shared" si="5"/>
        <v>202</v>
      </c>
      <c r="F73" s="45"/>
      <c r="G73" s="46">
        <f t="shared" si="6"/>
        <v>0</v>
      </c>
      <c r="H73" s="47"/>
      <c r="I73" s="48">
        <f t="shared" si="7"/>
        <v>0</v>
      </c>
      <c r="J73" s="43">
        <f t="shared" si="8"/>
        <v>1</v>
      </c>
      <c r="K73" s="49">
        <f t="shared" si="9"/>
        <v>202</v>
      </c>
    </row>
    <row r="74" spans="1:11" x14ac:dyDescent="0.25">
      <c r="A74" s="40" t="s">
        <v>6054</v>
      </c>
      <c r="B74" s="41" t="s">
        <v>5983</v>
      </c>
      <c r="C74" s="42">
        <v>150</v>
      </c>
      <c r="D74" s="43">
        <v>7</v>
      </c>
      <c r="E74" s="44">
        <f t="shared" si="5"/>
        <v>1050</v>
      </c>
      <c r="F74" s="45"/>
      <c r="G74" s="46">
        <f t="shared" si="6"/>
        <v>0</v>
      </c>
      <c r="H74" s="47"/>
      <c r="I74" s="48">
        <f t="shared" si="7"/>
        <v>0</v>
      </c>
      <c r="J74" s="43">
        <f t="shared" si="8"/>
        <v>7</v>
      </c>
      <c r="K74" s="49">
        <f t="shared" si="9"/>
        <v>1050</v>
      </c>
    </row>
    <row r="75" spans="1:11" x14ac:dyDescent="0.25">
      <c r="A75" s="40" t="s">
        <v>6055</v>
      </c>
      <c r="B75" s="41" t="s">
        <v>5983</v>
      </c>
      <c r="C75" s="42">
        <v>231</v>
      </c>
      <c r="D75" s="43">
        <v>2</v>
      </c>
      <c r="E75" s="44">
        <f t="shared" si="5"/>
        <v>462</v>
      </c>
      <c r="F75" s="45"/>
      <c r="G75" s="46">
        <f t="shared" si="6"/>
        <v>0</v>
      </c>
      <c r="H75" s="47"/>
      <c r="I75" s="48">
        <f t="shared" si="7"/>
        <v>0</v>
      </c>
      <c r="J75" s="43">
        <f t="shared" si="8"/>
        <v>2</v>
      </c>
      <c r="K75" s="49">
        <f t="shared" si="9"/>
        <v>462</v>
      </c>
    </row>
    <row r="76" spans="1:11" x14ac:dyDescent="0.25">
      <c r="A76" s="40" t="s">
        <v>6056</v>
      </c>
      <c r="B76" s="41" t="s">
        <v>5983</v>
      </c>
      <c r="C76" s="42">
        <v>78</v>
      </c>
      <c r="D76" s="43">
        <v>1</v>
      </c>
      <c r="E76" s="44">
        <f t="shared" si="5"/>
        <v>78</v>
      </c>
      <c r="F76" s="45"/>
      <c r="G76" s="46">
        <f t="shared" si="6"/>
        <v>0</v>
      </c>
      <c r="H76" s="47"/>
      <c r="I76" s="48">
        <f t="shared" si="7"/>
        <v>0</v>
      </c>
      <c r="J76" s="43">
        <f t="shared" si="8"/>
        <v>1</v>
      </c>
      <c r="K76" s="49">
        <f t="shared" si="9"/>
        <v>78</v>
      </c>
    </row>
    <row r="77" spans="1:11" x14ac:dyDescent="0.25">
      <c r="A77" s="40" t="s">
        <v>6057</v>
      </c>
      <c r="B77" s="41" t="s">
        <v>5983</v>
      </c>
      <c r="C77" s="42">
        <v>130</v>
      </c>
      <c r="D77" s="43">
        <v>2</v>
      </c>
      <c r="E77" s="44">
        <f t="shared" si="5"/>
        <v>260</v>
      </c>
      <c r="F77" s="45"/>
      <c r="G77" s="46">
        <f t="shared" si="6"/>
        <v>0</v>
      </c>
      <c r="H77" s="47"/>
      <c r="I77" s="48">
        <f t="shared" si="7"/>
        <v>0</v>
      </c>
      <c r="J77" s="43">
        <f t="shared" si="8"/>
        <v>2</v>
      </c>
      <c r="K77" s="49">
        <f t="shared" si="9"/>
        <v>260</v>
      </c>
    </row>
    <row r="78" spans="1:11" x14ac:dyDescent="0.25">
      <c r="A78" s="40" t="s">
        <v>6058</v>
      </c>
      <c r="B78" s="41" t="s">
        <v>5983</v>
      </c>
      <c r="C78" s="42">
        <v>120</v>
      </c>
      <c r="D78" s="43">
        <v>3</v>
      </c>
      <c r="E78" s="44">
        <f t="shared" si="5"/>
        <v>360</v>
      </c>
      <c r="F78" s="45"/>
      <c r="G78" s="46">
        <f t="shared" si="6"/>
        <v>0</v>
      </c>
      <c r="H78" s="47"/>
      <c r="I78" s="48">
        <f t="shared" si="7"/>
        <v>0</v>
      </c>
      <c r="J78" s="43">
        <f t="shared" si="8"/>
        <v>3</v>
      </c>
      <c r="K78" s="49">
        <f t="shared" si="9"/>
        <v>360</v>
      </c>
    </row>
    <row r="79" spans="1:11" x14ac:dyDescent="0.25">
      <c r="A79" s="40" t="s">
        <v>6059</v>
      </c>
      <c r="B79" s="41" t="s">
        <v>5983</v>
      </c>
      <c r="C79" s="42">
        <v>150</v>
      </c>
      <c r="D79" s="43">
        <v>1</v>
      </c>
      <c r="E79" s="44">
        <f t="shared" si="5"/>
        <v>150</v>
      </c>
      <c r="F79" s="45"/>
      <c r="G79" s="46">
        <f t="shared" si="6"/>
        <v>0</v>
      </c>
      <c r="H79" s="47"/>
      <c r="I79" s="48">
        <f t="shared" si="7"/>
        <v>0</v>
      </c>
      <c r="J79" s="43">
        <f t="shared" si="8"/>
        <v>1</v>
      </c>
      <c r="K79" s="49">
        <f t="shared" si="9"/>
        <v>150</v>
      </c>
    </row>
    <row r="80" spans="1:11" x14ac:dyDescent="0.25">
      <c r="A80" s="40" t="s">
        <v>6060</v>
      </c>
      <c r="B80" s="41" t="s">
        <v>5983</v>
      </c>
      <c r="C80" s="42">
        <v>119</v>
      </c>
      <c r="D80" s="43">
        <v>4</v>
      </c>
      <c r="E80" s="44">
        <f t="shared" si="5"/>
        <v>476</v>
      </c>
      <c r="F80" s="45"/>
      <c r="G80" s="46">
        <f t="shared" si="6"/>
        <v>0</v>
      </c>
      <c r="H80" s="47"/>
      <c r="I80" s="48">
        <f t="shared" si="7"/>
        <v>0</v>
      </c>
      <c r="J80" s="43">
        <f t="shared" si="8"/>
        <v>4</v>
      </c>
      <c r="K80" s="49">
        <f t="shared" si="9"/>
        <v>476</v>
      </c>
    </row>
    <row r="81" spans="1:11" x14ac:dyDescent="0.25">
      <c r="A81" s="40" t="s">
        <v>6061</v>
      </c>
      <c r="B81" s="41" t="s">
        <v>5983</v>
      </c>
      <c r="C81" s="42">
        <v>134</v>
      </c>
      <c r="D81" s="43">
        <v>2</v>
      </c>
      <c r="E81" s="44">
        <f t="shared" si="5"/>
        <v>268</v>
      </c>
      <c r="F81" s="45"/>
      <c r="G81" s="46">
        <f t="shared" si="6"/>
        <v>0</v>
      </c>
      <c r="H81" s="47"/>
      <c r="I81" s="48">
        <f t="shared" si="7"/>
        <v>0</v>
      </c>
      <c r="J81" s="43">
        <f t="shared" si="8"/>
        <v>2</v>
      </c>
      <c r="K81" s="49">
        <f t="shared" si="9"/>
        <v>268</v>
      </c>
    </row>
    <row r="82" spans="1:11" x14ac:dyDescent="0.25">
      <c r="A82" s="40" t="s">
        <v>6062</v>
      </c>
      <c r="B82" s="41" t="s">
        <v>5983</v>
      </c>
      <c r="C82" s="42">
        <v>134</v>
      </c>
      <c r="D82" s="43">
        <v>3</v>
      </c>
      <c r="E82" s="44">
        <f t="shared" si="5"/>
        <v>402</v>
      </c>
      <c r="F82" s="45"/>
      <c r="G82" s="46">
        <f t="shared" si="6"/>
        <v>0</v>
      </c>
      <c r="H82" s="47"/>
      <c r="I82" s="48">
        <f t="shared" si="7"/>
        <v>0</v>
      </c>
      <c r="J82" s="43">
        <f t="shared" si="8"/>
        <v>3</v>
      </c>
      <c r="K82" s="49">
        <f t="shared" si="9"/>
        <v>402</v>
      </c>
    </row>
    <row r="83" spans="1:11" x14ac:dyDescent="0.25">
      <c r="A83" s="40" t="s">
        <v>6063</v>
      </c>
      <c r="B83" s="41" t="s">
        <v>5983</v>
      </c>
      <c r="C83" s="42">
        <v>389</v>
      </c>
      <c r="D83" s="43">
        <v>2</v>
      </c>
      <c r="E83" s="44">
        <f t="shared" si="5"/>
        <v>778</v>
      </c>
      <c r="F83" s="45"/>
      <c r="G83" s="46">
        <f t="shared" si="6"/>
        <v>0</v>
      </c>
      <c r="H83" s="47"/>
      <c r="I83" s="48">
        <f t="shared" si="7"/>
        <v>0</v>
      </c>
      <c r="J83" s="43">
        <f t="shared" si="8"/>
        <v>2</v>
      </c>
      <c r="K83" s="49">
        <f t="shared" si="9"/>
        <v>778</v>
      </c>
    </row>
    <row r="84" spans="1:11" x14ac:dyDescent="0.25">
      <c r="A84" s="40" t="s">
        <v>6064</v>
      </c>
      <c r="B84" s="41" t="s">
        <v>5983</v>
      </c>
      <c r="C84" s="42">
        <v>147</v>
      </c>
      <c r="D84" s="43">
        <v>6</v>
      </c>
      <c r="E84" s="44">
        <f t="shared" si="5"/>
        <v>882</v>
      </c>
      <c r="F84" s="45"/>
      <c r="G84" s="46">
        <f t="shared" si="6"/>
        <v>0</v>
      </c>
      <c r="H84" s="47"/>
      <c r="I84" s="48">
        <f t="shared" si="7"/>
        <v>0</v>
      </c>
      <c r="J84" s="43">
        <f t="shared" si="8"/>
        <v>6</v>
      </c>
      <c r="K84" s="49">
        <f t="shared" si="9"/>
        <v>882</v>
      </c>
    </row>
    <row r="85" spans="1:11" x14ac:dyDescent="0.25">
      <c r="A85" s="40" t="s">
        <v>6065</v>
      </c>
      <c r="B85" s="41" t="s">
        <v>5983</v>
      </c>
      <c r="C85" s="42">
        <v>250</v>
      </c>
      <c r="D85" s="43">
        <v>2</v>
      </c>
      <c r="E85" s="44">
        <f t="shared" si="5"/>
        <v>500</v>
      </c>
      <c r="F85" s="45"/>
      <c r="G85" s="46">
        <f t="shared" si="6"/>
        <v>0</v>
      </c>
      <c r="H85" s="47"/>
      <c r="I85" s="48">
        <f t="shared" si="7"/>
        <v>0</v>
      </c>
      <c r="J85" s="43">
        <f t="shared" si="8"/>
        <v>2</v>
      </c>
      <c r="K85" s="49">
        <f t="shared" si="9"/>
        <v>500</v>
      </c>
    </row>
    <row r="86" spans="1:11" x14ac:dyDescent="0.25">
      <c r="A86" s="40" t="s">
        <v>6066</v>
      </c>
      <c r="B86" s="41" t="s">
        <v>5983</v>
      </c>
      <c r="C86" s="42">
        <v>340</v>
      </c>
      <c r="D86" s="43">
        <v>4</v>
      </c>
      <c r="E86" s="44">
        <f t="shared" si="5"/>
        <v>1360</v>
      </c>
      <c r="F86" s="45"/>
      <c r="G86" s="46">
        <f t="shared" si="6"/>
        <v>0</v>
      </c>
      <c r="H86" s="47"/>
      <c r="I86" s="48">
        <f t="shared" si="7"/>
        <v>0</v>
      </c>
      <c r="J86" s="43">
        <f t="shared" si="8"/>
        <v>4</v>
      </c>
      <c r="K86" s="49">
        <f t="shared" si="9"/>
        <v>1360</v>
      </c>
    </row>
    <row r="87" spans="1:11" x14ac:dyDescent="0.25">
      <c r="A87" s="40" t="s">
        <v>6067</v>
      </c>
      <c r="B87" s="41" t="s">
        <v>5983</v>
      </c>
      <c r="C87" s="42">
        <v>42</v>
      </c>
      <c r="D87" s="43">
        <v>1</v>
      </c>
      <c r="E87" s="44">
        <f t="shared" si="5"/>
        <v>42</v>
      </c>
      <c r="F87" s="45"/>
      <c r="G87" s="46">
        <f t="shared" si="6"/>
        <v>0</v>
      </c>
      <c r="H87" s="47"/>
      <c r="I87" s="48">
        <f t="shared" si="7"/>
        <v>0</v>
      </c>
      <c r="J87" s="43">
        <f t="shared" si="8"/>
        <v>1</v>
      </c>
      <c r="K87" s="49">
        <f t="shared" si="9"/>
        <v>42</v>
      </c>
    </row>
    <row r="88" spans="1:11" x14ac:dyDescent="0.25">
      <c r="A88" s="40" t="s">
        <v>6068</v>
      </c>
      <c r="B88" s="41" t="s">
        <v>5983</v>
      </c>
      <c r="C88" s="42">
        <v>150</v>
      </c>
      <c r="D88" s="43">
        <v>2</v>
      </c>
      <c r="E88" s="44">
        <f t="shared" si="5"/>
        <v>300</v>
      </c>
      <c r="F88" s="45"/>
      <c r="G88" s="46">
        <f t="shared" si="6"/>
        <v>0</v>
      </c>
      <c r="H88" s="47"/>
      <c r="I88" s="48">
        <f t="shared" si="7"/>
        <v>0</v>
      </c>
      <c r="J88" s="43">
        <f t="shared" si="8"/>
        <v>2</v>
      </c>
      <c r="K88" s="49">
        <f t="shared" si="9"/>
        <v>300</v>
      </c>
    </row>
    <row r="89" spans="1:11" x14ac:dyDescent="0.25">
      <c r="A89" s="40" t="s">
        <v>6069</v>
      </c>
      <c r="B89" s="41" t="s">
        <v>5983</v>
      </c>
      <c r="C89" s="42">
        <v>284</v>
      </c>
      <c r="D89" s="43">
        <v>2</v>
      </c>
      <c r="E89" s="44">
        <f t="shared" si="5"/>
        <v>568</v>
      </c>
      <c r="F89" s="45"/>
      <c r="G89" s="46">
        <f t="shared" si="6"/>
        <v>0</v>
      </c>
      <c r="H89" s="47"/>
      <c r="I89" s="48">
        <f t="shared" si="7"/>
        <v>0</v>
      </c>
      <c r="J89" s="43">
        <f t="shared" si="8"/>
        <v>2</v>
      </c>
      <c r="K89" s="49">
        <f t="shared" si="9"/>
        <v>568</v>
      </c>
    </row>
    <row r="90" spans="1:11" x14ac:dyDescent="0.25">
      <c r="A90" s="40" t="s">
        <v>6070</v>
      </c>
      <c r="B90" s="41" t="s">
        <v>5983</v>
      </c>
      <c r="C90" s="42">
        <v>119</v>
      </c>
      <c r="D90" s="43">
        <v>1</v>
      </c>
      <c r="E90" s="44">
        <f t="shared" si="5"/>
        <v>119</v>
      </c>
      <c r="F90" s="45"/>
      <c r="G90" s="46">
        <f t="shared" si="6"/>
        <v>0</v>
      </c>
      <c r="H90" s="47"/>
      <c r="I90" s="48">
        <f t="shared" si="7"/>
        <v>0</v>
      </c>
      <c r="J90" s="43">
        <f t="shared" si="8"/>
        <v>1</v>
      </c>
      <c r="K90" s="49">
        <f t="shared" si="9"/>
        <v>119</v>
      </c>
    </row>
    <row r="91" spans="1:11" x14ac:dyDescent="0.25">
      <c r="A91" s="40" t="s">
        <v>6071</v>
      </c>
      <c r="B91" s="41" t="s">
        <v>5983</v>
      </c>
      <c r="C91" s="42">
        <v>66</v>
      </c>
      <c r="D91" s="43">
        <v>3</v>
      </c>
      <c r="E91" s="44">
        <f t="shared" si="5"/>
        <v>198</v>
      </c>
      <c r="F91" s="45"/>
      <c r="G91" s="46">
        <f t="shared" si="6"/>
        <v>0</v>
      </c>
      <c r="H91" s="47"/>
      <c r="I91" s="48">
        <f t="shared" si="7"/>
        <v>0</v>
      </c>
      <c r="J91" s="43">
        <f t="shared" si="8"/>
        <v>3</v>
      </c>
      <c r="K91" s="49">
        <f t="shared" si="9"/>
        <v>198</v>
      </c>
    </row>
    <row r="92" spans="1:11" x14ac:dyDescent="0.25">
      <c r="A92" s="40" t="s">
        <v>6072</v>
      </c>
      <c r="B92" s="41" t="s">
        <v>5983</v>
      </c>
      <c r="C92" s="42">
        <v>114</v>
      </c>
      <c r="D92" s="43">
        <v>1</v>
      </c>
      <c r="E92" s="44">
        <f t="shared" si="5"/>
        <v>114</v>
      </c>
      <c r="F92" s="45"/>
      <c r="G92" s="46">
        <f t="shared" si="6"/>
        <v>0</v>
      </c>
      <c r="H92" s="47"/>
      <c r="I92" s="48">
        <f t="shared" si="7"/>
        <v>0</v>
      </c>
      <c r="J92" s="43">
        <f t="shared" si="8"/>
        <v>1</v>
      </c>
      <c r="K92" s="49">
        <f t="shared" si="9"/>
        <v>114</v>
      </c>
    </row>
    <row r="93" spans="1:11" x14ac:dyDescent="0.25">
      <c r="A93" s="40" t="s">
        <v>6073</v>
      </c>
      <c r="B93" s="41" t="s">
        <v>5983</v>
      </c>
      <c r="C93" s="42">
        <v>420</v>
      </c>
      <c r="D93" s="43">
        <v>1</v>
      </c>
      <c r="E93" s="44">
        <f t="shared" si="5"/>
        <v>420</v>
      </c>
      <c r="F93" s="45"/>
      <c r="G93" s="46">
        <f t="shared" si="6"/>
        <v>0</v>
      </c>
      <c r="H93" s="47"/>
      <c r="I93" s="48">
        <f t="shared" si="7"/>
        <v>0</v>
      </c>
      <c r="J93" s="43">
        <f t="shared" si="8"/>
        <v>1</v>
      </c>
      <c r="K93" s="49">
        <f t="shared" si="9"/>
        <v>420</v>
      </c>
    </row>
    <row r="94" spans="1:11" x14ac:dyDescent="0.25">
      <c r="A94" s="40" t="s">
        <v>6074</v>
      </c>
      <c r="B94" s="41" t="s">
        <v>5983</v>
      </c>
      <c r="C94" s="42">
        <v>110</v>
      </c>
      <c r="D94" s="43">
        <v>3</v>
      </c>
      <c r="E94" s="44">
        <f t="shared" si="5"/>
        <v>330</v>
      </c>
      <c r="F94" s="45"/>
      <c r="G94" s="46">
        <f t="shared" si="6"/>
        <v>0</v>
      </c>
      <c r="H94" s="47"/>
      <c r="I94" s="48">
        <f t="shared" si="7"/>
        <v>0</v>
      </c>
      <c r="J94" s="43">
        <f t="shared" si="8"/>
        <v>3</v>
      </c>
      <c r="K94" s="49">
        <f t="shared" si="9"/>
        <v>330</v>
      </c>
    </row>
    <row r="95" spans="1:11" x14ac:dyDescent="0.25">
      <c r="A95" s="40" t="s">
        <v>6075</v>
      </c>
      <c r="B95" s="41" t="s">
        <v>5983</v>
      </c>
      <c r="C95" s="42">
        <v>179</v>
      </c>
      <c r="D95" s="43">
        <v>3</v>
      </c>
      <c r="E95" s="44">
        <f t="shared" si="5"/>
        <v>537</v>
      </c>
      <c r="F95" s="45"/>
      <c r="G95" s="46">
        <f t="shared" si="6"/>
        <v>0</v>
      </c>
      <c r="H95" s="47"/>
      <c r="I95" s="48">
        <f t="shared" si="7"/>
        <v>0</v>
      </c>
      <c r="J95" s="43">
        <f t="shared" si="8"/>
        <v>3</v>
      </c>
      <c r="K95" s="49">
        <f t="shared" si="9"/>
        <v>537</v>
      </c>
    </row>
    <row r="96" spans="1:11" x14ac:dyDescent="0.25">
      <c r="A96" s="40" t="s">
        <v>6076</v>
      </c>
      <c r="B96" s="41" t="s">
        <v>5983</v>
      </c>
      <c r="C96" s="42">
        <v>750</v>
      </c>
      <c r="D96" s="43">
        <v>1</v>
      </c>
      <c r="E96" s="44">
        <f t="shared" si="5"/>
        <v>750</v>
      </c>
      <c r="F96" s="45"/>
      <c r="G96" s="46">
        <f t="shared" si="6"/>
        <v>0</v>
      </c>
      <c r="H96" s="47">
        <v>1</v>
      </c>
      <c r="I96" s="48">
        <f t="shared" si="7"/>
        <v>750</v>
      </c>
      <c r="J96" s="43">
        <f t="shared" si="8"/>
        <v>0</v>
      </c>
      <c r="K96" s="49">
        <f t="shared" si="9"/>
        <v>0</v>
      </c>
    </row>
    <row r="97" spans="1:11" x14ac:dyDescent="0.25">
      <c r="A97" s="40" t="s">
        <v>6077</v>
      </c>
      <c r="B97" s="41" t="s">
        <v>5983</v>
      </c>
      <c r="C97" s="42">
        <v>120</v>
      </c>
      <c r="D97" s="43">
        <v>1</v>
      </c>
      <c r="E97" s="44">
        <f t="shared" si="5"/>
        <v>120</v>
      </c>
      <c r="F97" s="45"/>
      <c r="G97" s="46">
        <f t="shared" si="6"/>
        <v>0</v>
      </c>
      <c r="H97" s="47"/>
      <c r="I97" s="48">
        <f t="shared" si="7"/>
        <v>0</v>
      </c>
      <c r="J97" s="43">
        <f t="shared" si="8"/>
        <v>1</v>
      </c>
      <c r="K97" s="49">
        <f t="shared" si="9"/>
        <v>120</v>
      </c>
    </row>
    <row r="98" spans="1:11" x14ac:dyDescent="0.25">
      <c r="A98" s="40" t="s">
        <v>6078</v>
      </c>
      <c r="B98" s="41" t="s">
        <v>5983</v>
      </c>
      <c r="C98" s="42">
        <v>122</v>
      </c>
      <c r="D98" s="43">
        <v>1</v>
      </c>
      <c r="E98" s="44">
        <f t="shared" si="5"/>
        <v>122</v>
      </c>
      <c r="F98" s="45"/>
      <c r="G98" s="46">
        <f t="shared" si="6"/>
        <v>0</v>
      </c>
      <c r="H98" s="47"/>
      <c r="I98" s="48">
        <f t="shared" si="7"/>
        <v>0</v>
      </c>
      <c r="J98" s="43">
        <f t="shared" si="8"/>
        <v>1</v>
      </c>
      <c r="K98" s="49">
        <f t="shared" si="9"/>
        <v>122</v>
      </c>
    </row>
    <row r="99" spans="1:11" x14ac:dyDescent="0.25">
      <c r="A99" s="40" t="s">
        <v>6079</v>
      </c>
      <c r="B99" s="41" t="s">
        <v>5983</v>
      </c>
      <c r="C99" s="42">
        <v>90</v>
      </c>
      <c r="D99" s="43">
        <v>1</v>
      </c>
      <c r="E99" s="44">
        <f t="shared" si="5"/>
        <v>90</v>
      </c>
      <c r="F99" s="45"/>
      <c r="G99" s="46">
        <f t="shared" si="6"/>
        <v>0</v>
      </c>
      <c r="H99" s="47"/>
      <c r="I99" s="48">
        <f t="shared" si="7"/>
        <v>0</v>
      </c>
      <c r="J99" s="43">
        <f t="shared" si="8"/>
        <v>1</v>
      </c>
      <c r="K99" s="49">
        <f t="shared" si="9"/>
        <v>90</v>
      </c>
    </row>
    <row r="100" spans="1:11" x14ac:dyDescent="0.25">
      <c r="A100" s="40" t="s">
        <v>6080</v>
      </c>
      <c r="B100" s="41" t="s">
        <v>5983</v>
      </c>
      <c r="C100" s="42">
        <v>51</v>
      </c>
      <c r="D100" s="43">
        <v>1</v>
      </c>
      <c r="E100" s="44">
        <f t="shared" si="5"/>
        <v>51</v>
      </c>
      <c r="F100" s="45"/>
      <c r="G100" s="46">
        <f t="shared" si="6"/>
        <v>0</v>
      </c>
      <c r="H100" s="47"/>
      <c r="I100" s="48">
        <f t="shared" si="7"/>
        <v>0</v>
      </c>
      <c r="J100" s="43">
        <f t="shared" si="8"/>
        <v>1</v>
      </c>
      <c r="K100" s="49">
        <f t="shared" si="9"/>
        <v>51</v>
      </c>
    </row>
    <row r="101" spans="1:11" x14ac:dyDescent="0.25">
      <c r="A101" s="40" t="s">
        <v>6081</v>
      </c>
      <c r="B101" s="41" t="s">
        <v>5983</v>
      </c>
      <c r="C101" s="42">
        <v>150</v>
      </c>
      <c r="D101" s="43">
        <v>1</v>
      </c>
      <c r="E101" s="44">
        <f t="shared" si="5"/>
        <v>150</v>
      </c>
      <c r="F101" s="45"/>
      <c r="G101" s="46">
        <f t="shared" si="6"/>
        <v>0</v>
      </c>
      <c r="H101" s="47"/>
      <c r="I101" s="48">
        <f t="shared" si="7"/>
        <v>0</v>
      </c>
      <c r="J101" s="43">
        <f t="shared" si="8"/>
        <v>1</v>
      </c>
      <c r="K101" s="49">
        <f t="shared" si="9"/>
        <v>150</v>
      </c>
    </row>
    <row r="102" spans="1:11" x14ac:dyDescent="0.25">
      <c r="A102" s="40" t="s">
        <v>6082</v>
      </c>
      <c r="B102" s="41" t="s">
        <v>5983</v>
      </c>
      <c r="C102" s="42">
        <v>85</v>
      </c>
      <c r="D102" s="43">
        <v>22</v>
      </c>
      <c r="E102" s="44">
        <f t="shared" si="5"/>
        <v>1870</v>
      </c>
      <c r="F102" s="45"/>
      <c r="G102" s="46">
        <f t="shared" si="6"/>
        <v>0</v>
      </c>
      <c r="H102" s="47"/>
      <c r="I102" s="48">
        <f t="shared" si="7"/>
        <v>0</v>
      </c>
      <c r="J102" s="43">
        <f t="shared" si="8"/>
        <v>22</v>
      </c>
      <c r="K102" s="49">
        <f t="shared" si="9"/>
        <v>1870</v>
      </c>
    </row>
    <row r="103" spans="1:11" x14ac:dyDescent="0.25">
      <c r="A103" s="40" t="s">
        <v>6083</v>
      </c>
      <c r="B103" s="41" t="s">
        <v>5983</v>
      </c>
      <c r="C103" s="42">
        <v>6200</v>
      </c>
      <c r="D103" s="43">
        <v>1</v>
      </c>
      <c r="E103" s="44">
        <f t="shared" si="5"/>
        <v>6200</v>
      </c>
      <c r="F103" s="45"/>
      <c r="G103" s="46">
        <f t="shared" si="6"/>
        <v>0</v>
      </c>
      <c r="H103" s="47"/>
      <c r="I103" s="48">
        <f t="shared" si="7"/>
        <v>0</v>
      </c>
      <c r="J103" s="43">
        <f t="shared" si="8"/>
        <v>1</v>
      </c>
      <c r="K103" s="49">
        <f t="shared" si="9"/>
        <v>6200</v>
      </c>
    </row>
    <row r="104" spans="1:11" x14ac:dyDescent="0.25">
      <c r="A104" s="40" t="s">
        <v>6084</v>
      </c>
      <c r="B104" s="41" t="s">
        <v>6085</v>
      </c>
      <c r="C104" s="42">
        <v>980</v>
      </c>
      <c r="D104" s="43">
        <v>2</v>
      </c>
      <c r="E104" s="44">
        <f t="shared" si="5"/>
        <v>1960</v>
      </c>
      <c r="F104" s="45"/>
      <c r="G104" s="46">
        <f t="shared" si="6"/>
        <v>0</v>
      </c>
      <c r="H104" s="47"/>
      <c r="I104" s="48">
        <f t="shared" si="7"/>
        <v>0</v>
      </c>
      <c r="J104" s="43">
        <f t="shared" si="8"/>
        <v>2</v>
      </c>
      <c r="K104" s="49">
        <f t="shared" si="9"/>
        <v>1960</v>
      </c>
    </row>
    <row r="105" spans="1:11" x14ac:dyDescent="0.25">
      <c r="A105" s="40" t="s">
        <v>6086</v>
      </c>
      <c r="B105" s="41" t="s">
        <v>5983</v>
      </c>
      <c r="C105" s="42">
        <v>940</v>
      </c>
      <c r="D105" s="43">
        <v>1</v>
      </c>
      <c r="E105" s="44">
        <f t="shared" si="5"/>
        <v>940</v>
      </c>
      <c r="F105" s="45"/>
      <c r="G105" s="46">
        <f t="shared" si="6"/>
        <v>0</v>
      </c>
      <c r="H105" s="47"/>
      <c r="I105" s="48">
        <f t="shared" si="7"/>
        <v>0</v>
      </c>
      <c r="J105" s="43">
        <f t="shared" si="8"/>
        <v>1</v>
      </c>
      <c r="K105" s="49">
        <f t="shared" si="9"/>
        <v>940</v>
      </c>
    </row>
    <row r="106" spans="1:11" x14ac:dyDescent="0.25">
      <c r="A106" s="40" t="s">
        <v>6087</v>
      </c>
      <c r="B106" s="41" t="s">
        <v>5983</v>
      </c>
      <c r="C106" s="42">
        <v>970</v>
      </c>
      <c r="D106" s="43">
        <v>5</v>
      </c>
      <c r="E106" s="44">
        <f t="shared" si="5"/>
        <v>4850</v>
      </c>
      <c r="F106" s="45"/>
      <c r="G106" s="46">
        <f t="shared" si="6"/>
        <v>0</v>
      </c>
      <c r="H106" s="47"/>
      <c r="I106" s="48">
        <f t="shared" si="7"/>
        <v>0</v>
      </c>
      <c r="J106" s="43">
        <f t="shared" si="8"/>
        <v>5</v>
      </c>
      <c r="K106" s="49">
        <f t="shared" si="9"/>
        <v>4850</v>
      </c>
    </row>
    <row r="107" spans="1:11" x14ac:dyDescent="0.25">
      <c r="A107" s="40" t="s">
        <v>6088</v>
      </c>
      <c r="B107" s="41" t="s">
        <v>5983</v>
      </c>
      <c r="C107" s="42">
        <v>950</v>
      </c>
      <c r="D107" s="43">
        <v>3</v>
      </c>
      <c r="E107" s="44">
        <f t="shared" si="5"/>
        <v>2850</v>
      </c>
      <c r="F107" s="45">
        <v>1</v>
      </c>
      <c r="G107" s="46">
        <f t="shared" si="6"/>
        <v>950</v>
      </c>
      <c r="H107" s="47">
        <v>2</v>
      </c>
      <c r="I107" s="48">
        <f t="shared" si="7"/>
        <v>1900</v>
      </c>
      <c r="J107" s="43">
        <f t="shared" si="8"/>
        <v>2</v>
      </c>
      <c r="K107" s="49">
        <f t="shared" si="9"/>
        <v>1900</v>
      </c>
    </row>
    <row r="108" spans="1:11" x14ac:dyDescent="0.25">
      <c r="A108" s="40" t="s">
        <v>6089</v>
      </c>
      <c r="B108" s="41" t="s">
        <v>5983</v>
      </c>
      <c r="C108" s="42">
        <v>600</v>
      </c>
      <c r="D108" s="43">
        <v>2</v>
      </c>
      <c r="E108" s="44">
        <f t="shared" si="5"/>
        <v>1200</v>
      </c>
      <c r="F108" s="45"/>
      <c r="G108" s="46">
        <f t="shared" si="6"/>
        <v>0</v>
      </c>
      <c r="H108" s="47"/>
      <c r="I108" s="48">
        <f t="shared" si="7"/>
        <v>0</v>
      </c>
      <c r="J108" s="43">
        <f t="shared" si="8"/>
        <v>2</v>
      </c>
      <c r="K108" s="49">
        <f t="shared" si="9"/>
        <v>1200</v>
      </c>
    </row>
    <row r="109" spans="1:11" x14ac:dyDescent="0.25">
      <c r="A109" s="40" t="s">
        <v>6090</v>
      </c>
      <c r="B109" s="41" t="s">
        <v>5983</v>
      </c>
      <c r="C109" s="42">
        <v>670</v>
      </c>
      <c r="D109" s="43">
        <v>3</v>
      </c>
      <c r="E109" s="44">
        <f t="shared" si="5"/>
        <v>2010</v>
      </c>
      <c r="F109" s="45"/>
      <c r="G109" s="46">
        <f t="shared" si="6"/>
        <v>0</v>
      </c>
      <c r="H109" s="47"/>
      <c r="I109" s="48">
        <f t="shared" si="7"/>
        <v>0</v>
      </c>
      <c r="J109" s="43">
        <f t="shared" si="8"/>
        <v>3</v>
      </c>
      <c r="K109" s="49">
        <f t="shared" si="9"/>
        <v>2010</v>
      </c>
    </row>
    <row r="110" spans="1:11" x14ac:dyDescent="0.25">
      <c r="A110" s="40" t="s">
        <v>6091</v>
      </c>
      <c r="B110" s="41" t="s">
        <v>5983</v>
      </c>
      <c r="C110" s="42">
        <v>550</v>
      </c>
      <c r="D110" s="43">
        <v>2</v>
      </c>
      <c r="E110" s="44">
        <f t="shared" si="5"/>
        <v>1100</v>
      </c>
      <c r="F110" s="45"/>
      <c r="G110" s="46">
        <f t="shared" si="6"/>
        <v>0</v>
      </c>
      <c r="H110" s="47"/>
      <c r="I110" s="48">
        <f t="shared" si="7"/>
        <v>0</v>
      </c>
      <c r="J110" s="43">
        <f t="shared" si="8"/>
        <v>2</v>
      </c>
      <c r="K110" s="49">
        <f t="shared" si="9"/>
        <v>1100</v>
      </c>
    </row>
    <row r="111" spans="1:11" x14ac:dyDescent="0.25">
      <c r="A111" s="40" t="s">
        <v>6092</v>
      </c>
      <c r="B111" s="41" t="s">
        <v>5983</v>
      </c>
      <c r="C111" s="42">
        <v>957</v>
      </c>
      <c r="D111" s="43">
        <v>6</v>
      </c>
      <c r="E111" s="44">
        <f t="shared" si="5"/>
        <v>5742</v>
      </c>
      <c r="F111" s="45"/>
      <c r="G111" s="46">
        <f t="shared" si="6"/>
        <v>0</v>
      </c>
      <c r="H111" s="47"/>
      <c r="I111" s="48">
        <f t="shared" si="7"/>
        <v>0</v>
      </c>
      <c r="J111" s="43">
        <f t="shared" si="8"/>
        <v>6</v>
      </c>
      <c r="K111" s="49">
        <f t="shared" si="9"/>
        <v>5742</v>
      </c>
    </row>
    <row r="112" spans="1:11" x14ac:dyDescent="0.25">
      <c r="A112" s="40" t="s">
        <v>6093</v>
      </c>
      <c r="B112" s="41" t="s">
        <v>5983</v>
      </c>
      <c r="C112" s="42">
        <v>740</v>
      </c>
      <c r="D112" s="43">
        <v>3</v>
      </c>
      <c r="E112" s="44">
        <f t="shared" si="5"/>
        <v>2220</v>
      </c>
      <c r="F112" s="45">
        <v>2</v>
      </c>
      <c r="G112" s="46">
        <f t="shared" si="6"/>
        <v>1480</v>
      </c>
      <c r="H112" s="47">
        <v>1</v>
      </c>
      <c r="I112" s="48">
        <f t="shared" si="7"/>
        <v>740</v>
      </c>
      <c r="J112" s="43">
        <f t="shared" si="8"/>
        <v>4</v>
      </c>
      <c r="K112" s="49">
        <f t="shared" si="9"/>
        <v>2960</v>
      </c>
    </row>
    <row r="113" spans="1:11" x14ac:dyDescent="0.25">
      <c r="A113" s="40" t="s">
        <v>6094</v>
      </c>
      <c r="B113" s="41" t="s">
        <v>5983</v>
      </c>
      <c r="C113" s="42">
        <v>960</v>
      </c>
      <c r="D113" s="43">
        <v>1</v>
      </c>
      <c r="E113" s="44">
        <f t="shared" si="5"/>
        <v>960</v>
      </c>
      <c r="F113" s="45"/>
      <c r="G113" s="46">
        <f t="shared" si="6"/>
        <v>0</v>
      </c>
      <c r="H113" s="47"/>
      <c r="I113" s="48">
        <f t="shared" si="7"/>
        <v>0</v>
      </c>
      <c r="J113" s="43">
        <f t="shared" si="8"/>
        <v>1</v>
      </c>
      <c r="K113" s="49">
        <f t="shared" si="9"/>
        <v>960</v>
      </c>
    </row>
    <row r="114" spans="1:11" x14ac:dyDescent="0.25">
      <c r="A114" s="40" t="s">
        <v>6095</v>
      </c>
      <c r="B114" s="41" t="s">
        <v>5983</v>
      </c>
      <c r="C114" s="42">
        <v>850</v>
      </c>
      <c r="D114" s="43">
        <v>3</v>
      </c>
      <c r="E114" s="44">
        <f t="shared" si="5"/>
        <v>2550</v>
      </c>
      <c r="F114" s="45"/>
      <c r="G114" s="46">
        <f t="shared" si="6"/>
        <v>0</v>
      </c>
      <c r="H114" s="47"/>
      <c r="I114" s="48">
        <f t="shared" si="7"/>
        <v>0</v>
      </c>
      <c r="J114" s="43">
        <f t="shared" si="8"/>
        <v>3</v>
      </c>
      <c r="K114" s="49">
        <f t="shared" si="9"/>
        <v>2550</v>
      </c>
    </row>
    <row r="115" spans="1:11" x14ac:dyDescent="0.25">
      <c r="A115" s="40" t="s">
        <v>6096</v>
      </c>
      <c r="B115" s="41" t="s">
        <v>5983</v>
      </c>
      <c r="C115" s="42">
        <v>890</v>
      </c>
      <c r="D115" s="43">
        <v>2</v>
      </c>
      <c r="E115" s="44">
        <f t="shared" si="5"/>
        <v>1780</v>
      </c>
      <c r="F115" s="45"/>
      <c r="G115" s="46">
        <f t="shared" si="6"/>
        <v>0</v>
      </c>
      <c r="H115" s="47"/>
      <c r="I115" s="48">
        <f t="shared" si="7"/>
        <v>0</v>
      </c>
      <c r="J115" s="43">
        <f t="shared" si="8"/>
        <v>2</v>
      </c>
      <c r="K115" s="49">
        <f t="shared" si="9"/>
        <v>1780</v>
      </c>
    </row>
    <row r="116" spans="1:11" s="58" customFormat="1" x14ac:dyDescent="0.25">
      <c r="A116" s="40" t="s">
        <v>6097</v>
      </c>
      <c r="B116" s="55" t="s">
        <v>5983</v>
      </c>
      <c r="C116" s="56">
        <v>24</v>
      </c>
      <c r="D116" s="57">
        <v>120</v>
      </c>
      <c r="E116" s="48">
        <f t="shared" si="5"/>
        <v>2880</v>
      </c>
      <c r="F116" s="45"/>
      <c r="G116" s="46">
        <f t="shared" si="6"/>
        <v>0</v>
      </c>
      <c r="H116" s="47">
        <v>80</v>
      </c>
      <c r="I116" s="48">
        <f t="shared" si="7"/>
        <v>1920</v>
      </c>
      <c r="J116" s="43">
        <f t="shared" si="8"/>
        <v>40</v>
      </c>
      <c r="K116" s="49">
        <f t="shared" si="9"/>
        <v>960</v>
      </c>
    </row>
    <row r="117" spans="1:11" x14ac:dyDescent="0.25">
      <c r="A117" s="40" t="s">
        <v>6098</v>
      </c>
      <c r="B117" s="41" t="s">
        <v>5983</v>
      </c>
      <c r="C117" s="42">
        <v>500</v>
      </c>
      <c r="D117" s="43">
        <v>10</v>
      </c>
      <c r="E117" s="44">
        <f t="shared" si="5"/>
        <v>5000</v>
      </c>
      <c r="F117" s="45"/>
      <c r="G117" s="46">
        <f t="shared" si="6"/>
        <v>0</v>
      </c>
      <c r="H117" s="47"/>
      <c r="I117" s="48">
        <f t="shared" si="7"/>
        <v>0</v>
      </c>
      <c r="J117" s="43">
        <f t="shared" si="8"/>
        <v>10</v>
      </c>
      <c r="K117" s="49">
        <f t="shared" si="9"/>
        <v>5000</v>
      </c>
    </row>
    <row r="118" spans="1:11" x14ac:dyDescent="0.25">
      <c r="A118" s="40" t="s">
        <v>6099</v>
      </c>
      <c r="B118" s="41" t="s">
        <v>5983</v>
      </c>
      <c r="C118" s="42">
        <v>3500</v>
      </c>
      <c r="D118" s="43">
        <v>1</v>
      </c>
      <c r="E118" s="44">
        <f t="shared" si="5"/>
        <v>3500</v>
      </c>
      <c r="F118" s="45"/>
      <c r="G118" s="46">
        <f t="shared" si="6"/>
        <v>0</v>
      </c>
      <c r="H118" s="47"/>
      <c r="I118" s="48">
        <f t="shared" si="7"/>
        <v>0</v>
      </c>
      <c r="J118" s="43">
        <f t="shared" si="8"/>
        <v>1</v>
      </c>
      <c r="K118" s="49">
        <f t="shared" si="9"/>
        <v>3500</v>
      </c>
    </row>
    <row r="119" spans="1:11" x14ac:dyDescent="0.25">
      <c r="A119" s="40" t="s">
        <v>6100</v>
      </c>
      <c r="B119" s="41" t="s">
        <v>5983</v>
      </c>
      <c r="C119" s="42">
        <v>1000</v>
      </c>
      <c r="D119" s="43">
        <v>1</v>
      </c>
      <c r="E119" s="44">
        <f t="shared" si="5"/>
        <v>1000</v>
      </c>
      <c r="F119" s="45"/>
      <c r="G119" s="46">
        <f t="shared" si="6"/>
        <v>0</v>
      </c>
      <c r="H119" s="47"/>
      <c r="I119" s="48">
        <f t="shared" si="7"/>
        <v>0</v>
      </c>
      <c r="J119" s="43">
        <f t="shared" si="8"/>
        <v>1</v>
      </c>
      <c r="K119" s="49">
        <f t="shared" si="9"/>
        <v>1000</v>
      </c>
    </row>
    <row r="120" spans="1:11" x14ac:dyDescent="0.25">
      <c r="A120" s="40" t="s">
        <v>6101</v>
      </c>
      <c r="B120" s="59" t="s">
        <v>5983</v>
      </c>
      <c r="C120" s="42">
        <v>75</v>
      </c>
      <c r="D120" s="43">
        <v>2</v>
      </c>
      <c r="E120" s="44">
        <f t="shared" si="5"/>
        <v>150</v>
      </c>
      <c r="F120" s="45"/>
      <c r="G120" s="46">
        <f t="shared" si="6"/>
        <v>0</v>
      </c>
      <c r="H120" s="47"/>
      <c r="I120" s="48">
        <f t="shared" si="7"/>
        <v>0</v>
      </c>
      <c r="J120" s="43">
        <f t="shared" si="8"/>
        <v>2</v>
      </c>
      <c r="K120" s="49">
        <f t="shared" si="9"/>
        <v>150</v>
      </c>
    </row>
    <row r="121" spans="1:11" s="60" customFormat="1" x14ac:dyDescent="0.25">
      <c r="A121" s="40" t="s">
        <v>6102</v>
      </c>
      <c r="B121" s="59" t="s">
        <v>5983</v>
      </c>
      <c r="C121" s="42">
        <v>3080</v>
      </c>
      <c r="D121" s="43">
        <v>5</v>
      </c>
      <c r="E121" s="44">
        <f t="shared" si="5"/>
        <v>15400</v>
      </c>
      <c r="F121" s="45"/>
      <c r="G121" s="46">
        <f t="shared" si="6"/>
        <v>0</v>
      </c>
      <c r="H121" s="47"/>
      <c r="I121" s="48">
        <f t="shared" si="7"/>
        <v>0</v>
      </c>
      <c r="J121" s="43">
        <f t="shared" si="8"/>
        <v>5</v>
      </c>
      <c r="K121" s="49">
        <f t="shared" si="9"/>
        <v>15400</v>
      </c>
    </row>
    <row r="122" spans="1:11" s="58" customFormat="1" x14ac:dyDescent="0.25">
      <c r="A122" s="40" t="s">
        <v>6103</v>
      </c>
      <c r="B122" s="55" t="s">
        <v>5983</v>
      </c>
      <c r="C122" s="56">
        <v>300</v>
      </c>
      <c r="D122" s="57">
        <v>1</v>
      </c>
      <c r="E122" s="48">
        <f t="shared" si="5"/>
        <v>300</v>
      </c>
      <c r="F122" s="45"/>
      <c r="G122" s="46">
        <f t="shared" si="6"/>
        <v>0</v>
      </c>
      <c r="H122" s="47"/>
      <c r="I122" s="48">
        <f t="shared" si="7"/>
        <v>0</v>
      </c>
      <c r="J122" s="43">
        <f t="shared" si="8"/>
        <v>1</v>
      </c>
      <c r="K122" s="49">
        <f t="shared" si="9"/>
        <v>300</v>
      </c>
    </row>
    <row r="123" spans="1:11" x14ac:dyDescent="0.25">
      <c r="A123" s="40" t="s">
        <v>6104</v>
      </c>
      <c r="B123" s="41" t="s">
        <v>5983</v>
      </c>
      <c r="C123" s="42">
        <v>70</v>
      </c>
      <c r="D123" s="43">
        <v>21</v>
      </c>
      <c r="E123" s="44">
        <f t="shared" si="5"/>
        <v>1470</v>
      </c>
      <c r="F123" s="45"/>
      <c r="G123" s="46">
        <f t="shared" si="6"/>
        <v>0</v>
      </c>
      <c r="H123" s="47">
        <v>14</v>
      </c>
      <c r="I123" s="48">
        <f t="shared" si="7"/>
        <v>980</v>
      </c>
      <c r="J123" s="43">
        <f t="shared" si="8"/>
        <v>7</v>
      </c>
      <c r="K123" s="49">
        <f t="shared" si="9"/>
        <v>490</v>
      </c>
    </row>
    <row r="124" spans="1:11" x14ac:dyDescent="0.25">
      <c r="A124" s="40" t="s">
        <v>6105</v>
      </c>
      <c r="B124" s="41" t="s">
        <v>5983</v>
      </c>
      <c r="C124" s="42">
        <v>3677.73</v>
      </c>
      <c r="D124" s="43">
        <v>1</v>
      </c>
      <c r="E124" s="44">
        <f t="shared" si="5"/>
        <v>3677.73</v>
      </c>
      <c r="F124" s="45"/>
      <c r="G124" s="46">
        <f t="shared" si="6"/>
        <v>0</v>
      </c>
      <c r="H124" s="47"/>
      <c r="I124" s="48">
        <f t="shared" si="7"/>
        <v>0</v>
      </c>
      <c r="J124" s="43">
        <f t="shared" si="8"/>
        <v>1</v>
      </c>
      <c r="K124" s="49">
        <f t="shared" si="9"/>
        <v>3677.73</v>
      </c>
    </row>
    <row r="125" spans="1:11" x14ac:dyDescent="0.25">
      <c r="A125" s="40" t="s">
        <v>6106</v>
      </c>
      <c r="B125" s="41" t="s">
        <v>5983</v>
      </c>
      <c r="C125" s="42">
        <v>4100</v>
      </c>
      <c r="D125" s="43">
        <v>1</v>
      </c>
      <c r="E125" s="44">
        <f t="shared" si="5"/>
        <v>4100</v>
      </c>
      <c r="F125" s="45"/>
      <c r="G125" s="46">
        <f t="shared" si="6"/>
        <v>0</v>
      </c>
      <c r="H125" s="47"/>
      <c r="I125" s="48">
        <f t="shared" si="7"/>
        <v>0</v>
      </c>
      <c r="J125" s="43">
        <f t="shared" si="8"/>
        <v>1</v>
      </c>
      <c r="K125" s="49">
        <f t="shared" si="9"/>
        <v>4100</v>
      </c>
    </row>
    <row r="126" spans="1:11" x14ac:dyDescent="0.25">
      <c r="A126" s="40" t="s">
        <v>6107</v>
      </c>
      <c r="B126" s="41" t="s">
        <v>5983</v>
      </c>
      <c r="C126" s="42">
        <v>1990</v>
      </c>
      <c r="D126" s="43">
        <v>1</v>
      </c>
      <c r="E126" s="44">
        <f t="shared" si="5"/>
        <v>1990</v>
      </c>
      <c r="F126" s="45"/>
      <c r="G126" s="46">
        <f t="shared" si="6"/>
        <v>0</v>
      </c>
      <c r="H126" s="47"/>
      <c r="I126" s="48">
        <f t="shared" si="7"/>
        <v>0</v>
      </c>
      <c r="J126" s="43">
        <f t="shared" si="8"/>
        <v>1</v>
      </c>
      <c r="K126" s="49">
        <f t="shared" si="9"/>
        <v>1990</v>
      </c>
    </row>
    <row r="127" spans="1:11" x14ac:dyDescent="0.25">
      <c r="A127" s="40" t="s">
        <v>6108</v>
      </c>
      <c r="B127" s="41" t="s">
        <v>5983</v>
      </c>
      <c r="C127" s="42">
        <v>750</v>
      </c>
      <c r="D127" s="43">
        <v>1</v>
      </c>
      <c r="E127" s="44">
        <f t="shared" si="5"/>
        <v>750</v>
      </c>
      <c r="F127" s="45"/>
      <c r="G127" s="46">
        <f t="shared" si="6"/>
        <v>0</v>
      </c>
      <c r="H127" s="47"/>
      <c r="I127" s="48">
        <f t="shared" si="7"/>
        <v>0</v>
      </c>
      <c r="J127" s="43">
        <f t="shared" si="8"/>
        <v>1</v>
      </c>
      <c r="K127" s="49">
        <f t="shared" si="9"/>
        <v>750</v>
      </c>
    </row>
    <row r="128" spans="1:11" x14ac:dyDescent="0.25">
      <c r="A128" s="40" t="s">
        <v>6109</v>
      </c>
      <c r="B128" s="41" t="s">
        <v>6110</v>
      </c>
      <c r="C128" s="42">
        <v>4380</v>
      </c>
      <c r="D128" s="43">
        <v>1</v>
      </c>
      <c r="E128" s="44">
        <f t="shared" si="5"/>
        <v>4380</v>
      </c>
      <c r="F128" s="45"/>
      <c r="G128" s="46">
        <f t="shared" si="6"/>
        <v>0</v>
      </c>
      <c r="H128" s="47"/>
      <c r="I128" s="48">
        <f t="shared" si="7"/>
        <v>0</v>
      </c>
      <c r="J128" s="43">
        <f t="shared" si="8"/>
        <v>1</v>
      </c>
      <c r="K128" s="49">
        <f t="shared" si="9"/>
        <v>4380</v>
      </c>
    </row>
    <row r="129" spans="1:11" x14ac:dyDescent="0.25">
      <c r="A129" s="40" t="s">
        <v>6111</v>
      </c>
      <c r="B129" s="41" t="s">
        <v>6110</v>
      </c>
      <c r="C129" s="42">
        <v>4167.1899999999996</v>
      </c>
      <c r="D129" s="43">
        <v>1</v>
      </c>
      <c r="E129" s="44">
        <f t="shared" si="5"/>
        <v>4167.1899999999996</v>
      </c>
      <c r="F129" s="45"/>
      <c r="G129" s="46">
        <f t="shared" si="6"/>
        <v>0</v>
      </c>
      <c r="H129" s="47"/>
      <c r="I129" s="48">
        <f t="shared" si="7"/>
        <v>0</v>
      </c>
      <c r="J129" s="43">
        <f t="shared" si="8"/>
        <v>1</v>
      </c>
      <c r="K129" s="49">
        <f t="shared" si="9"/>
        <v>4167.1899999999996</v>
      </c>
    </row>
    <row r="130" spans="1:11" x14ac:dyDescent="0.25">
      <c r="A130" s="40" t="s">
        <v>6112</v>
      </c>
      <c r="B130" s="41" t="s">
        <v>6110</v>
      </c>
      <c r="C130" s="42">
        <v>2900</v>
      </c>
      <c r="D130" s="43">
        <v>2</v>
      </c>
      <c r="E130" s="44">
        <f t="shared" si="5"/>
        <v>5800</v>
      </c>
      <c r="F130" s="45"/>
      <c r="G130" s="46">
        <f t="shared" si="6"/>
        <v>0</v>
      </c>
      <c r="H130" s="47">
        <v>1</v>
      </c>
      <c r="I130" s="48">
        <f t="shared" si="7"/>
        <v>2900</v>
      </c>
      <c r="J130" s="43">
        <f t="shared" si="8"/>
        <v>1</v>
      </c>
      <c r="K130" s="49">
        <f t="shared" si="9"/>
        <v>2900</v>
      </c>
    </row>
    <row r="131" spans="1:11" x14ac:dyDescent="0.25">
      <c r="A131" s="40" t="s">
        <v>6113</v>
      </c>
      <c r="B131" s="41" t="s">
        <v>5983</v>
      </c>
      <c r="C131" s="42">
        <v>1080</v>
      </c>
      <c r="D131" s="43">
        <v>2</v>
      </c>
      <c r="E131" s="44">
        <f t="shared" si="5"/>
        <v>2160</v>
      </c>
      <c r="F131" s="45">
        <v>2</v>
      </c>
      <c r="G131" s="46">
        <f t="shared" si="6"/>
        <v>2160</v>
      </c>
      <c r="H131" s="47">
        <v>3</v>
      </c>
      <c r="I131" s="48">
        <f t="shared" si="7"/>
        <v>3240</v>
      </c>
      <c r="J131" s="43">
        <f t="shared" si="8"/>
        <v>1</v>
      </c>
      <c r="K131" s="49">
        <f t="shared" si="9"/>
        <v>1080</v>
      </c>
    </row>
    <row r="132" spans="1:11" x14ac:dyDescent="0.25">
      <c r="A132" s="40" t="s">
        <v>6114</v>
      </c>
      <c r="B132" s="41" t="s">
        <v>5983</v>
      </c>
      <c r="C132" s="42">
        <v>90</v>
      </c>
      <c r="D132" s="43">
        <v>11</v>
      </c>
      <c r="E132" s="44">
        <f t="shared" ref="E132:E163" si="10">C132*D132</f>
        <v>990</v>
      </c>
      <c r="F132" s="45"/>
      <c r="G132" s="46">
        <f t="shared" ref="G132:G163" si="11">IFERROR(C132*F132,"")</f>
        <v>0</v>
      </c>
      <c r="H132" s="47">
        <v>20</v>
      </c>
      <c r="I132" s="48">
        <f t="shared" ref="I132:I163" si="12">IFERROR(C132*H132,"")</f>
        <v>1800</v>
      </c>
      <c r="J132" s="43">
        <f t="shared" ref="J132:J163" si="13">F132+D132-H132</f>
        <v>-9</v>
      </c>
      <c r="K132" s="49">
        <f t="shared" ref="K132:K163" si="14">IFERROR(C132*J132,"")</f>
        <v>-810</v>
      </c>
    </row>
    <row r="133" spans="1:11" x14ac:dyDescent="0.25">
      <c r="A133" s="40" t="s">
        <v>6115</v>
      </c>
      <c r="B133" s="41" t="s">
        <v>5983</v>
      </c>
      <c r="C133" s="42">
        <v>65</v>
      </c>
      <c r="D133" s="43">
        <v>20</v>
      </c>
      <c r="E133" s="44">
        <f t="shared" si="10"/>
        <v>1300</v>
      </c>
      <c r="F133" s="45"/>
      <c r="G133" s="46">
        <f t="shared" si="11"/>
        <v>0</v>
      </c>
      <c r="H133" s="47">
        <v>15</v>
      </c>
      <c r="I133" s="48">
        <f t="shared" si="12"/>
        <v>975</v>
      </c>
      <c r="J133" s="43">
        <f t="shared" si="13"/>
        <v>5</v>
      </c>
      <c r="K133" s="49">
        <f t="shared" si="14"/>
        <v>325</v>
      </c>
    </row>
    <row r="134" spans="1:11" x14ac:dyDescent="0.25">
      <c r="A134" s="40" t="s">
        <v>6116</v>
      </c>
      <c r="B134" s="41" t="s">
        <v>5983</v>
      </c>
      <c r="C134" s="42">
        <v>72</v>
      </c>
      <c r="D134" s="43">
        <v>40</v>
      </c>
      <c r="E134" s="44">
        <f t="shared" si="10"/>
        <v>2880</v>
      </c>
      <c r="F134" s="45"/>
      <c r="G134" s="46">
        <f t="shared" si="11"/>
        <v>0</v>
      </c>
      <c r="H134" s="47">
        <v>20</v>
      </c>
      <c r="I134" s="48">
        <f t="shared" si="12"/>
        <v>1440</v>
      </c>
      <c r="J134" s="43">
        <f t="shared" si="13"/>
        <v>20</v>
      </c>
      <c r="K134" s="49">
        <f t="shared" si="14"/>
        <v>1440</v>
      </c>
    </row>
    <row r="135" spans="1:11" x14ac:dyDescent="0.25">
      <c r="A135" s="40" t="s">
        <v>6117</v>
      </c>
      <c r="B135" s="41" t="s">
        <v>5983</v>
      </c>
      <c r="C135" s="42">
        <v>81</v>
      </c>
      <c r="D135" s="43">
        <v>20</v>
      </c>
      <c r="E135" s="44">
        <f t="shared" si="10"/>
        <v>1620</v>
      </c>
      <c r="F135" s="45"/>
      <c r="G135" s="46">
        <f t="shared" si="11"/>
        <v>0</v>
      </c>
      <c r="H135" s="47"/>
      <c r="I135" s="48">
        <f t="shared" si="12"/>
        <v>0</v>
      </c>
      <c r="J135" s="43">
        <f t="shared" si="13"/>
        <v>20</v>
      </c>
      <c r="K135" s="49">
        <f t="shared" si="14"/>
        <v>1620</v>
      </c>
    </row>
    <row r="136" spans="1:11" x14ac:dyDescent="0.25">
      <c r="A136" s="40" t="s">
        <v>6118</v>
      </c>
      <c r="B136" s="41" t="s">
        <v>5983</v>
      </c>
      <c r="C136" s="42">
        <v>5405</v>
      </c>
      <c r="D136" s="43">
        <v>2</v>
      </c>
      <c r="E136" s="44">
        <f t="shared" si="10"/>
        <v>10810</v>
      </c>
      <c r="F136" s="45"/>
      <c r="G136" s="46">
        <f t="shared" si="11"/>
        <v>0</v>
      </c>
      <c r="H136" s="47"/>
      <c r="I136" s="48">
        <f>IFERROR(C135*H135,"")</f>
        <v>0</v>
      </c>
      <c r="J136" s="43">
        <f t="shared" si="13"/>
        <v>2</v>
      </c>
      <c r="K136" s="49">
        <f t="shared" si="14"/>
        <v>10810</v>
      </c>
    </row>
    <row r="137" spans="1:11" x14ac:dyDescent="0.25">
      <c r="A137" s="40" t="s">
        <v>6119</v>
      </c>
      <c r="B137" s="41" t="s">
        <v>5983</v>
      </c>
      <c r="C137" s="42">
        <v>3000</v>
      </c>
      <c r="D137" s="43">
        <v>2</v>
      </c>
      <c r="E137" s="44">
        <f t="shared" si="10"/>
        <v>6000</v>
      </c>
      <c r="F137" s="45"/>
      <c r="G137" s="46">
        <f t="shared" si="11"/>
        <v>0</v>
      </c>
      <c r="H137" s="47"/>
      <c r="I137" s="48">
        <f t="shared" ref="I137:I158" si="15">IFERROR(C137*H137,"")</f>
        <v>0</v>
      </c>
      <c r="J137" s="43">
        <f t="shared" si="13"/>
        <v>2</v>
      </c>
      <c r="K137" s="49">
        <f t="shared" si="14"/>
        <v>6000</v>
      </c>
    </row>
    <row r="138" spans="1:11" x14ac:dyDescent="0.25">
      <c r="A138" s="40" t="s">
        <v>6120</v>
      </c>
      <c r="B138" s="41" t="s">
        <v>5983</v>
      </c>
      <c r="C138" s="42">
        <v>6500</v>
      </c>
      <c r="D138" s="43">
        <v>2</v>
      </c>
      <c r="E138" s="44">
        <f t="shared" si="10"/>
        <v>13000</v>
      </c>
      <c r="F138" s="45"/>
      <c r="G138" s="46">
        <f t="shared" si="11"/>
        <v>0</v>
      </c>
      <c r="H138" s="47"/>
      <c r="I138" s="48">
        <f t="shared" si="15"/>
        <v>0</v>
      </c>
      <c r="J138" s="43">
        <f t="shared" si="13"/>
        <v>2</v>
      </c>
      <c r="K138" s="49">
        <f t="shared" si="14"/>
        <v>13000</v>
      </c>
    </row>
    <row r="139" spans="1:11" x14ac:dyDescent="0.25">
      <c r="A139" s="40" t="s">
        <v>6121</v>
      </c>
      <c r="B139" s="41" t="s">
        <v>5983</v>
      </c>
      <c r="C139" s="42">
        <v>1500</v>
      </c>
      <c r="D139" s="43">
        <v>2</v>
      </c>
      <c r="E139" s="44">
        <f t="shared" si="10"/>
        <v>3000</v>
      </c>
      <c r="F139" s="45">
        <v>8</v>
      </c>
      <c r="G139" s="46">
        <f t="shared" si="11"/>
        <v>12000</v>
      </c>
      <c r="H139" s="47">
        <v>4</v>
      </c>
      <c r="I139" s="48">
        <f t="shared" si="15"/>
        <v>6000</v>
      </c>
      <c r="J139" s="43">
        <f t="shared" si="13"/>
        <v>6</v>
      </c>
      <c r="K139" s="49">
        <f t="shared" si="14"/>
        <v>9000</v>
      </c>
    </row>
    <row r="140" spans="1:11" x14ac:dyDescent="0.25">
      <c r="A140" s="40" t="s">
        <v>6122</v>
      </c>
      <c r="B140" s="41" t="s">
        <v>5983</v>
      </c>
      <c r="C140" s="42">
        <v>940</v>
      </c>
      <c r="D140" s="43">
        <v>5</v>
      </c>
      <c r="E140" s="44">
        <f t="shared" si="10"/>
        <v>4700</v>
      </c>
      <c r="F140" s="45">
        <v>6</v>
      </c>
      <c r="G140" s="46">
        <f t="shared" si="11"/>
        <v>5640</v>
      </c>
      <c r="H140" s="47">
        <v>6</v>
      </c>
      <c r="I140" s="48">
        <f t="shared" si="15"/>
        <v>5640</v>
      </c>
      <c r="J140" s="43">
        <f t="shared" si="13"/>
        <v>5</v>
      </c>
      <c r="K140" s="49">
        <f t="shared" si="14"/>
        <v>4700</v>
      </c>
    </row>
    <row r="141" spans="1:11" x14ac:dyDescent="0.25">
      <c r="A141" s="40" t="s">
        <v>6123</v>
      </c>
      <c r="B141" s="41" t="s">
        <v>6003</v>
      </c>
      <c r="C141" s="42">
        <v>2890</v>
      </c>
      <c r="D141" s="43">
        <v>4</v>
      </c>
      <c r="E141" s="44">
        <f t="shared" si="10"/>
        <v>11560</v>
      </c>
      <c r="F141" s="45">
        <v>2</v>
      </c>
      <c r="G141" s="46">
        <f t="shared" si="11"/>
        <v>5780</v>
      </c>
      <c r="H141" s="47"/>
      <c r="I141" s="48"/>
      <c r="J141" s="43">
        <f t="shared" si="13"/>
        <v>6</v>
      </c>
      <c r="K141" s="49">
        <f t="shared" si="14"/>
        <v>17340</v>
      </c>
    </row>
    <row r="142" spans="1:11" x14ac:dyDescent="0.25">
      <c r="A142" s="40" t="s">
        <v>6124</v>
      </c>
      <c r="B142" s="41" t="s">
        <v>5983</v>
      </c>
      <c r="C142" s="42">
        <v>1000</v>
      </c>
      <c r="D142" s="43">
        <v>1</v>
      </c>
      <c r="E142" s="44">
        <f t="shared" si="10"/>
        <v>1000</v>
      </c>
      <c r="F142" s="45"/>
      <c r="G142" s="46">
        <f t="shared" si="11"/>
        <v>0</v>
      </c>
      <c r="H142" s="47">
        <v>1</v>
      </c>
      <c r="I142" s="48">
        <v>1000</v>
      </c>
      <c r="J142" s="43">
        <f t="shared" si="13"/>
        <v>0</v>
      </c>
      <c r="K142" s="49">
        <f t="shared" si="14"/>
        <v>0</v>
      </c>
    </row>
    <row r="143" spans="1:11" x14ac:dyDescent="0.25">
      <c r="A143" s="40" t="s">
        <v>6125</v>
      </c>
      <c r="B143" s="41" t="s">
        <v>5983</v>
      </c>
      <c r="C143" s="42">
        <v>91</v>
      </c>
      <c r="D143" s="43">
        <v>5</v>
      </c>
      <c r="E143" s="44">
        <f t="shared" si="10"/>
        <v>455</v>
      </c>
      <c r="F143" s="45"/>
      <c r="G143" s="46">
        <f t="shared" si="11"/>
        <v>0</v>
      </c>
      <c r="H143" s="47"/>
      <c r="I143" s="48">
        <v>455</v>
      </c>
      <c r="J143" s="43">
        <f t="shared" si="13"/>
        <v>5</v>
      </c>
      <c r="K143" s="49">
        <f t="shared" si="14"/>
        <v>455</v>
      </c>
    </row>
    <row r="144" spans="1:11" x14ac:dyDescent="0.25">
      <c r="A144" s="40" t="s">
        <v>6126</v>
      </c>
      <c r="B144" s="41" t="s">
        <v>6003</v>
      </c>
      <c r="C144" s="42">
        <v>600</v>
      </c>
      <c r="D144" s="43">
        <v>10</v>
      </c>
      <c r="E144" s="44">
        <f t="shared" si="10"/>
        <v>6000</v>
      </c>
      <c r="F144" s="45">
        <v>50</v>
      </c>
      <c r="G144" s="46">
        <f t="shared" si="11"/>
        <v>30000</v>
      </c>
      <c r="H144" s="47">
        <v>60</v>
      </c>
      <c r="I144" s="48">
        <f t="shared" si="15"/>
        <v>36000</v>
      </c>
      <c r="J144" s="43">
        <f t="shared" si="13"/>
        <v>0</v>
      </c>
      <c r="K144" s="49">
        <f t="shared" si="14"/>
        <v>0</v>
      </c>
    </row>
    <row r="145" spans="1:13" x14ac:dyDescent="0.25">
      <c r="A145" s="40" t="s">
        <v>6127</v>
      </c>
      <c r="B145" s="41" t="s">
        <v>6003</v>
      </c>
      <c r="C145" s="42">
        <v>900</v>
      </c>
      <c r="D145" s="43">
        <v>3</v>
      </c>
      <c r="E145" s="44">
        <f t="shared" si="10"/>
        <v>2700</v>
      </c>
      <c r="F145" s="45"/>
      <c r="G145" s="46">
        <f>IFERROR(C145*F145,"")</f>
        <v>0</v>
      </c>
      <c r="H145" s="47"/>
      <c r="I145" s="48">
        <f t="shared" si="15"/>
        <v>0</v>
      </c>
      <c r="J145" s="43">
        <f t="shared" si="13"/>
        <v>3</v>
      </c>
      <c r="K145" s="49">
        <f t="shared" si="14"/>
        <v>2700</v>
      </c>
    </row>
    <row r="146" spans="1:13" x14ac:dyDescent="0.25">
      <c r="A146" s="40" t="s">
        <v>6128</v>
      </c>
      <c r="B146" s="41" t="s">
        <v>6003</v>
      </c>
      <c r="C146" s="42">
        <v>780</v>
      </c>
      <c r="D146" s="43">
        <v>0</v>
      </c>
      <c r="E146" s="44">
        <f t="shared" si="10"/>
        <v>0</v>
      </c>
      <c r="F146" s="45">
        <v>4</v>
      </c>
      <c r="G146" s="46">
        <f>IFERROR(C146*F146,"")</f>
        <v>3120</v>
      </c>
      <c r="H146" s="47"/>
      <c r="I146" s="48">
        <f t="shared" si="15"/>
        <v>0</v>
      </c>
      <c r="J146" s="43">
        <v>4</v>
      </c>
      <c r="K146" s="49">
        <f t="shared" si="14"/>
        <v>3120</v>
      </c>
    </row>
    <row r="147" spans="1:13" x14ac:dyDescent="0.25">
      <c r="A147" s="40" t="s">
        <v>6129</v>
      </c>
      <c r="B147" s="41" t="s">
        <v>5983</v>
      </c>
      <c r="C147" s="42">
        <v>5000</v>
      </c>
      <c r="D147" s="43">
        <v>1</v>
      </c>
      <c r="E147" s="44">
        <f t="shared" si="10"/>
        <v>5000</v>
      </c>
      <c r="F147" s="45"/>
      <c r="G147" s="46">
        <f t="shared" si="11"/>
        <v>0</v>
      </c>
      <c r="H147" s="47"/>
      <c r="I147" s="48">
        <f t="shared" si="15"/>
        <v>0</v>
      </c>
      <c r="J147" s="43">
        <f t="shared" si="13"/>
        <v>1</v>
      </c>
      <c r="K147" s="49">
        <f t="shared" si="14"/>
        <v>5000</v>
      </c>
    </row>
    <row r="148" spans="1:13" x14ac:dyDescent="0.25">
      <c r="A148" s="40" t="s">
        <v>6130</v>
      </c>
      <c r="B148" s="41" t="s">
        <v>5983</v>
      </c>
      <c r="C148" s="42">
        <v>480</v>
      </c>
      <c r="D148" s="43">
        <v>2</v>
      </c>
      <c r="E148" s="44">
        <f t="shared" si="10"/>
        <v>960</v>
      </c>
      <c r="F148" s="45"/>
      <c r="G148" s="46">
        <f t="shared" si="11"/>
        <v>0</v>
      </c>
      <c r="H148" s="47"/>
      <c r="I148" s="48">
        <f t="shared" si="15"/>
        <v>0</v>
      </c>
      <c r="J148" s="43">
        <f t="shared" si="13"/>
        <v>2</v>
      </c>
      <c r="K148" s="49">
        <f t="shared" si="14"/>
        <v>960</v>
      </c>
    </row>
    <row r="149" spans="1:13" x14ac:dyDescent="0.25">
      <c r="A149" s="40" t="s">
        <v>6131</v>
      </c>
      <c r="B149" s="41" t="s">
        <v>5983</v>
      </c>
      <c r="C149" s="42">
        <v>520</v>
      </c>
      <c r="D149" s="43">
        <v>2</v>
      </c>
      <c r="E149" s="44">
        <f t="shared" si="10"/>
        <v>1040</v>
      </c>
      <c r="F149" s="45"/>
      <c r="G149" s="46">
        <f t="shared" si="11"/>
        <v>0</v>
      </c>
      <c r="H149" s="47"/>
      <c r="I149" s="48">
        <f t="shared" si="15"/>
        <v>0</v>
      </c>
      <c r="J149" s="43">
        <f t="shared" si="13"/>
        <v>2</v>
      </c>
      <c r="K149" s="49">
        <f t="shared" si="14"/>
        <v>1040</v>
      </c>
    </row>
    <row r="150" spans="1:13" x14ac:dyDescent="0.25">
      <c r="A150" s="40" t="s">
        <v>6132</v>
      </c>
      <c r="B150" s="41" t="s">
        <v>6133</v>
      </c>
      <c r="C150" s="42">
        <v>6.44</v>
      </c>
      <c r="D150" s="43">
        <v>18934.349999999999</v>
      </c>
      <c r="E150" s="44">
        <f t="shared" si="10"/>
        <v>121937.21399999999</v>
      </c>
      <c r="F150" s="45">
        <f>9780+92002+20000+60000+61615</f>
        <v>243397</v>
      </c>
      <c r="G150" s="46">
        <f t="shared" si="11"/>
        <v>1567476.6800000002</v>
      </c>
      <c r="H150" s="47">
        <f>9809+93539+15180+48447+61103</f>
        <v>228078</v>
      </c>
      <c r="I150" s="48">
        <f t="shared" si="15"/>
        <v>1468822.32</v>
      </c>
      <c r="J150" s="43">
        <f t="shared" si="13"/>
        <v>34253.349999999977</v>
      </c>
      <c r="K150" s="49">
        <f t="shared" si="14"/>
        <v>220591.57399999988</v>
      </c>
    </row>
    <row r="151" spans="1:13" x14ac:dyDescent="0.25">
      <c r="A151" s="40" t="s">
        <v>6134</v>
      </c>
      <c r="B151" s="41" t="s">
        <v>5983</v>
      </c>
      <c r="C151" s="42">
        <v>23614.240000000002</v>
      </c>
      <c r="D151" s="43">
        <v>0</v>
      </c>
      <c r="E151" s="44">
        <f t="shared" si="10"/>
        <v>0</v>
      </c>
      <c r="F151" s="45"/>
      <c r="G151" s="46">
        <f t="shared" si="11"/>
        <v>0</v>
      </c>
      <c r="H151" s="47"/>
      <c r="I151" s="48">
        <f t="shared" si="15"/>
        <v>0</v>
      </c>
      <c r="J151" s="43">
        <f t="shared" si="13"/>
        <v>0</v>
      </c>
      <c r="K151" s="49">
        <f t="shared" si="14"/>
        <v>0</v>
      </c>
    </row>
    <row r="152" spans="1:13" x14ac:dyDescent="0.25">
      <c r="A152" s="40" t="s">
        <v>6135</v>
      </c>
      <c r="B152" s="41" t="s">
        <v>5983</v>
      </c>
      <c r="C152" s="42">
        <v>1314</v>
      </c>
      <c r="D152" s="43">
        <v>7</v>
      </c>
      <c r="E152" s="44">
        <f t="shared" si="10"/>
        <v>9198</v>
      </c>
      <c r="F152" s="45"/>
      <c r="G152" s="46">
        <f t="shared" si="11"/>
        <v>0</v>
      </c>
      <c r="H152" s="47"/>
      <c r="I152" s="48">
        <f t="shared" si="15"/>
        <v>0</v>
      </c>
      <c r="J152" s="43">
        <f t="shared" si="13"/>
        <v>7</v>
      </c>
      <c r="K152" s="49">
        <f t="shared" si="14"/>
        <v>9198</v>
      </c>
    </row>
    <row r="153" spans="1:13" x14ac:dyDescent="0.25">
      <c r="A153" s="40" t="s">
        <v>6136</v>
      </c>
      <c r="B153" s="41" t="s">
        <v>5983</v>
      </c>
      <c r="C153" s="42">
        <v>400.4</v>
      </c>
      <c r="D153" s="43">
        <v>1</v>
      </c>
      <c r="E153" s="44">
        <f t="shared" si="10"/>
        <v>400.4</v>
      </c>
      <c r="F153" s="45"/>
      <c r="G153" s="46">
        <f t="shared" si="11"/>
        <v>0</v>
      </c>
      <c r="H153" s="47"/>
      <c r="I153" s="48">
        <f t="shared" si="15"/>
        <v>0</v>
      </c>
      <c r="J153" s="43">
        <f t="shared" si="13"/>
        <v>1</v>
      </c>
      <c r="K153" s="49">
        <f t="shared" si="14"/>
        <v>400.4</v>
      </c>
    </row>
    <row r="154" spans="1:13" x14ac:dyDescent="0.25">
      <c r="A154" s="40" t="s">
        <v>6137</v>
      </c>
      <c r="B154" s="41" t="s">
        <v>5983</v>
      </c>
      <c r="C154" s="42">
        <v>400</v>
      </c>
      <c r="D154" s="43">
        <v>1</v>
      </c>
      <c r="E154" s="44">
        <f t="shared" si="10"/>
        <v>400</v>
      </c>
      <c r="F154" s="45"/>
      <c r="G154" s="46">
        <f t="shared" si="11"/>
        <v>0</v>
      </c>
      <c r="H154" s="47"/>
      <c r="I154" s="48">
        <f t="shared" si="15"/>
        <v>0</v>
      </c>
      <c r="J154" s="43">
        <f t="shared" si="13"/>
        <v>1</v>
      </c>
      <c r="K154" s="49">
        <f t="shared" si="14"/>
        <v>400</v>
      </c>
    </row>
    <row r="155" spans="1:13" x14ac:dyDescent="0.25">
      <c r="A155" s="40" t="s">
        <v>6138</v>
      </c>
      <c r="B155" s="41" t="s">
        <v>5983</v>
      </c>
      <c r="C155" s="42">
        <v>89</v>
      </c>
      <c r="D155" s="43">
        <v>50</v>
      </c>
      <c r="E155" s="44">
        <f t="shared" si="10"/>
        <v>4450</v>
      </c>
      <c r="F155" s="45"/>
      <c r="G155" s="46">
        <f t="shared" si="11"/>
        <v>0</v>
      </c>
      <c r="H155" s="47"/>
      <c r="I155" s="48">
        <f t="shared" si="15"/>
        <v>0</v>
      </c>
      <c r="J155" s="43">
        <f t="shared" si="13"/>
        <v>50</v>
      </c>
      <c r="K155" s="49">
        <f t="shared" si="14"/>
        <v>4450</v>
      </c>
    </row>
    <row r="156" spans="1:13" x14ac:dyDescent="0.25">
      <c r="A156" s="40" t="s">
        <v>6139</v>
      </c>
      <c r="B156" s="41" t="s">
        <v>5983</v>
      </c>
      <c r="C156" s="42">
        <v>500</v>
      </c>
      <c r="D156" s="43">
        <v>8</v>
      </c>
      <c r="E156" s="44">
        <f t="shared" si="10"/>
        <v>4000</v>
      </c>
      <c r="F156" s="45"/>
      <c r="G156" s="46">
        <f t="shared" si="11"/>
        <v>0</v>
      </c>
      <c r="H156" s="47"/>
      <c r="I156" s="48">
        <f t="shared" si="15"/>
        <v>0</v>
      </c>
      <c r="J156" s="43">
        <f t="shared" si="13"/>
        <v>8</v>
      </c>
      <c r="K156" s="49">
        <f t="shared" si="14"/>
        <v>4000</v>
      </c>
    </row>
    <row r="157" spans="1:13" x14ac:dyDescent="0.25">
      <c r="A157" s="40" t="s">
        <v>6140</v>
      </c>
      <c r="B157" s="41" t="s">
        <v>5983</v>
      </c>
      <c r="C157" s="42">
        <v>680</v>
      </c>
      <c r="D157" s="43">
        <v>6</v>
      </c>
      <c r="E157" s="44">
        <f t="shared" si="10"/>
        <v>4080</v>
      </c>
      <c r="F157" s="45"/>
      <c r="G157" s="46">
        <f t="shared" si="11"/>
        <v>0</v>
      </c>
      <c r="H157" s="47"/>
      <c r="I157" s="48">
        <f t="shared" si="15"/>
        <v>0</v>
      </c>
      <c r="J157" s="43">
        <f t="shared" si="13"/>
        <v>6</v>
      </c>
      <c r="K157" s="49">
        <f t="shared" si="14"/>
        <v>4080</v>
      </c>
    </row>
    <row r="158" spans="1:13" ht="15.75" thickBot="1" x14ac:dyDescent="0.3">
      <c r="A158" s="40" t="s">
        <v>6141</v>
      </c>
      <c r="B158" s="41" t="s">
        <v>5983</v>
      </c>
      <c r="C158" s="42">
        <v>900</v>
      </c>
      <c r="D158" s="43">
        <v>7</v>
      </c>
      <c r="E158" s="44">
        <f t="shared" si="10"/>
        <v>6300</v>
      </c>
      <c r="F158" s="45"/>
      <c r="G158" s="46">
        <f t="shared" si="11"/>
        <v>0</v>
      </c>
      <c r="H158" s="47"/>
      <c r="I158" s="48">
        <f t="shared" si="15"/>
        <v>0</v>
      </c>
      <c r="J158" s="43">
        <f t="shared" si="13"/>
        <v>7</v>
      </c>
      <c r="K158" s="49">
        <f t="shared" si="14"/>
        <v>6300</v>
      </c>
    </row>
    <row r="159" spans="1:13" ht="13.5" thickBot="1" x14ac:dyDescent="0.25">
      <c r="A159" s="54"/>
      <c r="C159" s="62"/>
      <c r="D159" s="63">
        <f>SUM(D4:D158)</f>
        <v>27470.35</v>
      </c>
      <c r="E159" s="64">
        <f>SUM(E4:E158)</f>
        <v>776021.64400000009</v>
      </c>
      <c r="F159" s="65"/>
      <c r="G159" s="66">
        <f>SUM(G4:G158)</f>
        <v>1673146.6800000002</v>
      </c>
      <c r="H159" s="67">
        <f>SUM(H4:H158)</f>
        <v>233174</v>
      </c>
      <c r="I159" s="68">
        <f>SUM(I4:I158)</f>
        <v>1752954.83</v>
      </c>
      <c r="J159" s="69">
        <v>0</v>
      </c>
      <c r="K159" s="70">
        <f>SUM(K4:K158)</f>
        <v>696668.49399999983</v>
      </c>
      <c r="M159" s="71"/>
    </row>
    <row r="160" spans="1:13" ht="12.75" x14ac:dyDescent="0.2">
      <c r="A160" s="54"/>
    </row>
    <row r="161" spans="9:11" ht="15" customHeight="1" x14ac:dyDescent="0.2">
      <c r="I161" s="73">
        <f t="shared" ref="I161" si="16">SUBTOTAL(9,I4:I158)</f>
        <v>1752954.83</v>
      </c>
      <c r="J161" s="73"/>
      <c r="K161" s="73">
        <f>SUBTOTAL(9,K4:K158)</f>
        <v>696668.49399999983</v>
      </c>
    </row>
  </sheetData>
  <mergeCells count="5">
    <mergeCell ref="A1:A2"/>
    <mergeCell ref="B1:C1"/>
    <mergeCell ref="D1:E1"/>
    <mergeCell ref="F1:K1"/>
    <mergeCell ref="B2:C2"/>
  </mergeCells>
  <pageMargins left="0.31496062992125984" right="0.31496062992125984" top="0.59055118110236227" bottom="0.59055118110236227" header="0" footer="0"/>
  <pageSetup paperSize="9" scale="60" fitToHeight="0"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6824-9A2D-45A2-8D7B-596BCB5EA942}">
  <dimension ref="A1:O1547"/>
  <sheetViews>
    <sheetView topLeftCell="A1517" workbookViewId="0">
      <selection activeCell="J1547" sqref="J1547"/>
    </sheetView>
  </sheetViews>
  <sheetFormatPr defaultRowHeight="15" x14ac:dyDescent="0.25"/>
  <cols>
    <col min="1" max="1" width="10.42578125" bestFit="1" customWidth="1"/>
    <col min="2" max="2" width="7.5703125" bestFit="1" customWidth="1"/>
    <col min="3" max="3" width="44.42578125" bestFit="1" customWidth="1"/>
    <col min="4" max="4" width="11.5703125" bestFit="1" customWidth="1"/>
    <col min="5" max="5" width="23.28515625" bestFit="1" customWidth="1"/>
    <col min="6" max="6" width="12.140625" bestFit="1" customWidth="1"/>
    <col min="7" max="7" width="8.5703125" bestFit="1" customWidth="1"/>
    <col min="8" max="8" width="35.42578125" bestFit="1" customWidth="1"/>
    <col min="9" max="9" width="10.5703125" bestFit="1" customWidth="1"/>
    <col min="10" max="10" width="13.7109375" bestFit="1" customWidth="1"/>
    <col min="11" max="11" width="8" bestFit="1" customWidth="1"/>
    <col min="12" max="12" width="20" bestFit="1" customWidth="1"/>
    <col min="13" max="13" width="17.140625" bestFit="1" customWidth="1"/>
    <col min="14" max="14" width="7" bestFit="1" customWidth="1"/>
    <col min="15" max="15" width="12" bestFit="1" customWidth="1"/>
  </cols>
  <sheetData>
    <row r="1" spans="1:15" x14ac:dyDescent="0.25">
      <c r="A1" t="s">
        <v>6142</v>
      </c>
      <c r="B1" t="s">
        <v>6143</v>
      </c>
      <c r="C1" t="s">
        <v>6144</v>
      </c>
      <c r="D1" t="s">
        <v>6239</v>
      </c>
      <c r="E1" t="s">
        <v>5296</v>
      </c>
      <c r="F1" t="s">
        <v>6145</v>
      </c>
      <c r="G1" t="s">
        <v>6240</v>
      </c>
      <c r="H1" t="s">
        <v>5357</v>
      </c>
      <c r="I1" t="s">
        <v>6146</v>
      </c>
      <c r="J1" t="s">
        <v>5297</v>
      </c>
      <c r="K1" t="s">
        <v>916</v>
      </c>
      <c r="L1" t="s">
        <v>6147</v>
      </c>
      <c r="M1" t="s">
        <v>6148</v>
      </c>
      <c r="N1" t="s">
        <v>6149</v>
      </c>
      <c r="O1" t="s">
        <v>6150</v>
      </c>
    </row>
    <row r="2" spans="1:15" x14ac:dyDescent="0.25">
      <c r="A2">
        <v>1</v>
      </c>
      <c r="B2">
        <v>1</v>
      </c>
      <c r="C2" t="s">
        <v>57</v>
      </c>
      <c r="D2" t="s">
        <v>201</v>
      </c>
      <c r="E2" t="s">
        <v>6151</v>
      </c>
      <c r="F2">
        <v>46207.882638888892</v>
      </c>
      <c r="G2">
        <v>264</v>
      </c>
      <c r="H2" t="s">
        <v>6152</v>
      </c>
      <c r="I2" t="s">
        <v>5358</v>
      </c>
      <c r="J2">
        <v>170</v>
      </c>
      <c r="K2">
        <v>1045.5</v>
      </c>
      <c r="L2">
        <v>5186</v>
      </c>
      <c r="M2">
        <v>5211</v>
      </c>
      <c r="N2">
        <v>25</v>
      </c>
      <c r="O2">
        <v>6.8</v>
      </c>
    </row>
    <row r="3" spans="1:15" x14ac:dyDescent="0.25">
      <c r="A3">
        <v>1</v>
      </c>
      <c r="B3">
        <v>1</v>
      </c>
      <c r="C3" t="s">
        <v>57</v>
      </c>
      <c r="D3" t="s">
        <v>201</v>
      </c>
      <c r="E3" t="s">
        <v>6151</v>
      </c>
      <c r="F3">
        <v>46209.848611111112</v>
      </c>
      <c r="G3">
        <v>264</v>
      </c>
      <c r="H3" t="s">
        <v>6152</v>
      </c>
      <c r="I3" t="s">
        <v>5358</v>
      </c>
      <c r="J3">
        <v>58</v>
      </c>
      <c r="K3">
        <v>356.7</v>
      </c>
      <c r="L3">
        <v>5211</v>
      </c>
      <c r="M3">
        <v>5218</v>
      </c>
      <c r="N3">
        <v>7</v>
      </c>
      <c r="O3">
        <v>8.28571428571429</v>
      </c>
    </row>
    <row r="4" spans="1:15" x14ac:dyDescent="0.25">
      <c r="A4">
        <v>1</v>
      </c>
      <c r="B4">
        <v>1</v>
      </c>
      <c r="C4" t="s">
        <v>57</v>
      </c>
      <c r="D4" t="s">
        <v>201</v>
      </c>
      <c r="E4" t="s">
        <v>6151</v>
      </c>
      <c r="F4">
        <v>46224.823611111111</v>
      </c>
      <c r="G4">
        <v>264</v>
      </c>
      <c r="H4" t="s">
        <v>6152</v>
      </c>
      <c r="I4" t="s">
        <v>5358</v>
      </c>
      <c r="J4">
        <v>151</v>
      </c>
      <c r="K4">
        <v>952.81</v>
      </c>
      <c r="L4">
        <v>5218</v>
      </c>
      <c r="M4">
        <v>5238</v>
      </c>
      <c r="N4">
        <v>20</v>
      </c>
      <c r="O4">
        <v>7.55</v>
      </c>
    </row>
    <row r="5" spans="1:15" x14ac:dyDescent="0.25">
      <c r="A5">
        <v>1</v>
      </c>
      <c r="B5">
        <v>1</v>
      </c>
      <c r="C5" t="s">
        <v>57</v>
      </c>
      <c r="D5" t="s">
        <v>201</v>
      </c>
      <c r="E5" t="s">
        <v>6151</v>
      </c>
      <c r="F5">
        <v>46233.844444444447</v>
      </c>
      <c r="G5">
        <v>264</v>
      </c>
      <c r="H5" t="s">
        <v>6152</v>
      </c>
      <c r="I5" t="s">
        <v>5358</v>
      </c>
      <c r="J5">
        <v>65</v>
      </c>
      <c r="K5">
        <v>408.2</v>
      </c>
      <c r="L5">
        <v>5238</v>
      </c>
      <c r="M5">
        <v>5245</v>
      </c>
      <c r="N5">
        <v>7</v>
      </c>
      <c r="O5">
        <v>9.28571428571429</v>
      </c>
    </row>
    <row r="6" spans="1:15" x14ac:dyDescent="0.25">
      <c r="A6">
        <v>1</v>
      </c>
      <c r="B6">
        <v>1</v>
      </c>
      <c r="C6" t="s">
        <v>57</v>
      </c>
      <c r="D6" t="s">
        <v>255</v>
      </c>
      <c r="E6" t="s">
        <v>6153</v>
      </c>
      <c r="F6">
        <v>46210.856944444444</v>
      </c>
      <c r="G6">
        <v>264</v>
      </c>
      <c r="H6" t="s">
        <v>6152</v>
      </c>
      <c r="I6" t="s">
        <v>5358</v>
      </c>
      <c r="J6">
        <v>97</v>
      </c>
      <c r="K6">
        <v>596.54999999999995</v>
      </c>
      <c r="L6">
        <v>132</v>
      </c>
      <c r="M6">
        <v>150</v>
      </c>
      <c r="N6">
        <v>18</v>
      </c>
      <c r="O6">
        <v>5.3888888888888902</v>
      </c>
    </row>
    <row r="7" spans="1:15" x14ac:dyDescent="0.25">
      <c r="A7">
        <v>1</v>
      </c>
      <c r="B7">
        <v>1</v>
      </c>
      <c r="C7" t="s">
        <v>57</v>
      </c>
      <c r="D7" t="s">
        <v>255</v>
      </c>
      <c r="E7" t="s">
        <v>6153</v>
      </c>
      <c r="F7">
        <v>46218.847916666666</v>
      </c>
      <c r="G7">
        <v>264</v>
      </c>
      <c r="H7" t="s">
        <v>6152</v>
      </c>
      <c r="I7" t="s">
        <v>5358</v>
      </c>
      <c r="J7">
        <v>82</v>
      </c>
      <c r="K7">
        <v>504.3</v>
      </c>
      <c r="L7">
        <v>150</v>
      </c>
      <c r="M7">
        <v>160</v>
      </c>
      <c r="N7">
        <v>10</v>
      </c>
      <c r="O7">
        <v>8.1999999999999993</v>
      </c>
    </row>
    <row r="8" spans="1:15" x14ac:dyDescent="0.25">
      <c r="A8">
        <v>1</v>
      </c>
      <c r="B8">
        <v>1</v>
      </c>
      <c r="C8" t="s">
        <v>57</v>
      </c>
      <c r="D8" t="s">
        <v>304</v>
      </c>
      <c r="E8" t="s">
        <v>6154</v>
      </c>
      <c r="F8">
        <v>46205.431944444441</v>
      </c>
      <c r="G8">
        <v>232</v>
      </c>
      <c r="H8" t="s">
        <v>6155</v>
      </c>
      <c r="I8" t="s">
        <v>5358</v>
      </c>
      <c r="J8">
        <v>166</v>
      </c>
      <c r="K8">
        <v>1020.9</v>
      </c>
      <c r="L8">
        <v>2629</v>
      </c>
      <c r="M8">
        <v>2649</v>
      </c>
      <c r="N8">
        <v>20</v>
      </c>
      <c r="O8">
        <v>8.3000000000000007</v>
      </c>
    </row>
    <row r="9" spans="1:15" x14ac:dyDescent="0.25">
      <c r="A9">
        <v>1</v>
      </c>
      <c r="B9">
        <v>1</v>
      </c>
      <c r="C9" t="s">
        <v>57</v>
      </c>
      <c r="D9" t="s">
        <v>304</v>
      </c>
      <c r="E9" t="s">
        <v>6154</v>
      </c>
      <c r="F9">
        <v>46207.463888888888</v>
      </c>
      <c r="G9">
        <v>232</v>
      </c>
      <c r="H9" t="s">
        <v>6155</v>
      </c>
      <c r="I9" t="s">
        <v>5358</v>
      </c>
      <c r="J9">
        <v>153</v>
      </c>
      <c r="K9">
        <v>940.95</v>
      </c>
      <c r="L9">
        <v>2649</v>
      </c>
      <c r="M9">
        <v>2669</v>
      </c>
      <c r="N9">
        <v>20</v>
      </c>
      <c r="O9">
        <v>7.65</v>
      </c>
    </row>
    <row r="10" spans="1:15" x14ac:dyDescent="0.25">
      <c r="A10">
        <v>1</v>
      </c>
      <c r="B10">
        <v>1</v>
      </c>
      <c r="C10" t="s">
        <v>57</v>
      </c>
      <c r="D10" t="s">
        <v>304</v>
      </c>
      <c r="E10" t="s">
        <v>6154</v>
      </c>
      <c r="F10">
        <v>46210.980555555558</v>
      </c>
      <c r="G10">
        <v>232</v>
      </c>
      <c r="H10" t="s">
        <v>6155</v>
      </c>
      <c r="I10" t="s">
        <v>5358</v>
      </c>
      <c r="J10">
        <v>146</v>
      </c>
      <c r="K10">
        <v>897.9</v>
      </c>
      <c r="L10">
        <v>2669</v>
      </c>
      <c r="M10">
        <v>2691</v>
      </c>
      <c r="N10">
        <v>22</v>
      </c>
      <c r="O10">
        <v>6.6363636363636402</v>
      </c>
    </row>
    <row r="11" spans="1:15" x14ac:dyDescent="0.25">
      <c r="A11">
        <v>1</v>
      </c>
      <c r="B11">
        <v>1</v>
      </c>
      <c r="C11" t="s">
        <v>57</v>
      </c>
      <c r="D11" t="s">
        <v>304</v>
      </c>
      <c r="E11" t="s">
        <v>6154</v>
      </c>
      <c r="F11">
        <v>46212.002083333333</v>
      </c>
      <c r="G11">
        <v>232</v>
      </c>
      <c r="H11" t="s">
        <v>6155</v>
      </c>
      <c r="I11" t="s">
        <v>5358</v>
      </c>
      <c r="J11">
        <v>150</v>
      </c>
      <c r="K11">
        <v>922.5</v>
      </c>
      <c r="L11">
        <v>2691</v>
      </c>
      <c r="M11">
        <v>2713</v>
      </c>
      <c r="N11">
        <v>22</v>
      </c>
      <c r="O11">
        <v>6.8181818181818201</v>
      </c>
    </row>
    <row r="12" spans="1:15" x14ac:dyDescent="0.25">
      <c r="A12">
        <v>1</v>
      </c>
      <c r="B12">
        <v>1</v>
      </c>
      <c r="C12" t="s">
        <v>57</v>
      </c>
      <c r="D12" t="s">
        <v>304</v>
      </c>
      <c r="E12" t="s">
        <v>6154</v>
      </c>
      <c r="F12">
        <v>46215.929166666669</v>
      </c>
      <c r="G12">
        <v>232</v>
      </c>
      <c r="H12" t="s">
        <v>6155</v>
      </c>
      <c r="I12" t="s">
        <v>5358</v>
      </c>
      <c r="J12">
        <v>159</v>
      </c>
      <c r="K12">
        <v>977.85</v>
      </c>
      <c r="L12">
        <v>2713</v>
      </c>
      <c r="M12">
        <v>2734</v>
      </c>
      <c r="N12">
        <v>21</v>
      </c>
      <c r="O12">
        <v>7.5714285714285703</v>
      </c>
    </row>
    <row r="13" spans="1:15" x14ac:dyDescent="0.25">
      <c r="A13">
        <v>1</v>
      </c>
      <c r="B13">
        <v>1</v>
      </c>
      <c r="C13" t="s">
        <v>57</v>
      </c>
      <c r="D13" t="s">
        <v>304</v>
      </c>
      <c r="E13" t="s">
        <v>6154</v>
      </c>
      <c r="F13">
        <v>46217.5</v>
      </c>
      <c r="G13">
        <v>232</v>
      </c>
      <c r="H13" t="s">
        <v>6155</v>
      </c>
      <c r="I13" t="s">
        <v>5358</v>
      </c>
      <c r="J13">
        <v>145</v>
      </c>
      <c r="K13">
        <v>891.75</v>
      </c>
      <c r="L13">
        <v>2734</v>
      </c>
      <c r="M13">
        <v>2751</v>
      </c>
      <c r="N13">
        <v>17</v>
      </c>
      <c r="O13">
        <v>8.5294117647058805</v>
      </c>
    </row>
    <row r="14" spans="1:15" x14ac:dyDescent="0.25">
      <c r="A14">
        <v>1</v>
      </c>
      <c r="B14">
        <v>1</v>
      </c>
      <c r="C14" t="s">
        <v>57</v>
      </c>
      <c r="D14" t="s">
        <v>304</v>
      </c>
      <c r="E14" t="s">
        <v>6154</v>
      </c>
      <c r="F14">
        <v>46218.109027777777</v>
      </c>
      <c r="G14">
        <v>232</v>
      </c>
      <c r="H14" t="s">
        <v>6155</v>
      </c>
      <c r="I14" t="s">
        <v>5358</v>
      </c>
      <c r="J14">
        <v>119</v>
      </c>
      <c r="K14">
        <v>731.85</v>
      </c>
      <c r="L14">
        <v>2751</v>
      </c>
      <c r="M14">
        <v>2768</v>
      </c>
      <c r="N14">
        <v>17</v>
      </c>
      <c r="O14">
        <v>7</v>
      </c>
    </row>
    <row r="15" spans="1:15" x14ac:dyDescent="0.25">
      <c r="A15">
        <v>1</v>
      </c>
      <c r="B15">
        <v>1</v>
      </c>
      <c r="C15" t="s">
        <v>57</v>
      </c>
      <c r="D15" t="s">
        <v>304</v>
      </c>
      <c r="E15" t="s">
        <v>6154</v>
      </c>
      <c r="F15">
        <v>46219.122916666667</v>
      </c>
      <c r="G15">
        <v>232</v>
      </c>
      <c r="H15" t="s">
        <v>6155</v>
      </c>
      <c r="I15" t="s">
        <v>5358</v>
      </c>
      <c r="J15">
        <v>130</v>
      </c>
      <c r="K15">
        <v>799.5</v>
      </c>
      <c r="L15">
        <v>2768</v>
      </c>
      <c r="M15">
        <v>2783</v>
      </c>
      <c r="N15">
        <v>15</v>
      </c>
      <c r="O15">
        <v>8.6666666666666696</v>
      </c>
    </row>
    <row r="16" spans="1:15" x14ac:dyDescent="0.25">
      <c r="A16">
        <v>1</v>
      </c>
      <c r="B16">
        <v>1</v>
      </c>
      <c r="C16" t="s">
        <v>57</v>
      </c>
      <c r="D16" t="s">
        <v>304</v>
      </c>
      <c r="E16" t="s">
        <v>6154</v>
      </c>
      <c r="F16">
        <v>46221.925694444442</v>
      </c>
      <c r="G16">
        <v>232</v>
      </c>
      <c r="H16" t="s">
        <v>6155</v>
      </c>
      <c r="I16" t="s">
        <v>5358</v>
      </c>
      <c r="J16">
        <v>147</v>
      </c>
      <c r="K16">
        <v>904.05</v>
      </c>
      <c r="L16">
        <v>2783</v>
      </c>
      <c r="M16">
        <v>2799</v>
      </c>
      <c r="N16">
        <v>16</v>
      </c>
      <c r="O16">
        <v>9.1875</v>
      </c>
    </row>
    <row r="17" spans="1:15" x14ac:dyDescent="0.25">
      <c r="A17">
        <v>1</v>
      </c>
      <c r="B17">
        <v>1</v>
      </c>
      <c r="C17" t="s">
        <v>57</v>
      </c>
      <c r="D17" t="s">
        <v>304</v>
      </c>
      <c r="E17" t="s">
        <v>6154</v>
      </c>
      <c r="F17">
        <v>46222.05</v>
      </c>
      <c r="G17">
        <v>232</v>
      </c>
      <c r="H17" t="s">
        <v>6155</v>
      </c>
      <c r="I17" t="s">
        <v>5358</v>
      </c>
      <c r="J17">
        <v>72</v>
      </c>
      <c r="K17">
        <v>453.6</v>
      </c>
      <c r="L17">
        <v>2799</v>
      </c>
      <c r="M17">
        <v>2806</v>
      </c>
      <c r="N17">
        <v>7</v>
      </c>
      <c r="O17">
        <v>10.285714285714301</v>
      </c>
    </row>
    <row r="18" spans="1:15" x14ac:dyDescent="0.25">
      <c r="A18">
        <v>1</v>
      </c>
      <c r="B18">
        <v>1</v>
      </c>
      <c r="C18" t="s">
        <v>57</v>
      </c>
      <c r="D18" t="s">
        <v>304</v>
      </c>
      <c r="E18" t="s">
        <v>6154</v>
      </c>
      <c r="F18">
        <v>46223.098611111112</v>
      </c>
      <c r="G18">
        <v>232</v>
      </c>
      <c r="H18" t="s">
        <v>6155</v>
      </c>
      <c r="I18" t="s">
        <v>5358</v>
      </c>
      <c r="J18">
        <v>163</v>
      </c>
      <c r="K18">
        <v>1018.75</v>
      </c>
      <c r="L18">
        <v>2806</v>
      </c>
      <c r="M18">
        <v>2824</v>
      </c>
      <c r="N18">
        <v>18</v>
      </c>
      <c r="O18">
        <v>9.0555555555555607</v>
      </c>
    </row>
    <row r="19" spans="1:15" x14ac:dyDescent="0.25">
      <c r="A19">
        <v>1</v>
      </c>
      <c r="B19">
        <v>1</v>
      </c>
      <c r="C19" t="s">
        <v>57</v>
      </c>
      <c r="D19" t="s">
        <v>304</v>
      </c>
      <c r="E19" t="s">
        <v>6154</v>
      </c>
      <c r="F19">
        <v>46226.840277777781</v>
      </c>
      <c r="G19">
        <v>232</v>
      </c>
      <c r="H19" t="s">
        <v>6155</v>
      </c>
      <c r="I19" t="s">
        <v>5358</v>
      </c>
      <c r="J19">
        <v>131</v>
      </c>
      <c r="K19">
        <v>818.75</v>
      </c>
      <c r="L19">
        <v>2824</v>
      </c>
      <c r="M19">
        <v>2841</v>
      </c>
      <c r="N19">
        <v>17</v>
      </c>
      <c r="O19">
        <v>7.7058823529411802</v>
      </c>
    </row>
    <row r="20" spans="1:15" x14ac:dyDescent="0.25">
      <c r="A20">
        <v>1</v>
      </c>
      <c r="B20">
        <v>1</v>
      </c>
      <c r="C20" t="s">
        <v>57</v>
      </c>
      <c r="D20" t="s">
        <v>304</v>
      </c>
      <c r="E20" t="s">
        <v>6154</v>
      </c>
      <c r="F20">
        <v>46227.088194444441</v>
      </c>
      <c r="G20">
        <v>232</v>
      </c>
      <c r="H20" t="s">
        <v>6155</v>
      </c>
      <c r="I20" t="s">
        <v>5358</v>
      </c>
      <c r="J20">
        <v>141</v>
      </c>
      <c r="K20">
        <v>881.25</v>
      </c>
      <c r="L20">
        <v>2841</v>
      </c>
      <c r="M20">
        <v>2855</v>
      </c>
      <c r="N20">
        <v>14</v>
      </c>
      <c r="O20">
        <v>10.0714285714286</v>
      </c>
    </row>
    <row r="21" spans="1:15" x14ac:dyDescent="0.25">
      <c r="A21">
        <v>1</v>
      </c>
      <c r="B21">
        <v>1</v>
      </c>
      <c r="C21" t="s">
        <v>57</v>
      </c>
      <c r="D21" t="s">
        <v>304</v>
      </c>
      <c r="E21" t="s">
        <v>6154</v>
      </c>
      <c r="F21">
        <v>46229.019444444442</v>
      </c>
      <c r="G21">
        <v>232</v>
      </c>
      <c r="H21" t="s">
        <v>6155</v>
      </c>
      <c r="I21" t="s">
        <v>5358</v>
      </c>
      <c r="J21">
        <v>146</v>
      </c>
      <c r="K21">
        <v>919.8</v>
      </c>
      <c r="L21">
        <v>2855</v>
      </c>
      <c r="M21">
        <v>2871</v>
      </c>
      <c r="N21">
        <v>16</v>
      </c>
      <c r="O21">
        <v>9.125</v>
      </c>
    </row>
    <row r="22" spans="1:15" x14ac:dyDescent="0.25">
      <c r="A22">
        <v>1</v>
      </c>
      <c r="B22">
        <v>1</v>
      </c>
      <c r="C22" t="s">
        <v>57</v>
      </c>
      <c r="D22" t="s">
        <v>304</v>
      </c>
      <c r="E22" t="s">
        <v>6154</v>
      </c>
      <c r="F22">
        <v>46231.981249999997</v>
      </c>
      <c r="G22">
        <v>232</v>
      </c>
      <c r="H22" t="s">
        <v>6155</v>
      </c>
      <c r="I22" t="s">
        <v>5358</v>
      </c>
      <c r="J22">
        <v>140</v>
      </c>
      <c r="K22">
        <v>875</v>
      </c>
      <c r="L22">
        <v>2871</v>
      </c>
      <c r="M22">
        <v>2886</v>
      </c>
      <c r="N22">
        <v>15</v>
      </c>
      <c r="O22">
        <v>9.3333333333333304</v>
      </c>
    </row>
    <row r="23" spans="1:15" x14ac:dyDescent="0.25">
      <c r="A23">
        <v>1</v>
      </c>
      <c r="B23">
        <v>1</v>
      </c>
      <c r="C23" t="s">
        <v>57</v>
      </c>
      <c r="D23" t="s">
        <v>304</v>
      </c>
      <c r="E23" t="s">
        <v>6154</v>
      </c>
      <c r="F23">
        <v>46233.970138888886</v>
      </c>
      <c r="G23">
        <v>232</v>
      </c>
      <c r="H23" t="s">
        <v>6155</v>
      </c>
      <c r="I23" t="s">
        <v>5358</v>
      </c>
      <c r="J23">
        <v>125</v>
      </c>
      <c r="K23">
        <v>781.25</v>
      </c>
      <c r="L23">
        <v>2886</v>
      </c>
      <c r="M23">
        <v>2904</v>
      </c>
      <c r="N23">
        <v>18</v>
      </c>
      <c r="O23">
        <v>6.9444444444444402</v>
      </c>
    </row>
    <row r="24" spans="1:15" x14ac:dyDescent="0.25">
      <c r="A24">
        <v>1</v>
      </c>
      <c r="B24">
        <v>1</v>
      </c>
      <c r="C24" t="s">
        <v>57</v>
      </c>
      <c r="D24" t="s">
        <v>533</v>
      </c>
      <c r="E24" t="s">
        <v>6156</v>
      </c>
      <c r="F24">
        <v>46210.658333333333</v>
      </c>
      <c r="G24">
        <v>264</v>
      </c>
      <c r="H24" t="s">
        <v>6152</v>
      </c>
      <c r="I24" t="s">
        <v>5358</v>
      </c>
      <c r="J24">
        <v>447</v>
      </c>
      <c r="K24">
        <v>2749.05</v>
      </c>
      <c r="L24">
        <v>10236</v>
      </c>
      <c r="M24">
        <v>10271</v>
      </c>
      <c r="N24">
        <v>35</v>
      </c>
      <c r="O24">
        <v>12.771428571428601</v>
      </c>
    </row>
    <row r="25" spans="1:15" x14ac:dyDescent="0.25">
      <c r="A25">
        <v>1</v>
      </c>
      <c r="B25">
        <v>1</v>
      </c>
      <c r="C25" t="s">
        <v>57</v>
      </c>
      <c r="D25" t="s">
        <v>533</v>
      </c>
      <c r="E25" t="s">
        <v>6156</v>
      </c>
      <c r="F25">
        <v>46214.359027777777</v>
      </c>
      <c r="G25">
        <v>264</v>
      </c>
      <c r="H25" t="s">
        <v>6152</v>
      </c>
      <c r="I25" t="s">
        <v>5358</v>
      </c>
      <c r="J25">
        <v>442</v>
      </c>
      <c r="K25">
        <v>2718.3</v>
      </c>
      <c r="L25">
        <v>10271</v>
      </c>
      <c r="M25">
        <v>10294</v>
      </c>
      <c r="N25">
        <v>23</v>
      </c>
      <c r="O25">
        <v>19.2173913043478</v>
      </c>
    </row>
    <row r="26" spans="1:15" x14ac:dyDescent="0.25">
      <c r="A26">
        <v>1</v>
      </c>
      <c r="B26">
        <v>1</v>
      </c>
      <c r="C26" t="s">
        <v>57</v>
      </c>
      <c r="D26" t="s">
        <v>533</v>
      </c>
      <c r="E26" t="s">
        <v>6156</v>
      </c>
      <c r="F26">
        <v>46216.50277777778</v>
      </c>
      <c r="G26">
        <v>264</v>
      </c>
      <c r="H26" t="s">
        <v>6152</v>
      </c>
      <c r="I26" t="s">
        <v>5358</v>
      </c>
      <c r="J26">
        <v>239</v>
      </c>
      <c r="K26">
        <v>1469.85</v>
      </c>
      <c r="L26">
        <v>10294</v>
      </c>
      <c r="M26">
        <v>10305</v>
      </c>
      <c r="N26">
        <v>11</v>
      </c>
      <c r="O26">
        <v>21.727272727272702</v>
      </c>
    </row>
    <row r="27" spans="1:15" x14ac:dyDescent="0.25">
      <c r="A27">
        <v>1</v>
      </c>
      <c r="B27">
        <v>1</v>
      </c>
      <c r="C27" t="s">
        <v>57</v>
      </c>
      <c r="D27" t="s">
        <v>533</v>
      </c>
      <c r="E27" t="s">
        <v>6156</v>
      </c>
      <c r="F27">
        <v>46220.033333333333</v>
      </c>
      <c r="G27">
        <v>232</v>
      </c>
      <c r="H27" t="s">
        <v>6155</v>
      </c>
      <c r="I27" t="s">
        <v>5358</v>
      </c>
      <c r="J27">
        <v>294</v>
      </c>
      <c r="K27">
        <v>1808.1</v>
      </c>
      <c r="L27">
        <v>10305</v>
      </c>
      <c r="M27">
        <v>10326</v>
      </c>
      <c r="N27">
        <v>21</v>
      </c>
      <c r="O27">
        <v>14</v>
      </c>
    </row>
    <row r="28" spans="1:15" x14ac:dyDescent="0.25">
      <c r="A28">
        <v>1</v>
      </c>
      <c r="B28">
        <v>1</v>
      </c>
      <c r="C28" t="s">
        <v>57</v>
      </c>
      <c r="D28" t="s">
        <v>533</v>
      </c>
      <c r="E28" t="s">
        <v>6156</v>
      </c>
      <c r="F28">
        <v>46229.774305555555</v>
      </c>
      <c r="G28">
        <v>264</v>
      </c>
      <c r="H28" t="s">
        <v>6152</v>
      </c>
      <c r="I28" t="s">
        <v>5358</v>
      </c>
      <c r="J28">
        <v>148</v>
      </c>
      <c r="K28">
        <v>929.44</v>
      </c>
      <c r="L28">
        <v>10326</v>
      </c>
      <c r="M28">
        <v>10354</v>
      </c>
      <c r="N28">
        <v>28</v>
      </c>
      <c r="O28">
        <v>5.28571428571429</v>
      </c>
    </row>
    <row r="29" spans="1:15" x14ac:dyDescent="0.25">
      <c r="A29">
        <v>1</v>
      </c>
      <c r="B29">
        <v>1</v>
      </c>
      <c r="C29" t="s">
        <v>57</v>
      </c>
      <c r="D29" t="s">
        <v>533</v>
      </c>
      <c r="E29" t="s">
        <v>6156</v>
      </c>
      <c r="F29">
        <v>46231.029166666667</v>
      </c>
      <c r="G29">
        <v>232</v>
      </c>
      <c r="H29" t="s">
        <v>6155</v>
      </c>
      <c r="I29" t="s">
        <v>5358</v>
      </c>
      <c r="J29">
        <v>287</v>
      </c>
      <c r="K29">
        <v>1793.75</v>
      </c>
      <c r="L29">
        <v>10354</v>
      </c>
      <c r="M29">
        <v>10368</v>
      </c>
      <c r="N29">
        <v>14</v>
      </c>
      <c r="O29">
        <v>20.5</v>
      </c>
    </row>
    <row r="30" spans="1:15" x14ac:dyDescent="0.25">
      <c r="A30">
        <v>1</v>
      </c>
      <c r="B30">
        <v>1</v>
      </c>
      <c r="C30" t="s">
        <v>57</v>
      </c>
      <c r="D30" t="s">
        <v>430</v>
      </c>
      <c r="E30" t="s">
        <v>6154</v>
      </c>
      <c r="F30">
        <v>46204.76666666667</v>
      </c>
      <c r="G30">
        <v>264</v>
      </c>
      <c r="H30" t="s">
        <v>6152</v>
      </c>
      <c r="I30" t="s">
        <v>5358</v>
      </c>
      <c r="J30">
        <v>46</v>
      </c>
      <c r="K30">
        <v>282.89999999999998</v>
      </c>
      <c r="L30">
        <v>19407</v>
      </c>
      <c r="M30">
        <v>19410</v>
      </c>
      <c r="N30">
        <v>3</v>
      </c>
      <c r="O30">
        <v>15.3333333333333</v>
      </c>
    </row>
    <row r="31" spans="1:15" x14ac:dyDescent="0.25">
      <c r="A31">
        <v>1</v>
      </c>
      <c r="B31">
        <v>1</v>
      </c>
      <c r="C31" t="s">
        <v>57</v>
      </c>
      <c r="D31" t="s">
        <v>430</v>
      </c>
      <c r="E31" t="s">
        <v>6154</v>
      </c>
      <c r="F31">
        <v>46205.84375</v>
      </c>
      <c r="G31">
        <v>264</v>
      </c>
      <c r="H31" t="s">
        <v>6152</v>
      </c>
      <c r="I31" t="s">
        <v>5358</v>
      </c>
      <c r="J31">
        <v>65</v>
      </c>
      <c r="K31">
        <v>399.75</v>
      </c>
      <c r="L31">
        <v>19410</v>
      </c>
      <c r="M31">
        <v>19421</v>
      </c>
      <c r="N31">
        <v>11</v>
      </c>
      <c r="O31">
        <v>5.9090909090909101</v>
      </c>
    </row>
    <row r="32" spans="1:15" x14ac:dyDescent="0.25">
      <c r="A32">
        <v>1</v>
      </c>
      <c r="B32">
        <v>1</v>
      </c>
      <c r="C32" t="s">
        <v>57</v>
      </c>
      <c r="D32" t="s">
        <v>430</v>
      </c>
      <c r="E32" t="s">
        <v>6154</v>
      </c>
      <c r="F32">
        <v>46207.884722222225</v>
      </c>
      <c r="G32">
        <v>264</v>
      </c>
      <c r="H32" t="s">
        <v>6152</v>
      </c>
      <c r="I32" t="s">
        <v>5358</v>
      </c>
      <c r="J32">
        <v>33</v>
      </c>
      <c r="K32">
        <v>202.95</v>
      </c>
      <c r="L32">
        <v>19421</v>
      </c>
      <c r="M32">
        <v>19425</v>
      </c>
      <c r="N32">
        <v>4</v>
      </c>
      <c r="O32">
        <v>8.25</v>
      </c>
    </row>
    <row r="33" spans="1:15" x14ac:dyDescent="0.25">
      <c r="A33">
        <v>1</v>
      </c>
      <c r="B33">
        <v>1</v>
      </c>
      <c r="C33" t="s">
        <v>57</v>
      </c>
      <c r="D33" t="s">
        <v>430</v>
      </c>
      <c r="E33" t="s">
        <v>6154</v>
      </c>
      <c r="F33">
        <v>46209.837500000001</v>
      </c>
      <c r="G33">
        <v>264</v>
      </c>
      <c r="H33" t="s">
        <v>6152</v>
      </c>
      <c r="I33" t="s">
        <v>5358</v>
      </c>
      <c r="J33">
        <v>57</v>
      </c>
      <c r="K33">
        <v>350.55</v>
      </c>
      <c r="L33">
        <v>19425</v>
      </c>
      <c r="M33">
        <v>19430</v>
      </c>
      <c r="N33">
        <v>5</v>
      </c>
      <c r="O33">
        <v>11.4</v>
      </c>
    </row>
    <row r="34" spans="1:15" x14ac:dyDescent="0.25">
      <c r="A34">
        <v>1</v>
      </c>
      <c r="B34">
        <v>1</v>
      </c>
      <c r="C34" t="s">
        <v>57</v>
      </c>
      <c r="D34" t="s">
        <v>430</v>
      </c>
      <c r="E34" t="s">
        <v>6154</v>
      </c>
      <c r="F34">
        <v>46211.836805555555</v>
      </c>
      <c r="G34">
        <v>264</v>
      </c>
      <c r="H34" t="s">
        <v>6152</v>
      </c>
      <c r="I34" t="s">
        <v>5358</v>
      </c>
      <c r="J34">
        <v>59</v>
      </c>
      <c r="K34">
        <v>362.85</v>
      </c>
      <c r="L34">
        <v>19430</v>
      </c>
      <c r="M34">
        <v>19436</v>
      </c>
      <c r="N34">
        <v>6</v>
      </c>
      <c r="O34">
        <v>9.8333333333333304</v>
      </c>
    </row>
    <row r="35" spans="1:15" x14ac:dyDescent="0.25">
      <c r="A35">
        <v>1</v>
      </c>
      <c r="B35">
        <v>1</v>
      </c>
      <c r="C35" t="s">
        <v>57</v>
      </c>
      <c r="D35" t="s">
        <v>430</v>
      </c>
      <c r="E35" t="s">
        <v>6154</v>
      </c>
      <c r="F35">
        <v>46213.834027777775</v>
      </c>
      <c r="G35">
        <v>264</v>
      </c>
      <c r="H35" t="s">
        <v>6152</v>
      </c>
      <c r="I35" t="s">
        <v>5358</v>
      </c>
      <c r="J35">
        <v>94</v>
      </c>
      <c r="K35">
        <v>578.1</v>
      </c>
      <c r="L35">
        <v>19436</v>
      </c>
      <c r="M35">
        <v>19445</v>
      </c>
      <c r="N35">
        <v>9</v>
      </c>
      <c r="O35">
        <v>10.4444444444444</v>
      </c>
    </row>
    <row r="36" spans="1:15" x14ac:dyDescent="0.25">
      <c r="A36">
        <v>1</v>
      </c>
      <c r="B36">
        <v>1</v>
      </c>
      <c r="C36" t="s">
        <v>57</v>
      </c>
      <c r="D36" t="s">
        <v>430</v>
      </c>
      <c r="E36" t="s">
        <v>6154</v>
      </c>
      <c r="F36">
        <v>46214.749305555553</v>
      </c>
      <c r="G36">
        <v>264</v>
      </c>
      <c r="H36" t="s">
        <v>6152</v>
      </c>
      <c r="I36" t="s">
        <v>5358</v>
      </c>
      <c r="J36">
        <v>36</v>
      </c>
      <c r="K36">
        <v>221.4</v>
      </c>
      <c r="L36">
        <v>19445</v>
      </c>
      <c r="M36">
        <v>19451</v>
      </c>
      <c r="N36">
        <v>6</v>
      </c>
      <c r="O36">
        <v>6</v>
      </c>
    </row>
    <row r="37" spans="1:15" x14ac:dyDescent="0.25">
      <c r="A37">
        <v>1</v>
      </c>
      <c r="B37">
        <v>1</v>
      </c>
      <c r="C37" t="s">
        <v>57</v>
      </c>
      <c r="D37" t="s">
        <v>430</v>
      </c>
      <c r="E37" t="s">
        <v>6154</v>
      </c>
      <c r="F37">
        <v>46217.794444444444</v>
      </c>
      <c r="G37">
        <v>264</v>
      </c>
      <c r="H37" t="s">
        <v>6152</v>
      </c>
      <c r="I37" t="s">
        <v>5358</v>
      </c>
      <c r="J37">
        <v>62</v>
      </c>
      <c r="K37">
        <v>381.3</v>
      </c>
      <c r="L37">
        <v>19451</v>
      </c>
      <c r="M37">
        <v>19457</v>
      </c>
      <c r="N37">
        <v>6</v>
      </c>
      <c r="O37">
        <v>10.3333333333333</v>
      </c>
    </row>
    <row r="38" spans="1:15" x14ac:dyDescent="0.25">
      <c r="A38">
        <v>1</v>
      </c>
      <c r="B38">
        <v>1</v>
      </c>
      <c r="C38" t="s">
        <v>57</v>
      </c>
      <c r="D38" t="s">
        <v>430</v>
      </c>
      <c r="E38" t="s">
        <v>6154</v>
      </c>
      <c r="F38">
        <v>46218.845138888886</v>
      </c>
      <c r="G38">
        <v>264</v>
      </c>
      <c r="H38" t="s">
        <v>6152</v>
      </c>
      <c r="I38" t="s">
        <v>5358</v>
      </c>
      <c r="J38">
        <v>57</v>
      </c>
      <c r="K38">
        <v>350.55</v>
      </c>
      <c r="L38">
        <v>19457</v>
      </c>
      <c r="M38">
        <v>19465</v>
      </c>
      <c r="N38">
        <v>8</v>
      </c>
      <c r="O38">
        <v>7.125</v>
      </c>
    </row>
    <row r="39" spans="1:15" x14ac:dyDescent="0.25">
      <c r="A39">
        <v>1</v>
      </c>
      <c r="B39">
        <v>1</v>
      </c>
      <c r="C39" t="s">
        <v>57</v>
      </c>
      <c r="D39" t="s">
        <v>430</v>
      </c>
      <c r="E39" t="s">
        <v>6154</v>
      </c>
      <c r="F39">
        <v>46220.852777777778</v>
      </c>
      <c r="G39">
        <v>264</v>
      </c>
      <c r="H39" t="s">
        <v>6152</v>
      </c>
      <c r="I39" t="s">
        <v>5358</v>
      </c>
      <c r="J39">
        <v>84</v>
      </c>
      <c r="K39">
        <v>520.79999999999995</v>
      </c>
      <c r="L39">
        <v>19465</v>
      </c>
      <c r="M39">
        <v>19477</v>
      </c>
      <c r="N39">
        <v>12</v>
      </c>
      <c r="O39">
        <v>7</v>
      </c>
    </row>
    <row r="40" spans="1:15" x14ac:dyDescent="0.25">
      <c r="A40">
        <v>1</v>
      </c>
      <c r="B40">
        <v>1</v>
      </c>
      <c r="C40" t="s">
        <v>57</v>
      </c>
      <c r="D40" t="s">
        <v>430</v>
      </c>
      <c r="E40" t="s">
        <v>6154</v>
      </c>
      <c r="F40">
        <v>46223.873611111114</v>
      </c>
      <c r="G40">
        <v>264</v>
      </c>
      <c r="H40" t="s">
        <v>6152</v>
      </c>
      <c r="I40" t="s">
        <v>5358</v>
      </c>
      <c r="J40">
        <v>121</v>
      </c>
      <c r="K40">
        <v>763.51</v>
      </c>
      <c r="L40">
        <v>19477</v>
      </c>
      <c r="M40">
        <v>19490</v>
      </c>
      <c r="N40">
        <v>13</v>
      </c>
      <c r="O40">
        <v>9.3076923076923102</v>
      </c>
    </row>
    <row r="41" spans="1:15" x14ac:dyDescent="0.25">
      <c r="A41">
        <v>1</v>
      </c>
      <c r="B41">
        <v>1</v>
      </c>
      <c r="C41" t="s">
        <v>57</v>
      </c>
      <c r="D41" t="s">
        <v>430</v>
      </c>
      <c r="E41" t="s">
        <v>6154</v>
      </c>
      <c r="F41">
        <v>46226.717361111114</v>
      </c>
      <c r="G41">
        <v>264</v>
      </c>
      <c r="H41" t="s">
        <v>6152</v>
      </c>
      <c r="I41" t="s">
        <v>5358</v>
      </c>
      <c r="J41">
        <v>82</v>
      </c>
      <c r="K41">
        <v>517.41999999999996</v>
      </c>
      <c r="L41">
        <v>19490</v>
      </c>
      <c r="M41">
        <v>19505</v>
      </c>
      <c r="N41">
        <v>15</v>
      </c>
      <c r="O41">
        <v>5.4666666666666703</v>
      </c>
    </row>
    <row r="42" spans="1:15" x14ac:dyDescent="0.25">
      <c r="A42">
        <v>1</v>
      </c>
      <c r="B42">
        <v>1</v>
      </c>
      <c r="C42" t="s">
        <v>57</v>
      </c>
      <c r="D42" t="s">
        <v>430</v>
      </c>
      <c r="E42" t="s">
        <v>6154</v>
      </c>
      <c r="F42">
        <v>46228.775000000001</v>
      </c>
      <c r="G42">
        <v>264</v>
      </c>
      <c r="H42" t="s">
        <v>6152</v>
      </c>
      <c r="I42" t="s">
        <v>5358</v>
      </c>
      <c r="J42">
        <v>92</v>
      </c>
      <c r="K42">
        <v>577.76</v>
      </c>
      <c r="L42">
        <v>19505</v>
      </c>
      <c r="M42">
        <v>19517</v>
      </c>
      <c r="N42">
        <v>12</v>
      </c>
      <c r="O42">
        <v>7.6666666666666696</v>
      </c>
    </row>
    <row r="43" spans="1:15" x14ac:dyDescent="0.25">
      <c r="A43">
        <v>1</v>
      </c>
      <c r="B43">
        <v>1</v>
      </c>
      <c r="C43" t="s">
        <v>57</v>
      </c>
      <c r="D43" t="s">
        <v>430</v>
      </c>
      <c r="E43" t="s">
        <v>6154</v>
      </c>
      <c r="F43">
        <v>46230.895138888889</v>
      </c>
      <c r="G43">
        <v>264</v>
      </c>
      <c r="H43" t="s">
        <v>6152</v>
      </c>
      <c r="I43" t="s">
        <v>5358</v>
      </c>
      <c r="J43">
        <v>48</v>
      </c>
      <c r="K43">
        <v>301.44</v>
      </c>
      <c r="L43">
        <v>19517</v>
      </c>
      <c r="M43">
        <v>19525</v>
      </c>
      <c r="N43">
        <v>8</v>
      </c>
      <c r="O43">
        <v>6</v>
      </c>
    </row>
    <row r="44" spans="1:15" x14ac:dyDescent="0.25">
      <c r="A44">
        <v>1</v>
      </c>
      <c r="B44">
        <v>1</v>
      </c>
      <c r="C44" t="s">
        <v>57</v>
      </c>
      <c r="D44" t="s">
        <v>430</v>
      </c>
      <c r="E44" t="s">
        <v>6154</v>
      </c>
      <c r="F44">
        <v>46231.934027777781</v>
      </c>
      <c r="G44">
        <v>264</v>
      </c>
      <c r="H44" t="s">
        <v>6152</v>
      </c>
      <c r="I44" t="s">
        <v>5358</v>
      </c>
      <c r="J44">
        <v>31</v>
      </c>
      <c r="K44">
        <v>194.68</v>
      </c>
      <c r="L44">
        <v>19525</v>
      </c>
      <c r="M44">
        <v>19529</v>
      </c>
      <c r="N44">
        <v>4</v>
      </c>
      <c r="O44">
        <v>7.75</v>
      </c>
    </row>
    <row r="45" spans="1:15" x14ac:dyDescent="0.25">
      <c r="A45">
        <v>1</v>
      </c>
      <c r="B45">
        <v>1</v>
      </c>
      <c r="C45" t="s">
        <v>57</v>
      </c>
      <c r="D45" t="s">
        <v>430</v>
      </c>
      <c r="E45" t="s">
        <v>6154</v>
      </c>
      <c r="F45">
        <v>46234.89166666667</v>
      </c>
      <c r="G45">
        <v>264</v>
      </c>
      <c r="H45" t="s">
        <v>6152</v>
      </c>
      <c r="I45" t="s">
        <v>5358</v>
      </c>
      <c r="J45">
        <v>140</v>
      </c>
      <c r="K45">
        <v>879.2</v>
      </c>
      <c r="L45">
        <v>19529</v>
      </c>
      <c r="M45">
        <v>19534</v>
      </c>
      <c r="N45">
        <v>5</v>
      </c>
      <c r="O45">
        <v>28</v>
      </c>
    </row>
    <row r="46" spans="1:15" x14ac:dyDescent="0.25">
      <c r="A46">
        <v>1</v>
      </c>
      <c r="B46">
        <v>1</v>
      </c>
      <c r="C46" t="s">
        <v>57</v>
      </c>
      <c r="D46" t="s">
        <v>670</v>
      </c>
      <c r="E46" t="s">
        <v>6157</v>
      </c>
      <c r="F46">
        <v>46204.62777777778</v>
      </c>
      <c r="G46">
        <v>232</v>
      </c>
      <c r="H46" t="s">
        <v>6155</v>
      </c>
      <c r="I46" t="s">
        <v>5358</v>
      </c>
      <c r="J46">
        <v>156</v>
      </c>
      <c r="K46">
        <v>959.4</v>
      </c>
      <c r="L46">
        <v>8672</v>
      </c>
      <c r="M46">
        <v>8681</v>
      </c>
      <c r="N46">
        <v>9</v>
      </c>
      <c r="O46">
        <v>17.3333333333333</v>
      </c>
    </row>
    <row r="47" spans="1:15" x14ac:dyDescent="0.25">
      <c r="A47">
        <v>1</v>
      </c>
      <c r="B47">
        <v>1</v>
      </c>
      <c r="C47" t="s">
        <v>57</v>
      </c>
      <c r="D47" t="s">
        <v>670</v>
      </c>
      <c r="E47" t="s">
        <v>6157</v>
      </c>
      <c r="F47">
        <v>46204.629166666666</v>
      </c>
      <c r="G47">
        <v>232</v>
      </c>
      <c r="H47" t="s">
        <v>6155</v>
      </c>
      <c r="I47" t="s">
        <v>5358</v>
      </c>
      <c r="J47">
        <v>29</v>
      </c>
      <c r="K47">
        <v>178.35</v>
      </c>
      <c r="L47">
        <v>8681</v>
      </c>
      <c r="M47">
        <v>8683</v>
      </c>
      <c r="N47">
        <v>2</v>
      </c>
      <c r="O47">
        <v>14.5</v>
      </c>
    </row>
    <row r="48" spans="1:15" x14ac:dyDescent="0.25">
      <c r="A48">
        <v>1</v>
      </c>
      <c r="B48">
        <v>1</v>
      </c>
      <c r="C48" t="s">
        <v>57</v>
      </c>
      <c r="D48" t="s">
        <v>670</v>
      </c>
      <c r="E48" t="s">
        <v>6157</v>
      </c>
      <c r="F48">
        <v>46205.438194444447</v>
      </c>
      <c r="G48">
        <v>232</v>
      </c>
      <c r="H48" t="s">
        <v>6155</v>
      </c>
      <c r="I48" t="s">
        <v>5358</v>
      </c>
      <c r="J48">
        <v>133</v>
      </c>
      <c r="K48">
        <v>817.95</v>
      </c>
      <c r="L48">
        <v>8683</v>
      </c>
      <c r="M48">
        <v>8694</v>
      </c>
      <c r="N48">
        <v>11</v>
      </c>
      <c r="O48">
        <v>12.090909090909101</v>
      </c>
    </row>
    <row r="49" spans="1:15" x14ac:dyDescent="0.25">
      <c r="A49">
        <v>1</v>
      </c>
      <c r="B49">
        <v>1</v>
      </c>
      <c r="C49" t="s">
        <v>57</v>
      </c>
      <c r="D49" t="s">
        <v>670</v>
      </c>
      <c r="E49" t="s">
        <v>6157</v>
      </c>
      <c r="F49">
        <v>46207.000694444447</v>
      </c>
      <c r="G49">
        <v>232</v>
      </c>
      <c r="H49" t="s">
        <v>6155</v>
      </c>
      <c r="I49" t="s">
        <v>5358</v>
      </c>
      <c r="J49">
        <v>40</v>
      </c>
      <c r="K49">
        <v>246</v>
      </c>
      <c r="L49">
        <v>8694</v>
      </c>
      <c r="M49">
        <v>8701</v>
      </c>
      <c r="N49">
        <v>7</v>
      </c>
      <c r="O49">
        <v>5.71428571428571</v>
      </c>
    </row>
    <row r="50" spans="1:15" x14ac:dyDescent="0.25">
      <c r="A50">
        <v>1</v>
      </c>
      <c r="B50">
        <v>1</v>
      </c>
      <c r="C50" t="s">
        <v>57</v>
      </c>
      <c r="D50" t="s">
        <v>670</v>
      </c>
      <c r="E50" t="s">
        <v>6157</v>
      </c>
      <c r="F50">
        <v>46210.988194444442</v>
      </c>
      <c r="G50">
        <v>232</v>
      </c>
      <c r="H50" t="s">
        <v>6155</v>
      </c>
      <c r="I50" t="s">
        <v>5358</v>
      </c>
      <c r="J50">
        <v>75</v>
      </c>
      <c r="K50">
        <v>461.25</v>
      </c>
      <c r="L50">
        <v>8701</v>
      </c>
      <c r="M50">
        <v>8716</v>
      </c>
      <c r="N50">
        <v>15</v>
      </c>
      <c r="O50">
        <v>5</v>
      </c>
    </row>
    <row r="51" spans="1:15" x14ac:dyDescent="0.25">
      <c r="A51">
        <v>1</v>
      </c>
      <c r="B51">
        <v>1</v>
      </c>
      <c r="C51" t="s">
        <v>57</v>
      </c>
      <c r="D51" t="s">
        <v>670</v>
      </c>
      <c r="E51" t="s">
        <v>6157</v>
      </c>
      <c r="F51">
        <v>46211.011111111111</v>
      </c>
      <c r="G51">
        <v>232</v>
      </c>
      <c r="H51" t="s">
        <v>6155</v>
      </c>
      <c r="I51" t="s">
        <v>5358</v>
      </c>
      <c r="J51">
        <v>125</v>
      </c>
      <c r="K51">
        <v>768.75</v>
      </c>
      <c r="L51">
        <v>8716</v>
      </c>
      <c r="M51">
        <v>8726</v>
      </c>
      <c r="N51">
        <v>10</v>
      </c>
      <c r="O51">
        <v>12.5</v>
      </c>
    </row>
    <row r="52" spans="1:15" x14ac:dyDescent="0.25">
      <c r="A52">
        <v>1</v>
      </c>
      <c r="B52">
        <v>1</v>
      </c>
      <c r="C52" t="s">
        <v>57</v>
      </c>
      <c r="D52" t="s">
        <v>670</v>
      </c>
      <c r="E52" t="s">
        <v>6157</v>
      </c>
      <c r="F52">
        <v>46212.001388888886</v>
      </c>
      <c r="G52">
        <v>232</v>
      </c>
      <c r="H52" t="s">
        <v>6155</v>
      </c>
      <c r="I52" t="s">
        <v>5358</v>
      </c>
      <c r="J52">
        <v>179</v>
      </c>
      <c r="K52">
        <v>1100.8499999999999</v>
      </c>
      <c r="L52">
        <v>8726</v>
      </c>
      <c r="M52">
        <v>8739</v>
      </c>
      <c r="N52">
        <v>13</v>
      </c>
      <c r="O52">
        <v>13.7692307692308</v>
      </c>
    </row>
    <row r="53" spans="1:15" x14ac:dyDescent="0.25">
      <c r="A53">
        <v>1</v>
      </c>
      <c r="B53">
        <v>1</v>
      </c>
      <c r="C53" t="s">
        <v>57</v>
      </c>
      <c r="D53" t="s">
        <v>670</v>
      </c>
      <c r="E53" t="s">
        <v>6157</v>
      </c>
      <c r="F53">
        <v>46213.074999999997</v>
      </c>
      <c r="G53">
        <v>232</v>
      </c>
      <c r="H53" t="s">
        <v>6155</v>
      </c>
      <c r="I53" t="s">
        <v>5358</v>
      </c>
      <c r="J53">
        <v>140</v>
      </c>
      <c r="K53">
        <v>861</v>
      </c>
      <c r="L53">
        <v>8739</v>
      </c>
      <c r="M53">
        <v>8753</v>
      </c>
      <c r="N53">
        <v>14</v>
      </c>
      <c r="O53">
        <v>10</v>
      </c>
    </row>
    <row r="54" spans="1:15" x14ac:dyDescent="0.25">
      <c r="A54">
        <v>1</v>
      </c>
      <c r="B54">
        <v>1</v>
      </c>
      <c r="C54" t="s">
        <v>57</v>
      </c>
      <c r="D54" t="s">
        <v>670</v>
      </c>
      <c r="E54" t="s">
        <v>6157</v>
      </c>
      <c r="F54">
        <v>46214.019444444442</v>
      </c>
      <c r="G54">
        <v>232</v>
      </c>
      <c r="H54" t="s">
        <v>6155</v>
      </c>
      <c r="I54" t="s">
        <v>5358</v>
      </c>
      <c r="J54">
        <v>154</v>
      </c>
      <c r="K54">
        <v>947.1</v>
      </c>
      <c r="L54">
        <v>8753</v>
      </c>
      <c r="M54">
        <v>8767</v>
      </c>
      <c r="N54">
        <v>14</v>
      </c>
      <c r="O54">
        <v>11</v>
      </c>
    </row>
    <row r="55" spans="1:15" x14ac:dyDescent="0.25">
      <c r="A55">
        <v>1</v>
      </c>
      <c r="B55">
        <v>1</v>
      </c>
      <c r="C55" t="s">
        <v>57</v>
      </c>
      <c r="D55" t="s">
        <v>670</v>
      </c>
      <c r="E55" t="s">
        <v>6157</v>
      </c>
      <c r="F55">
        <v>46215.948611111111</v>
      </c>
      <c r="G55">
        <v>232</v>
      </c>
      <c r="H55" t="s">
        <v>6155</v>
      </c>
      <c r="I55" t="s">
        <v>5358</v>
      </c>
      <c r="J55">
        <v>78</v>
      </c>
      <c r="K55">
        <v>479.7</v>
      </c>
      <c r="L55">
        <v>8767</v>
      </c>
      <c r="M55">
        <v>8776</v>
      </c>
      <c r="N55">
        <v>9</v>
      </c>
      <c r="O55">
        <v>8.6666666666666696</v>
      </c>
    </row>
    <row r="56" spans="1:15" x14ac:dyDescent="0.25">
      <c r="A56">
        <v>1</v>
      </c>
      <c r="B56">
        <v>1</v>
      </c>
      <c r="C56" t="s">
        <v>57</v>
      </c>
      <c r="D56" t="s">
        <v>670</v>
      </c>
      <c r="E56" t="s">
        <v>6157</v>
      </c>
      <c r="F56">
        <v>46216.984027777777</v>
      </c>
      <c r="G56">
        <v>232</v>
      </c>
      <c r="H56" t="s">
        <v>6155</v>
      </c>
      <c r="I56" t="s">
        <v>5358</v>
      </c>
      <c r="J56">
        <v>158</v>
      </c>
      <c r="K56">
        <v>971.7</v>
      </c>
      <c r="L56">
        <v>8776</v>
      </c>
      <c r="M56">
        <v>8789</v>
      </c>
      <c r="N56">
        <v>13</v>
      </c>
      <c r="O56">
        <v>12.153846153846199</v>
      </c>
    </row>
    <row r="57" spans="1:15" x14ac:dyDescent="0.25">
      <c r="A57">
        <v>1</v>
      </c>
      <c r="B57">
        <v>1</v>
      </c>
      <c r="C57" t="s">
        <v>57</v>
      </c>
      <c r="D57" t="s">
        <v>670</v>
      </c>
      <c r="E57" t="s">
        <v>6157</v>
      </c>
      <c r="F57">
        <v>46217.526388888888</v>
      </c>
      <c r="G57">
        <v>232</v>
      </c>
      <c r="H57" t="s">
        <v>6155</v>
      </c>
      <c r="I57" t="s">
        <v>5358</v>
      </c>
      <c r="J57">
        <v>161</v>
      </c>
      <c r="K57">
        <v>990.15</v>
      </c>
      <c r="L57">
        <v>8789</v>
      </c>
      <c r="M57">
        <v>8801</v>
      </c>
      <c r="N57">
        <v>12</v>
      </c>
      <c r="O57">
        <v>13.4166666666667</v>
      </c>
    </row>
    <row r="58" spans="1:15" x14ac:dyDescent="0.25">
      <c r="A58">
        <v>1</v>
      </c>
      <c r="B58">
        <v>1</v>
      </c>
      <c r="C58" t="s">
        <v>57</v>
      </c>
      <c r="D58" t="s">
        <v>670</v>
      </c>
      <c r="E58" t="s">
        <v>6157</v>
      </c>
      <c r="F58">
        <v>46218.117361111108</v>
      </c>
      <c r="G58">
        <v>232</v>
      </c>
      <c r="H58" t="s">
        <v>6155</v>
      </c>
      <c r="I58" t="s">
        <v>5358</v>
      </c>
      <c r="J58">
        <v>167</v>
      </c>
      <c r="K58">
        <v>1027.05</v>
      </c>
      <c r="L58">
        <v>8801</v>
      </c>
      <c r="M58">
        <v>8814</v>
      </c>
      <c r="N58">
        <v>13</v>
      </c>
      <c r="O58">
        <v>12.846153846153801</v>
      </c>
    </row>
    <row r="59" spans="1:15" x14ac:dyDescent="0.25">
      <c r="A59">
        <v>1</v>
      </c>
      <c r="B59">
        <v>1</v>
      </c>
      <c r="C59" t="s">
        <v>57</v>
      </c>
      <c r="D59" t="s">
        <v>670</v>
      </c>
      <c r="E59" t="s">
        <v>6157</v>
      </c>
      <c r="F59">
        <v>46219.12222222222</v>
      </c>
      <c r="G59">
        <v>232</v>
      </c>
      <c r="H59" t="s">
        <v>6155</v>
      </c>
      <c r="I59" t="s">
        <v>5358</v>
      </c>
      <c r="J59">
        <v>170</v>
      </c>
      <c r="K59">
        <v>1045.5</v>
      </c>
      <c r="L59">
        <v>8814</v>
      </c>
      <c r="M59">
        <v>8830</v>
      </c>
      <c r="N59">
        <v>16</v>
      </c>
      <c r="O59">
        <v>10.625</v>
      </c>
    </row>
    <row r="60" spans="1:15" x14ac:dyDescent="0.25">
      <c r="A60">
        <v>1</v>
      </c>
      <c r="B60">
        <v>1</v>
      </c>
      <c r="C60" t="s">
        <v>57</v>
      </c>
      <c r="D60" t="s">
        <v>670</v>
      </c>
      <c r="E60" t="s">
        <v>6157</v>
      </c>
      <c r="F60">
        <v>46220.03402777778</v>
      </c>
      <c r="G60">
        <v>232</v>
      </c>
      <c r="H60" t="s">
        <v>6155</v>
      </c>
      <c r="I60" t="s">
        <v>5358</v>
      </c>
      <c r="J60">
        <v>135</v>
      </c>
      <c r="K60">
        <v>830.25</v>
      </c>
      <c r="L60">
        <v>8830</v>
      </c>
      <c r="M60">
        <v>8842</v>
      </c>
      <c r="N60">
        <v>12</v>
      </c>
      <c r="O60">
        <v>11.25</v>
      </c>
    </row>
    <row r="61" spans="1:15" x14ac:dyDescent="0.25">
      <c r="A61">
        <v>1</v>
      </c>
      <c r="B61">
        <v>1</v>
      </c>
      <c r="C61" t="s">
        <v>57</v>
      </c>
      <c r="D61" t="s">
        <v>670</v>
      </c>
      <c r="E61" t="s">
        <v>6157</v>
      </c>
      <c r="F61">
        <v>46221.932638888888</v>
      </c>
      <c r="G61">
        <v>232</v>
      </c>
      <c r="H61" t="s">
        <v>6155</v>
      </c>
      <c r="I61" t="s">
        <v>5358</v>
      </c>
      <c r="J61">
        <v>116</v>
      </c>
      <c r="K61">
        <v>713.4</v>
      </c>
      <c r="L61">
        <v>8842</v>
      </c>
      <c r="M61">
        <v>8854</v>
      </c>
      <c r="N61">
        <v>12</v>
      </c>
      <c r="O61">
        <v>9.6666666666666696</v>
      </c>
    </row>
    <row r="62" spans="1:15" x14ac:dyDescent="0.25">
      <c r="A62">
        <v>1</v>
      </c>
      <c r="B62">
        <v>1</v>
      </c>
      <c r="C62" t="s">
        <v>57</v>
      </c>
      <c r="D62" t="s">
        <v>670</v>
      </c>
      <c r="E62" t="s">
        <v>6157</v>
      </c>
      <c r="F62">
        <v>46222.069444444445</v>
      </c>
      <c r="G62">
        <v>232</v>
      </c>
      <c r="H62" t="s">
        <v>6155</v>
      </c>
      <c r="I62" t="s">
        <v>5358</v>
      </c>
      <c r="J62">
        <v>89</v>
      </c>
      <c r="K62">
        <v>560.70000000000005</v>
      </c>
      <c r="L62">
        <v>8854</v>
      </c>
      <c r="M62">
        <v>8865</v>
      </c>
      <c r="N62">
        <v>11</v>
      </c>
      <c r="O62">
        <v>8.0909090909090899</v>
      </c>
    </row>
    <row r="63" spans="1:15" x14ac:dyDescent="0.25">
      <c r="A63">
        <v>1</v>
      </c>
      <c r="B63">
        <v>1</v>
      </c>
      <c r="C63" t="s">
        <v>57</v>
      </c>
      <c r="D63" t="s">
        <v>670</v>
      </c>
      <c r="E63" t="s">
        <v>6157</v>
      </c>
      <c r="F63">
        <v>46223.097916666666</v>
      </c>
      <c r="G63">
        <v>232</v>
      </c>
      <c r="H63" t="s">
        <v>6155</v>
      </c>
      <c r="I63" t="s">
        <v>5358</v>
      </c>
      <c r="J63">
        <v>101</v>
      </c>
      <c r="K63">
        <v>631.25</v>
      </c>
      <c r="L63">
        <v>8865</v>
      </c>
      <c r="M63">
        <v>8877</v>
      </c>
      <c r="N63">
        <v>12</v>
      </c>
      <c r="O63">
        <v>8.4166666666666696</v>
      </c>
    </row>
    <row r="64" spans="1:15" x14ac:dyDescent="0.25">
      <c r="A64">
        <v>1</v>
      </c>
      <c r="B64">
        <v>1</v>
      </c>
      <c r="C64" t="s">
        <v>57</v>
      </c>
      <c r="D64" t="s">
        <v>670</v>
      </c>
      <c r="E64" t="s">
        <v>6157</v>
      </c>
      <c r="F64">
        <v>46224.908333333333</v>
      </c>
      <c r="G64">
        <v>232</v>
      </c>
      <c r="H64" t="s">
        <v>6155</v>
      </c>
      <c r="I64" t="s">
        <v>5358</v>
      </c>
      <c r="J64">
        <v>100</v>
      </c>
      <c r="K64">
        <v>625</v>
      </c>
      <c r="L64">
        <v>8877</v>
      </c>
      <c r="M64">
        <v>8889</v>
      </c>
      <c r="N64">
        <v>12</v>
      </c>
      <c r="O64">
        <v>8.3333333333333304</v>
      </c>
    </row>
    <row r="65" spans="1:15" x14ac:dyDescent="0.25">
      <c r="A65">
        <v>1</v>
      </c>
      <c r="B65">
        <v>1</v>
      </c>
      <c r="C65" t="s">
        <v>57</v>
      </c>
      <c r="D65" t="s">
        <v>670</v>
      </c>
      <c r="E65" t="s">
        <v>6157</v>
      </c>
      <c r="F65">
        <v>46225.025694444441</v>
      </c>
      <c r="G65">
        <v>232</v>
      </c>
      <c r="H65" t="s">
        <v>6155</v>
      </c>
      <c r="I65" t="s">
        <v>5358</v>
      </c>
      <c r="J65">
        <v>98</v>
      </c>
      <c r="K65">
        <v>612.5</v>
      </c>
      <c r="L65">
        <v>8889</v>
      </c>
      <c r="M65">
        <v>8898</v>
      </c>
      <c r="N65">
        <v>9</v>
      </c>
      <c r="O65">
        <v>10.8888888888889</v>
      </c>
    </row>
    <row r="66" spans="1:15" x14ac:dyDescent="0.25">
      <c r="A66">
        <v>1</v>
      </c>
      <c r="B66">
        <v>1</v>
      </c>
      <c r="C66" t="s">
        <v>57</v>
      </c>
      <c r="D66" t="s">
        <v>670</v>
      </c>
      <c r="E66" t="s">
        <v>6157</v>
      </c>
      <c r="F66">
        <v>46226.840277777781</v>
      </c>
      <c r="G66">
        <v>232</v>
      </c>
      <c r="H66" t="s">
        <v>6155</v>
      </c>
      <c r="I66" t="s">
        <v>5358</v>
      </c>
      <c r="J66">
        <v>51</v>
      </c>
      <c r="K66">
        <v>318.75</v>
      </c>
      <c r="L66">
        <v>8898</v>
      </c>
      <c r="M66">
        <v>8904</v>
      </c>
      <c r="N66">
        <v>6</v>
      </c>
      <c r="O66">
        <v>8.5</v>
      </c>
    </row>
    <row r="67" spans="1:15" x14ac:dyDescent="0.25">
      <c r="A67">
        <v>1</v>
      </c>
      <c r="B67">
        <v>1</v>
      </c>
      <c r="C67" t="s">
        <v>57</v>
      </c>
      <c r="D67" t="s">
        <v>670</v>
      </c>
      <c r="E67" t="s">
        <v>6157</v>
      </c>
      <c r="F67">
        <v>46227.085416666669</v>
      </c>
      <c r="G67">
        <v>232</v>
      </c>
      <c r="H67" t="s">
        <v>6155</v>
      </c>
      <c r="I67" t="s">
        <v>5358</v>
      </c>
      <c r="J67">
        <v>111</v>
      </c>
      <c r="K67">
        <v>693.75</v>
      </c>
      <c r="L67">
        <v>8904</v>
      </c>
      <c r="M67">
        <v>8916</v>
      </c>
      <c r="N67">
        <v>12</v>
      </c>
      <c r="O67">
        <v>9.25</v>
      </c>
    </row>
    <row r="68" spans="1:15" x14ac:dyDescent="0.25">
      <c r="A68">
        <v>1</v>
      </c>
      <c r="B68">
        <v>1</v>
      </c>
      <c r="C68" t="s">
        <v>57</v>
      </c>
      <c r="D68" t="s">
        <v>670</v>
      </c>
      <c r="E68" t="s">
        <v>6157</v>
      </c>
      <c r="F68">
        <v>46228.978472222225</v>
      </c>
      <c r="G68">
        <v>232</v>
      </c>
      <c r="H68" t="s">
        <v>6155</v>
      </c>
      <c r="I68" t="s">
        <v>5358</v>
      </c>
      <c r="J68">
        <v>70</v>
      </c>
      <c r="K68">
        <v>437.5</v>
      </c>
      <c r="L68">
        <v>8916</v>
      </c>
      <c r="M68">
        <v>8926</v>
      </c>
      <c r="N68">
        <v>10</v>
      </c>
      <c r="O68">
        <v>7</v>
      </c>
    </row>
    <row r="69" spans="1:15" x14ac:dyDescent="0.25">
      <c r="A69">
        <v>1</v>
      </c>
      <c r="B69">
        <v>1</v>
      </c>
      <c r="C69" t="s">
        <v>57</v>
      </c>
      <c r="D69" t="s">
        <v>670</v>
      </c>
      <c r="E69" t="s">
        <v>6157</v>
      </c>
      <c r="F69">
        <v>46230.996527777781</v>
      </c>
      <c r="G69">
        <v>232</v>
      </c>
      <c r="H69" t="s">
        <v>6155</v>
      </c>
      <c r="I69" t="s">
        <v>5358</v>
      </c>
      <c r="J69">
        <v>96</v>
      </c>
      <c r="K69">
        <v>600</v>
      </c>
      <c r="L69">
        <v>8926</v>
      </c>
      <c r="M69">
        <v>8937</v>
      </c>
      <c r="N69">
        <v>11</v>
      </c>
      <c r="O69">
        <v>8.7272727272727302</v>
      </c>
    </row>
    <row r="70" spans="1:15" x14ac:dyDescent="0.25">
      <c r="A70">
        <v>1</v>
      </c>
      <c r="B70">
        <v>1</v>
      </c>
      <c r="C70" t="s">
        <v>57</v>
      </c>
      <c r="D70" t="s">
        <v>670</v>
      </c>
      <c r="E70" t="s">
        <v>6157</v>
      </c>
      <c r="F70">
        <v>46233.015277777777</v>
      </c>
      <c r="G70">
        <v>232</v>
      </c>
      <c r="H70" t="s">
        <v>6155</v>
      </c>
      <c r="I70" t="s">
        <v>5358</v>
      </c>
      <c r="J70">
        <v>104</v>
      </c>
      <c r="K70">
        <v>650</v>
      </c>
      <c r="L70">
        <v>8937</v>
      </c>
      <c r="M70">
        <v>8948</v>
      </c>
      <c r="N70">
        <v>11</v>
      </c>
      <c r="O70">
        <v>9.4545454545454604</v>
      </c>
    </row>
    <row r="71" spans="1:15" x14ac:dyDescent="0.25">
      <c r="A71">
        <v>1</v>
      </c>
      <c r="B71">
        <v>1</v>
      </c>
      <c r="C71" t="s">
        <v>57</v>
      </c>
      <c r="D71" t="s">
        <v>670</v>
      </c>
      <c r="E71" t="s">
        <v>6157</v>
      </c>
      <c r="F71">
        <v>46234.074305555558</v>
      </c>
      <c r="G71">
        <v>232</v>
      </c>
      <c r="H71" t="s">
        <v>6155</v>
      </c>
      <c r="I71" t="s">
        <v>5358</v>
      </c>
      <c r="J71">
        <v>67</v>
      </c>
      <c r="K71">
        <v>418.75</v>
      </c>
      <c r="L71">
        <v>8948</v>
      </c>
      <c r="M71">
        <v>8958</v>
      </c>
      <c r="N71">
        <v>10</v>
      </c>
      <c r="O71">
        <v>6.7</v>
      </c>
    </row>
    <row r="72" spans="1:15" x14ac:dyDescent="0.25">
      <c r="A72">
        <v>1</v>
      </c>
      <c r="B72">
        <v>1</v>
      </c>
      <c r="C72" t="s">
        <v>57</v>
      </c>
      <c r="D72" t="s">
        <v>658</v>
      </c>
      <c r="E72" t="s">
        <v>6158</v>
      </c>
      <c r="F72">
        <v>46204.648611111108</v>
      </c>
      <c r="G72">
        <v>232</v>
      </c>
      <c r="H72" t="s">
        <v>6155</v>
      </c>
      <c r="I72" t="s">
        <v>5358</v>
      </c>
      <c r="J72">
        <v>134</v>
      </c>
      <c r="K72">
        <v>824.1</v>
      </c>
      <c r="L72">
        <v>3031</v>
      </c>
      <c r="M72">
        <v>3046</v>
      </c>
      <c r="N72">
        <v>15</v>
      </c>
      <c r="O72">
        <v>8.93333333333333</v>
      </c>
    </row>
    <row r="73" spans="1:15" x14ac:dyDescent="0.25">
      <c r="A73">
        <v>1</v>
      </c>
      <c r="B73">
        <v>1</v>
      </c>
      <c r="C73" t="s">
        <v>57</v>
      </c>
      <c r="D73" t="s">
        <v>658</v>
      </c>
      <c r="E73" t="s">
        <v>6158</v>
      </c>
      <c r="F73">
        <v>46205.4375</v>
      </c>
      <c r="G73">
        <v>232</v>
      </c>
      <c r="H73" t="s">
        <v>6155</v>
      </c>
      <c r="I73" t="s">
        <v>5358</v>
      </c>
      <c r="J73">
        <v>157</v>
      </c>
      <c r="K73">
        <v>965.55</v>
      </c>
      <c r="L73">
        <v>3046</v>
      </c>
      <c r="M73">
        <v>3058</v>
      </c>
      <c r="N73">
        <v>12</v>
      </c>
      <c r="O73">
        <v>13.0833333333333</v>
      </c>
    </row>
    <row r="74" spans="1:15" x14ac:dyDescent="0.25">
      <c r="A74">
        <v>1</v>
      </c>
      <c r="B74">
        <v>1</v>
      </c>
      <c r="C74" t="s">
        <v>57</v>
      </c>
      <c r="D74" t="s">
        <v>658</v>
      </c>
      <c r="E74" t="s">
        <v>6158</v>
      </c>
      <c r="F74">
        <v>46207.467361111114</v>
      </c>
      <c r="G74">
        <v>232</v>
      </c>
      <c r="H74" t="s">
        <v>6155</v>
      </c>
      <c r="I74" t="s">
        <v>5358</v>
      </c>
      <c r="J74">
        <v>100</v>
      </c>
      <c r="K74">
        <v>615</v>
      </c>
      <c r="L74">
        <v>3058</v>
      </c>
      <c r="M74">
        <v>3066</v>
      </c>
      <c r="N74">
        <v>8</v>
      </c>
      <c r="O74">
        <v>12.5</v>
      </c>
    </row>
    <row r="75" spans="1:15" x14ac:dyDescent="0.25">
      <c r="A75">
        <v>1</v>
      </c>
      <c r="B75">
        <v>1</v>
      </c>
      <c r="C75" t="s">
        <v>57</v>
      </c>
      <c r="D75" t="s">
        <v>658</v>
      </c>
      <c r="E75" t="s">
        <v>6158</v>
      </c>
      <c r="F75">
        <v>46208.513194444444</v>
      </c>
      <c r="G75">
        <v>232</v>
      </c>
      <c r="H75" t="s">
        <v>6155</v>
      </c>
      <c r="I75" t="s">
        <v>5358</v>
      </c>
      <c r="J75">
        <v>138</v>
      </c>
      <c r="K75">
        <v>885.96</v>
      </c>
      <c r="L75">
        <v>3066</v>
      </c>
      <c r="M75">
        <v>3075</v>
      </c>
      <c r="N75">
        <v>9</v>
      </c>
      <c r="O75">
        <v>15.3333333333333</v>
      </c>
    </row>
    <row r="76" spans="1:15" x14ac:dyDescent="0.25">
      <c r="A76">
        <v>1</v>
      </c>
      <c r="B76">
        <v>1</v>
      </c>
      <c r="C76" t="s">
        <v>57</v>
      </c>
      <c r="D76" t="s">
        <v>658</v>
      </c>
      <c r="E76" t="s">
        <v>6158</v>
      </c>
      <c r="F76">
        <v>46209.464583333334</v>
      </c>
      <c r="G76">
        <v>232</v>
      </c>
      <c r="H76" t="s">
        <v>6155</v>
      </c>
      <c r="I76" t="s">
        <v>5358</v>
      </c>
      <c r="J76">
        <v>110</v>
      </c>
      <c r="K76">
        <v>676.5</v>
      </c>
      <c r="L76">
        <v>3075</v>
      </c>
      <c r="M76">
        <v>3084</v>
      </c>
      <c r="N76">
        <v>9</v>
      </c>
      <c r="O76">
        <v>12.2222222222222</v>
      </c>
    </row>
    <row r="77" spans="1:15" x14ac:dyDescent="0.25">
      <c r="A77">
        <v>1</v>
      </c>
      <c r="B77">
        <v>1</v>
      </c>
      <c r="C77" t="s">
        <v>57</v>
      </c>
      <c r="D77" t="s">
        <v>658</v>
      </c>
      <c r="E77" t="s">
        <v>6158</v>
      </c>
      <c r="F77">
        <v>46210.384722222225</v>
      </c>
      <c r="G77">
        <v>232</v>
      </c>
      <c r="H77" t="s">
        <v>6155</v>
      </c>
      <c r="I77" t="s">
        <v>5358</v>
      </c>
      <c r="J77">
        <v>113</v>
      </c>
      <c r="K77">
        <v>694.95</v>
      </c>
      <c r="L77">
        <v>3084</v>
      </c>
      <c r="M77">
        <v>3093</v>
      </c>
      <c r="N77">
        <v>9</v>
      </c>
      <c r="O77">
        <v>12.5555555555556</v>
      </c>
    </row>
    <row r="78" spans="1:15" x14ac:dyDescent="0.25">
      <c r="A78">
        <v>1</v>
      </c>
      <c r="B78">
        <v>1</v>
      </c>
      <c r="C78" t="s">
        <v>57</v>
      </c>
      <c r="D78" t="s">
        <v>658</v>
      </c>
      <c r="E78" t="s">
        <v>6158</v>
      </c>
      <c r="F78">
        <v>46212.411805555559</v>
      </c>
      <c r="G78">
        <v>232</v>
      </c>
      <c r="H78" t="s">
        <v>6155</v>
      </c>
      <c r="I78" t="s">
        <v>5358</v>
      </c>
      <c r="J78">
        <v>123</v>
      </c>
      <c r="K78">
        <v>756.45</v>
      </c>
      <c r="L78">
        <v>3093</v>
      </c>
      <c r="M78">
        <v>3110</v>
      </c>
      <c r="N78">
        <v>17</v>
      </c>
      <c r="O78">
        <v>7.2352941176470598</v>
      </c>
    </row>
    <row r="79" spans="1:15" x14ac:dyDescent="0.25">
      <c r="A79">
        <v>1</v>
      </c>
      <c r="B79">
        <v>1</v>
      </c>
      <c r="C79" t="s">
        <v>57</v>
      </c>
      <c r="D79" t="s">
        <v>658</v>
      </c>
      <c r="E79" t="s">
        <v>6158</v>
      </c>
      <c r="F79">
        <v>46213.426388888889</v>
      </c>
      <c r="G79">
        <v>232</v>
      </c>
      <c r="H79" t="s">
        <v>6155</v>
      </c>
      <c r="I79" t="s">
        <v>5358</v>
      </c>
      <c r="J79">
        <v>58</v>
      </c>
      <c r="K79">
        <v>356.7</v>
      </c>
      <c r="L79">
        <v>3110</v>
      </c>
      <c r="M79">
        <v>3119</v>
      </c>
      <c r="N79">
        <v>9</v>
      </c>
      <c r="O79">
        <v>6.4444444444444402</v>
      </c>
    </row>
    <row r="80" spans="1:15" x14ac:dyDescent="0.25">
      <c r="A80">
        <v>1</v>
      </c>
      <c r="B80">
        <v>1</v>
      </c>
      <c r="C80" t="s">
        <v>57</v>
      </c>
      <c r="D80" t="s">
        <v>658</v>
      </c>
      <c r="E80" t="s">
        <v>6158</v>
      </c>
      <c r="F80">
        <v>46214.392361111109</v>
      </c>
      <c r="G80">
        <v>232</v>
      </c>
      <c r="H80" t="s">
        <v>6155</v>
      </c>
      <c r="I80" t="s">
        <v>5358</v>
      </c>
      <c r="J80">
        <v>120</v>
      </c>
      <c r="K80">
        <v>738</v>
      </c>
      <c r="L80">
        <v>3119</v>
      </c>
      <c r="M80">
        <v>3131</v>
      </c>
      <c r="N80">
        <v>12</v>
      </c>
      <c r="O80">
        <v>10</v>
      </c>
    </row>
    <row r="81" spans="1:15" x14ac:dyDescent="0.25">
      <c r="A81">
        <v>1</v>
      </c>
      <c r="B81">
        <v>1</v>
      </c>
      <c r="C81" t="s">
        <v>57</v>
      </c>
      <c r="D81" t="s">
        <v>658</v>
      </c>
      <c r="E81" t="s">
        <v>6158</v>
      </c>
      <c r="F81">
        <v>46217.525694444441</v>
      </c>
      <c r="G81">
        <v>232</v>
      </c>
      <c r="H81" t="s">
        <v>6155</v>
      </c>
      <c r="I81" t="s">
        <v>5358</v>
      </c>
      <c r="J81">
        <v>35</v>
      </c>
      <c r="K81">
        <v>215.25</v>
      </c>
      <c r="L81">
        <v>3131</v>
      </c>
      <c r="M81">
        <v>3136</v>
      </c>
      <c r="N81">
        <v>5</v>
      </c>
      <c r="O81">
        <v>7</v>
      </c>
    </row>
    <row r="82" spans="1:15" x14ac:dyDescent="0.25">
      <c r="A82">
        <v>1</v>
      </c>
      <c r="B82">
        <v>1</v>
      </c>
      <c r="C82" t="s">
        <v>57</v>
      </c>
      <c r="D82" t="s">
        <v>658</v>
      </c>
      <c r="E82" t="s">
        <v>6158</v>
      </c>
      <c r="F82">
        <v>46218.116666666669</v>
      </c>
      <c r="G82">
        <v>232</v>
      </c>
      <c r="H82" t="s">
        <v>6155</v>
      </c>
      <c r="I82" t="s">
        <v>5358</v>
      </c>
      <c r="J82">
        <v>43</v>
      </c>
      <c r="K82">
        <v>264.45</v>
      </c>
      <c r="L82">
        <v>3136</v>
      </c>
      <c r="M82">
        <v>3143</v>
      </c>
      <c r="N82">
        <v>7</v>
      </c>
      <c r="O82">
        <v>6.1428571428571397</v>
      </c>
    </row>
    <row r="83" spans="1:15" x14ac:dyDescent="0.25">
      <c r="A83">
        <v>1</v>
      </c>
      <c r="B83">
        <v>1</v>
      </c>
      <c r="C83" t="s">
        <v>57</v>
      </c>
      <c r="D83" t="s">
        <v>658</v>
      </c>
      <c r="E83" t="s">
        <v>6158</v>
      </c>
      <c r="F83">
        <v>46219.039583333331</v>
      </c>
      <c r="G83">
        <v>232</v>
      </c>
      <c r="H83" t="s">
        <v>6155</v>
      </c>
      <c r="I83" t="s">
        <v>5358</v>
      </c>
      <c r="J83">
        <v>103</v>
      </c>
      <c r="K83">
        <v>633.45000000000005</v>
      </c>
      <c r="L83">
        <v>3143</v>
      </c>
      <c r="M83">
        <v>3153</v>
      </c>
      <c r="N83">
        <v>10</v>
      </c>
      <c r="O83">
        <v>10.3</v>
      </c>
    </row>
    <row r="84" spans="1:15" x14ac:dyDescent="0.25">
      <c r="A84">
        <v>1</v>
      </c>
      <c r="B84">
        <v>1</v>
      </c>
      <c r="C84" t="s">
        <v>57</v>
      </c>
      <c r="D84" t="s">
        <v>658</v>
      </c>
      <c r="E84" t="s">
        <v>6158</v>
      </c>
      <c r="F84">
        <v>46220.034722222219</v>
      </c>
      <c r="G84">
        <v>232</v>
      </c>
      <c r="H84" t="s">
        <v>6155</v>
      </c>
      <c r="I84" t="s">
        <v>5358</v>
      </c>
      <c r="J84">
        <v>121</v>
      </c>
      <c r="K84">
        <v>744.15</v>
      </c>
      <c r="L84">
        <v>3153</v>
      </c>
      <c r="M84">
        <v>3165</v>
      </c>
      <c r="N84">
        <v>12</v>
      </c>
      <c r="O84">
        <v>10.0833333333333</v>
      </c>
    </row>
    <row r="85" spans="1:15" x14ac:dyDescent="0.25">
      <c r="A85">
        <v>1</v>
      </c>
      <c r="B85">
        <v>1</v>
      </c>
      <c r="C85" t="s">
        <v>57</v>
      </c>
      <c r="D85" t="s">
        <v>658</v>
      </c>
      <c r="E85" t="s">
        <v>6158</v>
      </c>
      <c r="F85">
        <v>46221.933333333334</v>
      </c>
      <c r="G85">
        <v>232</v>
      </c>
      <c r="H85" t="s">
        <v>6155</v>
      </c>
      <c r="I85" t="s">
        <v>5358</v>
      </c>
      <c r="J85">
        <v>117</v>
      </c>
      <c r="K85">
        <v>719.55</v>
      </c>
      <c r="L85">
        <v>3165</v>
      </c>
      <c r="M85">
        <v>3176</v>
      </c>
      <c r="N85">
        <v>11</v>
      </c>
      <c r="O85">
        <v>10.636363636363599</v>
      </c>
    </row>
    <row r="86" spans="1:15" x14ac:dyDescent="0.25">
      <c r="A86">
        <v>1</v>
      </c>
      <c r="B86">
        <v>1</v>
      </c>
      <c r="C86" t="s">
        <v>57</v>
      </c>
      <c r="D86" t="s">
        <v>658</v>
      </c>
      <c r="E86" t="s">
        <v>6158</v>
      </c>
      <c r="F86">
        <v>46222.068749999999</v>
      </c>
      <c r="G86">
        <v>232</v>
      </c>
      <c r="H86" t="s">
        <v>6155</v>
      </c>
      <c r="I86" t="s">
        <v>5358</v>
      </c>
      <c r="J86">
        <v>87</v>
      </c>
      <c r="K86">
        <v>548.1</v>
      </c>
      <c r="L86">
        <v>3176</v>
      </c>
      <c r="M86">
        <v>3185</v>
      </c>
      <c r="N86">
        <v>9</v>
      </c>
      <c r="O86">
        <v>9.6666666666666696</v>
      </c>
    </row>
    <row r="87" spans="1:15" x14ac:dyDescent="0.25">
      <c r="A87">
        <v>1</v>
      </c>
      <c r="B87">
        <v>1</v>
      </c>
      <c r="C87" t="s">
        <v>57</v>
      </c>
      <c r="D87" t="s">
        <v>658</v>
      </c>
      <c r="E87" t="s">
        <v>6158</v>
      </c>
      <c r="F87">
        <v>46223.097222222219</v>
      </c>
      <c r="G87">
        <v>232</v>
      </c>
      <c r="H87" t="s">
        <v>6155</v>
      </c>
      <c r="I87" t="s">
        <v>5358</v>
      </c>
      <c r="J87">
        <v>67</v>
      </c>
      <c r="K87">
        <v>418.75</v>
      </c>
      <c r="L87">
        <v>3185</v>
      </c>
      <c r="M87">
        <v>3193</v>
      </c>
      <c r="N87">
        <v>8</v>
      </c>
      <c r="O87">
        <v>8.375</v>
      </c>
    </row>
    <row r="88" spans="1:15" x14ac:dyDescent="0.25">
      <c r="A88">
        <v>1</v>
      </c>
      <c r="B88">
        <v>1</v>
      </c>
      <c r="C88" t="s">
        <v>57</v>
      </c>
      <c r="D88" t="s">
        <v>658</v>
      </c>
      <c r="E88" t="s">
        <v>6158</v>
      </c>
      <c r="F88">
        <v>46224.910416666666</v>
      </c>
      <c r="G88">
        <v>232</v>
      </c>
      <c r="H88" t="s">
        <v>6155</v>
      </c>
      <c r="I88" t="s">
        <v>5358</v>
      </c>
      <c r="J88">
        <v>77</v>
      </c>
      <c r="K88">
        <v>481.25</v>
      </c>
      <c r="L88">
        <v>3193</v>
      </c>
      <c r="M88">
        <v>3202</v>
      </c>
      <c r="N88">
        <v>9</v>
      </c>
      <c r="O88">
        <v>8.5555555555555607</v>
      </c>
    </row>
    <row r="89" spans="1:15" x14ac:dyDescent="0.25">
      <c r="A89">
        <v>1</v>
      </c>
      <c r="B89">
        <v>1</v>
      </c>
      <c r="C89" t="s">
        <v>57</v>
      </c>
      <c r="D89" t="s">
        <v>658</v>
      </c>
      <c r="E89" t="s">
        <v>6158</v>
      </c>
      <c r="F89">
        <v>46225.027083333334</v>
      </c>
      <c r="G89">
        <v>232</v>
      </c>
      <c r="H89" t="s">
        <v>6155</v>
      </c>
      <c r="I89" t="s">
        <v>5358</v>
      </c>
      <c r="J89">
        <v>58</v>
      </c>
      <c r="K89">
        <v>362.5</v>
      </c>
      <c r="L89">
        <v>3202</v>
      </c>
      <c r="M89">
        <v>3209</v>
      </c>
      <c r="N89">
        <v>7</v>
      </c>
      <c r="O89">
        <v>8.28571428571429</v>
      </c>
    </row>
    <row r="90" spans="1:15" x14ac:dyDescent="0.25">
      <c r="A90">
        <v>1</v>
      </c>
      <c r="B90">
        <v>1</v>
      </c>
      <c r="C90" t="s">
        <v>57</v>
      </c>
      <c r="D90" t="s">
        <v>658</v>
      </c>
      <c r="E90" t="s">
        <v>6158</v>
      </c>
      <c r="F90">
        <v>46226.84097222222</v>
      </c>
      <c r="G90">
        <v>232</v>
      </c>
      <c r="H90" t="s">
        <v>6155</v>
      </c>
      <c r="I90" t="s">
        <v>5358</v>
      </c>
      <c r="J90">
        <v>31</v>
      </c>
      <c r="K90">
        <v>193.75</v>
      </c>
      <c r="L90">
        <v>3209</v>
      </c>
      <c r="M90">
        <v>3211</v>
      </c>
      <c r="N90">
        <v>2</v>
      </c>
      <c r="O90">
        <v>15.5</v>
      </c>
    </row>
    <row r="91" spans="1:15" x14ac:dyDescent="0.25">
      <c r="A91">
        <v>1</v>
      </c>
      <c r="B91">
        <v>1</v>
      </c>
      <c r="C91" t="s">
        <v>57</v>
      </c>
      <c r="D91" t="s">
        <v>658</v>
      </c>
      <c r="E91" t="s">
        <v>6158</v>
      </c>
      <c r="F91">
        <v>46227.086111111108</v>
      </c>
      <c r="G91">
        <v>232</v>
      </c>
      <c r="H91" t="s">
        <v>6155</v>
      </c>
      <c r="I91" t="s">
        <v>5358</v>
      </c>
      <c r="J91">
        <v>104</v>
      </c>
      <c r="K91">
        <v>650</v>
      </c>
      <c r="L91">
        <v>3211</v>
      </c>
      <c r="M91">
        <v>3221</v>
      </c>
      <c r="N91">
        <v>10</v>
      </c>
      <c r="O91">
        <v>10.4</v>
      </c>
    </row>
    <row r="92" spans="1:15" x14ac:dyDescent="0.25">
      <c r="A92">
        <v>1</v>
      </c>
      <c r="B92">
        <v>1</v>
      </c>
      <c r="C92" t="s">
        <v>57</v>
      </c>
      <c r="D92" t="s">
        <v>658</v>
      </c>
      <c r="E92" t="s">
        <v>6158</v>
      </c>
      <c r="F92">
        <v>46228.979166666664</v>
      </c>
      <c r="G92">
        <v>232</v>
      </c>
      <c r="H92" t="s">
        <v>6155</v>
      </c>
      <c r="I92" t="s">
        <v>5358</v>
      </c>
      <c r="J92">
        <v>81</v>
      </c>
      <c r="K92">
        <v>506.25</v>
      </c>
      <c r="L92">
        <v>3221</v>
      </c>
      <c r="M92">
        <v>3229</v>
      </c>
      <c r="N92">
        <v>8</v>
      </c>
      <c r="O92">
        <v>10.125</v>
      </c>
    </row>
    <row r="93" spans="1:15" x14ac:dyDescent="0.25">
      <c r="A93">
        <v>1</v>
      </c>
      <c r="B93">
        <v>1</v>
      </c>
      <c r="C93" t="s">
        <v>57</v>
      </c>
      <c r="D93" t="s">
        <v>658</v>
      </c>
      <c r="E93" t="s">
        <v>6158</v>
      </c>
      <c r="F93">
        <v>46229.020833333336</v>
      </c>
      <c r="G93">
        <v>232</v>
      </c>
      <c r="H93" t="s">
        <v>6155</v>
      </c>
      <c r="I93" t="s">
        <v>5358</v>
      </c>
      <c r="J93">
        <v>93</v>
      </c>
      <c r="K93">
        <v>585.9</v>
      </c>
      <c r="L93">
        <v>3229</v>
      </c>
      <c r="M93">
        <v>3239</v>
      </c>
      <c r="N93">
        <v>10</v>
      </c>
      <c r="O93">
        <v>9.3000000000000007</v>
      </c>
    </row>
    <row r="94" spans="1:15" x14ac:dyDescent="0.25">
      <c r="A94">
        <v>1</v>
      </c>
      <c r="B94">
        <v>1</v>
      </c>
      <c r="C94" t="s">
        <v>57</v>
      </c>
      <c r="D94" t="s">
        <v>658</v>
      </c>
      <c r="E94" t="s">
        <v>6158</v>
      </c>
      <c r="F94">
        <v>46230.99722222222</v>
      </c>
      <c r="G94">
        <v>232</v>
      </c>
      <c r="H94" t="s">
        <v>6155</v>
      </c>
      <c r="I94" t="s">
        <v>5358</v>
      </c>
      <c r="J94">
        <v>71</v>
      </c>
      <c r="K94">
        <v>443.75</v>
      </c>
      <c r="L94">
        <v>3239</v>
      </c>
      <c r="M94">
        <v>3246</v>
      </c>
      <c r="N94">
        <v>7</v>
      </c>
      <c r="O94">
        <v>10.1428571428571</v>
      </c>
    </row>
    <row r="95" spans="1:15" x14ac:dyDescent="0.25">
      <c r="A95">
        <v>1</v>
      </c>
      <c r="B95">
        <v>1</v>
      </c>
      <c r="C95" t="s">
        <v>57</v>
      </c>
      <c r="D95" t="s">
        <v>658</v>
      </c>
      <c r="E95" t="s">
        <v>6158</v>
      </c>
      <c r="F95">
        <v>46231.03125</v>
      </c>
      <c r="G95">
        <v>232</v>
      </c>
      <c r="H95" t="s">
        <v>6155</v>
      </c>
      <c r="I95" t="s">
        <v>5358</v>
      </c>
      <c r="J95">
        <v>143</v>
      </c>
      <c r="K95">
        <v>893.75</v>
      </c>
      <c r="L95">
        <v>3246</v>
      </c>
      <c r="M95">
        <v>3259</v>
      </c>
      <c r="N95">
        <v>13</v>
      </c>
      <c r="O95">
        <v>11</v>
      </c>
    </row>
    <row r="96" spans="1:15" x14ac:dyDescent="0.25">
      <c r="A96">
        <v>1</v>
      </c>
      <c r="B96">
        <v>1</v>
      </c>
      <c r="C96" t="s">
        <v>57</v>
      </c>
      <c r="D96" t="s">
        <v>658</v>
      </c>
      <c r="E96" t="s">
        <v>6158</v>
      </c>
      <c r="F96">
        <v>46232.979861111111</v>
      </c>
      <c r="G96">
        <v>232</v>
      </c>
      <c r="H96" t="s">
        <v>6155</v>
      </c>
      <c r="I96" t="s">
        <v>5358</v>
      </c>
      <c r="J96">
        <v>131</v>
      </c>
      <c r="K96">
        <v>818.75</v>
      </c>
      <c r="L96">
        <v>3259</v>
      </c>
      <c r="M96">
        <v>3271</v>
      </c>
      <c r="N96">
        <v>12</v>
      </c>
      <c r="O96">
        <v>10.9166666666667</v>
      </c>
    </row>
    <row r="97" spans="1:15" x14ac:dyDescent="0.25">
      <c r="A97">
        <v>1</v>
      </c>
      <c r="B97">
        <v>1</v>
      </c>
      <c r="C97" t="s">
        <v>57</v>
      </c>
      <c r="D97" t="s">
        <v>658</v>
      </c>
      <c r="E97" t="s">
        <v>6158</v>
      </c>
      <c r="F97">
        <v>46233.017361111109</v>
      </c>
      <c r="G97">
        <v>232</v>
      </c>
      <c r="H97" t="s">
        <v>6155</v>
      </c>
      <c r="I97" t="s">
        <v>5358</v>
      </c>
      <c r="J97">
        <v>136</v>
      </c>
      <c r="K97">
        <v>850</v>
      </c>
      <c r="L97">
        <v>3271</v>
      </c>
      <c r="M97">
        <v>3284</v>
      </c>
      <c r="N97">
        <v>13</v>
      </c>
      <c r="O97">
        <v>10.461538461538501</v>
      </c>
    </row>
    <row r="98" spans="1:15" x14ac:dyDescent="0.25">
      <c r="A98">
        <v>1</v>
      </c>
      <c r="B98">
        <v>1</v>
      </c>
      <c r="C98" t="s">
        <v>57</v>
      </c>
      <c r="D98" t="s">
        <v>658</v>
      </c>
      <c r="E98" t="s">
        <v>6158</v>
      </c>
      <c r="F98">
        <v>46234.073611111111</v>
      </c>
      <c r="G98">
        <v>232</v>
      </c>
      <c r="H98" t="s">
        <v>6155</v>
      </c>
      <c r="I98" t="s">
        <v>5358</v>
      </c>
      <c r="J98">
        <v>154</v>
      </c>
      <c r="K98">
        <v>962.5</v>
      </c>
      <c r="L98">
        <v>3284</v>
      </c>
      <c r="M98">
        <v>3298</v>
      </c>
      <c r="N98">
        <v>14</v>
      </c>
      <c r="O98">
        <v>11</v>
      </c>
    </row>
    <row r="99" spans="1:15" x14ac:dyDescent="0.25">
      <c r="A99">
        <v>1</v>
      </c>
      <c r="B99">
        <v>1</v>
      </c>
      <c r="C99" t="s">
        <v>57</v>
      </c>
      <c r="D99" t="s">
        <v>307</v>
      </c>
      <c r="E99" t="s">
        <v>6154</v>
      </c>
      <c r="F99">
        <v>46205.431250000001</v>
      </c>
      <c r="G99">
        <v>232</v>
      </c>
      <c r="H99" t="s">
        <v>6155</v>
      </c>
      <c r="I99" t="s">
        <v>5358</v>
      </c>
      <c r="J99">
        <v>45</v>
      </c>
      <c r="K99">
        <v>276.75</v>
      </c>
      <c r="L99">
        <v>5369</v>
      </c>
      <c r="M99">
        <v>5375</v>
      </c>
      <c r="N99">
        <v>6</v>
      </c>
      <c r="O99">
        <v>7.5</v>
      </c>
    </row>
    <row r="100" spans="1:15" x14ac:dyDescent="0.25">
      <c r="A100">
        <v>1</v>
      </c>
      <c r="B100">
        <v>1</v>
      </c>
      <c r="C100" t="s">
        <v>57</v>
      </c>
      <c r="D100" t="s">
        <v>307</v>
      </c>
      <c r="E100" t="s">
        <v>6154</v>
      </c>
      <c r="F100">
        <v>46208.517361111109</v>
      </c>
      <c r="G100">
        <v>232</v>
      </c>
      <c r="H100" t="s">
        <v>6155</v>
      </c>
      <c r="I100" t="s">
        <v>5358</v>
      </c>
      <c r="J100">
        <v>49</v>
      </c>
      <c r="K100">
        <v>314.58</v>
      </c>
      <c r="L100">
        <v>5375</v>
      </c>
      <c r="M100">
        <v>5379</v>
      </c>
      <c r="N100">
        <v>4</v>
      </c>
      <c r="O100">
        <v>12.25</v>
      </c>
    </row>
    <row r="101" spans="1:15" x14ac:dyDescent="0.25">
      <c r="A101">
        <v>1</v>
      </c>
      <c r="B101">
        <v>1</v>
      </c>
      <c r="C101" t="s">
        <v>57</v>
      </c>
      <c r="D101" t="s">
        <v>307</v>
      </c>
      <c r="E101" t="s">
        <v>6154</v>
      </c>
      <c r="F101">
        <v>46215.947222222225</v>
      </c>
      <c r="G101">
        <v>232</v>
      </c>
      <c r="H101" t="s">
        <v>6155</v>
      </c>
      <c r="I101" t="s">
        <v>5358</v>
      </c>
      <c r="J101">
        <v>65</v>
      </c>
      <c r="K101">
        <v>399.75</v>
      </c>
      <c r="L101">
        <v>5379</v>
      </c>
      <c r="M101">
        <v>5393</v>
      </c>
      <c r="N101">
        <v>14</v>
      </c>
      <c r="O101">
        <v>4.6428571428571397</v>
      </c>
    </row>
    <row r="102" spans="1:15" x14ac:dyDescent="0.25">
      <c r="A102">
        <v>1</v>
      </c>
      <c r="B102">
        <v>1</v>
      </c>
      <c r="C102" t="s">
        <v>57</v>
      </c>
      <c r="D102" t="s">
        <v>307</v>
      </c>
      <c r="E102" t="s">
        <v>6154</v>
      </c>
      <c r="F102">
        <v>46221.429166666669</v>
      </c>
      <c r="G102">
        <v>232</v>
      </c>
      <c r="H102" t="s">
        <v>6155</v>
      </c>
      <c r="I102" t="s">
        <v>5358</v>
      </c>
      <c r="J102">
        <v>105</v>
      </c>
      <c r="K102">
        <v>645.75</v>
      </c>
      <c r="L102">
        <v>5393</v>
      </c>
      <c r="M102">
        <v>5435</v>
      </c>
      <c r="N102">
        <v>42</v>
      </c>
      <c r="O102">
        <v>2.5</v>
      </c>
    </row>
    <row r="103" spans="1:15" x14ac:dyDescent="0.25">
      <c r="A103">
        <v>1</v>
      </c>
      <c r="B103">
        <v>1</v>
      </c>
      <c r="C103" t="s">
        <v>57</v>
      </c>
      <c r="D103" t="s">
        <v>307</v>
      </c>
      <c r="E103" t="s">
        <v>6154</v>
      </c>
      <c r="F103">
        <v>46225.018750000003</v>
      </c>
      <c r="G103">
        <v>232</v>
      </c>
      <c r="H103" t="s">
        <v>6155</v>
      </c>
      <c r="I103" t="s">
        <v>5358</v>
      </c>
      <c r="J103">
        <v>75</v>
      </c>
      <c r="K103">
        <v>468.75</v>
      </c>
      <c r="L103">
        <v>5435</v>
      </c>
      <c r="M103">
        <v>5442</v>
      </c>
      <c r="N103">
        <v>7</v>
      </c>
      <c r="O103">
        <v>10.714285714285699</v>
      </c>
    </row>
    <row r="104" spans="1:15" x14ac:dyDescent="0.25">
      <c r="A104">
        <v>1</v>
      </c>
      <c r="B104">
        <v>1</v>
      </c>
      <c r="C104" t="s">
        <v>57</v>
      </c>
      <c r="D104" t="s">
        <v>307</v>
      </c>
      <c r="E104" t="s">
        <v>6154</v>
      </c>
      <c r="F104">
        <v>46229.017361111109</v>
      </c>
      <c r="G104">
        <v>232</v>
      </c>
      <c r="H104" t="s">
        <v>6155</v>
      </c>
      <c r="I104" t="s">
        <v>5358</v>
      </c>
      <c r="J104">
        <v>66</v>
      </c>
      <c r="K104">
        <v>415.8</v>
      </c>
      <c r="L104">
        <v>5442</v>
      </c>
      <c r="M104">
        <v>5459</v>
      </c>
      <c r="N104">
        <v>17</v>
      </c>
      <c r="O104">
        <v>3.8823529411764701</v>
      </c>
    </row>
    <row r="105" spans="1:15" x14ac:dyDescent="0.25">
      <c r="A105">
        <v>1</v>
      </c>
      <c r="B105">
        <v>1</v>
      </c>
      <c r="C105" t="s">
        <v>57</v>
      </c>
      <c r="D105" t="s">
        <v>307</v>
      </c>
      <c r="E105" t="s">
        <v>6154</v>
      </c>
      <c r="F105">
        <v>46232.972916666666</v>
      </c>
      <c r="G105">
        <v>232</v>
      </c>
      <c r="H105" t="s">
        <v>6155</v>
      </c>
      <c r="I105" t="s">
        <v>5358</v>
      </c>
      <c r="J105">
        <v>68</v>
      </c>
      <c r="K105">
        <v>425</v>
      </c>
      <c r="L105">
        <v>5459</v>
      </c>
      <c r="M105">
        <v>5474</v>
      </c>
      <c r="N105">
        <v>15</v>
      </c>
      <c r="O105">
        <v>4.5333333333333297</v>
      </c>
    </row>
    <row r="106" spans="1:15" x14ac:dyDescent="0.25">
      <c r="A106">
        <v>1</v>
      </c>
      <c r="B106">
        <v>1</v>
      </c>
      <c r="C106" t="s">
        <v>57</v>
      </c>
      <c r="D106" t="s">
        <v>400</v>
      </c>
      <c r="E106" t="s">
        <v>6159</v>
      </c>
      <c r="F106">
        <v>46204.768055555556</v>
      </c>
      <c r="G106">
        <v>264</v>
      </c>
      <c r="H106" t="s">
        <v>6152</v>
      </c>
      <c r="I106" t="s">
        <v>5358</v>
      </c>
      <c r="J106">
        <v>44</v>
      </c>
      <c r="K106">
        <v>270.60000000000002</v>
      </c>
      <c r="L106">
        <v>1495</v>
      </c>
      <c r="M106">
        <v>1502</v>
      </c>
      <c r="N106">
        <v>7</v>
      </c>
      <c r="O106">
        <v>6.28571428571429</v>
      </c>
    </row>
    <row r="107" spans="1:15" x14ac:dyDescent="0.25">
      <c r="A107">
        <v>1</v>
      </c>
      <c r="B107">
        <v>1</v>
      </c>
      <c r="C107" t="s">
        <v>57</v>
      </c>
      <c r="D107" t="s">
        <v>400</v>
      </c>
      <c r="E107" t="s">
        <v>6159</v>
      </c>
      <c r="F107">
        <v>46207.885416666664</v>
      </c>
      <c r="G107">
        <v>264</v>
      </c>
      <c r="H107" t="s">
        <v>6152</v>
      </c>
      <c r="I107" t="s">
        <v>5358</v>
      </c>
      <c r="J107">
        <v>52</v>
      </c>
      <c r="K107">
        <v>319.8</v>
      </c>
      <c r="L107">
        <v>1502</v>
      </c>
      <c r="M107">
        <v>1508</v>
      </c>
      <c r="N107">
        <v>6</v>
      </c>
      <c r="O107">
        <v>8.6666666666666696</v>
      </c>
    </row>
    <row r="108" spans="1:15" x14ac:dyDescent="0.25">
      <c r="A108">
        <v>1</v>
      </c>
      <c r="B108">
        <v>1</v>
      </c>
      <c r="C108" t="s">
        <v>57</v>
      </c>
      <c r="D108" t="s">
        <v>400</v>
      </c>
      <c r="E108" t="s">
        <v>6159</v>
      </c>
      <c r="F108">
        <v>46209.836111111108</v>
      </c>
      <c r="G108">
        <v>264</v>
      </c>
      <c r="H108" t="s">
        <v>6152</v>
      </c>
      <c r="I108" t="s">
        <v>5358</v>
      </c>
      <c r="J108">
        <v>155</v>
      </c>
      <c r="K108">
        <v>953.25</v>
      </c>
      <c r="L108">
        <v>1508</v>
      </c>
      <c r="M108">
        <v>1519</v>
      </c>
      <c r="N108">
        <v>11</v>
      </c>
      <c r="O108">
        <v>14.090909090909101</v>
      </c>
    </row>
    <row r="109" spans="1:15" x14ac:dyDescent="0.25">
      <c r="A109">
        <v>1</v>
      </c>
      <c r="B109">
        <v>1</v>
      </c>
      <c r="C109" t="s">
        <v>57</v>
      </c>
      <c r="D109" t="s">
        <v>400</v>
      </c>
      <c r="E109" t="s">
        <v>6159</v>
      </c>
      <c r="F109">
        <v>46210.784722222219</v>
      </c>
      <c r="G109">
        <v>264</v>
      </c>
      <c r="H109" t="s">
        <v>6152</v>
      </c>
      <c r="I109" t="s">
        <v>5358</v>
      </c>
      <c r="J109">
        <v>43</v>
      </c>
      <c r="K109">
        <v>264.45</v>
      </c>
      <c r="L109">
        <v>1519</v>
      </c>
      <c r="M109">
        <v>1524</v>
      </c>
      <c r="N109">
        <v>5</v>
      </c>
      <c r="O109">
        <v>8.6</v>
      </c>
    </row>
    <row r="110" spans="1:15" x14ac:dyDescent="0.25">
      <c r="A110">
        <v>1</v>
      </c>
      <c r="B110">
        <v>1</v>
      </c>
      <c r="C110" t="s">
        <v>57</v>
      </c>
      <c r="D110" t="s">
        <v>400</v>
      </c>
      <c r="E110" t="s">
        <v>6159</v>
      </c>
      <c r="F110">
        <v>46211.825694444444</v>
      </c>
      <c r="G110">
        <v>264</v>
      </c>
      <c r="H110" t="s">
        <v>6152</v>
      </c>
      <c r="I110" t="s">
        <v>5358</v>
      </c>
      <c r="J110">
        <v>36</v>
      </c>
      <c r="K110">
        <v>221.4</v>
      </c>
      <c r="L110">
        <v>1524</v>
      </c>
      <c r="M110">
        <v>1528</v>
      </c>
      <c r="N110">
        <v>4</v>
      </c>
      <c r="O110">
        <v>9</v>
      </c>
    </row>
    <row r="111" spans="1:15" x14ac:dyDescent="0.25">
      <c r="A111">
        <v>1</v>
      </c>
      <c r="B111">
        <v>1</v>
      </c>
      <c r="C111" t="s">
        <v>57</v>
      </c>
      <c r="D111" t="s">
        <v>400</v>
      </c>
      <c r="E111" t="s">
        <v>6159</v>
      </c>
      <c r="F111">
        <v>46212.781944444447</v>
      </c>
      <c r="G111">
        <v>264</v>
      </c>
      <c r="H111" t="s">
        <v>6152</v>
      </c>
      <c r="I111" t="s">
        <v>5358</v>
      </c>
      <c r="J111">
        <v>149</v>
      </c>
      <c r="K111">
        <v>916.35</v>
      </c>
      <c r="L111">
        <v>1528</v>
      </c>
      <c r="M111">
        <v>1536</v>
      </c>
      <c r="N111">
        <v>8</v>
      </c>
      <c r="O111">
        <v>18.625</v>
      </c>
    </row>
    <row r="112" spans="1:15" x14ac:dyDescent="0.25">
      <c r="A112">
        <v>1</v>
      </c>
      <c r="B112">
        <v>1</v>
      </c>
      <c r="C112" t="s">
        <v>57</v>
      </c>
      <c r="D112" t="s">
        <v>400</v>
      </c>
      <c r="E112" t="s">
        <v>6159</v>
      </c>
      <c r="F112">
        <v>46216.864583333336</v>
      </c>
      <c r="G112">
        <v>264</v>
      </c>
      <c r="H112" t="s">
        <v>6152</v>
      </c>
      <c r="I112" t="s">
        <v>5358</v>
      </c>
      <c r="J112">
        <v>136</v>
      </c>
      <c r="K112">
        <v>836.4</v>
      </c>
      <c r="L112">
        <v>1536</v>
      </c>
      <c r="M112">
        <v>1554</v>
      </c>
      <c r="N112">
        <v>18</v>
      </c>
      <c r="O112">
        <v>7.5555555555555598</v>
      </c>
    </row>
    <row r="113" spans="1:15" x14ac:dyDescent="0.25">
      <c r="A113">
        <v>1</v>
      </c>
      <c r="B113">
        <v>1</v>
      </c>
      <c r="C113" t="s">
        <v>57</v>
      </c>
      <c r="D113" t="s">
        <v>400</v>
      </c>
      <c r="E113" t="s">
        <v>6159</v>
      </c>
      <c r="F113">
        <v>46218.859027777777</v>
      </c>
      <c r="G113">
        <v>264</v>
      </c>
      <c r="H113" t="s">
        <v>6152</v>
      </c>
      <c r="I113" t="s">
        <v>5358</v>
      </c>
      <c r="J113">
        <v>117</v>
      </c>
      <c r="K113">
        <v>719.55</v>
      </c>
      <c r="L113">
        <v>1554</v>
      </c>
      <c r="M113">
        <v>1566</v>
      </c>
      <c r="N113">
        <v>12</v>
      </c>
      <c r="O113">
        <v>9.75</v>
      </c>
    </row>
    <row r="114" spans="1:15" x14ac:dyDescent="0.25">
      <c r="A114">
        <v>1</v>
      </c>
      <c r="B114">
        <v>1</v>
      </c>
      <c r="C114" t="s">
        <v>57</v>
      </c>
      <c r="D114" t="s">
        <v>400</v>
      </c>
      <c r="E114" t="s">
        <v>6159</v>
      </c>
      <c r="F114">
        <v>46219.868750000001</v>
      </c>
      <c r="G114">
        <v>264</v>
      </c>
      <c r="H114" t="s">
        <v>6152</v>
      </c>
      <c r="I114" t="s">
        <v>5358</v>
      </c>
      <c r="J114">
        <v>95</v>
      </c>
      <c r="K114">
        <v>584.25</v>
      </c>
      <c r="L114">
        <v>1566</v>
      </c>
      <c r="M114">
        <v>1573</v>
      </c>
      <c r="N114">
        <v>7</v>
      </c>
      <c r="O114">
        <v>13.5714285714286</v>
      </c>
    </row>
    <row r="115" spans="1:15" x14ac:dyDescent="0.25">
      <c r="A115">
        <v>1</v>
      </c>
      <c r="B115">
        <v>1</v>
      </c>
      <c r="C115" t="s">
        <v>57</v>
      </c>
      <c r="D115" t="s">
        <v>400</v>
      </c>
      <c r="E115" t="s">
        <v>6159</v>
      </c>
      <c r="F115">
        <v>46224.824305555558</v>
      </c>
      <c r="G115">
        <v>264</v>
      </c>
      <c r="H115" t="s">
        <v>6152</v>
      </c>
      <c r="I115" t="s">
        <v>5358</v>
      </c>
      <c r="J115">
        <v>154</v>
      </c>
      <c r="K115">
        <v>971.74</v>
      </c>
      <c r="L115">
        <v>1573</v>
      </c>
      <c r="M115">
        <v>1590</v>
      </c>
      <c r="N115">
        <v>17</v>
      </c>
      <c r="O115">
        <v>9.0588235294117592</v>
      </c>
    </row>
    <row r="116" spans="1:15" x14ac:dyDescent="0.25">
      <c r="A116">
        <v>1</v>
      </c>
      <c r="B116">
        <v>1</v>
      </c>
      <c r="C116" t="s">
        <v>57</v>
      </c>
      <c r="D116" t="s">
        <v>400</v>
      </c>
      <c r="E116" t="s">
        <v>6159</v>
      </c>
      <c r="F116">
        <v>46230.893750000003</v>
      </c>
      <c r="G116">
        <v>264</v>
      </c>
      <c r="H116" t="s">
        <v>6152</v>
      </c>
      <c r="I116" t="s">
        <v>5358</v>
      </c>
      <c r="J116">
        <v>49</v>
      </c>
      <c r="K116">
        <v>307.72000000000003</v>
      </c>
      <c r="L116">
        <v>1590</v>
      </c>
      <c r="M116">
        <v>1596</v>
      </c>
      <c r="N116">
        <v>6</v>
      </c>
      <c r="O116">
        <v>8.1666666666666696</v>
      </c>
    </row>
    <row r="117" spans="1:15" x14ac:dyDescent="0.25">
      <c r="A117">
        <v>1</v>
      </c>
      <c r="B117">
        <v>1</v>
      </c>
      <c r="C117" t="s">
        <v>57</v>
      </c>
      <c r="D117" t="s">
        <v>400</v>
      </c>
      <c r="E117" t="s">
        <v>6159</v>
      </c>
      <c r="F117">
        <v>46232.887499999997</v>
      </c>
      <c r="G117">
        <v>264</v>
      </c>
      <c r="H117" t="s">
        <v>6152</v>
      </c>
      <c r="I117" t="s">
        <v>5358</v>
      </c>
      <c r="J117">
        <v>41</v>
      </c>
      <c r="K117">
        <v>257.48</v>
      </c>
      <c r="L117">
        <v>1596</v>
      </c>
      <c r="M117">
        <v>1604</v>
      </c>
      <c r="N117">
        <v>8</v>
      </c>
      <c r="O117">
        <v>5.125</v>
      </c>
    </row>
    <row r="118" spans="1:15" x14ac:dyDescent="0.25">
      <c r="A118">
        <v>1</v>
      </c>
      <c r="B118">
        <v>1</v>
      </c>
      <c r="C118" t="s">
        <v>57</v>
      </c>
      <c r="D118" t="s">
        <v>400</v>
      </c>
      <c r="E118" t="s">
        <v>6159</v>
      </c>
      <c r="F118">
        <v>46234.897916666669</v>
      </c>
      <c r="G118">
        <v>264</v>
      </c>
      <c r="H118" t="s">
        <v>6152</v>
      </c>
      <c r="I118" t="s">
        <v>5358</v>
      </c>
      <c r="J118">
        <v>61</v>
      </c>
      <c r="K118">
        <v>383.08</v>
      </c>
      <c r="L118">
        <v>1604</v>
      </c>
      <c r="M118">
        <v>1612</v>
      </c>
      <c r="N118">
        <v>8</v>
      </c>
      <c r="O118">
        <v>7.625</v>
      </c>
    </row>
    <row r="119" spans="1:15" x14ac:dyDescent="0.25">
      <c r="A119">
        <v>1</v>
      </c>
      <c r="B119">
        <v>1</v>
      </c>
      <c r="C119" t="s">
        <v>57</v>
      </c>
      <c r="D119" t="s">
        <v>547</v>
      </c>
      <c r="E119" t="s">
        <v>6160</v>
      </c>
      <c r="F119">
        <v>46204.770833333336</v>
      </c>
      <c r="G119">
        <v>264</v>
      </c>
      <c r="H119" t="s">
        <v>6152</v>
      </c>
      <c r="I119" t="s">
        <v>5358</v>
      </c>
      <c r="J119">
        <v>160</v>
      </c>
      <c r="K119">
        <v>984</v>
      </c>
      <c r="L119">
        <v>9970</v>
      </c>
      <c r="M119">
        <v>9977</v>
      </c>
      <c r="N119">
        <v>7</v>
      </c>
      <c r="O119">
        <v>22.8571428571429</v>
      </c>
    </row>
    <row r="120" spans="1:15" x14ac:dyDescent="0.25">
      <c r="A120">
        <v>1</v>
      </c>
      <c r="B120">
        <v>1</v>
      </c>
      <c r="C120" t="s">
        <v>57</v>
      </c>
      <c r="D120" t="s">
        <v>547</v>
      </c>
      <c r="E120" t="s">
        <v>6160</v>
      </c>
      <c r="F120">
        <v>46205.833333333336</v>
      </c>
      <c r="G120">
        <v>264</v>
      </c>
      <c r="H120" t="s">
        <v>6152</v>
      </c>
      <c r="I120" t="s">
        <v>5358</v>
      </c>
      <c r="J120">
        <v>256</v>
      </c>
      <c r="K120">
        <v>1574.4</v>
      </c>
      <c r="L120">
        <v>9977</v>
      </c>
      <c r="M120">
        <v>9988</v>
      </c>
      <c r="N120">
        <v>11</v>
      </c>
      <c r="O120">
        <v>23.272727272727298</v>
      </c>
    </row>
    <row r="121" spans="1:15" x14ac:dyDescent="0.25">
      <c r="A121">
        <v>1</v>
      </c>
      <c r="B121">
        <v>1</v>
      </c>
      <c r="C121" t="s">
        <v>57</v>
      </c>
      <c r="D121" t="s">
        <v>547</v>
      </c>
      <c r="E121" t="s">
        <v>6160</v>
      </c>
      <c r="F121">
        <v>46207.897916666669</v>
      </c>
      <c r="G121">
        <v>264</v>
      </c>
      <c r="H121" t="s">
        <v>6152</v>
      </c>
      <c r="I121" t="s">
        <v>5358</v>
      </c>
      <c r="J121">
        <v>164</v>
      </c>
      <c r="K121">
        <v>1008.6</v>
      </c>
      <c r="L121">
        <v>9988</v>
      </c>
      <c r="M121">
        <v>9996</v>
      </c>
      <c r="N121">
        <v>8</v>
      </c>
      <c r="O121">
        <v>20.5</v>
      </c>
    </row>
    <row r="122" spans="1:15" x14ac:dyDescent="0.25">
      <c r="A122">
        <v>1</v>
      </c>
      <c r="B122">
        <v>1</v>
      </c>
      <c r="C122" t="s">
        <v>57</v>
      </c>
      <c r="D122" t="s">
        <v>547</v>
      </c>
      <c r="E122" t="s">
        <v>6160</v>
      </c>
      <c r="F122">
        <v>46208.651388888888</v>
      </c>
      <c r="G122">
        <v>264</v>
      </c>
      <c r="H122" t="s">
        <v>6152</v>
      </c>
      <c r="I122" t="s">
        <v>5358</v>
      </c>
      <c r="J122">
        <v>123</v>
      </c>
      <c r="K122">
        <v>756.45</v>
      </c>
      <c r="L122">
        <v>9996</v>
      </c>
      <c r="M122">
        <v>10003</v>
      </c>
      <c r="N122">
        <v>7</v>
      </c>
      <c r="O122">
        <v>17.571428571428601</v>
      </c>
    </row>
    <row r="123" spans="1:15" x14ac:dyDescent="0.25">
      <c r="A123">
        <v>1</v>
      </c>
      <c r="B123">
        <v>1</v>
      </c>
      <c r="C123" t="s">
        <v>57</v>
      </c>
      <c r="D123" t="s">
        <v>547</v>
      </c>
      <c r="E123" t="s">
        <v>6160</v>
      </c>
      <c r="F123">
        <v>46209.698611111111</v>
      </c>
      <c r="G123">
        <v>264</v>
      </c>
      <c r="H123" t="s">
        <v>6152</v>
      </c>
      <c r="I123" t="s">
        <v>5358</v>
      </c>
      <c r="J123">
        <v>144</v>
      </c>
      <c r="K123">
        <v>885.6</v>
      </c>
      <c r="L123">
        <v>10003</v>
      </c>
      <c r="M123">
        <v>10008</v>
      </c>
      <c r="N123">
        <v>5</v>
      </c>
      <c r="O123">
        <v>28.8</v>
      </c>
    </row>
    <row r="124" spans="1:15" x14ac:dyDescent="0.25">
      <c r="A124">
        <v>1</v>
      </c>
      <c r="B124">
        <v>1</v>
      </c>
      <c r="C124" t="s">
        <v>57</v>
      </c>
      <c r="D124" t="s">
        <v>547</v>
      </c>
      <c r="E124" t="s">
        <v>6160</v>
      </c>
      <c r="F124">
        <v>46211.828472222223</v>
      </c>
      <c r="G124">
        <v>264</v>
      </c>
      <c r="H124" t="s">
        <v>6152</v>
      </c>
      <c r="I124" t="s">
        <v>5358</v>
      </c>
      <c r="J124">
        <v>102</v>
      </c>
      <c r="K124">
        <v>627.29999999999995</v>
      </c>
      <c r="L124">
        <v>10008</v>
      </c>
      <c r="M124">
        <v>10013</v>
      </c>
      <c r="N124">
        <v>5</v>
      </c>
      <c r="O124">
        <v>20.399999999999999</v>
      </c>
    </row>
    <row r="125" spans="1:15" x14ac:dyDescent="0.25">
      <c r="A125">
        <v>1</v>
      </c>
      <c r="B125">
        <v>1</v>
      </c>
      <c r="C125" t="s">
        <v>57</v>
      </c>
      <c r="D125" t="s">
        <v>547</v>
      </c>
      <c r="E125" t="s">
        <v>6160</v>
      </c>
      <c r="F125">
        <v>46216.856944444444</v>
      </c>
      <c r="G125">
        <v>264</v>
      </c>
      <c r="H125" t="s">
        <v>6152</v>
      </c>
      <c r="I125" t="s">
        <v>5358</v>
      </c>
      <c r="J125">
        <v>55</v>
      </c>
      <c r="K125">
        <v>338.25</v>
      </c>
      <c r="L125">
        <v>10013</v>
      </c>
      <c r="M125">
        <v>10015</v>
      </c>
      <c r="N125">
        <v>2</v>
      </c>
      <c r="O125">
        <v>27.5</v>
      </c>
    </row>
    <row r="126" spans="1:15" x14ac:dyDescent="0.25">
      <c r="A126">
        <v>1</v>
      </c>
      <c r="B126">
        <v>1</v>
      </c>
      <c r="C126" t="s">
        <v>57</v>
      </c>
      <c r="D126" t="s">
        <v>547</v>
      </c>
      <c r="E126" t="s">
        <v>6160</v>
      </c>
      <c r="F126">
        <v>46218.84652777778</v>
      </c>
      <c r="G126">
        <v>264</v>
      </c>
      <c r="H126" t="s">
        <v>6152</v>
      </c>
      <c r="I126" t="s">
        <v>5358</v>
      </c>
      <c r="J126">
        <v>156</v>
      </c>
      <c r="K126">
        <v>959.4</v>
      </c>
      <c r="L126">
        <v>10015</v>
      </c>
      <c r="M126">
        <v>10025</v>
      </c>
      <c r="N126">
        <v>10</v>
      </c>
      <c r="O126">
        <v>15.6</v>
      </c>
    </row>
    <row r="127" spans="1:15" x14ac:dyDescent="0.25">
      <c r="A127">
        <v>1</v>
      </c>
      <c r="B127">
        <v>1</v>
      </c>
      <c r="C127" t="s">
        <v>57</v>
      </c>
      <c r="D127" t="s">
        <v>547</v>
      </c>
      <c r="E127" t="s">
        <v>6160</v>
      </c>
      <c r="F127">
        <v>46220.844444444447</v>
      </c>
      <c r="G127">
        <v>264</v>
      </c>
      <c r="H127" t="s">
        <v>6152</v>
      </c>
      <c r="I127" t="s">
        <v>5358</v>
      </c>
      <c r="J127">
        <v>261</v>
      </c>
      <c r="K127">
        <v>1618.2</v>
      </c>
      <c r="L127">
        <v>10025</v>
      </c>
      <c r="M127">
        <v>10035</v>
      </c>
      <c r="N127">
        <v>10</v>
      </c>
      <c r="O127">
        <v>26.1</v>
      </c>
    </row>
    <row r="128" spans="1:15" x14ac:dyDescent="0.25">
      <c r="A128">
        <v>1</v>
      </c>
      <c r="B128">
        <v>1</v>
      </c>
      <c r="C128" t="s">
        <v>57</v>
      </c>
      <c r="D128" t="s">
        <v>547</v>
      </c>
      <c r="E128" t="s">
        <v>6160</v>
      </c>
      <c r="F128">
        <v>46221.897222222222</v>
      </c>
      <c r="G128">
        <v>264</v>
      </c>
      <c r="H128" t="s">
        <v>6152</v>
      </c>
      <c r="I128" t="s">
        <v>5358</v>
      </c>
      <c r="J128">
        <v>215</v>
      </c>
      <c r="K128">
        <v>1333</v>
      </c>
      <c r="L128">
        <v>10035</v>
      </c>
      <c r="M128">
        <v>10044</v>
      </c>
      <c r="N128">
        <v>9</v>
      </c>
      <c r="O128">
        <v>23.8888888888889</v>
      </c>
    </row>
    <row r="129" spans="1:15" x14ac:dyDescent="0.25">
      <c r="A129">
        <v>1</v>
      </c>
      <c r="B129">
        <v>1</v>
      </c>
      <c r="C129" t="s">
        <v>57</v>
      </c>
      <c r="D129" t="s">
        <v>547</v>
      </c>
      <c r="E129" t="s">
        <v>6160</v>
      </c>
      <c r="F129">
        <v>46223.862500000003</v>
      </c>
      <c r="G129">
        <v>264</v>
      </c>
      <c r="H129" t="s">
        <v>6152</v>
      </c>
      <c r="I129" t="s">
        <v>5358</v>
      </c>
      <c r="J129">
        <v>138</v>
      </c>
      <c r="K129">
        <v>870.78</v>
      </c>
      <c r="L129">
        <v>10044</v>
      </c>
      <c r="M129">
        <v>10051</v>
      </c>
      <c r="N129">
        <v>7</v>
      </c>
      <c r="O129">
        <v>19.714285714285701</v>
      </c>
    </row>
    <row r="130" spans="1:15" x14ac:dyDescent="0.25">
      <c r="A130">
        <v>1</v>
      </c>
      <c r="B130">
        <v>1</v>
      </c>
      <c r="C130" t="s">
        <v>57</v>
      </c>
      <c r="D130" t="s">
        <v>547</v>
      </c>
      <c r="E130" t="s">
        <v>6160</v>
      </c>
      <c r="F130">
        <v>46224.805555555555</v>
      </c>
      <c r="G130">
        <v>264</v>
      </c>
      <c r="H130" t="s">
        <v>6152</v>
      </c>
      <c r="I130" t="s">
        <v>5358</v>
      </c>
      <c r="J130">
        <v>179</v>
      </c>
      <c r="K130">
        <v>1129.49</v>
      </c>
      <c r="L130">
        <v>10051</v>
      </c>
      <c r="M130">
        <v>10058</v>
      </c>
      <c r="N130">
        <v>7</v>
      </c>
      <c r="O130">
        <v>25.571428571428601</v>
      </c>
    </row>
    <row r="131" spans="1:15" x14ac:dyDescent="0.25">
      <c r="A131">
        <v>1</v>
      </c>
      <c r="B131">
        <v>1</v>
      </c>
      <c r="C131" t="s">
        <v>57</v>
      </c>
      <c r="D131" t="s">
        <v>553</v>
      </c>
      <c r="E131" t="s">
        <v>6161</v>
      </c>
      <c r="F131">
        <v>46205.839583333334</v>
      </c>
      <c r="G131">
        <v>264</v>
      </c>
      <c r="H131" t="s">
        <v>6152</v>
      </c>
      <c r="I131" t="s">
        <v>5358</v>
      </c>
      <c r="J131">
        <v>404</v>
      </c>
      <c r="K131">
        <v>2484.6</v>
      </c>
      <c r="L131">
        <v>519</v>
      </c>
      <c r="M131">
        <v>527</v>
      </c>
      <c r="N131">
        <v>8</v>
      </c>
      <c r="O131">
        <v>50.5</v>
      </c>
    </row>
    <row r="132" spans="1:15" x14ac:dyDescent="0.25">
      <c r="A132">
        <v>1</v>
      </c>
      <c r="B132">
        <v>1</v>
      </c>
      <c r="C132" t="s">
        <v>57</v>
      </c>
      <c r="D132" t="s">
        <v>553</v>
      </c>
      <c r="E132" t="s">
        <v>6161</v>
      </c>
      <c r="F132">
        <v>46207.888888888891</v>
      </c>
      <c r="G132">
        <v>264</v>
      </c>
      <c r="H132" t="s">
        <v>6152</v>
      </c>
      <c r="I132" t="s">
        <v>5358</v>
      </c>
      <c r="J132">
        <v>61</v>
      </c>
      <c r="K132">
        <v>375.15</v>
      </c>
      <c r="L132">
        <v>527</v>
      </c>
      <c r="M132">
        <v>529</v>
      </c>
      <c r="N132">
        <v>2</v>
      </c>
      <c r="O132">
        <v>30.5</v>
      </c>
    </row>
    <row r="133" spans="1:15" x14ac:dyDescent="0.25">
      <c r="A133">
        <v>1</v>
      </c>
      <c r="B133">
        <v>1</v>
      </c>
      <c r="C133" t="s">
        <v>57</v>
      </c>
      <c r="D133" t="s">
        <v>553</v>
      </c>
      <c r="E133" t="s">
        <v>6161</v>
      </c>
      <c r="F133">
        <v>46209.697222222225</v>
      </c>
      <c r="G133">
        <v>264</v>
      </c>
      <c r="H133" t="s">
        <v>6152</v>
      </c>
      <c r="I133" t="s">
        <v>5358</v>
      </c>
      <c r="J133">
        <v>295</v>
      </c>
      <c r="K133">
        <v>1814.25</v>
      </c>
      <c r="L133">
        <v>529</v>
      </c>
      <c r="M133">
        <v>535</v>
      </c>
      <c r="N133">
        <v>6</v>
      </c>
      <c r="O133">
        <v>49.1666666666667</v>
      </c>
    </row>
    <row r="134" spans="1:15" x14ac:dyDescent="0.25">
      <c r="A134">
        <v>1</v>
      </c>
      <c r="B134">
        <v>1</v>
      </c>
      <c r="C134" t="s">
        <v>57</v>
      </c>
      <c r="D134" t="s">
        <v>553</v>
      </c>
      <c r="E134" t="s">
        <v>6161</v>
      </c>
      <c r="F134">
        <v>46210.78402777778</v>
      </c>
      <c r="G134">
        <v>264</v>
      </c>
      <c r="H134" t="s">
        <v>6152</v>
      </c>
      <c r="I134" t="s">
        <v>5358</v>
      </c>
      <c r="J134">
        <v>141</v>
      </c>
      <c r="K134">
        <v>867.15</v>
      </c>
      <c r="L134">
        <v>535</v>
      </c>
      <c r="M134">
        <v>539</v>
      </c>
      <c r="N134">
        <v>4</v>
      </c>
      <c r="O134">
        <v>35.25</v>
      </c>
    </row>
    <row r="135" spans="1:15" x14ac:dyDescent="0.25">
      <c r="A135">
        <v>1</v>
      </c>
      <c r="B135">
        <v>1</v>
      </c>
      <c r="C135" t="s">
        <v>57</v>
      </c>
      <c r="D135" t="s">
        <v>553</v>
      </c>
      <c r="E135" t="s">
        <v>6161</v>
      </c>
      <c r="F135">
        <v>46213.815972222219</v>
      </c>
      <c r="G135">
        <v>264</v>
      </c>
      <c r="H135" t="s">
        <v>6152</v>
      </c>
      <c r="I135" t="s">
        <v>5358</v>
      </c>
      <c r="J135">
        <v>304</v>
      </c>
      <c r="K135">
        <v>1869.6</v>
      </c>
      <c r="L135">
        <v>539</v>
      </c>
      <c r="M135">
        <v>547</v>
      </c>
      <c r="N135">
        <v>8</v>
      </c>
      <c r="O135">
        <v>38</v>
      </c>
    </row>
    <row r="136" spans="1:15" x14ac:dyDescent="0.25">
      <c r="A136">
        <v>1</v>
      </c>
      <c r="B136">
        <v>1</v>
      </c>
      <c r="C136" t="s">
        <v>57</v>
      </c>
      <c r="D136" t="s">
        <v>553</v>
      </c>
      <c r="E136" t="s">
        <v>6161</v>
      </c>
      <c r="F136">
        <v>46216.854861111111</v>
      </c>
      <c r="G136">
        <v>264</v>
      </c>
      <c r="H136" t="s">
        <v>6152</v>
      </c>
      <c r="I136" t="s">
        <v>5358</v>
      </c>
      <c r="J136">
        <v>271</v>
      </c>
      <c r="K136">
        <v>1666.65</v>
      </c>
      <c r="L136">
        <v>547</v>
      </c>
      <c r="M136">
        <v>554</v>
      </c>
      <c r="N136">
        <v>7</v>
      </c>
      <c r="O136">
        <v>38.714285714285701</v>
      </c>
    </row>
    <row r="137" spans="1:15" x14ac:dyDescent="0.25">
      <c r="A137">
        <v>1</v>
      </c>
      <c r="B137">
        <v>1</v>
      </c>
      <c r="C137" t="s">
        <v>57</v>
      </c>
      <c r="D137" t="s">
        <v>553</v>
      </c>
      <c r="E137" t="s">
        <v>6161</v>
      </c>
      <c r="F137">
        <v>46218.856249999997</v>
      </c>
      <c r="G137">
        <v>264</v>
      </c>
      <c r="H137" t="s">
        <v>6152</v>
      </c>
      <c r="I137" t="s">
        <v>5358</v>
      </c>
      <c r="J137">
        <v>186</v>
      </c>
      <c r="K137">
        <v>1143.9000000000001</v>
      </c>
      <c r="L137">
        <v>554</v>
      </c>
      <c r="M137">
        <v>559</v>
      </c>
      <c r="N137">
        <v>5</v>
      </c>
      <c r="O137">
        <v>37.200000000000003</v>
      </c>
    </row>
    <row r="138" spans="1:15" x14ac:dyDescent="0.25">
      <c r="A138">
        <v>1</v>
      </c>
      <c r="B138">
        <v>1</v>
      </c>
      <c r="C138" t="s">
        <v>57</v>
      </c>
      <c r="D138" t="s">
        <v>553</v>
      </c>
      <c r="E138" t="s">
        <v>6161</v>
      </c>
      <c r="F138">
        <v>46219.869444444441</v>
      </c>
      <c r="G138">
        <v>264</v>
      </c>
      <c r="H138" t="s">
        <v>6152</v>
      </c>
      <c r="I138" t="s">
        <v>5358</v>
      </c>
      <c r="J138">
        <v>79</v>
      </c>
      <c r="K138">
        <v>485.85</v>
      </c>
      <c r="L138">
        <v>559</v>
      </c>
      <c r="M138">
        <v>562</v>
      </c>
      <c r="N138">
        <v>3</v>
      </c>
      <c r="O138">
        <v>26.3333333333333</v>
      </c>
    </row>
    <row r="139" spans="1:15" x14ac:dyDescent="0.25">
      <c r="A139">
        <v>1</v>
      </c>
      <c r="B139">
        <v>1</v>
      </c>
      <c r="C139" t="s">
        <v>57</v>
      </c>
      <c r="D139" t="s">
        <v>553</v>
      </c>
      <c r="E139" t="s">
        <v>6161</v>
      </c>
      <c r="F139">
        <v>46220.856249999997</v>
      </c>
      <c r="G139">
        <v>264</v>
      </c>
      <c r="H139" t="s">
        <v>6152</v>
      </c>
      <c r="I139" t="s">
        <v>5358</v>
      </c>
      <c r="J139">
        <v>85</v>
      </c>
      <c r="K139">
        <v>527</v>
      </c>
      <c r="L139">
        <v>562</v>
      </c>
      <c r="M139">
        <v>565</v>
      </c>
      <c r="N139">
        <v>3</v>
      </c>
      <c r="O139">
        <v>28.3333333333333</v>
      </c>
    </row>
    <row r="140" spans="1:15" x14ac:dyDescent="0.25">
      <c r="A140">
        <v>1</v>
      </c>
      <c r="B140">
        <v>1</v>
      </c>
      <c r="C140" t="s">
        <v>57</v>
      </c>
      <c r="D140" t="s">
        <v>553</v>
      </c>
      <c r="E140" t="s">
        <v>6161</v>
      </c>
      <c r="F140">
        <v>46223.861805555556</v>
      </c>
      <c r="G140">
        <v>264</v>
      </c>
      <c r="H140" t="s">
        <v>6152</v>
      </c>
      <c r="I140" t="s">
        <v>5358</v>
      </c>
      <c r="J140">
        <v>490</v>
      </c>
      <c r="K140">
        <v>3091.9</v>
      </c>
      <c r="L140">
        <v>565</v>
      </c>
      <c r="M140">
        <v>573</v>
      </c>
      <c r="N140">
        <v>8</v>
      </c>
      <c r="O140">
        <v>61.25</v>
      </c>
    </row>
    <row r="141" spans="1:15" x14ac:dyDescent="0.25">
      <c r="A141">
        <v>1</v>
      </c>
      <c r="B141">
        <v>1</v>
      </c>
      <c r="C141" t="s">
        <v>57</v>
      </c>
      <c r="D141" t="s">
        <v>553</v>
      </c>
      <c r="E141" t="s">
        <v>6161</v>
      </c>
      <c r="F141">
        <v>46224.816666666666</v>
      </c>
      <c r="G141">
        <v>264</v>
      </c>
      <c r="H141" t="s">
        <v>6152</v>
      </c>
      <c r="I141" t="s">
        <v>5358</v>
      </c>
      <c r="J141">
        <v>71</v>
      </c>
      <c r="K141">
        <v>448.01</v>
      </c>
      <c r="L141">
        <v>573</v>
      </c>
      <c r="M141">
        <v>578</v>
      </c>
      <c r="N141">
        <v>5</v>
      </c>
      <c r="O141">
        <v>14.2</v>
      </c>
    </row>
    <row r="142" spans="1:15" x14ac:dyDescent="0.25">
      <c r="A142">
        <v>1</v>
      </c>
      <c r="B142">
        <v>1</v>
      </c>
      <c r="C142" t="s">
        <v>57</v>
      </c>
      <c r="D142" t="s">
        <v>553</v>
      </c>
      <c r="E142" t="s">
        <v>6161</v>
      </c>
      <c r="F142">
        <v>46231.930555555555</v>
      </c>
      <c r="G142">
        <v>264</v>
      </c>
      <c r="H142" t="s">
        <v>6152</v>
      </c>
      <c r="I142" t="s">
        <v>5358</v>
      </c>
      <c r="J142">
        <v>94</v>
      </c>
      <c r="K142">
        <v>590.32000000000005</v>
      </c>
      <c r="L142">
        <v>578</v>
      </c>
      <c r="M142">
        <v>580</v>
      </c>
      <c r="N142">
        <v>2</v>
      </c>
      <c r="O142">
        <v>47</v>
      </c>
    </row>
    <row r="143" spans="1:15" x14ac:dyDescent="0.25">
      <c r="A143">
        <v>1</v>
      </c>
      <c r="B143">
        <v>1</v>
      </c>
      <c r="C143" t="s">
        <v>57</v>
      </c>
      <c r="D143" t="s">
        <v>650</v>
      </c>
      <c r="E143" t="s">
        <v>6162</v>
      </c>
      <c r="F143">
        <v>46204.779861111114</v>
      </c>
      <c r="G143">
        <v>264</v>
      </c>
      <c r="H143" t="s">
        <v>6152</v>
      </c>
      <c r="I143" t="s">
        <v>5358</v>
      </c>
      <c r="J143">
        <v>152</v>
      </c>
      <c r="K143">
        <v>934.8</v>
      </c>
      <c r="L143">
        <v>5782</v>
      </c>
      <c r="M143">
        <v>5793</v>
      </c>
      <c r="N143">
        <v>11</v>
      </c>
      <c r="O143">
        <v>13.818181818181801</v>
      </c>
    </row>
    <row r="144" spans="1:15" x14ac:dyDescent="0.25">
      <c r="A144">
        <v>1</v>
      </c>
      <c r="B144">
        <v>1</v>
      </c>
      <c r="C144" t="s">
        <v>57</v>
      </c>
      <c r="D144" t="s">
        <v>650</v>
      </c>
      <c r="E144" t="s">
        <v>6162</v>
      </c>
      <c r="F144">
        <v>46205.838888888888</v>
      </c>
      <c r="G144">
        <v>264</v>
      </c>
      <c r="H144" t="s">
        <v>6152</v>
      </c>
      <c r="I144" t="s">
        <v>5358</v>
      </c>
      <c r="J144">
        <v>160</v>
      </c>
      <c r="K144">
        <v>984</v>
      </c>
      <c r="L144">
        <v>5793</v>
      </c>
      <c r="M144">
        <v>5800</v>
      </c>
      <c r="N144">
        <v>7</v>
      </c>
      <c r="O144">
        <v>22.8571428571429</v>
      </c>
    </row>
    <row r="145" spans="1:15" x14ac:dyDescent="0.25">
      <c r="A145">
        <v>1</v>
      </c>
      <c r="B145">
        <v>1</v>
      </c>
      <c r="C145" t="s">
        <v>57</v>
      </c>
      <c r="D145" t="s">
        <v>650</v>
      </c>
      <c r="E145" t="s">
        <v>6162</v>
      </c>
      <c r="F145">
        <v>46207.888194444444</v>
      </c>
      <c r="G145">
        <v>264</v>
      </c>
      <c r="H145" t="s">
        <v>6152</v>
      </c>
      <c r="I145" t="s">
        <v>5358</v>
      </c>
      <c r="J145">
        <v>172</v>
      </c>
      <c r="K145">
        <v>1057.8</v>
      </c>
      <c r="L145">
        <v>5800</v>
      </c>
      <c r="M145">
        <v>5808</v>
      </c>
      <c r="N145">
        <v>8</v>
      </c>
      <c r="O145">
        <v>21.5</v>
      </c>
    </row>
    <row r="146" spans="1:15" x14ac:dyDescent="0.25">
      <c r="A146">
        <v>1</v>
      </c>
      <c r="B146">
        <v>1</v>
      </c>
      <c r="C146" t="s">
        <v>57</v>
      </c>
      <c r="D146" t="s">
        <v>650</v>
      </c>
      <c r="E146" t="s">
        <v>6162</v>
      </c>
      <c r="F146">
        <v>46208.654861111114</v>
      </c>
      <c r="G146">
        <v>264</v>
      </c>
      <c r="H146" t="s">
        <v>6152</v>
      </c>
      <c r="I146" t="s">
        <v>5358</v>
      </c>
      <c r="J146">
        <v>136</v>
      </c>
      <c r="K146">
        <v>836.4</v>
      </c>
      <c r="L146">
        <v>5808</v>
      </c>
      <c r="M146">
        <v>5815</v>
      </c>
      <c r="N146">
        <v>7</v>
      </c>
      <c r="O146">
        <v>19.428571428571399</v>
      </c>
    </row>
    <row r="147" spans="1:15" x14ac:dyDescent="0.25">
      <c r="A147">
        <v>1</v>
      </c>
      <c r="B147">
        <v>1</v>
      </c>
      <c r="C147" t="s">
        <v>57</v>
      </c>
      <c r="D147" t="s">
        <v>650</v>
      </c>
      <c r="E147" t="s">
        <v>6162</v>
      </c>
      <c r="F147">
        <v>46209.835416666669</v>
      </c>
      <c r="G147">
        <v>264</v>
      </c>
      <c r="H147" t="s">
        <v>6152</v>
      </c>
      <c r="I147" t="s">
        <v>5358</v>
      </c>
      <c r="J147">
        <v>205</v>
      </c>
      <c r="K147">
        <v>1260.75</v>
      </c>
      <c r="L147">
        <v>5815</v>
      </c>
      <c r="M147">
        <v>5824</v>
      </c>
      <c r="N147">
        <v>9</v>
      </c>
      <c r="O147">
        <v>22.7777777777778</v>
      </c>
    </row>
    <row r="148" spans="1:15" x14ac:dyDescent="0.25">
      <c r="A148">
        <v>1</v>
      </c>
      <c r="B148">
        <v>1</v>
      </c>
      <c r="C148" t="s">
        <v>57</v>
      </c>
      <c r="D148" t="s">
        <v>650</v>
      </c>
      <c r="E148" t="s">
        <v>6162</v>
      </c>
      <c r="F148">
        <v>46210.783333333333</v>
      </c>
      <c r="G148">
        <v>264</v>
      </c>
      <c r="H148" t="s">
        <v>6152</v>
      </c>
      <c r="I148" t="s">
        <v>5358</v>
      </c>
      <c r="J148">
        <v>179</v>
      </c>
      <c r="K148">
        <v>1100.8499999999999</v>
      </c>
      <c r="L148">
        <v>5824</v>
      </c>
      <c r="M148">
        <v>5833</v>
      </c>
      <c r="N148">
        <v>9</v>
      </c>
      <c r="O148">
        <v>19.8888888888889</v>
      </c>
    </row>
    <row r="149" spans="1:15" x14ac:dyDescent="0.25">
      <c r="A149">
        <v>1</v>
      </c>
      <c r="B149">
        <v>1</v>
      </c>
      <c r="C149" t="s">
        <v>57</v>
      </c>
      <c r="D149" t="s">
        <v>650</v>
      </c>
      <c r="E149" t="s">
        <v>6162</v>
      </c>
      <c r="F149">
        <v>46211.836111111108</v>
      </c>
      <c r="G149">
        <v>264</v>
      </c>
      <c r="H149" t="s">
        <v>6152</v>
      </c>
      <c r="I149" t="s">
        <v>5358</v>
      </c>
      <c r="J149">
        <v>164</v>
      </c>
      <c r="K149">
        <v>1008.6</v>
      </c>
      <c r="L149">
        <v>5833</v>
      </c>
      <c r="M149">
        <v>5841</v>
      </c>
      <c r="N149">
        <v>8</v>
      </c>
      <c r="O149">
        <v>20.5</v>
      </c>
    </row>
    <row r="150" spans="1:15" x14ac:dyDescent="0.25">
      <c r="A150">
        <v>1</v>
      </c>
      <c r="B150">
        <v>1</v>
      </c>
      <c r="C150" t="s">
        <v>57</v>
      </c>
      <c r="D150" t="s">
        <v>650</v>
      </c>
      <c r="E150" t="s">
        <v>6162</v>
      </c>
      <c r="F150">
        <v>46212.783333333333</v>
      </c>
      <c r="G150">
        <v>264</v>
      </c>
      <c r="H150" t="s">
        <v>6152</v>
      </c>
      <c r="I150" t="s">
        <v>5358</v>
      </c>
      <c r="J150">
        <v>221</v>
      </c>
      <c r="K150">
        <v>1359.15</v>
      </c>
      <c r="L150">
        <v>5841</v>
      </c>
      <c r="M150">
        <v>5850</v>
      </c>
      <c r="N150">
        <v>9</v>
      </c>
      <c r="O150">
        <v>24.5555555555556</v>
      </c>
    </row>
    <row r="151" spans="1:15" x14ac:dyDescent="0.25">
      <c r="A151">
        <v>1</v>
      </c>
      <c r="B151">
        <v>1</v>
      </c>
      <c r="C151" t="s">
        <v>57</v>
      </c>
      <c r="D151" t="s">
        <v>650</v>
      </c>
      <c r="E151" t="s">
        <v>6162</v>
      </c>
      <c r="F151">
        <v>46213.831944444442</v>
      </c>
      <c r="G151">
        <v>264</v>
      </c>
      <c r="H151" t="s">
        <v>6152</v>
      </c>
      <c r="I151" t="s">
        <v>5358</v>
      </c>
      <c r="J151">
        <v>150</v>
      </c>
      <c r="K151">
        <v>922.5</v>
      </c>
      <c r="L151">
        <v>5850</v>
      </c>
      <c r="M151">
        <v>5860</v>
      </c>
      <c r="N151">
        <v>10</v>
      </c>
      <c r="O151">
        <v>15</v>
      </c>
    </row>
    <row r="152" spans="1:15" x14ac:dyDescent="0.25">
      <c r="A152">
        <v>1</v>
      </c>
      <c r="B152">
        <v>1</v>
      </c>
      <c r="C152" t="s">
        <v>57</v>
      </c>
      <c r="D152" t="s">
        <v>650</v>
      </c>
      <c r="E152" t="s">
        <v>6162</v>
      </c>
      <c r="F152">
        <v>46214.74722222222</v>
      </c>
      <c r="G152">
        <v>264</v>
      </c>
      <c r="H152" t="s">
        <v>6152</v>
      </c>
      <c r="I152" t="s">
        <v>5358</v>
      </c>
      <c r="J152">
        <v>159</v>
      </c>
      <c r="K152">
        <v>977.85</v>
      </c>
      <c r="L152">
        <v>5860</v>
      </c>
      <c r="M152">
        <v>5867</v>
      </c>
      <c r="N152">
        <v>7</v>
      </c>
      <c r="O152">
        <v>22.714285714285701</v>
      </c>
    </row>
    <row r="153" spans="1:15" x14ac:dyDescent="0.25">
      <c r="A153">
        <v>1</v>
      </c>
      <c r="B153">
        <v>1</v>
      </c>
      <c r="C153" t="s">
        <v>57</v>
      </c>
      <c r="D153" t="s">
        <v>650</v>
      </c>
      <c r="E153" t="s">
        <v>6162</v>
      </c>
      <c r="F153">
        <v>46216.861805555556</v>
      </c>
      <c r="G153">
        <v>264</v>
      </c>
      <c r="H153" t="s">
        <v>6152</v>
      </c>
      <c r="I153" t="s">
        <v>5358</v>
      </c>
      <c r="J153">
        <v>109</v>
      </c>
      <c r="K153">
        <v>670.35</v>
      </c>
      <c r="L153">
        <v>5867</v>
      </c>
      <c r="M153">
        <v>5875</v>
      </c>
      <c r="N153">
        <v>8</v>
      </c>
      <c r="O153">
        <v>13.625</v>
      </c>
    </row>
    <row r="154" spans="1:15" x14ac:dyDescent="0.25">
      <c r="A154">
        <v>1</v>
      </c>
      <c r="B154">
        <v>1</v>
      </c>
      <c r="C154" t="s">
        <v>57</v>
      </c>
      <c r="D154" t="s">
        <v>650</v>
      </c>
      <c r="E154" t="s">
        <v>6162</v>
      </c>
      <c r="F154">
        <v>46217.796527777777</v>
      </c>
      <c r="G154">
        <v>264</v>
      </c>
      <c r="H154" t="s">
        <v>6152</v>
      </c>
      <c r="I154" t="s">
        <v>5358</v>
      </c>
      <c r="J154">
        <v>250</v>
      </c>
      <c r="K154">
        <v>1537.5</v>
      </c>
      <c r="L154">
        <v>5875</v>
      </c>
      <c r="M154">
        <v>5884</v>
      </c>
      <c r="N154">
        <v>9</v>
      </c>
      <c r="O154">
        <v>27.7777777777778</v>
      </c>
    </row>
    <row r="155" spans="1:15" x14ac:dyDescent="0.25">
      <c r="A155">
        <v>1</v>
      </c>
      <c r="B155">
        <v>1</v>
      </c>
      <c r="C155" t="s">
        <v>57</v>
      </c>
      <c r="D155" t="s">
        <v>650</v>
      </c>
      <c r="E155" t="s">
        <v>6162</v>
      </c>
      <c r="F155">
        <v>46218.854166666664</v>
      </c>
      <c r="G155">
        <v>264</v>
      </c>
      <c r="H155" t="s">
        <v>6152</v>
      </c>
      <c r="I155" t="s">
        <v>5358</v>
      </c>
      <c r="J155">
        <v>225</v>
      </c>
      <c r="K155">
        <v>1383.75</v>
      </c>
      <c r="L155">
        <v>5884</v>
      </c>
      <c r="M155">
        <v>5893</v>
      </c>
      <c r="N155">
        <v>9</v>
      </c>
      <c r="O155">
        <v>25</v>
      </c>
    </row>
    <row r="156" spans="1:15" x14ac:dyDescent="0.25">
      <c r="A156">
        <v>1</v>
      </c>
      <c r="B156">
        <v>1</v>
      </c>
      <c r="C156" t="s">
        <v>57</v>
      </c>
      <c r="D156" t="s">
        <v>650</v>
      </c>
      <c r="E156" t="s">
        <v>6162</v>
      </c>
      <c r="F156">
        <v>46219.877083333333</v>
      </c>
      <c r="G156">
        <v>264</v>
      </c>
      <c r="H156" t="s">
        <v>6152</v>
      </c>
      <c r="I156" t="s">
        <v>5358</v>
      </c>
      <c r="J156">
        <v>207</v>
      </c>
      <c r="K156">
        <v>1273.05</v>
      </c>
      <c r="L156">
        <v>5893</v>
      </c>
      <c r="M156">
        <v>5903</v>
      </c>
      <c r="N156">
        <v>10</v>
      </c>
      <c r="O156">
        <v>20.7</v>
      </c>
    </row>
    <row r="157" spans="1:15" x14ac:dyDescent="0.25">
      <c r="A157">
        <v>1</v>
      </c>
      <c r="B157">
        <v>1</v>
      </c>
      <c r="C157" t="s">
        <v>57</v>
      </c>
      <c r="D157" t="s">
        <v>650</v>
      </c>
      <c r="E157" t="s">
        <v>6162</v>
      </c>
      <c r="F157">
        <v>46220.849305555559</v>
      </c>
      <c r="G157">
        <v>264</v>
      </c>
      <c r="H157" t="s">
        <v>6152</v>
      </c>
      <c r="I157" t="s">
        <v>5358</v>
      </c>
      <c r="J157">
        <v>262</v>
      </c>
      <c r="K157">
        <v>1624.4</v>
      </c>
      <c r="L157">
        <v>5903</v>
      </c>
      <c r="M157">
        <v>5913</v>
      </c>
      <c r="N157">
        <v>10</v>
      </c>
      <c r="O157">
        <v>26.2</v>
      </c>
    </row>
    <row r="158" spans="1:15" x14ac:dyDescent="0.25">
      <c r="A158">
        <v>1</v>
      </c>
      <c r="B158">
        <v>1</v>
      </c>
      <c r="C158" t="s">
        <v>57</v>
      </c>
      <c r="D158" t="s">
        <v>650</v>
      </c>
      <c r="E158" t="s">
        <v>6162</v>
      </c>
      <c r="F158">
        <v>46221.902777777781</v>
      </c>
      <c r="G158">
        <v>264</v>
      </c>
      <c r="H158" t="s">
        <v>6152</v>
      </c>
      <c r="I158" t="s">
        <v>5358</v>
      </c>
      <c r="J158">
        <v>224</v>
      </c>
      <c r="K158">
        <v>1388.8</v>
      </c>
      <c r="L158">
        <v>5913</v>
      </c>
      <c r="M158">
        <v>5923</v>
      </c>
      <c r="N158">
        <v>10</v>
      </c>
      <c r="O158">
        <v>22.4</v>
      </c>
    </row>
    <row r="159" spans="1:15" x14ac:dyDescent="0.25">
      <c r="A159">
        <v>1</v>
      </c>
      <c r="B159">
        <v>1</v>
      </c>
      <c r="C159" t="s">
        <v>57</v>
      </c>
      <c r="D159" t="s">
        <v>650</v>
      </c>
      <c r="E159" t="s">
        <v>6162</v>
      </c>
      <c r="F159">
        <v>46222.724999999999</v>
      </c>
      <c r="G159">
        <v>264</v>
      </c>
      <c r="H159" t="s">
        <v>6152</v>
      </c>
      <c r="I159" t="s">
        <v>5358</v>
      </c>
      <c r="J159">
        <v>236</v>
      </c>
      <c r="K159">
        <v>1463.2</v>
      </c>
      <c r="L159">
        <v>5923</v>
      </c>
      <c r="M159">
        <v>5932</v>
      </c>
      <c r="N159">
        <v>9</v>
      </c>
      <c r="O159">
        <v>26.2222222222222</v>
      </c>
    </row>
    <row r="160" spans="1:15" x14ac:dyDescent="0.25">
      <c r="A160">
        <v>1</v>
      </c>
      <c r="B160">
        <v>1</v>
      </c>
      <c r="C160" t="s">
        <v>57</v>
      </c>
      <c r="D160" t="s">
        <v>650</v>
      </c>
      <c r="E160" t="s">
        <v>6162</v>
      </c>
      <c r="F160">
        <v>46223.871527777781</v>
      </c>
      <c r="G160">
        <v>264</v>
      </c>
      <c r="H160" t="s">
        <v>6152</v>
      </c>
      <c r="I160" t="s">
        <v>5358</v>
      </c>
      <c r="J160">
        <v>180</v>
      </c>
      <c r="K160">
        <v>1135.8</v>
      </c>
      <c r="L160">
        <v>5932</v>
      </c>
      <c r="M160">
        <v>5941</v>
      </c>
      <c r="N160">
        <v>9</v>
      </c>
      <c r="O160">
        <v>20</v>
      </c>
    </row>
    <row r="161" spans="1:15" x14ac:dyDescent="0.25">
      <c r="A161">
        <v>1</v>
      </c>
      <c r="B161">
        <v>1</v>
      </c>
      <c r="C161" t="s">
        <v>57</v>
      </c>
      <c r="D161" t="s">
        <v>650</v>
      </c>
      <c r="E161" t="s">
        <v>6162</v>
      </c>
      <c r="F161">
        <v>46224.817361111112</v>
      </c>
      <c r="G161">
        <v>264</v>
      </c>
      <c r="H161" t="s">
        <v>6152</v>
      </c>
      <c r="I161" t="s">
        <v>5358</v>
      </c>
      <c r="J161">
        <v>159</v>
      </c>
      <c r="K161">
        <v>1003.29</v>
      </c>
      <c r="L161">
        <v>5941</v>
      </c>
      <c r="M161">
        <v>5950</v>
      </c>
      <c r="N161">
        <v>9</v>
      </c>
      <c r="O161">
        <v>17.6666666666667</v>
      </c>
    </row>
    <row r="162" spans="1:15" x14ac:dyDescent="0.25">
      <c r="A162">
        <v>1</v>
      </c>
      <c r="B162">
        <v>1</v>
      </c>
      <c r="C162" t="s">
        <v>57</v>
      </c>
      <c r="D162" t="s">
        <v>650</v>
      </c>
      <c r="E162" t="s">
        <v>6162</v>
      </c>
      <c r="F162">
        <v>46232.890277777777</v>
      </c>
      <c r="G162">
        <v>264</v>
      </c>
      <c r="H162" t="s">
        <v>6152</v>
      </c>
      <c r="I162" t="s">
        <v>5358</v>
      </c>
      <c r="J162">
        <v>132</v>
      </c>
      <c r="K162">
        <v>828.96</v>
      </c>
      <c r="L162">
        <v>5950</v>
      </c>
      <c r="M162">
        <v>5961</v>
      </c>
      <c r="N162">
        <v>11</v>
      </c>
      <c r="O162">
        <v>12</v>
      </c>
    </row>
    <row r="163" spans="1:15" x14ac:dyDescent="0.25">
      <c r="A163">
        <v>1</v>
      </c>
      <c r="B163">
        <v>1</v>
      </c>
      <c r="C163" t="s">
        <v>57</v>
      </c>
      <c r="D163" t="s">
        <v>650</v>
      </c>
      <c r="E163" t="s">
        <v>6162</v>
      </c>
      <c r="F163">
        <v>46234.898611111108</v>
      </c>
      <c r="G163">
        <v>264</v>
      </c>
      <c r="H163" t="s">
        <v>6152</v>
      </c>
      <c r="I163" t="s">
        <v>5358</v>
      </c>
      <c r="J163">
        <v>223</v>
      </c>
      <c r="K163">
        <v>1400.44</v>
      </c>
      <c r="L163">
        <v>5961</v>
      </c>
      <c r="M163">
        <v>5974</v>
      </c>
      <c r="N163">
        <v>13</v>
      </c>
      <c r="O163">
        <v>17.153846153846199</v>
      </c>
    </row>
    <row r="164" spans="1:15" x14ac:dyDescent="0.25">
      <c r="A164">
        <v>1</v>
      </c>
      <c r="B164">
        <v>1</v>
      </c>
      <c r="C164" t="s">
        <v>57</v>
      </c>
      <c r="D164" t="s">
        <v>674</v>
      </c>
      <c r="E164" t="s">
        <v>6163</v>
      </c>
      <c r="F164">
        <v>46207.461111111108</v>
      </c>
      <c r="G164">
        <v>232</v>
      </c>
      <c r="H164" t="s">
        <v>6155</v>
      </c>
      <c r="I164" t="s">
        <v>5358</v>
      </c>
      <c r="J164">
        <v>400</v>
      </c>
      <c r="K164">
        <v>2460</v>
      </c>
      <c r="L164">
        <v>512</v>
      </c>
      <c r="M164">
        <v>524</v>
      </c>
      <c r="N164">
        <v>12</v>
      </c>
      <c r="O164">
        <v>33.3333333333333</v>
      </c>
    </row>
    <row r="165" spans="1:15" x14ac:dyDescent="0.25">
      <c r="A165">
        <v>1</v>
      </c>
      <c r="B165">
        <v>1</v>
      </c>
      <c r="C165" t="s">
        <v>57</v>
      </c>
      <c r="D165" t="s">
        <v>674</v>
      </c>
      <c r="E165" t="s">
        <v>6163</v>
      </c>
      <c r="F165">
        <v>46209.460416666669</v>
      </c>
      <c r="G165">
        <v>232</v>
      </c>
      <c r="H165" t="s">
        <v>6155</v>
      </c>
      <c r="I165" t="s">
        <v>5358</v>
      </c>
      <c r="J165">
        <v>700</v>
      </c>
      <c r="K165">
        <v>4305</v>
      </c>
      <c r="L165">
        <v>524</v>
      </c>
      <c r="M165">
        <v>534</v>
      </c>
      <c r="N165">
        <v>10</v>
      </c>
      <c r="O165">
        <v>70</v>
      </c>
    </row>
    <row r="166" spans="1:15" x14ac:dyDescent="0.25">
      <c r="A166">
        <v>1</v>
      </c>
      <c r="B166">
        <v>1</v>
      </c>
      <c r="C166" t="s">
        <v>57</v>
      </c>
      <c r="D166" t="s">
        <v>674</v>
      </c>
      <c r="E166" t="s">
        <v>6163</v>
      </c>
      <c r="F166">
        <v>46211.474305555559</v>
      </c>
      <c r="G166">
        <v>232</v>
      </c>
      <c r="H166" t="s">
        <v>6155</v>
      </c>
      <c r="I166" t="s">
        <v>5358</v>
      </c>
      <c r="J166">
        <v>500</v>
      </c>
      <c r="K166">
        <v>3075</v>
      </c>
      <c r="L166">
        <v>534</v>
      </c>
      <c r="M166">
        <v>544</v>
      </c>
      <c r="N166">
        <v>10</v>
      </c>
      <c r="O166">
        <v>50</v>
      </c>
    </row>
    <row r="167" spans="1:15" x14ac:dyDescent="0.25">
      <c r="A167">
        <v>1</v>
      </c>
      <c r="B167">
        <v>1</v>
      </c>
      <c r="C167" t="s">
        <v>57</v>
      </c>
      <c r="D167" t="s">
        <v>674</v>
      </c>
      <c r="E167" t="s">
        <v>6163</v>
      </c>
      <c r="F167">
        <v>46212.407638888886</v>
      </c>
      <c r="G167">
        <v>232</v>
      </c>
      <c r="H167" t="s">
        <v>6155</v>
      </c>
      <c r="I167" t="s">
        <v>5358</v>
      </c>
      <c r="J167">
        <v>450</v>
      </c>
      <c r="K167">
        <v>2767.5</v>
      </c>
      <c r="L167">
        <v>544</v>
      </c>
      <c r="M167">
        <v>551</v>
      </c>
      <c r="N167">
        <v>7</v>
      </c>
      <c r="O167">
        <v>64.285714285714306</v>
      </c>
    </row>
    <row r="168" spans="1:15" x14ac:dyDescent="0.25">
      <c r="A168">
        <v>1</v>
      </c>
      <c r="B168">
        <v>1</v>
      </c>
      <c r="C168" t="s">
        <v>57</v>
      </c>
      <c r="D168" t="s">
        <v>674</v>
      </c>
      <c r="E168" t="s">
        <v>6163</v>
      </c>
      <c r="F168">
        <v>46218.464583333334</v>
      </c>
      <c r="G168">
        <v>129</v>
      </c>
      <c r="H168" t="s">
        <v>6164</v>
      </c>
      <c r="I168" t="s">
        <v>5358</v>
      </c>
      <c r="J168">
        <v>406</v>
      </c>
      <c r="K168">
        <v>2496.9</v>
      </c>
      <c r="L168">
        <v>551</v>
      </c>
      <c r="M168">
        <v>563</v>
      </c>
      <c r="N168">
        <v>12</v>
      </c>
      <c r="O168">
        <v>33.8333333333333</v>
      </c>
    </row>
    <row r="169" spans="1:15" x14ac:dyDescent="0.25">
      <c r="A169">
        <v>1</v>
      </c>
      <c r="B169">
        <v>1</v>
      </c>
      <c r="C169" t="s">
        <v>57</v>
      </c>
      <c r="D169" t="s">
        <v>674</v>
      </c>
      <c r="E169" t="s">
        <v>6163</v>
      </c>
      <c r="F169">
        <v>46220.504861111112</v>
      </c>
      <c r="G169">
        <v>129</v>
      </c>
      <c r="H169" t="s">
        <v>6164</v>
      </c>
      <c r="I169" t="s">
        <v>5358</v>
      </c>
      <c r="J169">
        <v>437</v>
      </c>
      <c r="K169">
        <v>2687.55</v>
      </c>
      <c r="L169">
        <v>563</v>
      </c>
      <c r="M169">
        <v>571</v>
      </c>
      <c r="N169">
        <v>8</v>
      </c>
      <c r="O169">
        <v>54.625</v>
      </c>
    </row>
    <row r="170" spans="1:15" x14ac:dyDescent="0.25">
      <c r="A170">
        <v>1</v>
      </c>
      <c r="B170">
        <v>1</v>
      </c>
      <c r="C170" t="s">
        <v>57</v>
      </c>
      <c r="D170" t="s">
        <v>674</v>
      </c>
      <c r="E170" t="s">
        <v>6163</v>
      </c>
      <c r="F170">
        <v>46222.46875</v>
      </c>
      <c r="G170">
        <v>232</v>
      </c>
      <c r="H170" t="s">
        <v>6155</v>
      </c>
      <c r="I170" t="s">
        <v>5358</v>
      </c>
      <c r="J170">
        <v>250</v>
      </c>
      <c r="K170">
        <v>1575</v>
      </c>
      <c r="L170">
        <v>571</v>
      </c>
      <c r="M170">
        <v>580</v>
      </c>
      <c r="N170">
        <v>9</v>
      </c>
      <c r="O170">
        <v>27.7777777777778</v>
      </c>
    </row>
    <row r="171" spans="1:15" x14ac:dyDescent="0.25">
      <c r="A171">
        <v>1</v>
      </c>
      <c r="B171">
        <v>1</v>
      </c>
      <c r="C171" t="s">
        <v>57</v>
      </c>
      <c r="D171" t="s">
        <v>674</v>
      </c>
      <c r="E171" t="s">
        <v>6163</v>
      </c>
      <c r="F171">
        <v>46223.42083333333</v>
      </c>
      <c r="G171">
        <v>129</v>
      </c>
      <c r="H171" t="s">
        <v>6164</v>
      </c>
      <c r="I171" t="s">
        <v>5358</v>
      </c>
      <c r="J171">
        <v>629</v>
      </c>
      <c r="K171">
        <v>4396.71</v>
      </c>
      <c r="L171">
        <v>580</v>
      </c>
      <c r="M171">
        <v>594</v>
      </c>
      <c r="N171">
        <v>14</v>
      </c>
      <c r="O171">
        <v>44.928571428571402</v>
      </c>
    </row>
    <row r="172" spans="1:15" x14ac:dyDescent="0.25">
      <c r="A172">
        <v>1</v>
      </c>
      <c r="B172">
        <v>1</v>
      </c>
      <c r="C172" t="s">
        <v>57</v>
      </c>
      <c r="D172" t="s">
        <v>674</v>
      </c>
      <c r="E172" t="s">
        <v>6163</v>
      </c>
      <c r="F172">
        <v>46232.727777777778</v>
      </c>
      <c r="G172">
        <v>232</v>
      </c>
      <c r="H172" t="s">
        <v>6155</v>
      </c>
      <c r="I172" t="s">
        <v>5358</v>
      </c>
      <c r="J172">
        <v>314</v>
      </c>
      <c r="K172">
        <v>1962.5</v>
      </c>
      <c r="L172">
        <v>594</v>
      </c>
      <c r="M172">
        <v>608</v>
      </c>
      <c r="N172">
        <v>14</v>
      </c>
      <c r="O172">
        <v>22.428571428571399</v>
      </c>
    </row>
    <row r="173" spans="1:15" x14ac:dyDescent="0.25">
      <c r="A173">
        <v>1</v>
      </c>
      <c r="B173">
        <v>1</v>
      </c>
      <c r="C173" t="s">
        <v>57</v>
      </c>
      <c r="D173" t="s">
        <v>674</v>
      </c>
      <c r="E173" t="s">
        <v>6163</v>
      </c>
      <c r="F173">
        <v>46234.397222222222</v>
      </c>
      <c r="G173">
        <v>232</v>
      </c>
      <c r="H173" t="s">
        <v>6155</v>
      </c>
      <c r="I173" t="s">
        <v>5358</v>
      </c>
      <c r="J173">
        <v>600</v>
      </c>
      <c r="K173">
        <v>3750</v>
      </c>
      <c r="L173">
        <v>608</v>
      </c>
      <c r="M173">
        <v>615</v>
      </c>
      <c r="N173">
        <v>7</v>
      </c>
      <c r="O173">
        <v>85.714285714285694</v>
      </c>
    </row>
    <row r="174" spans="1:15" x14ac:dyDescent="0.25">
      <c r="A174">
        <v>1</v>
      </c>
      <c r="B174">
        <v>1</v>
      </c>
      <c r="C174" t="s">
        <v>57</v>
      </c>
      <c r="D174" t="s">
        <v>686</v>
      </c>
      <c r="E174" t="s">
        <v>6165</v>
      </c>
      <c r="F174">
        <v>46211.386805555558</v>
      </c>
      <c r="G174">
        <v>129</v>
      </c>
      <c r="H174" t="s">
        <v>6164</v>
      </c>
      <c r="I174" t="s">
        <v>5358</v>
      </c>
      <c r="J174">
        <v>36</v>
      </c>
      <c r="K174">
        <v>221.4</v>
      </c>
      <c r="L174">
        <v>2079</v>
      </c>
      <c r="M174">
        <v>2102</v>
      </c>
      <c r="N174">
        <v>23</v>
      </c>
      <c r="O174">
        <v>1.5652173913043499</v>
      </c>
    </row>
    <row r="175" spans="1:15" x14ac:dyDescent="0.25">
      <c r="A175">
        <v>1</v>
      </c>
      <c r="B175">
        <v>1</v>
      </c>
      <c r="C175" t="s">
        <v>57</v>
      </c>
      <c r="D175" t="s">
        <v>686</v>
      </c>
      <c r="E175" t="s">
        <v>6165</v>
      </c>
      <c r="F175">
        <v>46217.456944444442</v>
      </c>
      <c r="G175">
        <v>129</v>
      </c>
      <c r="H175" t="s">
        <v>6164</v>
      </c>
      <c r="I175" t="s">
        <v>5358</v>
      </c>
      <c r="J175">
        <v>30</v>
      </c>
      <c r="K175">
        <v>184.5</v>
      </c>
      <c r="L175">
        <v>2102</v>
      </c>
      <c r="M175">
        <v>2122</v>
      </c>
      <c r="N175">
        <v>20</v>
      </c>
      <c r="O175">
        <v>1.5</v>
      </c>
    </row>
    <row r="176" spans="1:15" x14ac:dyDescent="0.25">
      <c r="A176">
        <v>1</v>
      </c>
      <c r="B176">
        <v>1</v>
      </c>
      <c r="C176" t="s">
        <v>57</v>
      </c>
      <c r="D176" t="s">
        <v>686</v>
      </c>
      <c r="E176" t="s">
        <v>6165</v>
      </c>
      <c r="F176">
        <v>46231.60833333333</v>
      </c>
      <c r="G176">
        <v>129</v>
      </c>
      <c r="H176" t="s">
        <v>6164</v>
      </c>
      <c r="I176" t="s">
        <v>5358</v>
      </c>
      <c r="J176">
        <v>37</v>
      </c>
      <c r="K176">
        <v>231.25</v>
      </c>
      <c r="L176">
        <v>2122</v>
      </c>
      <c r="M176">
        <v>2138</v>
      </c>
      <c r="N176">
        <v>16</v>
      </c>
      <c r="O176">
        <v>2.3125</v>
      </c>
    </row>
    <row r="177" spans="1:15" x14ac:dyDescent="0.25">
      <c r="A177">
        <v>1</v>
      </c>
      <c r="B177">
        <v>1</v>
      </c>
      <c r="C177" t="s">
        <v>57</v>
      </c>
      <c r="D177" t="s">
        <v>755</v>
      </c>
      <c r="E177" t="s">
        <v>6166</v>
      </c>
      <c r="F177">
        <v>46205.835416666669</v>
      </c>
      <c r="G177">
        <v>264</v>
      </c>
      <c r="H177" t="s">
        <v>6152</v>
      </c>
      <c r="I177" t="s">
        <v>5358</v>
      </c>
      <c r="J177">
        <v>50</v>
      </c>
      <c r="K177">
        <v>307.5</v>
      </c>
      <c r="L177">
        <v>7559</v>
      </c>
      <c r="M177">
        <v>7565</v>
      </c>
      <c r="N177">
        <v>6</v>
      </c>
      <c r="O177">
        <v>8.3333333333333304</v>
      </c>
    </row>
    <row r="178" spans="1:15" x14ac:dyDescent="0.25">
      <c r="A178">
        <v>1</v>
      </c>
      <c r="B178">
        <v>1</v>
      </c>
      <c r="C178" t="s">
        <v>57</v>
      </c>
      <c r="D178" t="s">
        <v>755</v>
      </c>
      <c r="E178" t="s">
        <v>6166</v>
      </c>
      <c r="F178">
        <v>46213.824999999997</v>
      </c>
      <c r="G178">
        <v>264</v>
      </c>
      <c r="H178" t="s">
        <v>6152</v>
      </c>
      <c r="I178" t="s">
        <v>5358</v>
      </c>
      <c r="J178">
        <v>20</v>
      </c>
      <c r="K178">
        <v>123</v>
      </c>
      <c r="L178">
        <v>7565</v>
      </c>
      <c r="M178">
        <v>7568</v>
      </c>
      <c r="N178">
        <v>3</v>
      </c>
      <c r="O178">
        <v>6.6666666666666696</v>
      </c>
    </row>
    <row r="179" spans="1:15" x14ac:dyDescent="0.25">
      <c r="A179">
        <v>1</v>
      </c>
      <c r="B179">
        <v>1</v>
      </c>
      <c r="C179" t="s">
        <v>57</v>
      </c>
      <c r="D179" t="s">
        <v>755</v>
      </c>
      <c r="E179" t="s">
        <v>6166</v>
      </c>
      <c r="F179">
        <v>46218.85833333333</v>
      </c>
      <c r="G179">
        <v>264</v>
      </c>
      <c r="H179" t="s">
        <v>6152</v>
      </c>
      <c r="I179" t="s">
        <v>5358</v>
      </c>
      <c r="J179">
        <v>25</v>
      </c>
      <c r="K179">
        <v>153.75</v>
      </c>
      <c r="L179">
        <v>7568</v>
      </c>
      <c r="M179">
        <v>7571</v>
      </c>
      <c r="N179">
        <v>3</v>
      </c>
      <c r="O179">
        <v>8.3333333333333304</v>
      </c>
    </row>
    <row r="180" spans="1:15" x14ac:dyDescent="0.25">
      <c r="A180">
        <v>1</v>
      </c>
      <c r="B180">
        <v>1</v>
      </c>
      <c r="C180" t="s">
        <v>57</v>
      </c>
      <c r="D180" t="s">
        <v>753</v>
      </c>
      <c r="E180" t="s">
        <v>6166</v>
      </c>
      <c r="F180">
        <v>46214.678472222222</v>
      </c>
      <c r="G180">
        <v>129</v>
      </c>
      <c r="H180" t="s">
        <v>6164</v>
      </c>
      <c r="I180" t="s">
        <v>5358</v>
      </c>
      <c r="J180">
        <v>94</v>
      </c>
      <c r="K180">
        <v>578.1</v>
      </c>
      <c r="L180">
        <v>9262</v>
      </c>
      <c r="M180">
        <v>9271</v>
      </c>
      <c r="N180">
        <v>9</v>
      </c>
      <c r="O180">
        <v>10.4444444444444</v>
      </c>
    </row>
    <row r="181" spans="1:15" x14ac:dyDescent="0.25">
      <c r="A181">
        <v>1</v>
      </c>
      <c r="B181">
        <v>1</v>
      </c>
      <c r="C181" t="s">
        <v>57</v>
      </c>
      <c r="D181" t="s">
        <v>753</v>
      </c>
      <c r="E181" t="s">
        <v>6166</v>
      </c>
      <c r="F181">
        <v>46222.720138888886</v>
      </c>
      <c r="G181">
        <v>264</v>
      </c>
      <c r="H181" t="s">
        <v>6152</v>
      </c>
      <c r="I181" t="s">
        <v>5358</v>
      </c>
      <c r="J181">
        <v>16</v>
      </c>
      <c r="K181">
        <v>99.2</v>
      </c>
      <c r="L181">
        <v>9271</v>
      </c>
      <c r="M181">
        <v>9273</v>
      </c>
      <c r="N181">
        <v>2</v>
      </c>
      <c r="O181">
        <v>8</v>
      </c>
    </row>
    <row r="182" spans="1:15" x14ac:dyDescent="0.25">
      <c r="A182">
        <v>1</v>
      </c>
      <c r="B182">
        <v>1</v>
      </c>
      <c r="C182" t="s">
        <v>57</v>
      </c>
      <c r="D182" t="s">
        <v>727</v>
      </c>
      <c r="E182" t="s">
        <v>6167</v>
      </c>
      <c r="F182">
        <v>46205.40902777778</v>
      </c>
      <c r="G182">
        <v>232</v>
      </c>
      <c r="H182" t="s">
        <v>6155</v>
      </c>
      <c r="I182" t="s">
        <v>5358</v>
      </c>
      <c r="J182">
        <v>65</v>
      </c>
      <c r="K182">
        <v>399.75</v>
      </c>
      <c r="L182">
        <v>1208</v>
      </c>
      <c r="M182">
        <v>1220</v>
      </c>
      <c r="N182">
        <v>12</v>
      </c>
      <c r="O182">
        <v>5.4166666666666696</v>
      </c>
    </row>
    <row r="183" spans="1:15" x14ac:dyDescent="0.25">
      <c r="A183">
        <v>1</v>
      </c>
      <c r="B183">
        <v>1</v>
      </c>
      <c r="C183" t="s">
        <v>57</v>
      </c>
      <c r="D183" t="s">
        <v>727</v>
      </c>
      <c r="E183" t="s">
        <v>6167</v>
      </c>
      <c r="F183">
        <v>46208.515277777777</v>
      </c>
      <c r="G183">
        <v>232</v>
      </c>
      <c r="H183" t="s">
        <v>6155</v>
      </c>
      <c r="I183" t="s">
        <v>5358</v>
      </c>
      <c r="J183">
        <v>36</v>
      </c>
      <c r="K183">
        <v>231.12</v>
      </c>
      <c r="L183">
        <v>1220</v>
      </c>
      <c r="M183">
        <v>1228</v>
      </c>
      <c r="N183">
        <v>8</v>
      </c>
      <c r="O183">
        <v>4.5</v>
      </c>
    </row>
    <row r="184" spans="1:15" x14ac:dyDescent="0.25">
      <c r="A184">
        <v>1</v>
      </c>
      <c r="B184">
        <v>1</v>
      </c>
      <c r="C184" t="s">
        <v>57</v>
      </c>
      <c r="D184" t="s">
        <v>727</v>
      </c>
      <c r="E184" t="s">
        <v>6167</v>
      </c>
      <c r="F184">
        <v>46211.48333333333</v>
      </c>
      <c r="G184">
        <v>232</v>
      </c>
      <c r="H184" t="s">
        <v>6155</v>
      </c>
      <c r="I184" t="s">
        <v>5358</v>
      </c>
      <c r="J184">
        <v>54</v>
      </c>
      <c r="K184">
        <v>332.1</v>
      </c>
      <c r="L184">
        <v>1228</v>
      </c>
      <c r="M184">
        <v>1240</v>
      </c>
      <c r="N184">
        <v>12</v>
      </c>
      <c r="O184">
        <v>4.5</v>
      </c>
    </row>
    <row r="185" spans="1:15" x14ac:dyDescent="0.25">
      <c r="A185">
        <v>1</v>
      </c>
      <c r="B185">
        <v>1</v>
      </c>
      <c r="C185" t="s">
        <v>57</v>
      </c>
      <c r="D185" t="s">
        <v>727</v>
      </c>
      <c r="E185" t="s">
        <v>6167</v>
      </c>
      <c r="F185">
        <v>46215.4375</v>
      </c>
      <c r="G185">
        <v>232</v>
      </c>
      <c r="H185" t="s">
        <v>6155</v>
      </c>
      <c r="I185" t="s">
        <v>5358</v>
      </c>
      <c r="J185">
        <v>53</v>
      </c>
      <c r="K185">
        <v>325.95</v>
      </c>
      <c r="L185">
        <v>1240</v>
      </c>
      <c r="M185">
        <v>1251</v>
      </c>
      <c r="N185">
        <v>11</v>
      </c>
      <c r="O185">
        <v>4.8181818181818201</v>
      </c>
    </row>
    <row r="186" spans="1:15" x14ac:dyDescent="0.25">
      <c r="A186">
        <v>1</v>
      </c>
      <c r="B186">
        <v>1</v>
      </c>
      <c r="C186" t="s">
        <v>57</v>
      </c>
      <c r="D186" t="s">
        <v>727</v>
      </c>
      <c r="E186" t="s">
        <v>6167</v>
      </c>
      <c r="F186">
        <v>46217.505555555559</v>
      </c>
      <c r="G186">
        <v>232</v>
      </c>
      <c r="H186" t="s">
        <v>6155</v>
      </c>
      <c r="I186" t="s">
        <v>5358</v>
      </c>
      <c r="J186">
        <v>62</v>
      </c>
      <c r="K186">
        <v>381.3</v>
      </c>
      <c r="L186">
        <v>1251</v>
      </c>
      <c r="M186">
        <v>1266</v>
      </c>
      <c r="N186">
        <v>15</v>
      </c>
      <c r="O186">
        <v>4.1333333333333302</v>
      </c>
    </row>
    <row r="187" spans="1:15" x14ac:dyDescent="0.25">
      <c r="A187">
        <v>1</v>
      </c>
      <c r="B187">
        <v>1</v>
      </c>
      <c r="C187" t="s">
        <v>57</v>
      </c>
      <c r="D187" t="s">
        <v>727</v>
      </c>
      <c r="E187" t="s">
        <v>6167</v>
      </c>
      <c r="F187">
        <v>46219.412499999999</v>
      </c>
      <c r="G187">
        <v>232</v>
      </c>
      <c r="H187" t="s">
        <v>6155</v>
      </c>
      <c r="I187" t="s">
        <v>5358</v>
      </c>
      <c r="J187">
        <v>85</v>
      </c>
      <c r="K187">
        <v>522.75</v>
      </c>
      <c r="L187">
        <v>1266</v>
      </c>
      <c r="M187">
        <v>1282</v>
      </c>
      <c r="N187">
        <v>16</v>
      </c>
      <c r="O187">
        <v>5.3125</v>
      </c>
    </row>
    <row r="188" spans="1:15" x14ac:dyDescent="0.25">
      <c r="A188">
        <v>1</v>
      </c>
      <c r="B188">
        <v>1</v>
      </c>
      <c r="C188" t="s">
        <v>57</v>
      </c>
      <c r="D188" t="s">
        <v>727</v>
      </c>
      <c r="E188" t="s">
        <v>6167</v>
      </c>
      <c r="F188">
        <v>46222.466666666667</v>
      </c>
      <c r="G188">
        <v>232</v>
      </c>
      <c r="H188" t="s">
        <v>6155</v>
      </c>
      <c r="I188" t="s">
        <v>5358</v>
      </c>
      <c r="J188">
        <v>102</v>
      </c>
      <c r="K188">
        <v>642.6</v>
      </c>
      <c r="L188">
        <v>1282</v>
      </c>
      <c r="M188">
        <v>1302</v>
      </c>
      <c r="N188">
        <v>20</v>
      </c>
      <c r="O188">
        <v>5.0999999999999996</v>
      </c>
    </row>
    <row r="189" spans="1:15" x14ac:dyDescent="0.25">
      <c r="A189">
        <v>1</v>
      </c>
      <c r="B189">
        <v>1</v>
      </c>
      <c r="C189" t="s">
        <v>57</v>
      </c>
      <c r="D189" t="s">
        <v>727</v>
      </c>
      <c r="E189" t="s">
        <v>6167</v>
      </c>
      <c r="F189">
        <v>46225.376388888886</v>
      </c>
      <c r="G189">
        <v>232</v>
      </c>
      <c r="H189" t="s">
        <v>6155</v>
      </c>
      <c r="I189" t="s">
        <v>5358</v>
      </c>
      <c r="J189">
        <v>54</v>
      </c>
      <c r="K189">
        <v>337.5</v>
      </c>
      <c r="L189">
        <v>1302</v>
      </c>
      <c r="M189">
        <v>1313</v>
      </c>
      <c r="N189">
        <v>11</v>
      </c>
      <c r="O189">
        <v>4.9090909090909101</v>
      </c>
    </row>
    <row r="190" spans="1:15" x14ac:dyDescent="0.25">
      <c r="A190">
        <v>1</v>
      </c>
      <c r="B190">
        <v>1</v>
      </c>
      <c r="C190" t="s">
        <v>57</v>
      </c>
      <c r="D190" t="s">
        <v>727</v>
      </c>
      <c r="E190" t="s">
        <v>6167</v>
      </c>
      <c r="F190">
        <v>46229.754861111112</v>
      </c>
      <c r="G190">
        <v>232</v>
      </c>
      <c r="H190" t="s">
        <v>6155</v>
      </c>
      <c r="I190" t="s">
        <v>5358</v>
      </c>
      <c r="J190">
        <v>89</v>
      </c>
      <c r="K190">
        <v>560.70000000000005</v>
      </c>
      <c r="L190">
        <v>1313</v>
      </c>
      <c r="M190">
        <v>1334</v>
      </c>
      <c r="N190">
        <v>21</v>
      </c>
      <c r="O190">
        <v>4.2380952380952399</v>
      </c>
    </row>
    <row r="191" spans="1:15" x14ac:dyDescent="0.25">
      <c r="A191">
        <v>1</v>
      </c>
      <c r="B191">
        <v>1</v>
      </c>
      <c r="C191" t="s">
        <v>57</v>
      </c>
      <c r="D191" t="s">
        <v>727</v>
      </c>
      <c r="E191" t="s">
        <v>6167</v>
      </c>
      <c r="F191">
        <v>46231.622916666667</v>
      </c>
      <c r="G191">
        <v>232</v>
      </c>
      <c r="H191" t="s">
        <v>6155</v>
      </c>
      <c r="I191" t="s">
        <v>5358</v>
      </c>
      <c r="J191">
        <v>65</v>
      </c>
      <c r="K191">
        <v>406.25</v>
      </c>
      <c r="L191">
        <v>1334</v>
      </c>
      <c r="M191">
        <v>1345</v>
      </c>
      <c r="N191">
        <v>11</v>
      </c>
      <c r="O191">
        <v>5.9090909090909101</v>
      </c>
    </row>
    <row r="192" spans="1:15" x14ac:dyDescent="0.25">
      <c r="A192">
        <v>1</v>
      </c>
      <c r="B192">
        <v>1</v>
      </c>
      <c r="C192" t="s">
        <v>57</v>
      </c>
      <c r="D192" t="s">
        <v>727</v>
      </c>
      <c r="E192" t="s">
        <v>6167</v>
      </c>
      <c r="F192">
        <v>46234.384722222225</v>
      </c>
      <c r="G192">
        <v>232</v>
      </c>
      <c r="H192" t="s">
        <v>6155</v>
      </c>
      <c r="I192" t="s">
        <v>5358</v>
      </c>
      <c r="J192">
        <v>72</v>
      </c>
      <c r="K192">
        <v>450</v>
      </c>
      <c r="L192">
        <v>1345</v>
      </c>
      <c r="M192">
        <v>1358</v>
      </c>
      <c r="N192">
        <v>13</v>
      </c>
      <c r="O192">
        <v>5.5384615384615401</v>
      </c>
    </row>
    <row r="193" spans="1:15" x14ac:dyDescent="0.25">
      <c r="A193">
        <v>1</v>
      </c>
      <c r="B193">
        <v>1</v>
      </c>
      <c r="C193" t="s">
        <v>57</v>
      </c>
      <c r="D193" t="s">
        <v>787</v>
      </c>
      <c r="E193" t="s">
        <v>6168</v>
      </c>
      <c r="F193">
        <v>46204.650694444441</v>
      </c>
      <c r="G193">
        <v>232</v>
      </c>
      <c r="H193" t="s">
        <v>6155</v>
      </c>
      <c r="I193" t="s">
        <v>5358</v>
      </c>
      <c r="J193">
        <v>49</v>
      </c>
      <c r="K193">
        <v>301.35000000000002</v>
      </c>
      <c r="L193">
        <v>5071</v>
      </c>
      <c r="M193">
        <v>5075</v>
      </c>
      <c r="N193">
        <v>7</v>
      </c>
      <c r="O193">
        <v>7</v>
      </c>
    </row>
    <row r="194" spans="1:15" x14ac:dyDescent="0.25">
      <c r="A194">
        <v>1</v>
      </c>
      <c r="B194">
        <v>1</v>
      </c>
      <c r="C194" t="s">
        <v>57</v>
      </c>
      <c r="D194" t="s">
        <v>787</v>
      </c>
      <c r="E194" t="s">
        <v>6168</v>
      </c>
      <c r="F194">
        <v>46207.592361111114</v>
      </c>
      <c r="G194">
        <v>232</v>
      </c>
      <c r="H194" t="s">
        <v>6155</v>
      </c>
      <c r="I194" t="s">
        <v>5358</v>
      </c>
      <c r="J194">
        <v>18</v>
      </c>
      <c r="K194">
        <v>110.7</v>
      </c>
      <c r="L194">
        <v>5075</v>
      </c>
      <c r="M194">
        <v>5077</v>
      </c>
      <c r="N194">
        <v>2</v>
      </c>
      <c r="O194">
        <v>9</v>
      </c>
    </row>
    <row r="195" spans="1:15" x14ac:dyDescent="0.25">
      <c r="A195">
        <v>1</v>
      </c>
      <c r="B195">
        <v>1</v>
      </c>
      <c r="C195" t="s">
        <v>57</v>
      </c>
      <c r="D195" t="s">
        <v>787</v>
      </c>
      <c r="E195" t="s">
        <v>6168</v>
      </c>
      <c r="F195">
        <v>46211.002083333333</v>
      </c>
      <c r="G195">
        <v>232</v>
      </c>
      <c r="H195" t="s">
        <v>6155</v>
      </c>
      <c r="I195" t="s">
        <v>5358</v>
      </c>
      <c r="J195">
        <v>43</v>
      </c>
      <c r="K195">
        <v>264.45</v>
      </c>
      <c r="L195">
        <v>5077</v>
      </c>
      <c r="M195">
        <v>5083</v>
      </c>
      <c r="N195">
        <v>6</v>
      </c>
      <c r="O195">
        <v>7.1666666666666696</v>
      </c>
    </row>
    <row r="196" spans="1:15" x14ac:dyDescent="0.25">
      <c r="A196">
        <v>1</v>
      </c>
      <c r="B196">
        <v>1</v>
      </c>
      <c r="C196" t="s">
        <v>57</v>
      </c>
      <c r="D196" t="s">
        <v>787</v>
      </c>
      <c r="E196" t="s">
        <v>6168</v>
      </c>
      <c r="F196">
        <v>46218.460416666669</v>
      </c>
      <c r="G196">
        <v>129</v>
      </c>
      <c r="H196" t="s">
        <v>6164</v>
      </c>
      <c r="I196" t="s">
        <v>5358</v>
      </c>
      <c r="J196">
        <v>30</v>
      </c>
      <c r="K196">
        <v>184.5</v>
      </c>
      <c r="L196">
        <v>5083</v>
      </c>
      <c r="M196">
        <v>5086</v>
      </c>
      <c r="N196">
        <v>3</v>
      </c>
      <c r="O196">
        <v>10</v>
      </c>
    </row>
    <row r="197" spans="1:15" x14ac:dyDescent="0.25">
      <c r="A197">
        <v>1</v>
      </c>
      <c r="B197">
        <v>1</v>
      </c>
      <c r="C197" t="s">
        <v>57</v>
      </c>
      <c r="D197" t="s">
        <v>787</v>
      </c>
      <c r="E197" t="s">
        <v>6168</v>
      </c>
      <c r="F197">
        <v>46223.418055555558</v>
      </c>
      <c r="G197">
        <v>129</v>
      </c>
      <c r="H197" t="s">
        <v>6164</v>
      </c>
      <c r="I197" t="s">
        <v>5358</v>
      </c>
      <c r="J197">
        <v>43</v>
      </c>
      <c r="K197">
        <v>300.57</v>
      </c>
      <c r="L197">
        <v>5086</v>
      </c>
      <c r="M197">
        <v>5093</v>
      </c>
      <c r="N197">
        <v>7</v>
      </c>
      <c r="O197">
        <v>6.1428571428571397</v>
      </c>
    </row>
    <row r="198" spans="1:15" x14ac:dyDescent="0.25">
      <c r="A198">
        <v>1</v>
      </c>
      <c r="B198">
        <v>1</v>
      </c>
      <c r="C198" t="s">
        <v>57</v>
      </c>
      <c r="D198" t="s">
        <v>787</v>
      </c>
      <c r="E198" t="s">
        <v>6168</v>
      </c>
      <c r="F198">
        <v>46233.01666666667</v>
      </c>
      <c r="G198">
        <v>232</v>
      </c>
      <c r="H198" t="s">
        <v>6155</v>
      </c>
      <c r="I198" t="s">
        <v>5358</v>
      </c>
      <c r="J198">
        <v>64</v>
      </c>
      <c r="K198">
        <v>400</v>
      </c>
      <c r="L198">
        <v>5093</v>
      </c>
      <c r="M198">
        <v>5100</v>
      </c>
      <c r="N198">
        <v>7</v>
      </c>
      <c r="O198">
        <v>9.1428571428571406</v>
      </c>
    </row>
    <row r="199" spans="1:15" x14ac:dyDescent="0.25">
      <c r="A199">
        <v>1</v>
      </c>
      <c r="B199">
        <v>1</v>
      </c>
      <c r="C199" t="s">
        <v>57</v>
      </c>
      <c r="D199" t="s">
        <v>787</v>
      </c>
      <c r="E199" t="s">
        <v>6168</v>
      </c>
      <c r="F199">
        <v>46234.42291666667</v>
      </c>
      <c r="G199">
        <v>129</v>
      </c>
      <c r="H199" t="s">
        <v>6164</v>
      </c>
      <c r="I199" t="s">
        <v>5358</v>
      </c>
      <c r="J199">
        <v>33</v>
      </c>
      <c r="K199">
        <v>230.67</v>
      </c>
      <c r="L199">
        <v>5100</v>
      </c>
      <c r="M199">
        <v>5104</v>
      </c>
      <c r="N199">
        <v>4</v>
      </c>
      <c r="O199">
        <v>8.25</v>
      </c>
    </row>
    <row r="200" spans="1:15" x14ac:dyDescent="0.25">
      <c r="A200">
        <v>1</v>
      </c>
      <c r="B200">
        <v>1</v>
      </c>
      <c r="C200" t="s">
        <v>57</v>
      </c>
      <c r="D200" t="s">
        <v>773</v>
      </c>
      <c r="E200" t="s">
        <v>6169</v>
      </c>
      <c r="F200">
        <v>46205.408333333333</v>
      </c>
      <c r="G200">
        <v>232</v>
      </c>
      <c r="H200" t="s">
        <v>6155</v>
      </c>
      <c r="I200" t="s">
        <v>5358</v>
      </c>
      <c r="J200">
        <v>48</v>
      </c>
      <c r="K200">
        <v>295.2</v>
      </c>
      <c r="L200">
        <v>1156</v>
      </c>
      <c r="M200">
        <v>1162</v>
      </c>
      <c r="N200">
        <v>6</v>
      </c>
      <c r="O200">
        <v>8</v>
      </c>
    </row>
    <row r="201" spans="1:15" x14ac:dyDescent="0.25">
      <c r="A201">
        <v>1</v>
      </c>
      <c r="B201">
        <v>1</v>
      </c>
      <c r="C201" t="s">
        <v>57</v>
      </c>
      <c r="D201" t="s">
        <v>773</v>
      </c>
      <c r="E201" t="s">
        <v>6169</v>
      </c>
      <c r="F201">
        <v>46208.970138888886</v>
      </c>
      <c r="G201">
        <v>232</v>
      </c>
      <c r="H201" t="s">
        <v>6155</v>
      </c>
      <c r="I201" t="s">
        <v>5358</v>
      </c>
      <c r="J201">
        <v>49</v>
      </c>
      <c r="K201">
        <v>314.58</v>
      </c>
      <c r="L201">
        <v>1162</v>
      </c>
      <c r="M201">
        <v>1170</v>
      </c>
      <c r="N201">
        <v>8</v>
      </c>
      <c r="O201">
        <v>6.125</v>
      </c>
    </row>
    <row r="202" spans="1:15" x14ac:dyDescent="0.25">
      <c r="A202">
        <v>1</v>
      </c>
      <c r="B202">
        <v>1</v>
      </c>
      <c r="C202" t="s">
        <v>57</v>
      </c>
      <c r="D202" t="s">
        <v>773</v>
      </c>
      <c r="E202" t="s">
        <v>6169</v>
      </c>
      <c r="F202">
        <v>46211.009722222225</v>
      </c>
      <c r="G202">
        <v>232</v>
      </c>
      <c r="H202" t="s">
        <v>6155</v>
      </c>
      <c r="I202" t="s">
        <v>5358</v>
      </c>
      <c r="J202">
        <v>31</v>
      </c>
      <c r="K202">
        <v>190.65</v>
      </c>
      <c r="L202">
        <v>1170</v>
      </c>
      <c r="M202">
        <v>1174</v>
      </c>
      <c r="N202">
        <v>4</v>
      </c>
      <c r="O202">
        <v>7.75</v>
      </c>
    </row>
    <row r="203" spans="1:15" x14ac:dyDescent="0.25">
      <c r="A203">
        <v>1</v>
      </c>
      <c r="B203">
        <v>1</v>
      </c>
      <c r="C203" t="s">
        <v>57</v>
      </c>
      <c r="D203" t="s">
        <v>773</v>
      </c>
      <c r="E203" t="s">
        <v>6169</v>
      </c>
      <c r="F203">
        <v>46215.932638888888</v>
      </c>
      <c r="G203">
        <v>232</v>
      </c>
      <c r="H203" t="s">
        <v>6155</v>
      </c>
      <c r="I203" t="s">
        <v>5358</v>
      </c>
      <c r="J203">
        <v>92</v>
      </c>
      <c r="K203">
        <v>565.79999999999995</v>
      </c>
      <c r="L203">
        <v>1174</v>
      </c>
      <c r="M203">
        <v>1185</v>
      </c>
      <c r="N203">
        <v>11</v>
      </c>
      <c r="O203">
        <v>8.3636363636363598</v>
      </c>
    </row>
    <row r="204" spans="1:15" x14ac:dyDescent="0.25">
      <c r="A204">
        <v>1</v>
      </c>
      <c r="B204">
        <v>1</v>
      </c>
      <c r="C204" t="s">
        <v>57</v>
      </c>
      <c r="D204" t="s">
        <v>773</v>
      </c>
      <c r="E204" t="s">
        <v>6169</v>
      </c>
      <c r="F204">
        <v>46216.974305555559</v>
      </c>
      <c r="G204">
        <v>232</v>
      </c>
      <c r="H204" t="s">
        <v>6155</v>
      </c>
      <c r="I204" t="s">
        <v>5358</v>
      </c>
      <c r="J204">
        <v>41</v>
      </c>
      <c r="K204">
        <v>252.15</v>
      </c>
      <c r="L204">
        <v>1185</v>
      </c>
      <c r="M204">
        <v>1193</v>
      </c>
      <c r="N204">
        <v>8</v>
      </c>
      <c r="O204">
        <v>5.125</v>
      </c>
    </row>
    <row r="205" spans="1:15" x14ac:dyDescent="0.25">
      <c r="A205">
        <v>1</v>
      </c>
      <c r="B205">
        <v>1</v>
      </c>
      <c r="C205" t="s">
        <v>57</v>
      </c>
      <c r="D205" t="s">
        <v>773</v>
      </c>
      <c r="E205" t="s">
        <v>6169</v>
      </c>
      <c r="F205">
        <v>46217.503472222219</v>
      </c>
      <c r="G205">
        <v>232</v>
      </c>
      <c r="H205" t="s">
        <v>6155</v>
      </c>
      <c r="I205" t="s">
        <v>5358</v>
      </c>
      <c r="J205">
        <v>46</v>
      </c>
      <c r="K205">
        <v>282.89999999999998</v>
      </c>
      <c r="L205">
        <v>1193</v>
      </c>
      <c r="M205">
        <v>1200</v>
      </c>
      <c r="N205">
        <v>7</v>
      </c>
      <c r="O205">
        <v>6.5714285714285703</v>
      </c>
    </row>
    <row r="206" spans="1:15" x14ac:dyDescent="0.25">
      <c r="A206">
        <v>1</v>
      </c>
      <c r="B206">
        <v>1</v>
      </c>
      <c r="C206" t="s">
        <v>57</v>
      </c>
      <c r="D206" t="s">
        <v>773</v>
      </c>
      <c r="E206" t="s">
        <v>6169</v>
      </c>
      <c r="F206">
        <v>46218.109722222223</v>
      </c>
      <c r="G206">
        <v>232</v>
      </c>
      <c r="H206" t="s">
        <v>6155</v>
      </c>
      <c r="I206" t="s">
        <v>5358</v>
      </c>
      <c r="J206">
        <v>40</v>
      </c>
      <c r="K206">
        <v>246</v>
      </c>
      <c r="L206">
        <v>1200</v>
      </c>
      <c r="M206">
        <v>1208</v>
      </c>
      <c r="N206">
        <v>8</v>
      </c>
      <c r="O206">
        <v>5</v>
      </c>
    </row>
    <row r="207" spans="1:15" x14ac:dyDescent="0.25">
      <c r="A207">
        <v>1</v>
      </c>
      <c r="B207">
        <v>1</v>
      </c>
      <c r="C207" t="s">
        <v>57</v>
      </c>
      <c r="D207" t="s">
        <v>773</v>
      </c>
      <c r="E207" t="s">
        <v>6169</v>
      </c>
      <c r="F207">
        <v>46219.111805555556</v>
      </c>
      <c r="G207">
        <v>232</v>
      </c>
      <c r="H207" t="s">
        <v>6155</v>
      </c>
      <c r="I207" t="s">
        <v>5358</v>
      </c>
      <c r="J207">
        <v>52</v>
      </c>
      <c r="K207">
        <v>319.8</v>
      </c>
      <c r="L207">
        <v>1208</v>
      </c>
      <c r="M207">
        <v>1217</v>
      </c>
      <c r="N207">
        <v>9</v>
      </c>
      <c r="O207">
        <v>5.7777777777777803</v>
      </c>
    </row>
    <row r="208" spans="1:15" x14ac:dyDescent="0.25">
      <c r="A208">
        <v>1</v>
      </c>
      <c r="B208">
        <v>1</v>
      </c>
      <c r="C208" t="s">
        <v>57</v>
      </c>
      <c r="D208" t="s">
        <v>773</v>
      </c>
      <c r="E208" t="s">
        <v>6169</v>
      </c>
      <c r="F208">
        <v>46220.031944444447</v>
      </c>
      <c r="G208">
        <v>232</v>
      </c>
      <c r="H208" t="s">
        <v>6155</v>
      </c>
      <c r="I208" t="s">
        <v>5358</v>
      </c>
      <c r="J208">
        <v>48</v>
      </c>
      <c r="K208">
        <v>295.2</v>
      </c>
      <c r="L208">
        <v>1217</v>
      </c>
      <c r="M208">
        <v>1225</v>
      </c>
      <c r="N208">
        <v>8</v>
      </c>
      <c r="O208">
        <v>6</v>
      </c>
    </row>
    <row r="209" spans="1:15" x14ac:dyDescent="0.25">
      <c r="A209">
        <v>1</v>
      </c>
      <c r="B209">
        <v>1</v>
      </c>
      <c r="C209" t="s">
        <v>57</v>
      </c>
      <c r="D209" t="s">
        <v>773</v>
      </c>
      <c r="E209" t="s">
        <v>6169</v>
      </c>
      <c r="F209">
        <v>46221.925694444442</v>
      </c>
      <c r="G209">
        <v>232</v>
      </c>
      <c r="H209" t="s">
        <v>6155</v>
      </c>
      <c r="I209" t="s">
        <v>5358</v>
      </c>
      <c r="J209">
        <v>37</v>
      </c>
      <c r="K209">
        <v>227.55</v>
      </c>
      <c r="L209">
        <v>1225</v>
      </c>
      <c r="M209">
        <v>1232</v>
      </c>
      <c r="N209">
        <v>7</v>
      </c>
      <c r="O209">
        <v>5.28571428571429</v>
      </c>
    </row>
    <row r="210" spans="1:15" x14ac:dyDescent="0.25">
      <c r="A210">
        <v>1</v>
      </c>
      <c r="B210">
        <v>1</v>
      </c>
      <c r="C210" t="s">
        <v>57</v>
      </c>
      <c r="D210" t="s">
        <v>773</v>
      </c>
      <c r="E210" t="s">
        <v>6169</v>
      </c>
      <c r="F210">
        <v>46222.0625</v>
      </c>
      <c r="G210">
        <v>232</v>
      </c>
      <c r="H210" t="s">
        <v>6155</v>
      </c>
      <c r="I210" t="s">
        <v>5358</v>
      </c>
      <c r="J210">
        <v>40</v>
      </c>
      <c r="K210">
        <v>252</v>
      </c>
      <c r="L210">
        <v>1232</v>
      </c>
      <c r="M210">
        <v>1239</v>
      </c>
      <c r="N210">
        <v>7</v>
      </c>
      <c r="O210">
        <v>5.71428571428571</v>
      </c>
    </row>
    <row r="211" spans="1:15" x14ac:dyDescent="0.25">
      <c r="A211">
        <v>1</v>
      </c>
      <c r="B211">
        <v>1</v>
      </c>
      <c r="C211" t="s">
        <v>57</v>
      </c>
      <c r="D211" t="s">
        <v>773</v>
      </c>
      <c r="E211" t="s">
        <v>6169</v>
      </c>
      <c r="F211">
        <v>46223.09375</v>
      </c>
      <c r="G211">
        <v>232</v>
      </c>
      <c r="H211" t="s">
        <v>6155</v>
      </c>
      <c r="I211" t="s">
        <v>5358</v>
      </c>
      <c r="J211">
        <v>37</v>
      </c>
      <c r="K211">
        <v>231.25</v>
      </c>
      <c r="L211">
        <v>1239</v>
      </c>
      <c r="M211">
        <v>1247</v>
      </c>
      <c r="N211">
        <v>8</v>
      </c>
      <c r="O211">
        <v>4.625</v>
      </c>
    </row>
    <row r="212" spans="1:15" x14ac:dyDescent="0.25">
      <c r="A212">
        <v>1</v>
      </c>
      <c r="B212">
        <v>1</v>
      </c>
      <c r="C212" t="s">
        <v>57</v>
      </c>
      <c r="D212" t="s">
        <v>773</v>
      </c>
      <c r="E212" t="s">
        <v>6169</v>
      </c>
      <c r="F212">
        <v>46225.021527777775</v>
      </c>
      <c r="G212">
        <v>232</v>
      </c>
      <c r="H212" t="s">
        <v>6155</v>
      </c>
      <c r="I212" t="s">
        <v>5358</v>
      </c>
      <c r="J212">
        <v>27</v>
      </c>
      <c r="K212">
        <v>168.75</v>
      </c>
      <c r="L212">
        <v>1247</v>
      </c>
      <c r="M212">
        <v>1251</v>
      </c>
      <c r="N212">
        <v>4</v>
      </c>
      <c r="O212">
        <v>6.75</v>
      </c>
    </row>
    <row r="213" spans="1:15" x14ac:dyDescent="0.25">
      <c r="A213">
        <v>1</v>
      </c>
      <c r="B213">
        <v>1</v>
      </c>
      <c r="C213" t="s">
        <v>57</v>
      </c>
      <c r="D213" t="s">
        <v>773</v>
      </c>
      <c r="E213" t="s">
        <v>6169</v>
      </c>
      <c r="F213">
        <v>46227.074999999997</v>
      </c>
      <c r="G213">
        <v>232</v>
      </c>
      <c r="H213" t="s">
        <v>6155</v>
      </c>
      <c r="I213" t="s">
        <v>5358</v>
      </c>
      <c r="J213">
        <v>35</v>
      </c>
      <c r="K213">
        <v>218.75</v>
      </c>
      <c r="L213">
        <v>1251</v>
      </c>
      <c r="M213">
        <v>1260</v>
      </c>
      <c r="N213">
        <v>9</v>
      </c>
      <c r="O213">
        <v>3.8888888888888902</v>
      </c>
    </row>
    <row r="214" spans="1:15" x14ac:dyDescent="0.25">
      <c r="A214">
        <v>1</v>
      </c>
      <c r="B214">
        <v>1</v>
      </c>
      <c r="C214" t="s">
        <v>57</v>
      </c>
      <c r="D214" t="s">
        <v>773</v>
      </c>
      <c r="E214" t="s">
        <v>6169</v>
      </c>
      <c r="F214">
        <v>46228.975694444445</v>
      </c>
      <c r="G214">
        <v>232</v>
      </c>
      <c r="H214" t="s">
        <v>6155</v>
      </c>
      <c r="I214" t="s">
        <v>5358</v>
      </c>
      <c r="J214">
        <v>48</v>
      </c>
      <c r="K214">
        <v>300</v>
      </c>
      <c r="L214">
        <v>1260</v>
      </c>
      <c r="M214">
        <v>1269</v>
      </c>
      <c r="N214">
        <v>9</v>
      </c>
      <c r="O214">
        <v>5.3333333333333304</v>
      </c>
    </row>
    <row r="215" spans="1:15" x14ac:dyDescent="0.25">
      <c r="A215">
        <v>1</v>
      </c>
      <c r="B215">
        <v>1</v>
      </c>
      <c r="C215" t="s">
        <v>57</v>
      </c>
      <c r="D215" t="s">
        <v>773</v>
      </c>
      <c r="E215" t="s">
        <v>6169</v>
      </c>
      <c r="F215">
        <v>46229.01458333333</v>
      </c>
      <c r="G215">
        <v>232</v>
      </c>
      <c r="H215" t="s">
        <v>6155</v>
      </c>
      <c r="I215" t="s">
        <v>5358</v>
      </c>
      <c r="J215">
        <v>34</v>
      </c>
      <c r="K215">
        <v>214.2</v>
      </c>
      <c r="L215">
        <v>1269</v>
      </c>
      <c r="M215">
        <v>1276</v>
      </c>
      <c r="N215">
        <v>7</v>
      </c>
      <c r="O215">
        <v>4.8571428571428603</v>
      </c>
    </row>
    <row r="216" spans="1:15" x14ac:dyDescent="0.25">
      <c r="A216">
        <v>1</v>
      </c>
      <c r="B216">
        <v>1</v>
      </c>
      <c r="C216" t="s">
        <v>57</v>
      </c>
      <c r="D216" t="s">
        <v>773</v>
      </c>
      <c r="E216" t="s">
        <v>6169</v>
      </c>
      <c r="F216">
        <v>46230.990972222222</v>
      </c>
      <c r="G216">
        <v>232</v>
      </c>
      <c r="H216" t="s">
        <v>6155</v>
      </c>
      <c r="I216" t="s">
        <v>5358</v>
      </c>
      <c r="J216">
        <v>22</v>
      </c>
      <c r="K216">
        <v>137.5</v>
      </c>
      <c r="L216">
        <v>1276</v>
      </c>
      <c r="M216">
        <v>1281</v>
      </c>
      <c r="N216">
        <v>5</v>
      </c>
      <c r="O216">
        <v>4.4000000000000004</v>
      </c>
    </row>
    <row r="217" spans="1:15" x14ac:dyDescent="0.25">
      <c r="A217">
        <v>1</v>
      </c>
      <c r="B217">
        <v>1</v>
      </c>
      <c r="C217" t="s">
        <v>57</v>
      </c>
      <c r="D217" t="s">
        <v>773</v>
      </c>
      <c r="E217" t="s">
        <v>6169</v>
      </c>
      <c r="F217">
        <v>46231.027777777781</v>
      </c>
      <c r="G217">
        <v>232</v>
      </c>
      <c r="H217" t="s">
        <v>6155</v>
      </c>
      <c r="I217" t="s">
        <v>5358</v>
      </c>
      <c r="J217">
        <v>43</v>
      </c>
      <c r="K217">
        <v>268.75</v>
      </c>
      <c r="L217">
        <v>1281</v>
      </c>
      <c r="M217">
        <v>1288</v>
      </c>
      <c r="N217">
        <v>7</v>
      </c>
      <c r="O217">
        <v>6.1428571428571397</v>
      </c>
    </row>
    <row r="218" spans="1:15" x14ac:dyDescent="0.25">
      <c r="A218">
        <v>1</v>
      </c>
      <c r="B218">
        <v>1</v>
      </c>
      <c r="C218" t="s">
        <v>57</v>
      </c>
      <c r="D218" t="s">
        <v>773</v>
      </c>
      <c r="E218" t="s">
        <v>6169</v>
      </c>
      <c r="F218">
        <v>46232.975694444445</v>
      </c>
      <c r="G218">
        <v>232</v>
      </c>
      <c r="H218" t="s">
        <v>6155</v>
      </c>
      <c r="I218" t="s">
        <v>5358</v>
      </c>
      <c r="J218">
        <v>36</v>
      </c>
      <c r="K218">
        <v>225</v>
      </c>
      <c r="L218">
        <v>1288</v>
      </c>
      <c r="M218">
        <v>1296</v>
      </c>
      <c r="N218">
        <v>8</v>
      </c>
      <c r="O218">
        <v>4.5</v>
      </c>
    </row>
    <row r="219" spans="1:15" x14ac:dyDescent="0.25">
      <c r="A219">
        <v>1</v>
      </c>
      <c r="B219">
        <v>1</v>
      </c>
      <c r="C219" t="s">
        <v>57</v>
      </c>
      <c r="D219" t="s">
        <v>773</v>
      </c>
      <c r="E219" t="s">
        <v>6169</v>
      </c>
      <c r="F219">
        <v>46234.069444444445</v>
      </c>
      <c r="G219">
        <v>232</v>
      </c>
      <c r="H219" t="s">
        <v>6155</v>
      </c>
      <c r="I219" t="s">
        <v>5358</v>
      </c>
      <c r="J219">
        <v>53</v>
      </c>
      <c r="K219">
        <v>331.25</v>
      </c>
      <c r="L219">
        <v>1296</v>
      </c>
      <c r="M219">
        <v>1305</v>
      </c>
      <c r="N219">
        <v>9</v>
      </c>
      <c r="O219">
        <v>5.8888888888888902</v>
      </c>
    </row>
    <row r="220" spans="1:15" x14ac:dyDescent="0.25">
      <c r="A220">
        <v>1</v>
      </c>
      <c r="B220">
        <v>1</v>
      </c>
      <c r="C220" t="s">
        <v>57</v>
      </c>
      <c r="D220" t="s">
        <v>886</v>
      </c>
      <c r="E220" t="s">
        <v>6170</v>
      </c>
      <c r="F220">
        <v>46204.627083333333</v>
      </c>
      <c r="G220">
        <v>232</v>
      </c>
      <c r="H220" t="s">
        <v>6155</v>
      </c>
      <c r="I220" t="s">
        <v>5358</v>
      </c>
      <c r="J220">
        <v>411</v>
      </c>
      <c r="K220">
        <v>2527.65</v>
      </c>
      <c r="L220">
        <v>1385</v>
      </c>
      <c r="M220">
        <v>1395</v>
      </c>
      <c r="N220">
        <v>10</v>
      </c>
      <c r="O220">
        <v>41.1</v>
      </c>
    </row>
    <row r="221" spans="1:15" x14ac:dyDescent="0.25">
      <c r="A221">
        <v>1</v>
      </c>
      <c r="B221">
        <v>1</v>
      </c>
      <c r="C221" t="s">
        <v>57</v>
      </c>
      <c r="D221" t="s">
        <v>886</v>
      </c>
      <c r="E221" t="s">
        <v>6170</v>
      </c>
      <c r="F221">
        <v>46205.436111111114</v>
      </c>
      <c r="G221">
        <v>232</v>
      </c>
      <c r="H221" t="s">
        <v>6155</v>
      </c>
      <c r="I221" t="s">
        <v>5358</v>
      </c>
      <c r="J221">
        <v>650</v>
      </c>
      <c r="K221">
        <v>3997.5</v>
      </c>
      <c r="L221">
        <v>1395</v>
      </c>
      <c r="M221">
        <v>1416</v>
      </c>
      <c r="N221">
        <v>21</v>
      </c>
      <c r="O221">
        <v>30.952380952380999</v>
      </c>
    </row>
    <row r="222" spans="1:15" x14ac:dyDescent="0.25">
      <c r="A222">
        <v>1</v>
      </c>
      <c r="B222">
        <v>1</v>
      </c>
      <c r="C222" t="s">
        <v>57</v>
      </c>
      <c r="D222" t="s">
        <v>886</v>
      </c>
      <c r="E222" t="s">
        <v>6170</v>
      </c>
      <c r="F222">
        <v>46208.607638888891</v>
      </c>
      <c r="G222">
        <v>232</v>
      </c>
      <c r="H222" t="s">
        <v>6155</v>
      </c>
      <c r="I222" t="s">
        <v>5358</v>
      </c>
      <c r="J222">
        <v>786</v>
      </c>
      <c r="K222">
        <v>5046.12</v>
      </c>
      <c r="L222">
        <v>1416</v>
      </c>
      <c r="M222">
        <v>1463</v>
      </c>
      <c r="N222">
        <v>47</v>
      </c>
      <c r="O222">
        <v>16.7234042553191</v>
      </c>
    </row>
    <row r="223" spans="1:15" x14ac:dyDescent="0.25">
      <c r="A223">
        <v>1</v>
      </c>
      <c r="B223">
        <v>1</v>
      </c>
      <c r="C223" t="s">
        <v>57</v>
      </c>
      <c r="D223" t="s">
        <v>886</v>
      </c>
      <c r="E223" t="s">
        <v>6170</v>
      </c>
      <c r="F223">
        <v>46209.463888888888</v>
      </c>
      <c r="G223">
        <v>232</v>
      </c>
      <c r="H223" t="s">
        <v>6155</v>
      </c>
      <c r="I223" t="s">
        <v>5358</v>
      </c>
      <c r="J223">
        <v>600</v>
      </c>
      <c r="K223">
        <v>3690</v>
      </c>
      <c r="L223">
        <v>1463</v>
      </c>
      <c r="M223">
        <v>1484</v>
      </c>
      <c r="N223">
        <v>300</v>
      </c>
      <c r="O223">
        <v>2</v>
      </c>
    </row>
    <row r="224" spans="1:15" x14ac:dyDescent="0.25">
      <c r="A224">
        <v>1</v>
      </c>
      <c r="B224">
        <v>1</v>
      </c>
      <c r="C224" t="s">
        <v>57</v>
      </c>
      <c r="D224" t="s">
        <v>886</v>
      </c>
      <c r="E224" t="s">
        <v>6170</v>
      </c>
      <c r="F224">
        <v>46210.385416666664</v>
      </c>
      <c r="G224">
        <v>232</v>
      </c>
      <c r="H224" t="s">
        <v>6155</v>
      </c>
      <c r="I224" t="s">
        <v>5358</v>
      </c>
      <c r="J224">
        <v>620</v>
      </c>
      <c r="K224">
        <v>3813</v>
      </c>
      <c r="L224">
        <v>1484</v>
      </c>
      <c r="M224">
        <v>1499</v>
      </c>
      <c r="N224">
        <v>15</v>
      </c>
      <c r="O224">
        <v>41.3333333333333</v>
      </c>
    </row>
    <row r="225" spans="1:15" x14ac:dyDescent="0.25">
      <c r="A225">
        <v>1</v>
      </c>
      <c r="B225">
        <v>1</v>
      </c>
      <c r="C225" t="s">
        <v>57</v>
      </c>
      <c r="D225" t="s">
        <v>886</v>
      </c>
      <c r="E225" t="s">
        <v>6170</v>
      </c>
      <c r="F225">
        <v>46211.487500000003</v>
      </c>
      <c r="G225">
        <v>232</v>
      </c>
      <c r="H225" t="s">
        <v>6155</v>
      </c>
      <c r="I225" t="s">
        <v>5358</v>
      </c>
      <c r="J225">
        <v>537</v>
      </c>
      <c r="K225">
        <v>3302.55</v>
      </c>
      <c r="L225">
        <v>1499</v>
      </c>
      <c r="M225">
        <v>1514</v>
      </c>
      <c r="N225">
        <v>15</v>
      </c>
      <c r="O225">
        <v>35.799999999999997</v>
      </c>
    </row>
    <row r="226" spans="1:15" x14ac:dyDescent="0.25">
      <c r="A226">
        <v>1</v>
      </c>
      <c r="B226">
        <v>1</v>
      </c>
      <c r="C226" t="s">
        <v>57</v>
      </c>
      <c r="D226" t="s">
        <v>886</v>
      </c>
      <c r="E226" t="s">
        <v>6170</v>
      </c>
      <c r="F226">
        <v>46213.424305555556</v>
      </c>
      <c r="G226">
        <v>232</v>
      </c>
      <c r="H226" t="s">
        <v>6155</v>
      </c>
      <c r="I226" t="s">
        <v>5358</v>
      </c>
      <c r="J226">
        <v>990</v>
      </c>
      <c r="K226">
        <v>6088.5</v>
      </c>
      <c r="L226">
        <v>1514</v>
      </c>
      <c r="M226">
        <v>1540</v>
      </c>
      <c r="N226">
        <v>26</v>
      </c>
      <c r="O226">
        <v>38.076923076923102</v>
      </c>
    </row>
    <row r="227" spans="1:15" x14ac:dyDescent="0.25">
      <c r="A227">
        <v>1</v>
      </c>
      <c r="B227">
        <v>1</v>
      </c>
      <c r="C227" t="s">
        <v>57</v>
      </c>
      <c r="D227" t="s">
        <v>886</v>
      </c>
      <c r="E227" t="s">
        <v>6170</v>
      </c>
      <c r="F227">
        <v>46213.427083333336</v>
      </c>
      <c r="G227">
        <v>232</v>
      </c>
      <c r="H227" t="s">
        <v>6155</v>
      </c>
      <c r="I227" t="s">
        <v>5358</v>
      </c>
      <c r="J227">
        <v>600</v>
      </c>
      <c r="K227">
        <v>3690</v>
      </c>
      <c r="L227">
        <v>1540</v>
      </c>
      <c r="M227">
        <v>1542</v>
      </c>
      <c r="N227">
        <v>2</v>
      </c>
      <c r="O227">
        <v>300</v>
      </c>
    </row>
    <row r="228" spans="1:15" x14ac:dyDescent="0.25">
      <c r="A228">
        <v>1</v>
      </c>
      <c r="B228">
        <v>1</v>
      </c>
      <c r="C228" t="s">
        <v>57</v>
      </c>
      <c r="D228" t="s">
        <v>886</v>
      </c>
      <c r="E228" t="s">
        <v>6170</v>
      </c>
      <c r="F228">
        <v>46214.39166666667</v>
      </c>
      <c r="G228">
        <v>232</v>
      </c>
      <c r="H228" t="s">
        <v>6155</v>
      </c>
      <c r="I228" t="s">
        <v>5358</v>
      </c>
      <c r="J228">
        <v>537</v>
      </c>
      <c r="K228">
        <v>3302.55</v>
      </c>
      <c r="L228">
        <v>1542</v>
      </c>
      <c r="M228">
        <v>1567</v>
      </c>
      <c r="N228">
        <v>25</v>
      </c>
      <c r="O228">
        <v>21.48</v>
      </c>
    </row>
    <row r="229" spans="1:15" x14ac:dyDescent="0.25">
      <c r="A229">
        <v>1</v>
      </c>
      <c r="B229">
        <v>1</v>
      </c>
      <c r="C229" t="s">
        <v>57</v>
      </c>
      <c r="D229" t="s">
        <v>886</v>
      </c>
      <c r="E229" t="s">
        <v>6170</v>
      </c>
      <c r="F229">
        <v>46215.480555555558</v>
      </c>
      <c r="G229">
        <v>232</v>
      </c>
      <c r="H229" t="s">
        <v>6155</v>
      </c>
      <c r="I229" t="s">
        <v>5358</v>
      </c>
      <c r="J229">
        <v>450</v>
      </c>
      <c r="K229">
        <v>2767.5</v>
      </c>
      <c r="L229">
        <v>1567</v>
      </c>
      <c r="M229">
        <v>1575</v>
      </c>
      <c r="N229">
        <v>8</v>
      </c>
      <c r="O229">
        <v>56.25</v>
      </c>
    </row>
    <row r="230" spans="1:15" x14ac:dyDescent="0.25">
      <c r="A230">
        <v>1</v>
      </c>
      <c r="B230">
        <v>1</v>
      </c>
      <c r="C230" t="s">
        <v>57</v>
      </c>
      <c r="D230" t="s">
        <v>886</v>
      </c>
      <c r="E230" t="s">
        <v>6170</v>
      </c>
      <c r="F230">
        <v>46216.473611111112</v>
      </c>
      <c r="G230">
        <v>232</v>
      </c>
      <c r="H230" t="s">
        <v>6155</v>
      </c>
      <c r="I230" t="s">
        <v>5358</v>
      </c>
      <c r="J230">
        <v>700</v>
      </c>
      <c r="K230">
        <v>4305</v>
      </c>
      <c r="L230">
        <v>1575</v>
      </c>
      <c r="M230">
        <v>1595</v>
      </c>
      <c r="N230">
        <v>20</v>
      </c>
      <c r="O230">
        <v>35</v>
      </c>
    </row>
    <row r="231" spans="1:15" x14ac:dyDescent="0.25">
      <c r="A231">
        <v>1</v>
      </c>
      <c r="B231">
        <v>1</v>
      </c>
      <c r="C231" t="s">
        <v>57</v>
      </c>
      <c r="D231" t="s">
        <v>886</v>
      </c>
      <c r="E231" t="s">
        <v>6170</v>
      </c>
      <c r="F231">
        <v>46217.525000000001</v>
      </c>
      <c r="G231">
        <v>232</v>
      </c>
      <c r="H231" t="s">
        <v>6155</v>
      </c>
      <c r="I231" t="s">
        <v>5358</v>
      </c>
      <c r="J231">
        <v>603</v>
      </c>
      <c r="K231">
        <v>3708.45</v>
      </c>
      <c r="L231">
        <v>1595</v>
      </c>
      <c r="M231">
        <v>1612</v>
      </c>
      <c r="N231">
        <v>17</v>
      </c>
      <c r="O231">
        <v>35.470588235294102</v>
      </c>
    </row>
    <row r="232" spans="1:15" x14ac:dyDescent="0.25">
      <c r="A232">
        <v>1</v>
      </c>
      <c r="B232">
        <v>1</v>
      </c>
      <c r="C232" t="s">
        <v>57</v>
      </c>
      <c r="D232" t="s">
        <v>886</v>
      </c>
      <c r="E232" t="s">
        <v>6170</v>
      </c>
      <c r="F232">
        <v>46219.390277777777</v>
      </c>
      <c r="G232">
        <v>232</v>
      </c>
      <c r="H232" t="s">
        <v>6155</v>
      </c>
      <c r="I232" t="s">
        <v>5358</v>
      </c>
      <c r="J232">
        <v>1000</v>
      </c>
      <c r="K232">
        <v>6150</v>
      </c>
      <c r="L232">
        <v>1612</v>
      </c>
      <c r="M232">
        <v>1646</v>
      </c>
      <c r="N232">
        <v>34</v>
      </c>
      <c r="O232">
        <v>29.411764705882401</v>
      </c>
    </row>
    <row r="233" spans="1:15" x14ac:dyDescent="0.25">
      <c r="A233">
        <v>1</v>
      </c>
      <c r="B233">
        <v>1</v>
      </c>
      <c r="C233" t="s">
        <v>57</v>
      </c>
      <c r="D233" t="s">
        <v>886</v>
      </c>
      <c r="E233" t="s">
        <v>6170</v>
      </c>
      <c r="F233">
        <v>46220.472222222219</v>
      </c>
      <c r="G233">
        <v>232</v>
      </c>
      <c r="H233" t="s">
        <v>6155</v>
      </c>
      <c r="I233" t="s">
        <v>5358</v>
      </c>
      <c r="J233">
        <v>500</v>
      </c>
      <c r="K233">
        <v>3075</v>
      </c>
      <c r="L233">
        <v>1646</v>
      </c>
      <c r="M233">
        <v>1660</v>
      </c>
      <c r="N233">
        <v>14</v>
      </c>
      <c r="O233">
        <v>35.714285714285701</v>
      </c>
    </row>
    <row r="234" spans="1:15" x14ac:dyDescent="0.25">
      <c r="A234">
        <v>1</v>
      </c>
      <c r="B234">
        <v>1</v>
      </c>
      <c r="C234" t="s">
        <v>57</v>
      </c>
      <c r="D234" t="s">
        <v>886</v>
      </c>
      <c r="E234" t="s">
        <v>6170</v>
      </c>
      <c r="F234">
        <v>46221.443749999999</v>
      </c>
      <c r="G234">
        <v>232</v>
      </c>
      <c r="H234" t="s">
        <v>6155</v>
      </c>
      <c r="I234" t="s">
        <v>5358</v>
      </c>
      <c r="J234">
        <v>600</v>
      </c>
      <c r="K234">
        <v>3690</v>
      </c>
      <c r="L234">
        <v>1660</v>
      </c>
      <c r="M234">
        <v>1677</v>
      </c>
      <c r="N234">
        <v>17</v>
      </c>
      <c r="O234">
        <v>35.294117647058798</v>
      </c>
    </row>
    <row r="235" spans="1:15" x14ac:dyDescent="0.25">
      <c r="A235">
        <v>1</v>
      </c>
      <c r="B235">
        <v>1</v>
      </c>
      <c r="C235" t="s">
        <v>57</v>
      </c>
      <c r="D235" t="s">
        <v>886</v>
      </c>
      <c r="E235" t="s">
        <v>6170</v>
      </c>
      <c r="F235">
        <v>46223.465277777781</v>
      </c>
      <c r="G235">
        <v>232</v>
      </c>
      <c r="H235" t="s">
        <v>6155</v>
      </c>
      <c r="I235" t="s">
        <v>5358</v>
      </c>
      <c r="J235">
        <v>1090</v>
      </c>
      <c r="K235">
        <v>6812.5</v>
      </c>
      <c r="L235">
        <v>1677</v>
      </c>
      <c r="M235">
        <v>1709</v>
      </c>
      <c r="N235">
        <v>32</v>
      </c>
      <c r="O235">
        <v>34.0625</v>
      </c>
    </row>
    <row r="236" spans="1:15" x14ac:dyDescent="0.25">
      <c r="A236">
        <v>1</v>
      </c>
      <c r="B236">
        <v>1</v>
      </c>
      <c r="C236" t="s">
        <v>57</v>
      </c>
      <c r="D236" t="s">
        <v>886</v>
      </c>
      <c r="E236" t="s">
        <v>6170</v>
      </c>
      <c r="F236">
        <v>46225.37777777778</v>
      </c>
      <c r="G236">
        <v>232</v>
      </c>
      <c r="H236" t="s">
        <v>6155</v>
      </c>
      <c r="I236" t="s">
        <v>5358</v>
      </c>
      <c r="J236">
        <v>950</v>
      </c>
      <c r="K236">
        <v>5937.5</v>
      </c>
      <c r="L236">
        <v>1709</v>
      </c>
      <c r="M236">
        <v>1737</v>
      </c>
      <c r="N236">
        <v>28</v>
      </c>
      <c r="O236">
        <v>33.928571428571402</v>
      </c>
    </row>
    <row r="237" spans="1:15" x14ac:dyDescent="0.25">
      <c r="A237">
        <v>1</v>
      </c>
      <c r="B237">
        <v>1</v>
      </c>
      <c r="C237" t="s">
        <v>57</v>
      </c>
      <c r="D237" t="s">
        <v>886</v>
      </c>
      <c r="E237" t="s">
        <v>6170</v>
      </c>
      <c r="F237">
        <v>46227.642361111109</v>
      </c>
      <c r="G237">
        <v>232</v>
      </c>
      <c r="H237" t="s">
        <v>6155</v>
      </c>
      <c r="I237" t="s">
        <v>5358</v>
      </c>
      <c r="J237">
        <v>951</v>
      </c>
      <c r="K237">
        <v>5943.75</v>
      </c>
      <c r="L237">
        <v>1737</v>
      </c>
      <c r="M237">
        <v>1765</v>
      </c>
      <c r="N237">
        <v>28</v>
      </c>
      <c r="O237">
        <v>33.964285714285701</v>
      </c>
    </row>
    <row r="238" spans="1:15" x14ac:dyDescent="0.25">
      <c r="A238">
        <v>1</v>
      </c>
      <c r="B238">
        <v>1</v>
      </c>
      <c r="C238" t="s">
        <v>57</v>
      </c>
      <c r="D238" t="s">
        <v>886</v>
      </c>
      <c r="E238" t="s">
        <v>6170</v>
      </c>
      <c r="F238">
        <v>46228.672222222223</v>
      </c>
      <c r="G238">
        <v>232</v>
      </c>
      <c r="H238" t="s">
        <v>6155</v>
      </c>
      <c r="I238" t="s">
        <v>5358</v>
      </c>
      <c r="J238">
        <v>708</v>
      </c>
      <c r="K238">
        <v>4425</v>
      </c>
      <c r="L238">
        <v>1765</v>
      </c>
      <c r="M238">
        <v>1788</v>
      </c>
      <c r="N238">
        <v>23</v>
      </c>
      <c r="O238">
        <v>30.7826086956522</v>
      </c>
    </row>
    <row r="239" spans="1:15" x14ac:dyDescent="0.25">
      <c r="A239">
        <v>1</v>
      </c>
      <c r="B239">
        <v>1</v>
      </c>
      <c r="C239" t="s">
        <v>57</v>
      </c>
      <c r="D239" t="s">
        <v>886</v>
      </c>
      <c r="E239" t="s">
        <v>6170</v>
      </c>
      <c r="F239">
        <v>46229.755555555559</v>
      </c>
      <c r="G239">
        <v>232</v>
      </c>
      <c r="H239" t="s">
        <v>6155</v>
      </c>
      <c r="I239" t="s">
        <v>5358</v>
      </c>
      <c r="J239">
        <v>600</v>
      </c>
      <c r="K239">
        <v>3780</v>
      </c>
      <c r="L239">
        <v>1788</v>
      </c>
      <c r="M239">
        <v>1807</v>
      </c>
      <c r="N239">
        <v>19</v>
      </c>
      <c r="O239">
        <v>31.578947368421101</v>
      </c>
    </row>
    <row r="240" spans="1:15" x14ac:dyDescent="0.25">
      <c r="A240">
        <v>1</v>
      </c>
      <c r="B240">
        <v>1</v>
      </c>
      <c r="C240" t="s">
        <v>57</v>
      </c>
      <c r="D240" t="s">
        <v>886</v>
      </c>
      <c r="E240" t="s">
        <v>6170</v>
      </c>
      <c r="F240">
        <v>46230.421527777777</v>
      </c>
      <c r="G240">
        <v>232</v>
      </c>
      <c r="H240" t="s">
        <v>6155</v>
      </c>
      <c r="I240" t="s">
        <v>5358</v>
      </c>
      <c r="J240">
        <v>490</v>
      </c>
      <c r="K240">
        <v>3062.5</v>
      </c>
      <c r="L240">
        <v>1807</v>
      </c>
      <c r="M240">
        <v>1822</v>
      </c>
      <c r="N240">
        <v>15</v>
      </c>
      <c r="O240">
        <v>32.6666666666667</v>
      </c>
    </row>
    <row r="241" spans="1:15" x14ac:dyDescent="0.25">
      <c r="A241">
        <v>1</v>
      </c>
      <c r="B241">
        <v>1</v>
      </c>
      <c r="C241" t="s">
        <v>57</v>
      </c>
      <c r="D241" t="s">
        <v>886</v>
      </c>
      <c r="E241" t="s">
        <v>6170</v>
      </c>
      <c r="F241">
        <v>46231.623611111114</v>
      </c>
      <c r="G241">
        <v>232</v>
      </c>
      <c r="H241" t="s">
        <v>6155</v>
      </c>
      <c r="I241" t="s">
        <v>5358</v>
      </c>
      <c r="J241">
        <v>545</v>
      </c>
      <c r="K241">
        <v>3406.25</v>
      </c>
      <c r="L241">
        <v>1822</v>
      </c>
      <c r="M241">
        <v>1838</v>
      </c>
      <c r="N241">
        <v>16</v>
      </c>
      <c r="O241">
        <v>34.0625</v>
      </c>
    </row>
    <row r="242" spans="1:15" x14ac:dyDescent="0.25">
      <c r="A242">
        <v>1</v>
      </c>
      <c r="B242">
        <v>1</v>
      </c>
      <c r="C242" t="s">
        <v>57</v>
      </c>
      <c r="D242" t="s">
        <v>886</v>
      </c>
      <c r="E242" t="s">
        <v>6170</v>
      </c>
      <c r="F242">
        <v>46232.726388888892</v>
      </c>
      <c r="G242">
        <v>232</v>
      </c>
      <c r="H242" t="s">
        <v>6155</v>
      </c>
      <c r="I242" t="s">
        <v>5358</v>
      </c>
      <c r="J242">
        <v>475</v>
      </c>
      <c r="K242">
        <v>2968.75</v>
      </c>
      <c r="L242">
        <v>1838</v>
      </c>
      <c r="M242">
        <v>1851</v>
      </c>
      <c r="N242">
        <v>13</v>
      </c>
      <c r="O242">
        <v>36.538461538461497</v>
      </c>
    </row>
    <row r="243" spans="1:15" x14ac:dyDescent="0.25">
      <c r="A243">
        <v>1</v>
      </c>
      <c r="B243">
        <v>1</v>
      </c>
      <c r="C243" t="s">
        <v>57</v>
      </c>
      <c r="D243" t="s">
        <v>886</v>
      </c>
      <c r="E243" t="s">
        <v>6170</v>
      </c>
      <c r="F243">
        <v>46233.603472222225</v>
      </c>
      <c r="G243">
        <v>232</v>
      </c>
      <c r="H243" t="s">
        <v>6155</v>
      </c>
      <c r="I243" t="s">
        <v>5358</v>
      </c>
      <c r="J243">
        <v>600</v>
      </c>
      <c r="K243">
        <v>3750</v>
      </c>
      <c r="L243">
        <v>1851</v>
      </c>
      <c r="M243">
        <v>1869</v>
      </c>
      <c r="N243">
        <v>18</v>
      </c>
      <c r="O243">
        <v>33.3333333333333</v>
      </c>
    </row>
    <row r="244" spans="1:15" x14ac:dyDescent="0.25">
      <c r="A244">
        <v>1</v>
      </c>
      <c r="B244">
        <v>1</v>
      </c>
      <c r="C244" t="s">
        <v>57</v>
      </c>
      <c r="D244" t="s">
        <v>886</v>
      </c>
      <c r="E244" t="s">
        <v>6170</v>
      </c>
      <c r="F244">
        <v>46234.386805555558</v>
      </c>
      <c r="G244">
        <v>232</v>
      </c>
      <c r="H244" t="s">
        <v>6155</v>
      </c>
      <c r="I244" t="s">
        <v>5358</v>
      </c>
      <c r="J244">
        <v>467</v>
      </c>
      <c r="K244">
        <v>2918.75</v>
      </c>
      <c r="L244">
        <v>1869</v>
      </c>
      <c r="M244">
        <v>1884</v>
      </c>
      <c r="N244">
        <v>15</v>
      </c>
      <c r="O244">
        <v>31.133333333333301</v>
      </c>
    </row>
    <row r="245" spans="1:15" x14ac:dyDescent="0.25">
      <c r="A245">
        <v>1</v>
      </c>
      <c r="B245">
        <v>1</v>
      </c>
      <c r="C245" t="s">
        <v>57</v>
      </c>
      <c r="D245" t="s">
        <v>889</v>
      </c>
      <c r="E245" t="s">
        <v>6171</v>
      </c>
      <c r="F245">
        <v>46204.628472222219</v>
      </c>
      <c r="G245">
        <v>232</v>
      </c>
      <c r="H245" t="s">
        <v>6155</v>
      </c>
      <c r="I245" t="s">
        <v>5358</v>
      </c>
      <c r="J245">
        <v>104</v>
      </c>
      <c r="K245">
        <v>639.6</v>
      </c>
      <c r="L245">
        <v>9176</v>
      </c>
      <c r="M245">
        <v>9182</v>
      </c>
      <c r="N245">
        <v>6</v>
      </c>
      <c r="O245">
        <v>17.3333333333333</v>
      </c>
    </row>
    <row r="246" spans="1:15" x14ac:dyDescent="0.25">
      <c r="A246">
        <v>1</v>
      </c>
      <c r="B246">
        <v>1</v>
      </c>
      <c r="C246" t="s">
        <v>57</v>
      </c>
      <c r="D246" t="s">
        <v>889</v>
      </c>
      <c r="E246" t="s">
        <v>6171</v>
      </c>
      <c r="F246">
        <v>46205.435416666667</v>
      </c>
      <c r="G246">
        <v>232</v>
      </c>
      <c r="H246" t="s">
        <v>6155</v>
      </c>
      <c r="I246" t="s">
        <v>5358</v>
      </c>
      <c r="J246">
        <v>153</v>
      </c>
      <c r="K246">
        <v>940.95</v>
      </c>
      <c r="L246">
        <v>9182</v>
      </c>
      <c r="M246">
        <v>9192</v>
      </c>
      <c r="N246">
        <v>10</v>
      </c>
      <c r="O246">
        <v>15.3</v>
      </c>
    </row>
    <row r="247" spans="1:15" x14ac:dyDescent="0.25">
      <c r="A247">
        <v>1</v>
      </c>
      <c r="B247">
        <v>1</v>
      </c>
      <c r="C247" t="s">
        <v>57</v>
      </c>
      <c r="D247" t="s">
        <v>889</v>
      </c>
      <c r="E247" t="s">
        <v>6171</v>
      </c>
      <c r="F247">
        <v>46207.465277777781</v>
      </c>
      <c r="G247">
        <v>232</v>
      </c>
      <c r="H247" t="s">
        <v>6155</v>
      </c>
      <c r="I247" t="s">
        <v>5358</v>
      </c>
      <c r="J247">
        <v>152</v>
      </c>
      <c r="K247">
        <v>934.8</v>
      </c>
      <c r="L247">
        <v>9192</v>
      </c>
      <c r="M247">
        <v>9203</v>
      </c>
      <c r="N247">
        <v>11</v>
      </c>
      <c r="O247">
        <v>13.818181818181801</v>
      </c>
    </row>
    <row r="248" spans="1:15" x14ac:dyDescent="0.25">
      <c r="A248">
        <v>1</v>
      </c>
      <c r="B248">
        <v>1</v>
      </c>
      <c r="C248" t="s">
        <v>57</v>
      </c>
      <c r="D248" t="s">
        <v>889</v>
      </c>
      <c r="E248" t="s">
        <v>6171</v>
      </c>
      <c r="F248">
        <v>46208.506249999999</v>
      </c>
      <c r="G248">
        <v>232</v>
      </c>
      <c r="H248" t="s">
        <v>6155</v>
      </c>
      <c r="I248" t="s">
        <v>5358</v>
      </c>
      <c r="J248">
        <v>106</v>
      </c>
      <c r="K248">
        <v>680.52</v>
      </c>
      <c r="L248">
        <v>9203</v>
      </c>
      <c r="M248">
        <v>9212</v>
      </c>
      <c r="N248">
        <v>9</v>
      </c>
      <c r="O248">
        <v>11.7777777777778</v>
      </c>
    </row>
    <row r="249" spans="1:15" x14ac:dyDescent="0.25">
      <c r="A249">
        <v>1</v>
      </c>
      <c r="B249">
        <v>1</v>
      </c>
      <c r="C249" t="s">
        <v>57</v>
      </c>
      <c r="D249" t="s">
        <v>889</v>
      </c>
      <c r="E249" t="s">
        <v>6171</v>
      </c>
      <c r="F249">
        <v>46209.462500000001</v>
      </c>
      <c r="G249">
        <v>232</v>
      </c>
      <c r="H249" t="s">
        <v>6155</v>
      </c>
      <c r="I249" t="s">
        <v>5358</v>
      </c>
      <c r="J249">
        <v>108</v>
      </c>
      <c r="K249">
        <v>664.2</v>
      </c>
      <c r="L249">
        <v>9212</v>
      </c>
      <c r="M249">
        <v>9220</v>
      </c>
      <c r="N249">
        <v>8</v>
      </c>
      <c r="O249">
        <v>13.5</v>
      </c>
    </row>
    <row r="250" spans="1:15" x14ac:dyDescent="0.25">
      <c r="A250">
        <v>1</v>
      </c>
      <c r="B250">
        <v>1</v>
      </c>
      <c r="C250" t="s">
        <v>57</v>
      </c>
      <c r="D250" t="s">
        <v>889</v>
      </c>
      <c r="E250" t="s">
        <v>6171</v>
      </c>
      <c r="F250">
        <v>46210.384027777778</v>
      </c>
      <c r="G250">
        <v>232</v>
      </c>
      <c r="H250" t="s">
        <v>6155</v>
      </c>
      <c r="I250" t="s">
        <v>5358</v>
      </c>
      <c r="J250">
        <v>119</v>
      </c>
      <c r="K250">
        <v>731.85</v>
      </c>
      <c r="L250">
        <v>9220</v>
      </c>
      <c r="M250">
        <v>9230</v>
      </c>
      <c r="N250">
        <v>10</v>
      </c>
      <c r="O250">
        <v>11.9</v>
      </c>
    </row>
    <row r="251" spans="1:15" x14ac:dyDescent="0.25">
      <c r="A251">
        <v>1</v>
      </c>
      <c r="B251">
        <v>1</v>
      </c>
      <c r="C251" t="s">
        <v>57</v>
      </c>
      <c r="D251" t="s">
        <v>889</v>
      </c>
      <c r="E251" t="s">
        <v>6171</v>
      </c>
      <c r="F251">
        <v>46211.486111111109</v>
      </c>
      <c r="G251">
        <v>232</v>
      </c>
      <c r="H251" t="s">
        <v>6155</v>
      </c>
      <c r="I251" t="s">
        <v>5358</v>
      </c>
      <c r="J251">
        <v>138</v>
      </c>
      <c r="K251">
        <v>848.7</v>
      </c>
      <c r="L251">
        <v>9230</v>
      </c>
      <c r="M251">
        <v>9241</v>
      </c>
      <c r="N251">
        <v>11</v>
      </c>
      <c r="O251">
        <v>12.545454545454501</v>
      </c>
    </row>
    <row r="252" spans="1:15" x14ac:dyDescent="0.25">
      <c r="A252">
        <v>1</v>
      </c>
      <c r="B252">
        <v>1</v>
      </c>
      <c r="C252" t="s">
        <v>57</v>
      </c>
      <c r="D252" t="s">
        <v>889</v>
      </c>
      <c r="E252" t="s">
        <v>6171</v>
      </c>
      <c r="F252">
        <v>46212.413888888892</v>
      </c>
      <c r="G252">
        <v>232</v>
      </c>
      <c r="H252" t="s">
        <v>6155</v>
      </c>
      <c r="I252" t="s">
        <v>5358</v>
      </c>
      <c r="J252">
        <v>134</v>
      </c>
      <c r="K252">
        <v>824.1</v>
      </c>
      <c r="L252">
        <v>9241</v>
      </c>
      <c r="M252">
        <v>9251</v>
      </c>
      <c r="N252">
        <v>10</v>
      </c>
      <c r="O252">
        <v>13.4</v>
      </c>
    </row>
    <row r="253" spans="1:15" x14ac:dyDescent="0.25">
      <c r="A253">
        <v>1</v>
      </c>
      <c r="B253">
        <v>1</v>
      </c>
      <c r="C253" t="s">
        <v>57</v>
      </c>
      <c r="D253" t="s">
        <v>889</v>
      </c>
      <c r="E253" t="s">
        <v>6171</v>
      </c>
      <c r="F253">
        <v>46213.427777777775</v>
      </c>
      <c r="G253">
        <v>232</v>
      </c>
      <c r="H253" t="s">
        <v>6155</v>
      </c>
      <c r="I253" t="s">
        <v>5358</v>
      </c>
      <c r="J253">
        <v>135</v>
      </c>
      <c r="K253">
        <v>830.25</v>
      </c>
      <c r="L253">
        <v>9251</v>
      </c>
      <c r="M253">
        <v>9260</v>
      </c>
      <c r="N253">
        <v>9</v>
      </c>
      <c r="O253">
        <v>15</v>
      </c>
    </row>
    <row r="254" spans="1:15" x14ac:dyDescent="0.25">
      <c r="A254">
        <v>1</v>
      </c>
      <c r="B254">
        <v>1</v>
      </c>
      <c r="C254" t="s">
        <v>57</v>
      </c>
      <c r="D254" t="s">
        <v>889</v>
      </c>
      <c r="E254" t="s">
        <v>6171</v>
      </c>
      <c r="F254">
        <v>46214.390972222223</v>
      </c>
      <c r="G254">
        <v>232</v>
      </c>
      <c r="H254" t="s">
        <v>6155</v>
      </c>
      <c r="I254" t="s">
        <v>5358</v>
      </c>
      <c r="J254">
        <v>97</v>
      </c>
      <c r="K254">
        <v>596.54999999999995</v>
      </c>
      <c r="L254">
        <v>9260</v>
      </c>
      <c r="M254">
        <v>9270</v>
      </c>
      <c r="N254">
        <v>10</v>
      </c>
      <c r="O254">
        <v>9.6999999999999993</v>
      </c>
    </row>
    <row r="255" spans="1:15" x14ac:dyDescent="0.25">
      <c r="A255">
        <v>1</v>
      </c>
      <c r="B255">
        <v>1</v>
      </c>
      <c r="C255" t="s">
        <v>57</v>
      </c>
      <c r="D255" t="s">
        <v>889</v>
      </c>
      <c r="E255" t="s">
        <v>6171</v>
      </c>
      <c r="F255">
        <v>46215.48541666667</v>
      </c>
      <c r="G255">
        <v>232</v>
      </c>
      <c r="H255" t="s">
        <v>6155</v>
      </c>
      <c r="I255" t="s">
        <v>5358</v>
      </c>
      <c r="J255">
        <v>64</v>
      </c>
      <c r="K255">
        <v>393.6</v>
      </c>
      <c r="L255">
        <v>9270</v>
      </c>
      <c r="M255">
        <v>9276</v>
      </c>
      <c r="N255">
        <v>6</v>
      </c>
      <c r="O255">
        <v>10.6666666666667</v>
      </c>
    </row>
    <row r="256" spans="1:15" x14ac:dyDescent="0.25">
      <c r="A256">
        <v>1</v>
      </c>
      <c r="B256">
        <v>1</v>
      </c>
      <c r="C256" t="s">
        <v>57</v>
      </c>
      <c r="D256" t="s">
        <v>889</v>
      </c>
      <c r="E256" t="s">
        <v>6171</v>
      </c>
      <c r="F256">
        <v>46216.475694444445</v>
      </c>
      <c r="G256">
        <v>232</v>
      </c>
      <c r="H256" t="s">
        <v>6155</v>
      </c>
      <c r="I256" t="s">
        <v>5358</v>
      </c>
      <c r="J256">
        <v>21</v>
      </c>
      <c r="K256">
        <v>129.15</v>
      </c>
      <c r="L256">
        <v>9276</v>
      </c>
      <c r="M256">
        <v>9276</v>
      </c>
      <c r="N256">
        <v>1.9</v>
      </c>
      <c r="O256">
        <v>11.0526315789474</v>
      </c>
    </row>
    <row r="257" spans="1:15" x14ac:dyDescent="0.25">
      <c r="A257">
        <v>1</v>
      </c>
      <c r="B257">
        <v>1</v>
      </c>
      <c r="C257" t="s">
        <v>57</v>
      </c>
      <c r="D257" t="s">
        <v>889</v>
      </c>
      <c r="E257" t="s">
        <v>6171</v>
      </c>
      <c r="F257">
        <v>46216.977777777778</v>
      </c>
      <c r="G257">
        <v>232</v>
      </c>
      <c r="H257" t="s">
        <v>6155</v>
      </c>
      <c r="I257" t="s">
        <v>5358</v>
      </c>
      <c r="J257">
        <v>140</v>
      </c>
      <c r="K257">
        <v>861</v>
      </c>
      <c r="L257">
        <v>9276</v>
      </c>
      <c r="M257">
        <v>9286</v>
      </c>
      <c r="N257">
        <v>10</v>
      </c>
      <c r="O257">
        <v>14</v>
      </c>
    </row>
    <row r="258" spans="1:15" x14ac:dyDescent="0.25">
      <c r="A258">
        <v>1</v>
      </c>
      <c r="B258">
        <v>1</v>
      </c>
      <c r="C258" t="s">
        <v>57</v>
      </c>
      <c r="D258" t="s">
        <v>889</v>
      </c>
      <c r="E258" t="s">
        <v>6171</v>
      </c>
      <c r="F258">
        <v>46217.522916666669</v>
      </c>
      <c r="G258">
        <v>232</v>
      </c>
      <c r="H258" t="s">
        <v>6155</v>
      </c>
      <c r="I258" t="s">
        <v>5358</v>
      </c>
      <c r="J258">
        <v>136</v>
      </c>
      <c r="K258">
        <v>836.4</v>
      </c>
      <c r="L258">
        <v>9286</v>
      </c>
      <c r="M258">
        <v>9296</v>
      </c>
      <c r="N258">
        <v>10</v>
      </c>
      <c r="O258">
        <v>13.6</v>
      </c>
    </row>
    <row r="259" spans="1:15" x14ac:dyDescent="0.25">
      <c r="A259">
        <v>1</v>
      </c>
      <c r="B259">
        <v>1</v>
      </c>
      <c r="C259" t="s">
        <v>57</v>
      </c>
      <c r="D259" t="s">
        <v>889</v>
      </c>
      <c r="E259" t="s">
        <v>6171</v>
      </c>
      <c r="F259">
        <v>46218.114583333336</v>
      </c>
      <c r="G259">
        <v>232</v>
      </c>
      <c r="H259" t="s">
        <v>6155</v>
      </c>
      <c r="I259" t="s">
        <v>5358</v>
      </c>
      <c r="J259">
        <v>133</v>
      </c>
      <c r="K259">
        <v>817.95</v>
      </c>
      <c r="L259">
        <v>9296</v>
      </c>
      <c r="M259">
        <v>9305</v>
      </c>
      <c r="N259">
        <v>9</v>
      </c>
      <c r="O259">
        <v>14.7777777777778</v>
      </c>
    </row>
    <row r="260" spans="1:15" x14ac:dyDescent="0.25">
      <c r="A260">
        <v>1</v>
      </c>
      <c r="B260">
        <v>1</v>
      </c>
      <c r="C260" t="s">
        <v>57</v>
      </c>
      <c r="D260" t="s">
        <v>889</v>
      </c>
      <c r="E260" t="s">
        <v>6171</v>
      </c>
      <c r="F260">
        <v>46219.120138888888</v>
      </c>
      <c r="G260">
        <v>232</v>
      </c>
      <c r="H260" t="s">
        <v>6155</v>
      </c>
      <c r="I260" t="s">
        <v>5358</v>
      </c>
      <c r="J260">
        <v>152</v>
      </c>
      <c r="K260">
        <v>934.8</v>
      </c>
      <c r="L260">
        <v>9305</v>
      </c>
      <c r="M260">
        <v>9317</v>
      </c>
      <c r="N260">
        <v>12</v>
      </c>
      <c r="O260">
        <v>12.6666666666667</v>
      </c>
    </row>
    <row r="261" spans="1:15" x14ac:dyDescent="0.25">
      <c r="A261">
        <v>1</v>
      </c>
      <c r="B261">
        <v>1</v>
      </c>
      <c r="C261" t="s">
        <v>57</v>
      </c>
      <c r="D261" t="s">
        <v>889</v>
      </c>
      <c r="E261" t="s">
        <v>6171</v>
      </c>
      <c r="F261">
        <v>46220.040972222225</v>
      </c>
      <c r="G261">
        <v>232</v>
      </c>
      <c r="H261" t="s">
        <v>6155</v>
      </c>
      <c r="I261" t="s">
        <v>5358</v>
      </c>
      <c r="J261">
        <v>133</v>
      </c>
      <c r="K261">
        <v>817.95</v>
      </c>
      <c r="L261">
        <v>9317</v>
      </c>
      <c r="M261">
        <v>9326</v>
      </c>
      <c r="N261">
        <v>9</v>
      </c>
      <c r="O261">
        <v>14.7777777777778</v>
      </c>
    </row>
    <row r="262" spans="1:15" x14ac:dyDescent="0.25">
      <c r="A262">
        <v>1</v>
      </c>
      <c r="B262">
        <v>1</v>
      </c>
      <c r="C262" t="s">
        <v>57</v>
      </c>
      <c r="D262" t="s">
        <v>889</v>
      </c>
      <c r="E262" t="s">
        <v>6171</v>
      </c>
      <c r="F262">
        <v>46221.931250000001</v>
      </c>
      <c r="G262">
        <v>232</v>
      </c>
      <c r="H262" t="s">
        <v>6155</v>
      </c>
      <c r="I262" t="s">
        <v>5358</v>
      </c>
      <c r="J262">
        <v>89</v>
      </c>
      <c r="K262">
        <v>547.35</v>
      </c>
      <c r="L262">
        <v>9326</v>
      </c>
      <c r="M262">
        <v>9335</v>
      </c>
      <c r="N262">
        <v>9</v>
      </c>
      <c r="O262">
        <v>9.8888888888888893</v>
      </c>
    </row>
    <row r="263" spans="1:15" x14ac:dyDescent="0.25">
      <c r="A263">
        <v>1</v>
      </c>
      <c r="B263">
        <v>1</v>
      </c>
      <c r="C263" t="s">
        <v>57</v>
      </c>
      <c r="D263" t="s">
        <v>889</v>
      </c>
      <c r="E263" t="s">
        <v>6171</v>
      </c>
      <c r="F263">
        <v>46222.067361111112</v>
      </c>
      <c r="G263">
        <v>232</v>
      </c>
      <c r="H263" t="s">
        <v>6155</v>
      </c>
      <c r="I263" t="s">
        <v>5358</v>
      </c>
      <c r="J263">
        <v>123</v>
      </c>
      <c r="K263">
        <v>774.9</v>
      </c>
      <c r="L263">
        <v>9335</v>
      </c>
      <c r="M263">
        <v>9345</v>
      </c>
      <c r="N263">
        <v>10</v>
      </c>
      <c r="O263">
        <v>12.3</v>
      </c>
    </row>
    <row r="264" spans="1:15" x14ac:dyDescent="0.25">
      <c r="A264">
        <v>1</v>
      </c>
      <c r="B264">
        <v>1</v>
      </c>
      <c r="C264" t="s">
        <v>57</v>
      </c>
      <c r="D264" t="s">
        <v>889</v>
      </c>
      <c r="E264" t="s">
        <v>6171</v>
      </c>
      <c r="F264">
        <v>46223.095138888886</v>
      </c>
      <c r="G264">
        <v>232</v>
      </c>
      <c r="H264" t="s">
        <v>6155</v>
      </c>
      <c r="I264" t="s">
        <v>5358</v>
      </c>
      <c r="J264">
        <v>102</v>
      </c>
      <c r="K264">
        <v>637.5</v>
      </c>
      <c r="L264">
        <v>9345</v>
      </c>
      <c r="M264">
        <v>9354</v>
      </c>
      <c r="N264">
        <v>9</v>
      </c>
      <c r="O264">
        <v>11.3333333333333</v>
      </c>
    </row>
    <row r="265" spans="1:15" x14ac:dyDescent="0.25">
      <c r="A265">
        <v>1</v>
      </c>
      <c r="B265">
        <v>1</v>
      </c>
      <c r="C265" t="s">
        <v>57</v>
      </c>
      <c r="D265" t="s">
        <v>889</v>
      </c>
      <c r="E265" t="s">
        <v>6171</v>
      </c>
      <c r="F265">
        <v>46225.025000000001</v>
      </c>
      <c r="G265">
        <v>232</v>
      </c>
      <c r="H265" t="s">
        <v>6155</v>
      </c>
      <c r="I265" t="s">
        <v>5358</v>
      </c>
      <c r="J265">
        <v>61</v>
      </c>
      <c r="K265">
        <v>381.25</v>
      </c>
      <c r="L265">
        <v>9354</v>
      </c>
      <c r="M265">
        <v>9359</v>
      </c>
      <c r="N265">
        <v>5</v>
      </c>
      <c r="O265">
        <v>12.2</v>
      </c>
    </row>
    <row r="266" spans="1:15" x14ac:dyDescent="0.25">
      <c r="A266">
        <v>1</v>
      </c>
      <c r="B266">
        <v>1</v>
      </c>
      <c r="C266" t="s">
        <v>57</v>
      </c>
      <c r="D266" t="s">
        <v>889</v>
      </c>
      <c r="E266" t="s">
        <v>6171</v>
      </c>
      <c r="F266">
        <v>46227.080555555556</v>
      </c>
      <c r="G266">
        <v>232</v>
      </c>
      <c r="H266" t="s">
        <v>6155</v>
      </c>
      <c r="I266" t="s">
        <v>5358</v>
      </c>
      <c r="J266">
        <v>102</v>
      </c>
      <c r="K266">
        <v>637.5</v>
      </c>
      <c r="L266">
        <v>9359</v>
      </c>
      <c r="M266">
        <v>9367</v>
      </c>
      <c r="N266">
        <v>8</v>
      </c>
      <c r="O266">
        <v>12.75</v>
      </c>
    </row>
    <row r="267" spans="1:15" x14ac:dyDescent="0.25">
      <c r="A267">
        <v>1</v>
      </c>
      <c r="B267">
        <v>1</v>
      </c>
      <c r="C267" t="s">
        <v>57</v>
      </c>
      <c r="D267" t="s">
        <v>889</v>
      </c>
      <c r="E267" t="s">
        <v>6171</v>
      </c>
      <c r="F267">
        <v>46228.980555555558</v>
      </c>
      <c r="G267">
        <v>232</v>
      </c>
      <c r="H267" t="s">
        <v>6155</v>
      </c>
      <c r="I267" t="s">
        <v>5358</v>
      </c>
      <c r="J267">
        <v>103</v>
      </c>
      <c r="K267">
        <v>643.75</v>
      </c>
      <c r="L267">
        <v>9367</v>
      </c>
      <c r="M267">
        <v>9375</v>
      </c>
      <c r="N267">
        <v>8</v>
      </c>
      <c r="O267">
        <v>12.875</v>
      </c>
    </row>
    <row r="268" spans="1:15" x14ac:dyDescent="0.25">
      <c r="A268">
        <v>1</v>
      </c>
      <c r="B268">
        <v>1</v>
      </c>
      <c r="C268" t="s">
        <v>57</v>
      </c>
      <c r="D268" t="s">
        <v>889</v>
      </c>
      <c r="E268" t="s">
        <v>6171</v>
      </c>
      <c r="F268">
        <v>46229.023611111108</v>
      </c>
      <c r="G268">
        <v>232</v>
      </c>
      <c r="H268" t="s">
        <v>6155</v>
      </c>
      <c r="I268" t="s">
        <v>5358</v>
      </c>
      <c r="J268">
        <v>95</v>
      </c>
      <c r="K268">
        <v>598.5</v>
      </c>
      <c r="L268">
        <v>9375</v>
      </c>
      <c r="M268">
        <v>9383</v>
      </c>
      <c r="N268">
        <v>8</v>
      </c>
      <c r="O268">
        <v>11.875</v>
      </c>
    </row>
    <row r="269" spans="1:15" x14ac:dyDescent="0.25">
      <c r="A269">
        <v>1</v>
      </c>
      <c r="B269">
        <v>1</v>
      </c>
      <c r="C269" t="s">
        <v>57</v>
      </c>
      <c r="D269" t="s">
        <v>889</v>
      </c>
      <c r="E269" t="s">
        <v>6171</v>
      </c>
      <c r="F269">
        <v>46230.994444444441</v>
      </c>
      <c r="G269">
        <v>232</v>
      </c>
      <c r="H269" t="s">
        <v>6155</v>
      </c>
      <c r="I269" t="s">
        <v>5358</v>
      </c>
      <c r="J269">
        <v>62</v>
      </c>
      <c r="K269">
        <v>387.5</v>
      </c>
      <c r="L269">
        <v>9383</v>
      </c>
      <c r="M269">
        <v>9389</v>
      </c>
      <c r="N269">
        <v>6</v>
      </c>
      <c r="O269">
        <v>10.3333333333333</v>
      </c>
    </row>
    <row r="270" spans="1:15" x14ac:dyDescent="0.25">
      <c r="A270">
        <v>1</v>
      </c>
      <c r="B270">
        <v>1</v>
      </c>
      <c r="C270" t="s">
        <v>57</v>
      </c>
      <c r="D270" t="s">
        <v>889</v>
      </c>
      <c r="E270" t="s">
        <v>6171</v>
      </c>
      <c r="F270">
        <v>46232.979861111111</v>
      </c>
      <c r="G270">
        <v>232</v>
      </c>
      <c r="H270" t="s">
        <v>6155</v>
      </c>
      <c r="I270" t="s">
        <v>5358</v>
      </c>
      <c r="J270">
        <v>165</v>
      </c>
      <c r="K270">
        <v>1031.25</v>
      </c>
      <c r="L270">
        <v>9389</v>
      </c>
      <c r="M270">
        <v>9403</v>
      </c>
      <c r="N270">
        <v>14</v>
      </c>
      <c r="O270">
        <v>11.785714285714301</v>
      </c>
    </row>
    <row r="271" spans="1:15" x14ac:dyDescent="0.25">
      <c r="A271">
        <v>1</v>
      </c>
      <c r="B271">
        <v>1</v>
      </c>
      <c r="C271" t="s">
        <v>57</v>
      </c>
      <c r="D271" t="s">
        <v>889</v>
      </c>
      <c r="E271" t="s">
        <v>6171</v>
      </c>
      <c r="F271">
        <v>46233.013888888891</v>
      </c>
      <c r="G271">
        <v>232</v>
      </c>
      <c r="H271" t="s">
        <v>6155</v>
      </c>
      <c r="I271" t="s">
        <v>5358</v>
      </c>
      <c r="J271">
        <v>135</v>
      </c>
      <c r="K271">
        <v>843.75</v>
      </c>
      <c r="L271">
        <v>9403</v>
      </c>
      <c r="M271">
        <v>9412</v>
      </c>
      <c r="N271">
        <v>9</v>
      </c>
      <c r="O271">
        <v>15</v>
      </c>
    </row>
    <row r="272" spans="1:15" x14ac:dyDescent="0.25">
      <c r="A272">
        <v>1</v>
      </c>
      <c r="B272">
        <v>1</v>
      </c>
      <c r="C272" t="s">
        <v>57</v>
      </c>
      <c r="D272" t="s">
        <v>889</v>
      </c>
      <c r="E272" t="s">
        <v>6171</v>
      </c>
      <c r="F272">
        <v>46234.07708333333</v>
      </c>
      <c r="G272">
        <v>232</v>
      </c>
      <c r="H272" t="s">
        <v>6155</v>
      </c>
      <c r="I272" t="s">
        <v>5358</v>
      </c>
      <c r="J272">
        <v>105</v>
      </c>
      <c r="K272">
        <v>656.25</v>
      </c>
      <c r="L272">
        <v>9412</v>
      </c>
      <c r="M272">
        <v>9420</v>
      </c>
      <c r="N272">
        <v>8</v>
      </c>
      <c r="O272">
        <v>13.125</v>
      </c>
    </row>
    <row r="273" spans="1:15" x14ac:dyDescent="0.25">
      <c r="A273">
        <v>1</v>
      </c>
      <c r="B273">
        <v>2</v>
      </c>
      <c r="C273" t="s">
        <v>6172</v>
      </c>
      <c r="D273" t="s">
        <v>83</v>
      </c>
      <c r="E273" t="s">
        <v>6154</v>
      </c>
      <c r="F273">
        <v>46209.401388888888</v>
      </c>
      <c r="G273">
        <v>188</v>
      </c>
      <c r="H273" t="s">
        <v>6173</v>
      </c>
      <c r="I273" t="s">
        <v>5358</v>
      </c>
      <c r="J273">
        <v>167.44</v>
      </c>
      <c r="K273">
        <v>1153.6600000000001</v>
      </c>
      <c r="L273">
        <v>15596</v>
      </c>
      <c r="M273">
        <v>15654</v>
      </c>
      <c r="N273">
        <v>58</v>
      </c>
      <c r="O273">
        <v>2.8868965517241398</v>
      </c>
    </row>
    <row r="274" spans="1:15" x14ac:dyDescent="0.25">
      <c r="A274">
        <v>1</v>
      </c>
      <c r="B274">
        <v>2</v>
      </c>
      <c r="C274" t="s">
        <v>6172</v>
      </c>
      <c r="D274" t="s">
        <v>83</v>
      </c>
      <c r="E274" t="s">
        <v>6154</v>
      </c>
      <c r="F274">
        <v>46211.375694444447</v>
      </c>
      <c r="G274">
        <v>188</v>
      </c>
      <c r="H274" t="s">
        <v>6173</v>
      </c>
      <c r="I274" t="s">
        <v>5358</v>
      </c>
      <c r="J274">
        <v>172.03</v>
      </c>
      <c r="K274">
        <v>1168.08</v>
      </c>
      <c r="L274">
        <v>15654</v>
      </c>
      <c r="M274">
        <v>15672</v>
      </c>
      <c r="N274">
        <v>18</v>
      </c>
      <c r="O274">
        <v>9.5572222222222205</v>
      </c>
    </row>
    <row r="275" spans="1:15" x14ac:dyDescent="0.25">
      <c r="A275">
        <v>1</v>
      </c>
      <c r="B275">
        <v>2</v>
      </c>
      <c r="C275" t="s">
        <v>6172</v>
      </c>
      <c r="D275" t="s">
        <v>83</v>
      </c>
      <c r="E275" t="s">
        <v>6154</v>
      </c>
      <c r="F275">
        <v>46216.602777777778</v>
      </c>
      <c r="G275">
        <v>188</v>
      </c>
      <c r="H275" t="s">
        <v>6173</v>
      </c>
      <c r="I275" t="s">
        <v>5358</v>
      </c>
      <c r="J275">
        <v>172</v>
      </c>
      <c r="K275">
        <v>1185.08</v>
      </c>
      <c r="L275">
        <v>15672</v>
      </c>
      <c r="M275">
        <v>15695</v>
      </c>
      <c r="N275">
        <v>23</v>
      </c>
      <c r="O275">
        <v>7.4782608695652204</v>
      </c>
    </row>
    <row r="276" spans="1:15" x14ac:dyDescent="0.25">
      <c r="A276">
        <v>1</v>
      </c>
      <c r="B276">
        <v>2</v>
      </c>
      <c r="C276" t="s">
        <v>6172</v>
      </c>
      <c r="D276" t="s">
        <v>83</v>
      </c>
      <c r="E276" t="s">
        <v>6154</v>
      </c>
      <c r="F276">
        <v>46231.886111111111</v>
      </c>
      <c r="G276">
        <v>188</v>
      </c>
      <c r="H276" t="s">
        <v>6173</v>
      </c>
      <c r="I276" t="s">
        <v>5358</v>
      </c>
      <c r="J276">
        <v>135</v>
      </c>
      <c r="K276">
        <v>943.65</v>
      </c>
      <c r="L276">
        <v>15695</v>
      </c>
      <c r="M276">
        <v>15725</v>
      </c>
      <c r="N276">
        <v>30</v>
      </c>
      <c r="O276">
        <v>4.5</v>
      </c>
    </row>
    <row r="277" spans="1:15" x14ac:dyDescent="0.25">
      <c r="A277">
        <v>1</v>
      </c>
      <c r="B277">
        <v>2</v>
      </c>
      <c r="C277" t="s">
        <v>6172</v>
      </c>
      <c r="D277" t="s">
        <v>339</v>
      </c>
      <c r="E277" t="s">
        <v>6151</v>
      </c>
      <c r="F277">
        <v>46212.776388888888</v>
      </c>
      <c r="G277">
        <v>264</v>
      </c>
      <c r="H277" t="s">
        <v>6152</v>
      </c>
      <c r="I277" t="s">
        <v>5358</v>
      </c>
      <c r="J277">
        <v>64</v>
      </c>
      <c r="K277">
        <v>393.6</v>
      </c>
      <c r="L277">
        <v>7782</v>
      </c>
      <c r="M277">
        <v>7789</v>
      </c>
      <c r="N277">
        <v>7</v>
      </c>
      <c r="O277">
        <v>9.1428571428571406</v>
      </c>
    </row>
    <row r="278" spans="1:15" x14ac:dyDescent="0.25">
      <c r="A278">
        <v>1</v>
      </c>
      <c r="B278">
        <v>2</v>
      </c>
      <c r="C278" t="s">
        <v>6172</v>
      </c>
      <c r="D278" t="s">
        <v>339</v>
      </c>
      <c r="E278" t="s">
        <v>6151</v>
      </c>
      <c r="F278">
        <v>46214.677777777775</v>
      </c>
      <c r="G278">
        <v>129</v>
      </c>
      <c r="H278" t="s">
        <v>6164</v>
      </c>
      <c r="I278" t="s">
        <v>5358</v>
      </c>
      <c r="J278">
        <v>100</v>
      </c>
      <c r="K278">
        <v>615</v>
      </c>
      <c r="L278">
        <v>7789</v>
      </c>
      <c r="M278">
        <v>7795</v>
      </c>
      <c r="N278">
        <v>6</v>
      </c>
      <c r="O278">
        <v>16.6666666666667</v>
      </c>
    </row>
    <row r="279" spans="1:15" x14ac:dyDescent="0.25">
      <c r="A279">
        <v>1</v>
      </c>
      <c r="B279">
        <v>2</v>
      </c>
      <c r="C279" t="s">
        <v>6172</v>
      </c>
      <c r="D279" t="s">
        <v>339</v>
      </c>
      <c r="E279" t="s">
        <v>6151</v>
      </c>
      <c r="F279">
        <v>46219.87777777778</v>
      </c>
      <c r="G279">
        <v>264</v>
      </c>
      <c r="H279" t="s">
        <v>6152</v>
      </c>
      <c r="I279" t="s">
        <v>5358</v>
      </c>
      <c r="J279">
        <v>131</v>
      </c>
      <c r="K279">
        <v>805.65</v>
      </c>
      <c r="L279">
        <v>7795</v>
      </c>
      <c r="M279">
        <v>7814</v>
      </c>
      <c r="N279">
        <v>19</v>
      </c>
      <c r="O279">
        <v>6.8947368421052602</v>
      </c>
    </row>
    <row r="280" spans="1:15" x14ac:dyDescent="0.25">
      <c r="A280">
        <v>1</v>
      </c>
      <c r="B280">
        <v>2</v>
      </c>
      <c r="C280" t="s">
        <v>6172</v>
      </c>
      <c r="D280" t="s">
        <v>339</v>
      </c>
      <c r="E280" t="s">
        <v>6151</v>
      </c>
      <c r="F280">
        <v>46221.896527777775</v>
      </c>
      <c r="G280">
        <v>264</v>
      </c>
      <c r="H280" t="s">
        <v>6152</v>
      </c>
      <c r="I280" t="s">
        <v>5358</v>
      </c>
      <c r="J280">
        <v>166</v>
      </c>
      <c r="K280">
        <v>1029.2</v>
      </c>
      <c r="L280">
        <v>7814</v>
      </c>
      <c r="M280">
        <v>7829</v>
      </c>
      <c r="N280">
        <v>15</v>
      </c>
      <c r="O280">
        <v>11.0666666666667</v>
      </c>
    </row>
    <row r="281" spans="1:15" x14ac:dyDescent="0.25">
      <c r="A281">
        <v>1</v>
      </c>
      <c r="B281">
        <v>2</v>
      </c>
      <c r="C281" t="s">
        <v>6172</v>
      </c>
      <c r="D281" t="s">
        <v>339</v>
      </c>
      <c r="E281" t="s">
        <v>6151</v>
      </c>
      <c r="F281">
        <v>46223.865277777775</v>
      </c>
      <c r="G281">
        <v>264</v>
      </c>
      <c r="H281" t="s">
        <v>6152</v>
      </c>
      <c r="I281" t="s">
        <v>5358</v>
      </c>
      <c r="J281">
        <v>203</v>
      </c>
      <c r="K281">
        <v>1280.93</v>
      </c>
      <c r="L281">
        <v>7829</v>
      </c>
      <c r="M281">
        <v>7848</v>
      </c>
      <c r="N281">
        <v>19</v>
      </c>
      <c r="O281">
        <v>10.6842105263158</v>
      </c>
    </row>
    <row r="282" spans="1:15" x14ac:dyDescent="0.25">
      <c r="A282">
        <v>1</v>
      </c>
      <c r="B282">
        <v>2</v>
      </c>
      <c r="C282" t="s">
        <v>6172</v>
      </c>
      <c r="D282" t="s">
        <v>575</v>
      </c>
      <c r="E282" t="s">
        <v>6174</v>
      </c>
      <c r="F282">
        <v>46205.429861111108</v>
      </c>
      <c r="G282">
        <v>232</v>
      </c>
      <c r="H282" t="s">
        <v>6155</v>
      </c>
      <c r="I282" t="s">
        <v>5358</v>
      </c>
      <c r="J282">
        <v>241</v>
      </c>
      <c r="K282">
        <v>1482.15</v>
      </c>
      <c r="L282">
        <v>99</v>
      </c>
      <c r="M282">
        <v>101</v>
      </c>
      <c r="N282">
        <v>2</v>
      </c>
      <c r="O282">
        <v>120.5</v>
      </c>
    </row>
    <row r="283" spans="1:15" x14ac:dyDescent="0.25">
      <c r="A283">
        <v>1</v>
      </c>
      <c r="B283">
        <v>2</v>
      </c>
      <c r="C283" t="s">
        <v>6172</v>
      </c>
      <c r="D283" t="s">
        <v>575</v>
      </c>
      <c r="E283" t="s">
        <v>6174</v>
      </c>
      <c r="F283">
        <v>46207.46597222222</v>
      </c>
      <c r="G283">
        <v>232</v>
      </c>
      <c r="H283" t="s">
        <v>6155</v>
      </c>
      <c r="I283" t="s">
        <v>5358</v>
      </c>
      <c r="J283">
        <v>531</v>
      </c>
      <c r="K283">
        <v>3265.65</v>
      </c>
      <c r="L283">
        <v>101</v>
      </c>
      <c r="M283">
        <v>117</v>
      </c>
      <c r="N283">
        <v>16</v>
      </c>
      <c r="O283">
        <v>33.1875</v>
      </c>
    </row>
    <row r="284" spans="1:15" x14ac:dyDescent="0.25">
      <c r="A284">
        <v>1</v>
      </c>
      <c r="B284">
        <v>2</v>
      </c>
      <c r="C284" t="s">
        <v>6172</v>
      </c>
      <c r="D284" t="s">
        <v>575</v>
      </c>
      <c r="E284" t="s">
        <v>6174</v>
      </c>
      <c r="F284">
        <v>46208.96875</v>
      </c>
      <c r="G284">
        <v>232</v>
      </c>
      <c r="H284" t="s">
        <v>6155</v>
      </c>
      <c r="I284" t="s">
        <v>5358</v>
      </c>
      <c r="J284">
        <v>190</v>
      </c>
      <c r="K284">
        <v>1219.8</v>
      </c>
      <c r="L284">
        <v>117</v>
      </c>
      <c r="M284">
        <v>122</v>
      </c>
      <c r="N284">
        <v>5</v>
      </c>
      <c r="O284">
        <v>38</v>
      </c>
    </row>
    <row r="285" spans="1:15" x14ac:dyDescent="0.25">
      <c r="A285">
        <v>1</v>
      </c>
      <c r="B285">
        <v>2</v>
      </c>
      <c r="C285" t="s">
        <v>6172</v>
      </c>
      <c r="D285" t="s">
        <v>575</v>
      </c>
      <c r="E285" t="s">
        <v>6174</v>
      </c>
      <c r="F285">
        <v>46215.436805555553</v>
      </c>
      <c r="G285">
        <v>232</v>
      </c>
      <c r="H285" t="s">
        <v>6155</v>
      </c>
      <c r="I285" t="s">
        <v>5358</v>
      </c>
      <c r="J285">
        <v>348</v>
      </c>
      <c r="K285">
        <v>2140.1999999999998</v>
      </c>
      <c r="L285">
        <v>122</v>
      </c>
      <c r="M285">
        <v>133</v>
      </c>
      <c r="N285">
        <v>11</v>
      </c>
      <c r="O285">
        <v>31.636363636363601</v>
      </c>
    </row>
    <row r="286" spans="1:15" x14ac:dyDescent="0.25">
      <c r="A286">
        <v>1</v>
      </c>
      <c r="B286">
        <v>2</v>
      </c>
      <c r="C286" t="s">
        <v>6172</v>
      </c>
      <c r="D286" t="s">
        <v>575</v>
      </c>
      <c r="E286" t="s">
        <v>6174</v>
      </c>
      <c r="F286">
        <v>46216.973611111112</v>
      </c>
      <c r="G286">
        <v>232</v>
      </c>
      <c r="H286" t="s">
        <v>6155</v>
      </c>
      <c r="I286" t="s">
        <v>5358</v>
      </c>
      <c r="J286">
        <v>274</v>
      </c>
      <c r="K286">
        <v>1685.1</v>
      </c>
      <c r="L286">
        <v>133</v>
      </c>
      <c r="M286">
        <v>139</v>
      </c>
      <c r="N286">
        <v>6</v>
      </c>
      <c r="O286">
        <v>45.6666666666667</v>
      </c>
    </row>
    <row r="287" spans="1:15" x14ac:dyDescent="0.25">
      <c r="A287">
        <v>1</v>
      </c>
      <c r="B287">
        <v>2</v>
      </c>
      <c r="C287" t="s">
        <v>6172</v>
      </c>
      <c r="D287" t="s">
        <v>575</v>
      </c>
      <c r="E287" t="s">
        <v>6174</v>
      </c>
      <c r="F287">
        <v>46217.521527777775</v>
      </c>
      <c r="G287">
        <v>232</v>
      </c>
      <c r="H287" t="s">
        <v>6155</v>
      </c>
      <c r="I287" t="s">
        <v>5358</v>
      </c>
      <c r="J287">
        <v>401</v>
      </c>
      <c r="K287">
        <v>2466.15</v>
      </c>
      <c r="L287">
        <v>139</v>
      </c>
      <c r="M287">
        <v>148</v>
      </c>
      <c r="N287">
        <v>9</v>
      </c>
      <c r="O287">
        <v>44.5555555555556</v>
      </c>
    </row>
    <row r="288" spans="1:15" x14ac:dyDescent="0.25">
      <c r="A288">
        <v>1</v>
      </c>
      <c r="B288">
        <v>2</v>
      </c>
      <c r="C288" t="s">
        <v>6172</v>
      </c>
      <c r="D288" t="s">
        <v>575</v>
      </c>
      <c r="E288" t="s">
        <v>6174</v>
      </c>
      <c r="F288">
        <v>46219.411805555559</v>
      </c>
      <c r="G288">
        <v>232</v>
      </c>
      <c r="H288" t="s">
        <v>6155</v>
      </c>
      <c r="I288" t="s">
        <v>5358</v>
      </c>
      <c r="J288">
        <v>649</v>
      </c>
      <c r="K288">
        <v>3991.35</v>
      </c>
      <c r="L288">
        <v>148</v>
      </c>
      <c r="M288">
        <v>163</v>
      </c>
      <c r="N288">
        <v>15</v>
      </c>
      <c r="O288">
        <v>43.266666666666701</v>
      </c>
    </row>
    <row r="289" spans="1:15" x14ac:dyDescent="0.25">
      <c r="A289">
        <v>1</v>
      </c>
      <c r="B289">
        <v>2</v>
      </c>
      <c r="C289" t="s">
        <v>6172</v>
      </c>
      <c r="D289" t="s">
        <v>575</v>
      </c>
      <c r="E289" t="s">
        <v>6174</v>
      </c>
      <c r="F289">
        <v>46220.032638888886</v>
      </c>
      <c r="G289">
        <v>232</v>
      </c>
      <c r="H289" t="s">
        <v>6155</v>
      </c>
      <c r="I289" t="s">
        <v>5358</v>
      </c>
      <c r="J289">
        <v>214</v>
      </c>
      <c r="K289">
        <v>1316.1</v>
      </c>
      <c r="L289">
        <v>163</v>
      </c>
      <c r="M289">
        <v>169</v>
      </c>
      <c r="N289">
        <v>6</v>
      </c>
      <c r="O289">
        <v>35.6666666666667</v>
      </c>
    </row>
    <row r="290" spans="1:15" x14ac:dyDescent="0.25">
      <c r="A290">
        <v>1</v>
      </c>
      <c r="B290">
        <v>2</v>
      </c>
      <c r="C290" t="s">
        <v>6172</v>
      </c>
      <c r="D290" t="s">
        <v>575</v>
      </c>
      <c r="E290" t="s">
        <v>6174</v>
      </c>
      <c r="F290">
        <v>46221.928472222222</v>
      </c>
      <c r="G290">
        <v>232</v>
      </c>
      <c r="H290" t="s">
        <v>6155</v>
      </c>
      <c r="I290" t="s">
        <v>5358</v>
      </c>
      <c r="J290">
        <v>266</v>
      </c>
      <c r="K290">
        <v>1635.9</v>
      </c>
      <c r="L290">
        <v>169</v>
      </c>
      <c r="M290">
        <v>176</v>
      </c>
      <c r="N290">
        <v>7</v>
      </c>
      <c r="O290">
        <v>38</v>
      </c>
    </row>
    <row r="291" spans="1:15" x14ac:dyDescent="0.25">
      <c r="A291">
        <v>1</v>
      </c>
      <c r="B291">
        <v>2</v>
      </c>
      <c r="C291" t="s">
        <v>6172</v>
      </c>
      <c r="D291" t="s">
        <v>575</v>
      </c>
      <c r="E291" t="s">
        <v>6174</v>
      </c>
      <c r="F291">
        <v>46222.063194444447</v>
      </c>
      <c r="G291">
        <v>232</v>
      </c>
      <c r="H291" t="s">
        <v>6155</v>
      </c>
      <c r="I291" t="s">
        <v>5358</v>
      </c>
      <c r="J291">
        <v>263</v>
      </c>
      <c r="K291">
        <v>1656.9</v>
      </c>
      <c r="L291">
        <v>176</v>
      </c>
      <c r="M291">
        <v>182</v>
      </c>
      <c r="N291">
        <v>6</v>
      </c>
      <c r="O291">
        <v>43.8333333333333</v>
      </c>
    </row>
    <row r="292" spans="1:15" x14ac:dyDescent="0.25">
      <c r="A292">
        <v>1</v>
      </c>
      <c r="B292">
        <v>2</v>
      </c>
      <c r="C292" t="s">
        <v>6172</v>
      </c>
      <c r="D292" t="s">
        <v>575</v>
      </c>
      <c r="E292" t="s">
        <v>6174</v>
      </c>
      <c r="F292">
        <v>46223.093055555553</v>
      </c>
      <c r="G292">
        <v>232</v>
      </c>
      <c r="H292" t="s">
        <v>6155</v>
      </c>
      <c r="I292" t="s">
        <v>5358</v>
      </c>
      <c r="J292">
        <v>146</v>
      </c>
      <c r="K292">
        <v>912.5</v>
      </c>
      <c r="L292">
        <v>182</v>
      </c>
      <c r="M292">
        <v>188</v>
      </c>
      <c r="N292">
        <v>6</v>
      </c>
      <c r="O292">
        <v>24.3333333333333</v>
      </c>
    </row>
    <row r="293" spans="1:15" x14ac:dyDescent="0.25">
      <c r="A293">
        <v>1</v>
      </c>
      <c r="B293">
        <v>2</v>
      </c>
      <c r="C293" t="s">
        <v>6172</v>
      </c>
      <c r="D293" t="s">
        <v>575</v>
      </c>
      <c r="E293" t="s">
        <v>6174</v>
      </c>
      <c r="F293">
        <v>46227.640277777777</v>
      </c>
      <c r="G293">
        <v>232</v>
      </c>
      <c r="H293" t="s">
        <v>6155</v>
      </c>
      <c r="I293" t="s">
        <v>5358</v>
      </c>
      <c r="J293">
        <v>610</v>
      </c>
      <c r="K293">
        <v>3812.5</v>
      </c>
      <c r="L293">
        <v>188</v>
      </c>
      <c r="M293">
        <v>205</v>
      </c>
      <c r="N293">
        <v>17</v>
      </c>
      <c r="O293">
        <v>35.882352941176499</v>
      </c>
    </row>
    <row r="294" spans="1:15" x14ac:dyDescent="0.25">
      <c r="A294">
        <v>1</v>
      </c>
      <c r="B294">
        <v>2</v>
      </c>
      <c r="C294" t="s">
        <v>6172</v>
      </c>
      <c r="D294" t="s">
        <v>575</v>
      </c>
      <c r="E294" t="s">
        <v>6174</v>
      </c>
      <c r="F294">
        <v>46228.977083333331</v>
      </c>
      <c r="G294">
        <v>232</v>
      </c>
      <c r="H294" t="s">
        <v>6155</v>
      </c>
      <c r="I294" t="s">
        <v>5358</v>
      </c>
      <c r="J294">
        <v>273</v>
      </c>
      <c r="K294">
        <v>1706.25</v>
      </c>
      <c r="L294">
        <v>205</v>
      </c>
      <c r="M294">
        <v>212</v>
      </c>
      <c r="N294">
        <v>7</v>
      </c>
      <c r="O294">
        <v>39</v>
      </c>
    </row>
    <row r="295" spans="1:15" x14ac:dyDescent="0.25">
      <c r="A295">
        <v>1</v>
      </c>
      <c r="B295">
        <v>2</v>
      </c>
      <c r="C295" t="s">
        <v>6172</v>
      </c>
      <c r="D295" t="s">
        <v>575</v>
      </c>
      <c r="E295" t="s">
        <v>6174</v>
      </c>
      <c r="F295">
        <v>46229.018055555556</v>
      </c>
      <c r="G295">
        <v>232</v>
      </c>
      <c r="H295" t="s">
        <v>6155</v>
      </c>
      <c r="I295" t="s">
        <v>5358</v>
      </c>
      <c r="J295">
        <v>266</v>
      </c>
      <c r="K295">
        <v>1675.8</v>
      </c>
      <c r="L295">
        <v>212</v>
      </c>
      <c r="M295">
        <v>218</v>
      </c>
      <c r="N295">
        <v>6</v>
      </c>
      <c r="O295">
        <v>44.3333333333333</v>
      </c>
    </row>
    <row r="296" spans="1:15" x14ac:dyDescent="0.25">
      <c r="A296">
        <v>1</v>
      </c>
      <c r="B296">
        <v>2</v>
      </c>
      <c r="C296" t="s">
        <v>6172</v>
      </c>
      <c r="D296" t="s">
        <v>575</v>
      </c>
      <c r="E296" t="s">
        <v>6174</v>
      </c>
      <c r="F296">
        <v>46231.621527777781</v>
      </c>
      <c r="G296">
        <v>232</v>
      </c>
      <c r="H296" t="s">
        <v>6155</v>
      </c>
      <c r="I296" t="s">
        <v>5358</v>
      </c>
      <c r="J296">
        <v>447</v>
      </c>
      <c r="K296">
        <v>2793.75</v>
      </c>
      <c r="L296">
        <v>218</v>
      </c>
      <c r="M296">
        <v>229</v>
      </c>
      <c r="N296">
        <v>11</v>
      </c>
      <c r="O296">
        <v>40.636363636363598</v>
      </c>
    </row>
    <row r="297" spans="1:15" x14ac:dyDescent="0.25">
      <c r="A297">
        <v>1</v>
      </c>
      <c r="B297">
        <v>2</v>
      </c>
      <c r="C297" t="s">
        <v>6172</v>
      </c>
      <c r="D297" t="s">
        <v>575</v>
      </c>
      <c r="E297" t="s">
        <v>6174</v>
      </c>
      <c r="F297">
        <v>46234.386111111111</v>
      </c>
      <c r="G297">
        <v>232</v>
      </c>
      <c r="H297" t="s">
        <v>6155</v>
      </c>
      <c r="I297" t="s">
        <v>5358</v>
      </c>
      <c r="J297">
        <v>696</v>
      </c>
      <c r="K297">
        <v>4350</v>
      </c>
      <c r="L297">
        <v>229</v>
      </c>
      <c r="M297">
        <v>244</v>
      </c>
      <c r="N297">
        <v>15</v>
      </c>
      <c r="O297">
        <v>46.4</v>
      </c>
    </row>
    <row r="298" spans="1:15" x14ac:dyDescent="0.25">
      <c r="A298">
        <v>1</v>
      </c>
      <c r="B298">
        <v>2</v>
      </c>
      <c r="C298" t="s">
        <v>6172</v>
      </c>
      <c r="D298" t="s">
        <v>599</v>
      </c>
      <c r="E298" t="s">
        <v>6175</v>
      </c>
      <c r="F298">
        <v>46204.65</v>
      </c>
      <c r="G298">
        <v>232</v>
      </c>
      <c r="H298" t="s">
        <v>6155</v>
      </c>
      <c r="I298" t="s">
        <v>5358</v>
      </c>
      <c r="J298">
        <v>68</v>
      </c>
      <c r="K298">
        <v>418.2</v>
      </c>
      <c r="L298">
        <v>11691</v>
      </c>
      <c r="M298">
        <v>11702</v>
      </c>
      <c r="N298">
        <v>11</v>
      </c>
      <c r="O298">
        <v>6.1818181818181799</v>
      </c>
    </row>
    <row r="299" spans="1:15" x14ac:dyDescent="0.25">
      <c r="A299">
        <v>1</v>
      </c>
      <c r="B299">
        <v>2</v>
      </c>
      <c r="C299" t="s">
        <v>6172</v>
      </c>
      <c r="D299" t="s">
        <v>599</v>
      </c>
      <c r="E299" t="s">
        <v>6175</v>
      </c>
      <c r="F299">
        <v>46207.597222222219</v>
      </c>
      <c r="G299">
        <v>232</v>
      </c>
      <c r="H299" t="s">
        <v>6155</v>
      </c>
      <c r="I299" t="s">
        <v>5358</v>
      </c>
      <c r="J299">
        <v>69</v>
      </c>
      <c r="K299">
        <v>424.35</v>
      </c>
      <c r="L299">
        <v>11702</v>
      </c>
      <c r="M299">
        <v>11708</v>
      </c>
      <c r="N299">
        <v>6</v>
      </c>
      <c r="O299">
        <v>11.5</v>
      </c>
    </row>
    <row r="300" spans="1:15" x14ac:dyDescent="0.25">
      <c r="A300">
        <v>1</v>
      </c>
      <c r="B300">
        <v>2</v>
      </c>
      <c r="C300" t="s">
        <v>6172</v>
      </c>
      <c r="D300" t="s">
        <v>599</v>
      </c>
      <c r="E300" t="s">
        <v>6175</v>
      </c>
      <c r="F300">
        <v>46209.936805555553</v>
      </c>
      <c r="G300">
        <v>232</v>
      </c>
      <c r="H300" t="s">
        <v>6155</v>
      </c>
      <c r="I300" t="s">
        <v>5358</v>
      </c>
      <c r="J300">
        <v>55</v>
      </c>
      <c r="K300">
        <v>338.25</v>
      </c>
      <c r="L300">
        <v>11708</v>
      </c>
      <c r="M300">
        <v>11719</v>
      </c>
      <c r="N300">
        <v>11</v>
      </c>
      <c r="O300">
        <v>5</v>
      </c>
    </row>
    <row r="301" spans="1:15" x14ac:dyDescent="0.25">
      <c r="A301">
        <v>1</v>
      </c>
      <c r="B301">
        <v>2</v>
      </c>
      <c r="C301" t="s">
        <v>6172</v>
      </c>
      <c r="D301" t="s">
        <v>599</v>
      </c>
      <c r="E301" t="s">
        <v>6175</v>
      </c>
      <c r="F301">
        <v>46211.00277777778</v>
      </c>
      <c r="G301">
        <v>232</v>
      </c>
      <c r="H301" t="s">
        <v>6155</v>
      </c>
      <c r="I301" t="s">
        <v>5358</v>
      </c>
      <c r="J301">
        <v>61</v>
      </c>
      <c r="K301">
        <v>375.15</v>
      </c>
      <c r="L301">
        <v>11719</v>
      </c>
      <c r="M301">
        <v>11729</v>
      </c>
      <c r="N301">
        <v>10</v>
      </c>
      <c r="O301">
        <v>6.1</v>
      </c>
    </row>
    <row r="302" spans="1:15" x14ac:dyDescent="0.25">
      <c r="A302">
        <v>1</v>
      </c>
      <c r="B302">
        <v>2</v>
      </c>
      <c r="C302" t="s">
        <v>6172</v>
      </c>
      <c r="D302" t="s">
        <v>599</v>
      </c>
      <c r="E302" t="s">
        <v>6175</v>
      </c>
      <c r="F302">
        <v>46214.020138888889</v>
      </c>
      <c r="G302">
        <v>232</v>
      </c>
      <c r="H302" t="s">
        <v>6155</v>
      </c>
      <c r="I302" t="s">
        <v>5358</v>
      </c>
      <c r="J302">
        <v>89</v>
      </c>
      <c r="K302">
        <v>547.35</v>
      </c>
      <c r="L302">
        <v>11729</v>
      </c>
      <c r="M302">
        <v>11741</v>
      </c>
      <c r="N302">
        <v>12</v>
      </c>
      <c r="O302">
        <v>7.4166666666666696</v>
      </c>
    </row>
    <row r="303" spans="1:15" x14ac:dyDescent="0.25">
      <c r="A303">
        <v>1</v>
      </c>
      <c r="B303">
        <v>2</v>
      </c>
      <c r="C303" t="s">
        <v>6172</v>
      </c>
      <c r="D303" t="s">
        <v>599</v>
      </c>
      <c r="E303" t="s">
        <v>6175</v>
      </c>
      <c r="F303">
        <v>46220.509722222225</v>
      </c>
      <c r="G303">
        <v>129</v>
      </c>
      <c r="H303" t="s">
        <v>6164</v>
      </c>
      <c r="I303" t="s">
        <v>5358</v>
      </c>
      <c r="J303">
        <v>113</v>
      </c>
      <c r="K303">
        <v>694.95</v>
      </c>
      <c r="L303">
        <v>11741</v>
      </c>
      <c r="M303">
        <v>11755</v>
      </c>
      <c r="N303">
        <v>14</v>
      </c>
      <c r="O303">
        <v>8.0714285714285694</v>
      </c>
    </row>
    <row r="304" spans="1:15" x14ac:dyDescent="0.25">
      <c r="A304">
        <v>1</v>
      </c>
      <c r="B304">
        <v>2</v>
      </c>
      <c r="C304" t="s">
        <v>6172</v>
      </c>
      <c r="D304" t="s">
        <v>599</v>
      </c>
      <c r="E304" t="s">
        <v>6175</v>
      </c>
      <c r="F304">
        <v>46223.422222222223</v>
      </c>
      <c r="G304">
        <v>129</v>
      </c>
      <c r="H304" t="s">
        <v>6164</v>
      </c>
      <c r="I304" t="s">
        <v>5358</v>
      </c>
      <c r="J304">
        <v>150</v>
      </c>
      <c r="K304">
        <v>1048.5</v>
      </c>
      <c r="L304">
        <v>11755</v>
      </c>
      <c r="M304">
        <v>11779</v>
      </c>
      <c r="N304">
        <v>24</v>
      </c>
      <c r="O304">
        <v>6.25</v>
      </c>
    </row>
    <row r="305" spans="1:15" x14ac:dyDescent="0.25">
      <c r="A305">
        <v>1</v>
      </c>
      <c r="B305">
        <v>2</v>
      </c>
      <c r="C305" t="s">
        <v>6172</v>
      </c>
      <c r="D305" t="s">
        <v>599</v>
      </c>
      <c r="E305" t="s">
        <v>6175</v>
      </c>
      <c r="F305">
        <v>46225.029166666667</v>
      </c>
      <c r="G305">
        <v>232</v>
      </c>
      <c r="H305" t="s">
        <v>6155</v>
      </c>
      <c r="I305" t="s">
        <v>5358</v>
      </c>
      <c r="J305">
        <v>37</v>
      </c>
      <c r="K305">
        <v>231.25</v>
      </c>
      <c r="L305">
        <v>11779</v>
      </c>
      <c r="M305">
        <v>11784</v>
      </c>
      <c r="N305">
        <v>5</v>
      </c>
      <c r="O305">
        <v>7.4</v>
      </c>
    </row>
    <row r="306" spans="1:15" x14ac:dyDescent="0.25">
      <c r="A306">
        <v>1</v>
      </c>
      <c r="B306">
        <v>2</v>
      </c>
      <c r="C306" t="s">
        <v>6172</v>
      </c>
      <c r="D306" t="s">
        <v>599</v>
      </c>
      <c r="E306" t="s">
        <v>6175</v>
      </c>
      <c r="F306">
        <v>46232.980555555558</v>
      </c>
      <c r="G306">
        <v>232</v>
      </c>
      <c r="H306" t="s">
        <v>6155</v>
      </c>
      <c r="I306" t="s">
        <v>5358</v>
      </c>
      <c r="J306">
        <v>141</v>
      </c>
      <c r="K306">
        <v>881.25</v>
      </c>
      <c r="L306">
        <v>11784</v>
      </c>
      <c r="M306">
        <v>11801</v>
      </c>
      <c r="N306">
        <v>17</v>
      </c>
      <c r="O306">
        <v>8.2941176470588207</v>
      </c>
    </row>
    <row r="307" spans="1:15" x14ac:dyDescent="0.25">
      <c r="A307">
        <v>1</v>
      </c>
      <c r="B307">
        <v>2</v>
      </c>
      <c r="C307" t="s">
        <v>6172</v>
      </c>
      <c r="D307" t="s">
        <v>599</v>
      </c>
      <c r="E307" t="s">
        <v>6175</v>
      </c>
      <c r="F307">
        <v>46233.626388888886</v>
      </c>
      <c r="G307">
        <v>129</v>
      </c>
      <c r="H307" t="s">
        <v>6164</v>
      </c>
      <c r="I307" t="s">
        <v>5358</v>
      </c>
      <c r="J307">
        <v>86</v>
      </c>
      <c r="K307">
        <v>601.14</v>
      </c>
      <c r="L307">
        <v>11801</v>
      </c>
      <c r="M307">
        <v>11808</v>
      </c>
      <c r="N307">
        <v>7</v>
      </c>
      <c r="O307">
        <v>12.285714285714301</v>
      </c>
    </row>
    <row r="308" spans="1:15" x14ac:dyDescent="0.25">
      <c r="A308">
        <v>1</v>
      </c>
      <c r="B308">
        <v>2</v>
      </c>
      <c r="C308" t="s">
        <v>6172</v>
      </c>
      <c r="D308" t="s">
        <v>599</v>
      </c>
      <c r="E308" t="s">
        <v>6175</v>
      </c>
      <c r="F308">
        <v>46234.421527777777</v>
      </c>
      <c r="G308">
        <v>129</v>
      </c>
      <c r="H308" t="s">
        <v>6164</v>
      </c>
      <c r="I308" t="s">
        <v>5358</v>
      </c>
      <c r="J308">
        <v>83</v>
      </c>
      <c r="K308">
        <v>580.16999999999996</v>
      </c>
      <c r="L308">
        <v>11808</v>
      </c>
      <c r="M308">
        <v>11818</v>
      </c>
      <c r="N308">
        <v>10</v>
      </c>
      <c r="O308">
        <v>8.3000000000000007</v>
      </c>
    </row>
    <row r="309" spans="1:15" x14ac:dyDescent="0.25">
      <c r="A309">
        <v>1</v>
      </c>
      <c r="B309">
        <v>2</v>
      </c>
      <c r="C309" t="s">
        <v>6172</v>
      </c>
      <c r="D309" t="s">
        <v>736</v>
      </c>
      <c r="E309" t="s">
        <v>6167</v>
      </c>
      <c r="F309">
        <v>46205.410416666666</v>
      </c>
      <c r="G309">
        <v>232</v>
      </c>
      <c r="H309" t="s">
        <v>6155</v>
      </c>
      <c r="I309" t="s">
        <v>5358</v>
      </c>
      <c r="J309">
        <v>89</v>
      </c>
      <c r="K309">
        <v>547.35</v>
      </c>
      <c r="L309">
        <v>4660</v>
      </c>
      <c r="M309">
        <v>4675</v>
      </c>
      <c r="N309">
        <v>15</v>
      </c>
      <c r="O309">
        <v>5.93333333333333</v>
      </c>
    </row>
    <row r="310" spans="1:15" x14ac:dyDescent="0.25">
      <c r="A310">
        <v>1</v>
      </c>
      <c r="B310">
        <v>2</v>
      </c>
      <c r="C310" t="s">
        <v>6172</v>
      </c>
      <c r="D310" t="s">
        <v>736</v>
      </c>
      <c r="E310" t="s">
        <v>6167</v>
      </c>
      <c r="F310">
        <v>46208.518750000003</v>
      </c>
      <c r="G310">
        <v>232</v>
      </c>
      <c r="H310" t="s">
        <v>6155</v>
      </c>
      <c r="I310" t="s">
        <v>5358</v>
      </c>
      <c r="J310">
        <v>42</v>
      </c>
      <c r="K310">
        <v>269.64</v>
      </c>
      <c r="L310">
        <v>4675</v>
      </c>
      <c r="M310">
        <v>4683</v>
      </c>
      <c r="N310">
        <v>8</v>
      </c>
      <c r="O310">
        <v>5.25</v>
      </c>
    </row>
    <row r="311" spans="1:15" x14ac:dyDescent="0.25">
      <c r="A311">
        <v>1</v>
      </c>
      <c r="B311">
        <v>2</v>
      </c>
      <c r="C311" t="s">
        <v>6172</v>
      </c>
      <c r="D311" t="s">
        <v>736</v>
      </c>
      <c r="E311" t="s">
        <v>6167</v>
      </c>
      <c r="F311">
        <v>46215.440972222219</v>
      </c>
      <c r="G311">
        <v>232</v>
      </c>
      <c r="H311" t="s">
        <v>6155</v>
      </c>
      <c r="I311" t="s">
        <v>5358</v>
      </c>
      <c r="J311">
        <v>101</v>
      </c>
      <c r="K311">
        <v>621.15</v>
      </c>
      <c r="L311">
        <v>4683</v>
      </c>
      <c r="M311">
        <v>4701</v>
      </c>
      <c r="N311">
        <v>18</v>
      </c>
      <c r="O311">
        <v>5.6111111111111098</v>
      </c>
    </row>
    <row r="312" spans="1:15" x14ac:dyDescent="0.25">
      <c r="A312">
        <v>1</v>
      </c>
      <c r="B312">
        <v>2</v>
      </c>
      <c r="C312" t="s">
        <v>6172</v>
      </c>
      <c r="D312" t="s">
        <v>736</v>
      </c>
      <c r="E312" t="s">
        <v>6167</v>
      </c>
      <c r="F312">
        <v>46217.500694444447</v>
      </c>
      <c r="G312">
        <v>232</v>
      </c>
      <c r="H312" t="s">
        <v>6155</v>
      </c>
      <c r="I312" t="s">
        <v>5358</v>
      </c>
      <c r="J312">
        <v>96</v>
      </c>
      <c r="K312">
        <v>590.4</v>
      </c>
      <c r="L312">
        <v>4701</v>
      </c>
      <c r="M312">
        <v>4718</v>
      </c>
      <c r="N312">
        <v>17</v>
      </c>
      <c r="O312">
        <v>5.6470588235294104</v>
      </c>
    </row>
    <row r="313" spans="1:15" x14ac:dyDescent="0.25">
      <c r="A313">
        <v>1</v>
      </c>
      <c r="B313">
        <v>2</v>
      </c>
      <c r="C313" t="s">
        <v>6172</v>
      </c>
      <c r="D313" t="s">
        <v>736</v>
      </c>
      <c r="E313" t="s">
        <v>6167</v>
      </c>
      <c r="F313">
        <v>46219.410416666666</v>
      </c>
      <c r="G313">
        <v>232</v>
      </c>
      <c r="H313" t="s">
        <v>6155</v>
      </c>
      <c r="I313" t="s">
        <v>5358</v>
      </c>
      <c r="J313">
        <v>107</v>
      </c>
      <c r="K313">
        <v>658.05</v>
      </c>
      <c r="L313">
        <v>4718</v>
      </c>
      <c r="M313">
        <v>4736</v>
      </c>
      <c r="N313">
        <v>18</v>
      </c>
      <c r="O313">
        <v>5.9444444444444402</v>
      </c>
    </row>
    <row r="314" spans="1:15" x14ac:dyDescent="0.25">
      <c r="A314">
        <v>1</v>
      </c>
      <c r="B314">
        <v>2</v>
      </c>
      <c r="C314" t="s">
        <v>6172</v>
      </c>
      <c r="D314" t="s">
        <v>736</v>
      </c>
      <c r="E314" t="s">
        <v>6167</v>
      </c>
      <c r="F314">
        <v>46222.468055555553</v>
      </c>
      <c r="G314">
        <v>232</v>
      </c>
      <c r="H314" t="s">
        <v>6155</v>
      </c>
      <c r="I314" t="s">
        <v>5358</v>
      </c>
      <c r="J314">
        <v>145</v>
      </c>
      <c r="K314">
        <v>913.5</v>
      </c>
      <c r="L314">
        <v>4736</v>
      </c>
      <c r="M314">
        <v>4760</v>
      </c>
      <c r="N314">
        <v>24</v>
      </c>
      <c r="O314">
        <v>6.0416666666666696</v>
      </c>
    </row>
    <row r="315" spans="1:15" x14ac:dyDescent="0.25">
      <c r="A315">
        <v>1</v>
      </c>
      <c r="B315">
        <v>2</v>
      </c>
      <c r="C315" t="s">
        <v>6172</v>
      </c>
      <c r="D315" t="s">
        <v>736</v>
      </c>
      <c r="E315" t="s">
        <v>6167</v>
      </c>
      <c r="F315">
        <v>46225.377083333333</v>
      </c>
      <c r="G315">
        <v>232</v>
      </c>
      <c r="H315" t="s">
        <v>6155</v>
      </c>
      <c r="I315" t="s">
        <v>5358</v>
      </c>
      <c r="J315">
        <v>60</v>
      </c>
      <c r="K315">
        <v>375</v>
      </c>
      <c r="L315">
        <v>4760</v>
      </c>
      <c r="M315">
        <v>4773</v>
      </c>
      <c r="N315">
        <v>13</v>
      </c>
      <c r="O315">
        <v>4.6153846153846096</v>
      </c>
    </row>
    <row r="316" spans="1:15" x14ac:dyDescent="0.25">
      <c r="A316">
        <v>1</v>
      </c>
      <c r="B316">
        <v>2</v>
      </c>
      <c r="C316" t="s">
        <v>6172</v>
      </c>
      <c r="D316" t="s">
        <v>736</v>
      </c>
      <c r="E316" t="s">
        <v>6167</v>
      </c>
      <c r="F316">
        <v>46229.763194444444</v>
      </c>
      <c r="G316">
        <v>232</v>
      </c>
      <c r="H316" t="s">
        <v>6155</v>
      </c>
      <c r="I316" t="s">
        <v>5358</v>
      </c>
      <c r="J316">
        <v>140</v>
      </c>
      <c r="K316">
        <v>882</v>
      </c>
      <c r="L316">
        <v>4773</v>
      </c>
      <c r="M316">
        <v>4798</v>
      </c>
      <c r="N316">
        <v>25</v>
      </c>
      <c r="O316">
        <v>5.6</v>
      </c>
    </row>
    <row r="317" spans="1:15" x14ac:dyDescent="0.25">
      <c r="A317">
        <v>1</v>
      </c>
      <c r="B317">
        <v>2</v>
      </c>
      <c r="C317" t="s">
        <v>6172</v>
      </c>
      <c r="D317" t="s">
        <v>736</v>
      </c>
      <c r="E317" t="s">
        <v>6167</v>
      </c>
      <c r="F317">
        <v>46231.62222222222</v>
      </c>
      <c r="G317">
        <v>232</v>
      </c>
      <c r="H317" t="s">
        <v>6155</v>
      </c>
      <c r="I317" t="s">
        <v>5358</v>
      </c>
      <c r="J317">
        <v>71</v>
      </c>
      <c r="K317">
        <v>443.75</v>
      </c>
      <c r="L317">
        <v>4798</v>
      </c>
      <c r="M317">
        <v>4811</v>
      </c>
      <c r="N317">
        <v>13</v>
      </c>
      <c r="O317">
        <v>5.4615384615384599</v>
      </c>
    </row>
    <row r="318" spans="1:15" x14ac:dyDescent="0.25">
      <c r="A318">
        <v>1</v>
      </c>
      <c r="B318">
        <v>2</v>
      </c>
      <c r="C318" t="s">
        <v>6172</v>
      </c>
      <c r="D318" t="s">
        <v>736</v>
      </c>
      <c r="E318" t="s">
        <v>6167</v>
      </c>
      <c r="F318">
        <v>46234.384027777778</v>
      </c>
      <c r="G318">
        <v>232</v>
      </c>
      <c r="H318" t="s">
        <v>6155</v>
      </c>
      <c r="I318" t="s">
        <v>5358</v>
      </c>
      <c r="J318">
        <v>100</v>
      </c>
      <c r="K318">
        <v>625</v>
      </c>
      <c r="L318">
        <v>4811</v>
      </c>
      <c r="M318">
        <v>4828</v>
      </c>
      <c r="N318">
        <v>17</v>
      </c>
      <c r="O318">
        <v>5.8823529411764701</v>
      </c>
    </row>
    <row r="319" spans="1:15" x14ac:dyDescent="0.25">
      <c r="A319">
        <v>1</v>
      </c>
      <c r="B319">
        <v>3</v>
      </c>
      <c r="C319" t="s">
        <v>6176</v>
      </c>
      <c r="D319" t="s">
        <v>265</v>
      </c>
      <c r="E319" t="s">
        <v>6177</v>
      </c>
      <c r="F319">
        <v>46205.43472222222</v>
      </c>
      <c r="G319">
        <v>232</v>
      </c>
      <c r="H319" t="s">
        <v>6155</v>
      </c>
      <c r="I319" t="s">
        <v>5358</v>
      </c>
      <c r="J319">
        <v>111</v>
      </c>
      <c r="K319">
        <v>682.65</v>
      </c>
      <c r="L319">
        <v>7911</v>
      </c>
      <c r="M319">
        <v>7928</v>
      </c>
      <c r="N319">
        <v>17</v>
      </c>
      <c r="O319">
        <v>6.5294117647058796</v>
      </c>
    </row>
    <row r="320" spans="1:15" x14ac:dyDescent="0.25">
      <c r="A320">
        <v>1</v>
      </c>
      <c r="B320">
        <v>3</v>
      </c>
      <c r="C320" t="s">
        <v>6176</v>
      </c>
      <c r="D320" t="s">
        <v>265</v>
      </c>
      <c r="E320" t="s">
        <v>6177</v>
      </c>
      <c r="F320">
        <v>46208.505555555559</v>
      </c>
      <c r="G320">
        <v>232</v>
      </c>
      <c r="H320" t="s">
        <v>6155</v>
      </c>
      <c r="I320" t="s">
        <v>5358</v>
      </c>
      <c r="J320">
        <v>131</v>
      </c>
      <c r="K320">
        <v>841.02</v>
      </c>
      <c r="L320">
        <v>7928</v>
      </c>
      <c r="M320">
        <v>7943</v>
      </c>
      <c r="N320">
        <v>15</v>
      </c>
      <c r="O320">
        <v>8.7333333333333307</v>
      </c>
    </row>
    <row r="321" spans="1:15" x14ac:dyDescent="0.25">
      <c r="A321">
        <v>1</v>
      </c>
      <c r="B321">
        <v>3</v>
      </c>
      <c r="C321" t="s">
        <v>6176</v>
      </c>
      <c r="D321" t="s">
        <v>265</v>
      </c>
      <c r="E321" t="s">
        <v>6177</v>
      </c>
      <c r="F321">
        <v>46211.486805555556</v>
      </c>
      <c r="G321">
        <v>232</v>
      </c>
      <c r="H321" t="s">
        <v>6155</v>
      </c>
      <c r="I321" t="s">
        <v>5358</v>
      </c>
      <c r="J321">
        <v>109</v>
      </c>
      <c r="K321">
        <v>670.35</v>
      </c>
      <c r="L321">
        <v>7943</v>
      </c>
      <c r="M321">
        <v>7970</v>
      </c>
      <c r="N321">
        <v>27</v>
      </c>
      <c r="O321">
        <v>4.0370370370370399</v>
      </c>
    </row>
    <row r="322" spans="1:15" x14ac:dyDescent="0.25">
      <c r="A322">
        <v>1</v>
      </c>
      <c r="B322">
        <v>3</v>
      </c>
      <c r="C322" t="s">
        <v>6176</v>
      </c>
      <c r="D322" t="s">
        <v>265</v>
      </c>
      <c r="E322" t="s">
        <v>6177</v>
      </c>
      <c r="F322">
        <v>46212.409722222219</v>
      </c>
      <c r="G322">
        <v>232</v>
      </c>
      <c r="H322" t="s">
        <v>6155</v>
      </c>
      <c r="I322" t="s">
        <v>5358</v>
      </c>
      <c r="J322">
        <v>84</v>
      </c>
      <c r="K322">
        <v>516.6</v>
      </c>
      <c r="L322">
        <v>7970</v>
      </c>
      <c r="M322">
        <v>7980</v>
      </c>
      <c r="N322">
        <v>10</v>
      </c>
      <c r="O322">
        <v>8.4</v>
      </c>
    </row>
    <row r="323" spans="1:15" x14ac:dyDescent="0.25">
      <c r="A323">
        <v>1</v>
      </c>
      <c r="B323">
        <v>3</v>
      </c>
      <c r="C323" t="s">
        <v>6176</v>
      </c>
      <c r="D323" t="s">
        <v>265</v>
      </c>
      <c r="E323" t="s">
        <v>6177</v>
      </c>
      <c r="F323">
        <v>46214.393055555556</v>
      </c>
      <c r="G323">
        <v>232</v>
      </c>
      <c r="H323" t="s">
        <v>6155</v>
      </c>
      <c r="I323" t="s">
        <v>5358</v>
      </c>
      <c r="J323">
        <v>117</v>
      </c>
      <c r="K323">
        <v>719.55</v>
      </c>
      <c r="L323">
        <v>7980</v>
      </c>
      <c r="M323">
        <v>7997</v>
      </c>
      <c r="N323">
        <v>17</v>
      </c>
      <c r="O323">
        <v>6.8823529411764701</v>
      </c>
    </row>
    <row r="324" spans="1:15" x14ac:dyDescent="0.25">
      <c r="A324">
        <v>1</v>
      </c>
      <c r="B324">
        <v>3</v>
      </c>
      <c r="C324" t="s">
        <v>6176</v>
      </c>
      <c r="D324" t="s">
        <v>265</v>
      </c>
      <c r="E324" t="s">
        <v>6177</v>
      </c>
      <c r="F324">
        <v>46216.474305555559</v>
      </c>
      <c r="G324">
        <v>232</v>
      </c>
      <c r="H324" t="s">
        <v>6155</v>
      </c>
      <c r="I324" t="s">
        <v>5358</v>
      </c>
      <c r="J324">
        <v>99</v>
      </c>
      <c r="K324">
        <v>608.85</v>
      </c>
      <c r="L324">
        <v>7997</v>
      </c>
      <c r="M324">
        <v>8010</v>
      </c>
      <c r="N324">
        <v>13</v>
      </c>
      <c r="O324">
        <v>7.6153846153846096</v>
      </c>
    </row>
    <row r="325" spans="1:15" x14ac:dyDescent="0.25">
      <c r="A325">
        <v>1</v>
      </c>
      <c r="B325">
        <v>3</v>
      </c>
      <c r="C325" t="s">
        <v>6176</v>
      </c>
      <c r="D325" t="s">
        <v>265</v>
      </c>
      <c r="E325" t="s">
        <v>6177</v>
      </c>
      <c r="F325">
        <v>46217.459027777775</v>
      </c>
      <c r="G325">
        <v>129</v>
      </c>
      <c r="H325" t="s">
        <v>6164</v>
      </c>
      <c r="I325" t="s">
        <v>5358</v>
      </c>
      <c r="J325">
        <v>98</v>
      </c>
      <c r="K325">
        <v>602.70000000000005</v>
      </c>
      <c r="L325">
        <v>8010</v>
      </c>
      <c r="M325">
        <v>8021</v>
      </c>
      <c r="N325">
        <v>11</v>
      </c>
      <c r="O325">
        <v>8.9090909090909101</v>
      </c>
    </row>
    <row r="326" spans="1:15" x14ac:dyDescent="0.25">
      <c r="A326">
        <v>1</v>
      </c>
      <c r="B326">
        <v>3</v>
      </c>
      <c r="C326" t="s">
        <v>6176</v>
      </c>
      <c r="D326" t="s">
        <v>265</v>
      </c>
      <c r="E326" t="s">
        <v>6177</v>
      </c>
      <c r="F326">
        <v>46218.455555555556</v>
      </c>
      <c r="G326">
        <v>129</v>
      </c>
      <c r="H326" t="s">
        <v>6164</v>
      </c>
      <c r="I326" t="s">
        <v>5358</v>
      </c>
      <c r="J326">
        <v>126</v>
      </c>
      <c r="K326">
        <v>774.9</v>
      </c>
      <c r="L326">
        <v>8021</v>
      </c>
      <c r="M326">
        <v>8040</v>
      </c>
      <c r="N326">
        <v>19</v>
      </c>
      <c r="O326">
        <v>6.6315789473684204</v>
      </c>
    </row>
    <row r="327" spans="1:15" x14ac:dyDescent="0.25">
      <c r="A327">
        <v>1</v>
      </c>
      <c r="B327">
        <v>3</v>
      </c>
      <c r="C327" t="s">
        <v>6176</v>
      </c>
      <c r="D327" t="s">
        <v>265</v>
      </c>
      <c r="E327" t="s">
        <v>6177</v>
      </c>
      <c r="F327">
        <v>46220.504166666666</v>
      </c>
      <c r="G327">
        <v>129</v>
      </c>
      <c r="H327" t="s">
        <v>6164</v>
      </c>
      <c r="I327" t="s">
        <v>5358</v>
      </c>
      <c r="J327">
        <v>151</v>
      </c>
      <c r="K327">
        <v>928.65</v>
      </c>
      <c r="L327">
        <v>8040</v>
      </c>
      <c r="M327">
        <v>8059</v>
      </c>
      <c r="N327">
        <v>19</v>
      </c>
      <c r="O327">
        <v>7.9473684210526301</v>
      </c>
    </row>
    <row r="328" spans="1:15" x14ac:dyDescent="0.25">
      <c r="A328">
        <v>1</v>
      </c>
      <c r="B328">
        <v>3</v>
      </c>
      <c r="C328" t="s">
        <v>6176</v>
      </c>
      <c r="D328" t="s">
        <v>265</v>
      </c>
      <c r="E328" t="s">
        <v>6177</v>
      </c>
      <c r="F328">
        <v>46221.456944444442</v>
      </c>
      <c r="G328">
        <v>232</v>
      </c>
      <c r="H328" t="s">
        <v>6155</v>
      </c>
      <c r="I328" t="s">
        <v>5358</v>
      </c>
      <c r="J328">
        <v>137</v>
      </c>
      <c r="K328">
        <v>842.55</v>
      </c>
      <c r="L328">
        <v>8059</v>
      </c>
      <c r="M328">
        <v>8076</v>
      </c>
      <c r="N328">
        <v>17</v>
      </c>
      <c r="O328">
        <v>8.0588235294117592</v>
      </c>
    </row>
    <row r="329" spans="1:15" x14ac:dyDescent="0.25">
      <c r="A329">
        <v>1</v>
      </c>
      <c r="B329">
        <v>3</v>
      </c>
      <c r="C329" t="s">
        <v>6176</v>
      </c>
      <c r="D329" t="s">
        <v>265</v>
      </c>
      <c r="E329" t="s">
        <v>6177</v>
      </c>
      <c r="F329">
        <v>46223.466666666667</v>
      </c>
      <c r="G329">
        <v>232</v>
      </c>
      <c r="H329" t="s">
        <v>6155</v>
      </c>
      <c r="I329" t="s">
        <v>5358</v>
      </c>
      <c r="J329">
        <v>80</v>
      </c>
      <c r="K329">
        <v>500</v>
      </c>
      <c r="L329">
        <v>8076</v>
      </c>
      <c r="M329">
        <v>8091</v>
      </c>
      <c r="N329">
        <v>15</v>
      </c>
      <c r="O329">
        <v>5.3333333333333304</v>
      </c>
    </row>
    <row r="330" spans="1:15" x14ac:dyDescent="0.25">
      <c r="A330">
        <v>1</v>
      </c>
      <c r="B330">
        <v>3</v>
      </c>
      <c r="C330" t="s">
        <v>6176</v>
      </c>
      <c r="D330" t="s">
        <v>265</v>
      </c>
      <c r="E330" t="s">
        <v>6177</v>
      </c>
      <c r="F330">
        <v>46227.64166666667</v>
      </c>
      <c r="G330">
        <v>232</v>
      </c>
      <c r="H330" t="s">
        <v>6155</v>
      </c>
      <c r="I330" t="s">
        <v>5358</v>
      </c>
      <c r="J330">
        <v>60</v>
      </c>
      <c r="K330">
        <v>375</v>
      </c>
      <c r="L330">
        <v>8091</v>
      </c>
      <c r="M330">
        <v>8103</v>
      </c>
      <c r="N330">
        <v>12</v>
      </c>
      <c r="O330">
        <v>5</v>
      </c>
    </row>
    <row r="331" spans="1:15" x14ac:dyDescent="0.25">
      <c r="A331">
        <v>1</v>
      </c>
      <c r="B331">
        <v>3</v>
      </c>
      <c r="C331" t="s">
        <v>6176</v>
      </c>
      <c r="D331" t="s">
        <v>265</v>
      </c>
      <c r="E331" t="s">
        <v>6177</v>
      </c>
      <c r="F331">
        <v>46230.422222222223</v>
      </c>
      <c r="G331">
        <v>232</v>
      </c>
      <c r="H331" t="s">
        <v>6155</v>
      </c>
      <c r="I331" t="s">
        <v>5358</v>
      </c>
      <c r="J331">
        <v>99</v>
      </c>
      <c r="K331">
        <v>618.75</v>
      </c>
      <c r="L331">
        <v>8103</v>
      </c>
      <c r="M331">
        <v>8110</v>
      </c>
      <c r="N331">
        <v>7</v>
      </c>
      <c r="O331">
        <v>14.1428571428571</v>
      </c>
    </row>
    <row r="332" spans="1:15" x14ac:dyDescent="0.25">
      <c r="A332">
        <v>1</v>
      </c>
      <c r="B332">
        <v>3</v>
      </c>
      <c r="C332" t="s">
        <v>6176</v>
      </c>
      <c r="D332" t="s">
        <v>265</v>
      </c>
      <c r="E332" t="s">
        <v>6177</v>
      </c>
      <c r="F332">
        <v>46231.609027777777</v>
      </c>
      <c r="G332">
        <v>129</v>
      </c>
      <c r="H332" t="s">
        <v>6164</v>
      </c>
      <c r="I332" t="s">
        <v>5358</v>
      </c>
      <c r="J332">
        <v>101</v>
      </c>
      <c r="K332">
        <v>631.25</v>
      </c>
      <c r="L332">
        <v>8110</v>
      </c>
      <c r="M332">
        <v>8135</v>
      </c>
      <c r="N332">
        <v>25</v>
      </c>
      <c r="O332">
        <v>4.04</v>
      </c>
    </row>
    <row r="333" spans="1:15" x14ac:dyDescent="0.25">
      <c r="A333">
        <v>1</v>
      </c>
      <c r="B333">
        <v>3</v>
      </c>
      <c r="C333" t="s">
        <v>6176</v>
      </c>
      <c r="D333" t="s">
        <v>265</v>
      </c>
      <c r="E333" t="s">
        <v>6177</v>
      </c>
      <c r="F333">
        <v>46232.663888888892</v>
      </c>
      <c r="G333">
        <v>129</v>
      </c>
      <c r="H333" t="s">
        <v>6164</v>
      </c>
      <c r="I333" t="s">
        <v>5358</v>
      </c>
      <c r="J333">
        <v>95</v>
      </c>
      <c r="K333">
        <v>664.05</v>
      </c>
      <c r="L333">
        <v>8135</v>
      </c>
      <c r="M333">
        <v>8142</v>
      </c>
      <c r="N333">
        <v>7</v>
      </c>
      <c r="O333">
        <v>13.5714285714286</v>
      </c>
    </row>
    <row r="334" spans="1:15" x14ac:dyDescent="0.25">
      <c r="A334">
        <v>1</v>
      </c>
      <c r="B334">
        <v>3</v>
      </c>
      <c r="C334" t="s">
        <v>6176</v>
      </c>
      <c r="D334" t="s">
        <v>265</v>
      </c>
      <c r="E334" t="s">
        <v>6177</v>
      </c>
      <c r="F334">
        <v>46232.664583333331</v>
      </c>
      <c r="G334">
        <v>129</v>
      </c>
      <c r="H334" t="s">
        <v>6164</v>
      </c>
      <c r="I334" t="s">
        <v>5358</v>
      </c>
      <c r="J334">
        <v>54</v>
      </c>
      <c r="K334">
        <v>377.46</v>
      </c>
      <c r="L334">
        <v>8142</v>
      </c>
      <c r="M334">
        <v>8149</v>
      </c>
      <c r="N334">
        <v>7</v>
      </c>
      <c r="O334">
        <v>7.71428571428571</v>
      </c>
    </row>
    <row r="335" spans="1:15" x14ac:dyDescent="0.25">
      <c r="A335">
        <v>1</v>
      </c>
      <c r="B335">
        <v>3</v>
      </c>
      <c r="C335" t="s">
        <v>6176</v>
      </c>
      <c r="D335" t="s">
        <v>265</v>
      </c>
      <c r="E335" t="s">
        <v>6177</v>
      </c>
      <c r="F335">
        <v>46233.625694444447</v>
      </c>
      <c r="G335">
        <v>129</v>
      </c>
      <c r="H335" t="s">
        <v>6164</v>
      </c>
      <c r="I335" t="s">
        <v>5358</v>
      </c>
      <c r="J335">
        <v>70</v>
      </c>
      <c r="K335">
        <v>489.3</v>
      </c>
      <c r="L335">
        <v>8149</v>
      </c>
      <c r="M335">
        <v>8157</v>
      </c>
      <c r="N335">
        <v>8</v>
      </c>
      <c r="O335">
        <v>8.75</v>
      </c>
    </row>
    <row r="336" spans="1:15" x14ac:dyDescent="0.25">
      <c r="A336">
        <v>1</v>
      </c>
      <c r="B336">
        <v>3</v>
      </c>
      <c r="C336" t="s">
        <v>6176</v>
      </c>
      <c r="D336" t="s">
        <v>265</v>
      </c>
      <c r="E336" t="s">
        <v>6177</v>
      </c>
      <c r="F336">
        <v>46234.417361111111</v>
      </c>
      <c r="G336">
        <v>129</v>
      </c>
      <c r="H336" t="s">
        <v>6164</v>
      </c>
      <c r="I336" t="s">
        <v>5358</v>
      </c>
      <c r="J336">
        <v>47</v>
      </c>
      <c r="K336">
        <v>328.53</v>
      </c>
      <c r="L336">
        <v>8157</v>
      </c>
      <c r="M336">
        <v>8166</v>
      </c>
      <c r="N336">
        <v>9</v>
      </c>
      <c r="O336">
        <v>5.2222222222222197</v>
      </c>
    </row>
    <row r="337" spans="1:15" x14ac:dyDescent="0.25">
      <c r="A337">
        <v>1</v>
      </c>
      <c r="B337">
        <v>3</v>
      </c>
      <c r="C337" t="s">
        <v>6176</v>
      </c>
      <c r="D337" t="s">
        <v>268</v>
      </c>
      <c r="E337" t="s">
        <v>6177</v>
      </c>
      <c r="F337">
        <v>46205.409722222219</v>
      </c>
      <c r="G337">
        <v>232</v>
      </c>
      <c r="H337" t="s">
        <v>6155</v>
      </c>
      <c r="I337" t="s">
        <v>5358</v>
      </c>
      <c r="J337">
        <v>136</v>
      </c>
      <c r="K337">
        <v>836.4</v>
      </c>
      <c r="L337">
        <v>7237</v>
      </c>
      <c r="M337">
        <v>7252</v>
      </c>
      <c r="N337">
        <v>15</v>
      </c>
      <c r="O337">
        <v>9.06666666666667</v>
      </c>
    </row>
    <row r="338" spans="1:15" x14ac:dyDescent="0.25">
      <c r="A338">
        <v>1</v>
      </c>
      <c r="B338">
        <v>3</v>
      </c>
      <c r="C338" t="s">
        <v>6176</v>
      </c>
      <c r="D338" t="s">
        <v>268</v>
      </c>
      <c r="E338" t="s">
        <v>6177</v>
      </c>
      <c r="F338">
        <v>46208.519444444442</v>
      </c>
      <c r="G338">
        <v>232</v>
      </c>
      <c r="H338" t="s">
        <v>6155</v>
      </c>
      <c r="I338" t="s">
        <v>5358</v>
      </c>
      <c r="J338">
        <v>75</v>
      </c>
      <c r="K338">
        <v>481.5</v>
      </c>
      <c r="L338">
        <v>7252</v>
      </c>
      <c r="M338">
        <v>7260</v>
      </c>
      <c r="N338">
        <v>8</v>
      </c>
      <c r="O338">
        <v>9.375</v>
      </c>
    </row>
    <row r="339" spans="1:15" x14ac:dyDescent="0.25">
      <c r="A339">
        <v>1</v>
      </c>
      <c r="B339">
        <v>3</v>
      </c>
      <c r="C339" t="s">
        <v>6176</v>
      </c>
      <c r="D339" t="s">
        <v>268</v>
      </c>
      <c r="E339" t="s">
        <v>6177</v>
      </c>
      <c r="F339">
        <v>46217.506249999999</v>
      </c>
      <c r="G339">
        <v>232</v>
      </c>
      <c r="H339" t="s">
        <v>6155</v>
      </c>
      <c r="I339" t="s">
        <v>5358</v>
      </c>
      <c r="J339">
        <v>170</v>
      </c>
      <c r="K339">
        <v>1045.5</v>
      </c>
      <c r="L339">
        <v>7260</v>
      </c>
      <c r="M339">
        <v>7291</v>
      </c>
      <c r="N339">
        <v>31</v>
      </c>
      <c r="O339">
        <v>5.4838709677419404</v>
      </c>
    </row>
    <row r="340" spans="1:15" x14ac:dyDescent="0.25">
      <c r="A340">
        <v>1</v>
      </c>
      <c r="B340">
        <v>3</v>
      </c>
      <c r="C340" t="s">
        <v>6176</v>
      </c>
      <c r="D340" t="s">
        <v>268</v>
      </c>
      <c r="E340" t="s">
        <v>6177</v>
      </c>
      <c r="F340">
        <v>46219.413194444445</v>
      </c>
      <c r="G340">
        <v>232</v>
      </c>
      <c r="H340" t="s">
        <v>6155</v>
      </c>
      <c r="I340" t="s">
        <v>5358</v>
      </c>
      <c r="J340">
        <v>110</v>
      </c>
      <c r="K340">
        <v>676.5</v>
      </c>
      <c r="L340">
        <v>7291</v>
      </c>
      <c r="M340">
        <v>7307</v>
      </c>
      <c r="N340">
        <v>16</v>
      </c>
      <c r="O340">
        <v>6.875</v>
      </c>
    </row>
    <row r="341" spans="1:15" x14ac:dyDescent="0.25">
      <c r="A341">
        <v>1</v>
      </c>
      <c r="B341">
        <v>3</v>
      </c>
      <c r="C341" t="s">
        <v>6176</v>
      </c>
      <c r="D341" t="s">
        <v>268</v>
      </c>
      <c r="E341" t="s">
        <v>6177</v>
      </c>
      <c r="F341">
        <v>46222.467361111114</v>
      </c>
      <c r="G341">
        <v>232</v>
      </c>
      <c r="H341" t="s">
        <v>6155</v>
      </c>
      <c r="I341" t="s">
        <v>5358</v>
      </c>
      <c r="J341">
        <v>102</v>
      </c>
      <c r="K341">
        <v>642.6</v>
      </c>
      <c r="L341">
        <v>7307</v>
      </c>
      <c r="M341">
        <v>7325</v>
      </c>
      <c r="N341">
        <v>18</v>
      </c>
      <c r="O341">
        <v>5.6666666666666696</v>
      </c>
    </row>
    <row r="342" spans="1:15" x14ac:dyDescent="0.25">
      <c r="A342">
        <v>1</v>
      </c>
      <c r="B342">
        <v>3</v>
      </c>
      <c r="C342" t="s">
        <v>6176</v>
      </c>
      <c r="D342" t="s">
        <v>268</v>
      </c>
      <c r="E342" t="s">
        <v>6177</v>
      </c>
      <c r="F342">
        <v>46227.63958333333</v>
      </c>
      <c r="G342">
        <v>232</v>
      </c>
      <c r="H342" t="s">
        <v>6155</v>
      </c>
      <c r="I342" t="s">
        <v>5358</v>
      </c>
      <c r="J342">
        <v>131</v>
      </c>
      <c r="K342">
        <v>818.75</v>
      </c>
      <c r="L342">
        <v>7325</v>
      </c>
      <c r="M342">
        <v>7343</v>
      </c>
      <c r="N342">
        <v>18</v>
      </c>
      <c r="O342">
        <v>7.2777777777777803</v>
      </c>
    </row>
    <row r="343" spans="1:15" x14ac:dyDescent="0.25">
      <c r="A343">
        <v>1</v>
      </c>
      <c r="B343">
        <v>3</v>
      </c>
      <c r="C343" t="s">
        <v>6176</v>
      </c>
      <c r="D343" t="s">
        <v>268</v>
      </c>
      <c r="E343" t="s">
        <v>6177</v>
      </c>
      <c r="F343">
        <v>46229.754166666666</v>
      </c>
      <c r="G343">
        <v>232</v>
      </c>
      <c r="H343" t="s">
        <v>6155</v>
      </c>
      <c r="I343" t="s">
        <v>5358</v>
      </c>
      <c r="J343">
        <v>58</v>
      </c>
      <c r="K343">
        <v>365.4</v>
      </c>
      <c r="L343">
        <v>7343</v>
      </c>
      <c r="M343">
        <v>7356</v>
      </c>
      <c r="N343">
        <v>13</v>
      </c>
      <c r="O343">
        <v>4.4615384615384599</v>
      </c>
    </row>
    <row r="344" spans="1:15" x14ac:dyDescent="0.25">
      <c r="A344">
        <v>1</v>
      </c>
      <c r="B344">
        <v>3</v>
      </c>
      <c r="C344" t="s">
        <v>6176</v>
      </c>
      <c r="D344" t="s">
        <v>268</v>
      </c>
      <c r="E344" t="s">
        <v>6177</v>
      </c>
      <c r="F344">
        <v>46232.688194444447</v>
      </c>
      <c r="G344">
        <v>232</v>
      </c>
      <c r="H344" t="s">
        <v>6155</v>
      </c>
      <c r="I344" t="s">
        <v>5358</v>
      </c>
      <c r="J344">
        <v>98</v>
      </c>
      <c r="K344">
        <v>612.5</v>
      </c>
      <c r="L344">
        <v>7356</v>
      </c>
      <c r="M344">
        <v>7371</v>
      </c>
      <c r="N344">
        <v>15</v>
      </c>
      <c r="O344">
        <v>6.5333333333333297</v>
      </c>
    </row>
    <row r="345" spans="1:15" x14ac:dyDescent="0.25">
      <c r="A345">
        <v>1</v>
      </c>
      <c r="B345">
        <v>3</v>
      </c>
      <c r="C345" t="s">
        <v>6176</v>
      </c>
      <c r="D345" t="s">
        <v>268</v>
      </c>
      <c r="E345" t="s">
        <v>6177</v>
      </c>
      <c r="F345">
        <v>46234.385416666664</v>
      </c>
      <c r="G345">
        <v>232</v>
      </c>
      <c r="H345" t="s">
        <v>6155</v>
      </c>
      <c r="I345" t="s">
        <v>5358</v>
      </c>
      <c r="J345">
        <v>116</v>
      </c>
      <c r="K345">
        <v>725</v>
      </c>
      <c r="L345">
        <v>7371</v>
      </c>
      <c r="M345">
        <v>7384</v>
      </c>
      <c r="N345">
        <v>13</v>
      </c>
      <c r="O345">
        <v>8.9230769230769198</v>
      </c>
    </row>
    <row r="346" spans="1:15" x14ac:dyDescent="0.25">
      <c r="A346">
        <v>1</v>
      </c>
      <c r="B346">
        <v>3</v>
      </c>
      <c r="C346" t="s">
        <v>6176</v>
      </c>
      <c r="D346" t="s">
        <v>271</v>
      </c>
      <c r="E346" t="s">
        <v>6177</v>
      </c>
      <c r="F346">
        <v>46205.379861111112</v>
      </c>
      <c r="G346">
        <v>264</v>
      </c>
      <c r="H346" t="s">
        <v>6152</v>
      </c>
      <c r="I346" t="s">
        <v>5358</v>
      </c>
      <c r="J346">
        <v>83</v>
      </c>
      <c r="K346">
        <v>510.45</v>
      </c>
      <c r="L346">
        <v>6582</v>
      </c>
      <c r="M346">
        <v>6591</v>
      </c>
      <c r="N346">
        <v>9</v>
      </c>
      <c r="O346">
        <v>9.2222222222222197</v>
      </c>
    </row>
    <row r="347" spans="1:15" x14ac:dyDescent="0.25">
      <c r="A347">
        <v>1</v>
      </c>
      <c r="B347">
        <v>3</v>
      </c>
      <c r="C347" t="s">
        <v>6176</v>
      </c>
      <c r="D347" t="s">
        <v>271</v>
      </c>
      <c r="E347" t="s">
        <v>6177</v>
      </c>
      <c r="F347">
        <v>46207.361111111109</v>
      </c>
      <c r="G347">
        <v>264</v>
      </c>
      <c r="H347" t="s">
        <v>6152</v>
      </c>
      <c r="I347" t="s">
        <v>5358</v>
      </c>
      <c r="J347">
        <v>50</v>
      </c>
      <c r="K347">
        <v>307.5</v>
      </c>
      <c r="L347">
        <v>6591</v>
      </c>
      <c r="M347">
        <v>6597</v>
      </c>
      <c r="N347">
        <v>6</v>
      </c>
      <c r="O347">
        <v>8.3333333333333304</v>
      </c>
    </row>
    <row r="348" spans="1:15" x14ac:dyDescent="0.25">
      <c r="A348">
        <v>1</v>
      </c>
      <c r="B348">
        <v>3</v>
      </c>
      <c r="C348" t="s">
        <v>6176</v>
      </c>
      <c r="D348" t="s">
        <v>271</v>
      </c>
      <c r="E348" t="s">
        <v>6177</v>
      </c>
      <c r="F348">
        <v>46210.657638888886</v>
      </c>
      <c r="G348">
        <v>264</v>
      </c>
      <c r="H348" t="s">
        <v>6152</v>
      </c>
      <c r="I348" t="s">
        <v>5358</v>
      </c>
      <c r="J348">
        <v>41</v>
      </c>
      <c r="K348">
        <v>252.15</v>
      </c>
      <c r="L348">
        <v>6597</v>
      </c>
      <c r="M348">
        <v>6604</v>
      </c>
      <c r="N348">
        <v>7</v>
      </c>
      <c r="O348">
        <v>5.8571428571428603</v>
      </c>
    </row>
    <row r="349" spans="1:15" x14ac:dyDescent="0.25">
      <c r="A349">
        <v>1</v>
      </c>
      <c r="B349">
        <v>3</v>
      </c>
      <c r="C349" t="s">
        <v>6176</v>
      </c>
      <c r="D349" t="s">
        <v>271</v>
      </c>
      <c r="E349" t="s">
        <v>6177</v>
      </c>
      <c r="F349">
        <v>46211.364583333336</v>
      </c>
      <c r="G349">
        <v>264</v>
      </c>
      <c r="H349" t="s">
        <v>6152</v>
      </c>
      <c r="I349" t="s">
        <v>5358</v>
      </c>
      <c r="J349">
        <v>70</v>
      </c>
      <c r="K349">
        <v>430.5</v>
      </c>
      <c r="L349">
        <v>6604</v>
      </c>
      <c r="M349">
        <v>6611</v>
      </c>
      <c r="N349">
        <v>7</v>
      </c>
      <c r="O349">
        <v>10</v>
      </c>
    </row>
    <row r="350" spans="1:15" x14ac:dyDescent="0.25">
      <c r="A350">
        <v>1</v>
      </c>
      <c r="B350">
        <v>3</v>
      </c>
      <c r="C350" t="s">
        <v>6176</v>
      </c>
      <c r="D350" t="s">
        <v>271</v>
      </c>
      <c r="E350" t="s">
        <v>6177</v>
      </c>
      <c r="F350">
        <v>46216.500694444447</v>
      </c>
      <c r="G350">
        <v>264</v>
      </c>
      <c r="H350" t="s">
        <v>6152</v>
      </c>
      <c r="I350" t="s">
        <v>5358</v>
      </c>
      <c r="J350">
        <v>231</v>
      </c>
      <c r="K350">
        <v>1420.65</v>
      </c>
      <c r="L350">
        <v>6611</v>
      </c>
      <c r="M350">
        <v>6639</v>
      </c>
      <c r="N350">
        <v>28</v>
      </c>
      <c r="O350">
        <v>8.25</v>
      </c>
    </row>
    <row r="351" spans="1:15" x14ac:dyDescent="0.25">
      <c r="A351">
        <v>1</v>
      </c>
      <c r="B351">
        <v>3</v>
      </c>
      <c r="C351" t="s">
        <v>6176</v>
      </c>
      <c r="D351" t="s">
        <v>271</v>
      </c>
      <c r="E351" t="s">
        <v>6177</v>
      </c>
      <c r="F351">
        <v>46218.438888888886</v>
      </c>
      <c r="G351">
        <v>264</v>
      </c>
      <c r="H351" t="s">
        <v>6152</v>
      </c>
      <c r="I351" t="s">
        <v>5358</v>
      </c>
      <c r="J351">
        <v>96</v>
      </c>
      <c r="K351">
        <v>590.4</v>
      </c>
      <c r="L351">
        <v>6639</v>
      </c>
      <c r="M351">
        <v>6649</v>
      </c>
      <c r="N351">
        <v>10</v>
      </c>
      <c r="O351">
        <v>9.6</v>
      </c>
    </row>
    <row r="352" spans="1:15" x14ac:dyDescent="0.25">
      <c r="A352">
        <v>1</v>
      </c>
      <c r="B352">
        <v>3</v>
      </c>
      <c r="C352" t="s">
        <v>6176</v>
      </c>
      <c r="D352" t="s">
        <v>274</v>
      </c>
      <c r="E352" t="s">
        <v>6177</v>
      </c>
      <c r="F352">
        <v>46204.777777777781</v>
      </c>
      <c r="G352">
        <v>264</v>
      </c>
      <c r="H352" t="s">
        <v>6152</v>
      </c>
      <c r="I352" t="s">
        <v>5358</v>
      </c>
      <c r="J352">
        <v>87</v>
      </c>
      <c r="K352">
        <v>535.04999999999995</v>
      </c>
      <c r="L352">
        <v>7209</v>
      </c>
      <c r="M352">
        <v>7220</v>
      </c>
      <c r="N352">
        <v>11</v>
      </c>
      <c r="O352">
        <v>7.9090909090909101</v>
      </c>
    </row>
    <row r="353" spans="1:15" x14ac:dyDescent="0.25">
      <c r="A353">
        <v>1</v>
      </c>
      <c r="B353">
        <v>3</v>
      </c>
      <c r="C353" t="s">
        <v>6176</v>
      </c>
      <c r="D353" t="s">
        <v>274</v>
      </c>
      <c r="E353" t="s">
        <v>6177</v>
      </c>
      <c r="F353">
        <v>46205.84097222222</v>
      </c>
      <c r="G353">
        <v>264</v>
      </c>
      <c r="H353" t="s">
        <v>6152</v>
      </c>
      <c r="I353" t="s">
        <v>5358</v>
      </c>
      <c r="J353">
        <v>67</v>
      </c>
      <c r="K353">
        <v>412.05</v>
      </c>
      <c r="L353">
        <v>7220</v>
      </c>
      <c r="M353">
        <v>7227</v>
      </c>
      <c r="N353">
        <v>7</v>
      </c>
      <c r="O353">
        <v>9.5714285714285694</v>
      </c>
    </row>
    <row r="354" spans="1:15" x14ac:dyDescent="0.25">
      <c r="A354">
        <v>1</v>
      </c>
      <c r="B354">
        <v>3</v>
      </c>
      <c r="C354" t="s">
        <v>6176</v>
      </c>
      <c r="D354" t="s">
        <v>274</v>
      </c>
      <c r="E354" t="s">
        <v>6177</v>
      </c>
      <c r="F354">
        <v>46207.890277777777</v>
      </c>
      <c r="G354">
        <v>264</v>
      </c>
      <c r="H354" t="s">
        <v>6152</v>
      </c>
      <c r="I354" t="s">
        <v>5358</v>
      </c>
      <c r="J354">
        <v>76</v>
      </c>
      <c r="K354">
        <v>467.4</v>
      </c>
      <c r="L354">
        <v>7227</v>
      </c>
      <c r="M354">
        <v>7233</v>
      </c>
      <c r="N354">
        <v>6</v>
      </c>
      <c r="O354">
        <v>12.6666666666667</v>
      </c>
    </row>
    <row r="355" spans="1:15" x14ac:dyDescent="0.25">
      <c r="A355">
        <v>1</v>
      </c>
      <c r="B355">
        <v>3</v>
      </c>
      <c r="C355" t="s">
        <v>6176</v>
      </c>
      <c r="D355" t="s">
        <v>274</v>
      </c>
      <c r="E355" t="s">
        <v>6177</v>
      </c>
      <c r="F355">
        <v>46209.832638888889</v>
      </c>
      <c r="G355">
        <v>264</v>
      </c>
      <c r="H355" t="s">
        <v>6152</v>
      </c>
      <c r="I355" t="s">
        <v>5358</v>
      </c>
      <c r="J355">
        <v>124</v>
      </c>
      <c r="K355">
        <v>762.6</v>
      </c>
      <c r="L355">
        <v>7233</v>
      </c>
      <c r="M355">
        <v>7249</v>
      </c>
      <c r="N355">
        <v>16</v>
      </c>
      <c r="O355">
        <v>7.75</v>
      </c>
    </row>
    <row r="356" spans="1:15" x14ac:dyDescent="0.25">
      <c r="A356">
        <v>1</v>
      </c>
      <c r="B356">
        <v>3</v>
      </c>
      <c r="C356" t="s">
        <v>6176</v>
      </c>
      <c r="D356" t="s">
        <v>274</v>
      </c>
      <c r="E356" t="s">
        <v>6177</v>
      </c>
      <c r="F356">
        <v>46210.785416666666</v>
      </c>
      <c r="G356">
        <v>264</v>
      </c>
      <c r="H356" t="s">
        <v>6152</v>
      </c>
      <c r="I356" t="s">
        <v>5358</v>
      </c>
      <c r="J356">
        <v>64</v>
      </c>
      <c r="K356">
        <v>393.6</v>
      </c>
      <c r="L356">
        <v>7249</v>
      </c>
      <c r="M356">
        <v>7257</v>
      </c>
      <c r="N356">
        <v>8</v>
      </c>
      <c r="O356">
        <v>8</v>
      </c>
    </row>
    <row r="357" spans="1:15" x14ac:dyDescent="0.25">
      <c r="A357">
        <v>1</v>
      </c>
      <c r="B357">
        <v>3</v>
      </c>
      <c r="C357" t="s">
        <v>6176</v>
      </c>
      <c r="D357" t="s">
        <v>274</v>
      </c>
      <c r="E357" t="s">
        <v>6177</v>
      </c>
      <c r="F357">
        <v>46211.833333333336</v>
      </c>
      <c r="G357">
        <v>264</v>
      </c>
      <c r="H357" t="s">
        <v>6152</v>
      </c>
      <c r="I357" t="s">
        <v>5358</v>
      </c>
      <c r="J357">
        <v>59</v>
      </c>
      <c r="K357">
        <v>362.85</v>
      </c>
      <c r="L357">
        <v>7257</v>
      </c>
      <c r="M357">
        <v>7266</v>
      </c>
      <c r="N357">
        <v>9</v>
      </c>
      <c r="O357">
        <v>6.5555555555555598</v>
      </c>
    </row>
    <row r="358" spans="1:15" x14ac:dyDescent="0.25">
      <c r="A358">
        <v>1</v>
      </c>
      <c r="B358">
        <v>3</v>
      </c>
      <c r="C358" t="s">
        <v>6176</v>
      </c>
      <c r="D358" t="s">
        <v>274</v>
      </c>
      <c r="E358" t="s">
        <v>6177</v>
      </c>
      <c r="F358">
        <v>46213.829861111109</v>
      </c>
      <c r="G358">
        <v>264</v>
      </c>
      <c r="H358" t="s">
        <v>6152</v>
      </c>
      <c r="I358" t="s">
        <v>5358</v>
      </c>
      <c r="J358">
        <v>97</v>
      </c>
      <c r="K358">
        <v>596.54999999999995</v>
      </c>
      <c r="L358">
        <v>7266</v>
      </c>
      <c r="M358">
        <v>7283</v>
      </c>
      <c r="N358">
        <v>17</v>
      </c>
      <c r="O358">
        <v>5.7058823529411802</v>
      </c>
    </row>
    <row r="359" spans="1:15" x14ac:dyDescent="0.25">
      <c r="A359">
        <v>1</v>
      </c>
      <c r="B359">
        <v>3</v>
      </c>
      <c r="C359" t="s">
        <v>6176</v>
      </c>
      <c r="D359" t="s">
        <v>274</v>
      </c>
      <c r="E359" t="s">
        <v>6177</v>
      </c>
      <c r="F359">
        <v>46216.863194444442</v>
      </c>
      <c r="G359">
        <v>264</v>
      </c>
      <c r="H359" t="s">
        <v>6152</v>
      </c>
      <c r="I359" t="s">
        <v>5358</v>
      </c>
      <c r="J359">
        <v>98</v>
      </c>
      <c r="K359">
        <v>602.70000000000005</v>
      </c>
      <c r="L359">
        <v>7283</v>
      </c>
      <c r="M359">
        <v>7295</v>
      </c>
      <c r="N359">
        <v>12</v>
      </c>
      <c r="O359">
        <v>8.1666666666666696</v>
      </c>
    </row>
    <row r="360" spans="1:15" x14ac:dyDescent="0.25">
      <c r="A360">
        <v>1</v>
      </c>
      <c r="B360">
        <v>3</v>
      </c>
      <c r="C360" t="s">
        <v>6176</v>
      </c>
      <c r="D360" t="s">
        <v>274</v>
      </c>
      <c r="E360" t="s">
        <v>6177</v>
      </c>
      <c r="F360">
        <v>46218.855555555558</v>
      </c>
      <c r="G360">
        <v>264</v>
      </c>
      <c r="H360" t="s">
        <v>6152</v>
      </c>
      <c r="I360" t="s">
        <v>5358</v>
      </c>
      <c r="J360">
        <v>116</v>
      </c>
      <c r="K360">
        <v>713.4</v>
      </c>
      <c r="L360">
        <v>7295</v>
      </c>
      <c r="M360">
        <v>7312</v>
      </c>
      <c r="N360">
        <v>17</v>
      </c>
      <c r="O360">
        <v>6.8235294117647101</v>
      </c>
    </row>
    <row r="361" spans="1:15" x14ac:dyDescent="0.25">
      <c r="A361">
        <v>1</v>
      </c>
      <c r="B361">
        <v>3</v>
      </c>
      <c r="C361" t="s">
        <v>6176</v>
      </c>
      <c r="D361" t="s">
        <v>274</v>
      </c>
      <c r="E361" t="s">
        <v>6177</v>
      </c>
      <c r="F361">
        <v>46219.867361111108</v>
      </c>
      <c r="G361">
        <v>264</v>
      </c>
      <c r="H361" t="s">
        <v>6152</v>
      </c>
      <c r="I361" t="s">
        <v>5358</v>
      </c>
      <c r="J361">
        <v>38</v>
      </c>
      <c r="K361">
        <v>233.7</v>
      </c>
      <c r="L361">
        <v>7312</v>
      </c>
      <c r="M361">
        <v>7320</v>
      </c>
      <c r="N361">
        <v>8</v>
      </c>
      <c r="O361">
        <v>4.75</v>
      </c>
    </row>
    <row r="362" spans="1:15" x14ac:dyDescent="0.25">
      <c r="A362">
        <v>1</v>
      </c>
      <c r="B362">
        <v>3</v>
      </c>
      <c r="C362" t="s">
        <v>6176</v>
      </c>
      <c r="D362" t="s">
        <v>274</v>
      </c>
      <c r="E362" t="s">
        <v>6177</v>
      </c>
      <c r="F362">
        <v>46221.9</v>
      </c>
      <c r="G362">
        <v>264</v>
      </c>
      <c r="H362" t="s">
        <v>6152</v>
      </c>
      <c r="I362" t="s">
        <v>5358</v>
      </c>
      <c r="J362">
        <v>108</v>
      </c>
      <c r="K362">
        <v>669.6</v>
      </c>
      <c r="L362">
        <v>7320</v>
      </c>
      <c r="M362">
        <v>7336</v>
      </c>
      <c r="N362">
        <v>16</v>
      </c>
      <c r="O362">
        <v>6.75</v>
      </c>
    </row>
    <row r="363" spans="1:15" x14ac:dyDescent="0.25">
      <c r="A363">
        <v>1</v>
      </c>
      <c r="B363">
        <v>3</v>
      </c>
      <c r="C363" t="s">
        <v>6176</v>
      </c>
      <c r="D363" t="s">
        <v>274</v>
      </c>
      <c r="E363" t="s">
        <v>6177</v>
      </c>
      <c r="F363">
        <v>46224.81527777778</v>
      </c>
      <c r="G363">
        <v>264</v>
      </c>
      <c r="H363" t="s">
        <v>6152</v>
      </c>
      <c r="I363" t="s">
        <v>5358</v>
      </c>
      <c r="J363">
        <v>152</v>
      </c>
      <c r="K363">
        <v>959.12</v>
      </c>
      <c r="L363">
        <v>7336</v>
      </c>
      <c r="M363">
        <v>7351</v>
      </c>
      <c r="N363">
        <v>15</v>
      </c>
      <c r="O363">
        <v>10.133333333333301</v>
      </c>
    </row>
    <row r="364" spans="1:15" x14ac:dyDescent="0.25">
      <c r="A364">
        <v>1</v>
      </c>
      <c r="B364">
        <v>3</v>
      </c>
      <c r="C364" t="s">
        <v>6176</v>
      </c>
      <c r="D364" t="s">
        <v>274</v>
      </c>
      <c r="E364" t="s">
        <v>6177</v>
      </c>
      <c r="F364">
        <v>46225.836805555555</v>
      </c>
      <c r="G364">
        <v>264</v>
      </c>
      <c r="H364" t="s">
        <v>6152</v>
      </c>
      <c r="I364" t="s">
        <v>5358</v>
      </c>
      <c r="J364">
        <v>209</v>
      </c>
      <c r="K364">
        <v>1318.79</v>
      </c>
      <c r="L364">
        <v>7351</v>
      </c>
      <c r="M364">
        <v>7368</v>
      </c>
      <c r="N364">
        <v>17</v>
      </c>
      <c r="O364">
        <v>12.294117647058799</v>
      </c>
    </row>
    <row r="365" spans="1:15" x14ac:dyDescent="0.25">
      <c r="A365">
        <v>1</v>
      </c>
      <c r="B365">
        <v>3</v>
      </c>
      <c r="C365" t="s">
        <v>6176</v>
      </c>
      <c r="D365" t="s">
        <v>274</v>
      </c>
      <c r="E365" t="s">
        <v>6177</v>
      </c>
      <c r="F365">
        <v>46226.804166666669</v>
      </c>
      <c r="G365">
        <v>264</v>
      </c>
      <c r="H365" t="s">
        <v>6152</v>
      </c>
      <c r="I365" t="s">
        <v>5358</v>
      </c>
      <c r="J365">
        <v>199</v>
      </c>
      <c r="K365">
        <v>1255.69</v>
      </c>
      <c r="L365">
        <v>7368</v>
      </c>
      <c r="M365">
        <v>7383</v>
      </c>
      <c r="N365">
        <v>15</v>
      </c>
      <c r="O365">
        <v>13.266666666666699</v>
      </c>
    </row>
    <row r="366" spans="1:15" x14ac:dyDescent="0.25">
      <c r="A366">
        <v>1</v>
      </c>
      <c r="B366">
        <v>3</v>
      </c>
      <c r="C366" t="s">
        <v>6176</v>
      </c>
      <c r="D366" t="s">
        <v>274</v>
      </c>
      <c r="E366" t="s">
        <v>6177</v>
      </c>
      <c r="F366">
        <v>46227.820138888892</v>
      </c>
      <c r="G366">
        <v>264</v>
      </c>
      <c r="H366" t="s">
        <v>6152</v>
      </c>
      <c r="I366" t="s">
        <v>5358</v>
      </c>
      <c r="J366">
        <v>116</v>
      </c>
      <c r="K366">
        <v>731.96</v>
      </c>
      <c r="L366">
        <v>7383</v>
      </c>
      <c r="M366">
        <v>7389</v>
      </c>
      <c r="N366">
        <v>6</v>
      </c>
      <c r="O366">
        <v>19.3333333333333</v>
      </c>
    </row>
    <row r="367" spans="1:15" x14ac:dyDescent="0.25">
      <c r="A367">
        <v>1</v>
      </c>
      <c r="B367">
        <v>3</v>
      </c>
      <c r="C367" t="s">
        <v>6176</v>
      </c>
      <c r="D367" t="s">
        <v>274</v>
      </c>
      <c r="E367" t="s">
        <v>6177</v>
      </c>
      <c r="F367">
        <v>46230.897916666669</v>
      </c>
      <c r="G367">
        <v>264</v>
      </c>
      <c r="H367" t="s">
        <v>6152</v>
      </c>
      <c r="I367" t="s">
        <v>5358</v>
      </c>
      <c r="J367">
        <v>127</v>
      </c>
      <c r="K367">
        <v>797.56</v>
      </c>
      <c r="L367">
        <v>7389</v>
      </c>
      <c r="M367">
        <v>7399</v>
      </c>
      <c r="N367">
        <v>10</v>
      </c>
      <c r="O367">
        <v>12.7</v>
      </c>
    </row>
    <row r="368" spans="1:15" x14ac:dyDescent="0.25">
      <c r="A368">
        <v>1</v>
      </c>
      <c r="B368">
        <v>3</v>
      </c>
      <c r="C368" t="s">
        <v>6176</v>
      </c>
      <c r="D368" t="s">
        <v>274</v>
      </c>
      <c r="E368" t="s">
        <v>6177</v>
      </c>
      <c r="F368">
        <v>46232.9</v>
      </c>
      <c r="G368">
        <v>264</v>
      </c>
      <c r="H368" t="s">
        <v>6152</v>
      </c>
      <c r="I368" t="s">
        <v>5358</v>
      </c>
      <c r="J368">
        <v>130</v>
      </c>
      <c r="K368">
        <v>816.4</v>
      </c>
      <c r="L368">
        <v>7399</v>
      </c>
      <c r="M368">
        <v>7415</v>
      </c>
      <c r="N368">
        <v>16</v>
      </c>
      <c r="O368">
        <v>8.125</v>
      </c>
    </row>
    <row r="369" spans="1:15" x14ac:dyDescent="0.25">
      <c r="A369">
        <v>1</v>
      </c>
      <c r="B369">
        <v>3</v>
      </c>
      <c r="C369" t="s">
        <v>6176</v>
      </c>
      <c r="D369" t="s">
        <v>274</v>
      </c>
      <c r="E369" t="s">
        <v>6177</v>
      </c>
      <c r="F369">
        <v>46233.85833333333</v>
      </c>
      <c r="G369">
        <v>264</v>
      </c>
      <c r="H369" t="s">
        <v>6152</v>
      </c>
      <c r="I369" t="s">
        <v>5358</v>
      </c>
      <c r="J369">
        <v>60</v>
      </c>
      <c r="K369">
        <v>376.8</v>
      </c>
      <c r="L369">
        <v>7415</v>
      </c>
      <c r="M369">
        <v>7424</v>
      </c>
      <c r="N369">
        <v>9</v>
      </c>
      <c r="O369">
        <v>6.6666666666666696</v>
      </c>
    </row>
    <row r="370" spans="1:15" x14ac:dyDescent="0.25">
      <c r="A370">
        <v>1</v>
      </c>
      <c r="B370">
        <v>3</v>
      </c>
      <c r="C370" t="s">
        <v>6176</v>
      </c>
      <c r="D370" t="s">
        <v>274</v>
      </c>
      <c r="E370" t="s">
        <v>6177</v>
      </c>
      <c r="F370">
        <v>46234.895833333336</v>
      </c>
      <c r="G370">
        <v>264</v>
      </c>
      <c r="H370" t="s">
        <v>6152</v>
      </c>
      <c r="I370" t="s">
        <v>5358</v>
      </c>
      <c r="J370">
        <v>136</v>
      </c>
      <c r="K370">
        <v>854.08</v>
      </c>
      <c r="L370">
        <v>7424</v>
      </c>
      <c r="M370">
        <v>7433</v>
      </c>
      <c r="N370">
        <v>9</v>
      </c>
      <c r="O370">
        <v>15.1111111111111</v>
      </c>
    </row>
    <row r="371" spans="1:15" x14ac:dyDescent="0.25">
      <c r="A371">
        <v>1</v>
      </c>
      <c r="B371">
        <v>3</v>
      </c>
      <c r="C371" t="s">
        <v>6176</v>
      </c>
      <c r="D371" t="s">
        <v>277</v>
      </c>
      <c r="E371" t="s">
        <v>6177</v>
      </c>
      <c r="F371">
        <v>46204.770138888889</v>
      </c>
      <c r="G371">
        <v>264</v>
      </c>
      <c r="H371" t="s">
        <v>6152</v>
      </c>
      <c r="I371" t="s">
        <v>5358</v>
      </c>
      <c r="J371">
        <v>94</v>
      </c>
      <c r="K371">
        <v>578.1</v>
      </c>
      <c r="L371">
        <v>7868</v>
      </c>
      <c r="M371">
        <v>7877</v>
      </c>
      <c r="N371">
        <v>9</v>
      </c>
      <c r="O371">
        <v>10.4444444444444</v>
      </c>
    </row>
    <row r="372" spans="1:15" x14ac:dyDescent="0.25">
      <c r="A372">
        <v>1</v>
      </c>
      <c r="B372">
        <v>3</v>
      </c>
      <c r="C372" t="s">
        <v>6176</v>
      </c>
      <c r="D372" t="s">
        <v>277</v>
      </c>
      <c r="E372" t="s">
        <v>6177</v>
      </c>
      <c r="F372">
        <v>46205.835416666669</v>
      </c>
      <c r="G372">
        <v>264</v>
      </c>
      <c r="H372" t="s">
        <v>6152</v>
      </c>
      <c r="I372" t="s">
        <v>5358</v>
      </c>
      <c r="J372">
        <v>154</v>
      </c>
      <c r="K372">
        <v>947.1</v>
      </c>
      <c r="L372">
        <v>7877</v>
      </c>
      <c r="M372">
        <v>7888</v>
      </c>
      <c r="N372">
        <v>11</v>
      </c>
      <c r="O372">
        <v>14</v>
      </c>
    </row>
    <row r="373" spans="1:15" x14ac:dyDescent="0.25">
      <c r="A373">
        <v>1</v>
      </c>
      <c r="B373">
        <v>3</v>
      </c>
      <c r="C373" t="s">
        <v>6176</v>
      </c>
      <c r="D373" t="s">
        <v>277</v>
      </c>
      <c r="E373" t="s">
        <v>6177</v>
      </c>
      <c r="F373">
        <v>46207.893055555556</v>
      </c>
      <c r="G373">
        <v>264</v>
      </c>
      <c r="H373" t="s">
        <v>6152</v>
      </c>
      <c r="I373" t="s">
        <v>5358</v>
      </c>
      <c r="J373">
        <v>89</v>
      </c>
      <c r="K373">
        <v>547.35</v>
      </c>
      <c r="L373">
        <v>7888</v>
      </c>
      <c r="M373">
        <v>7897</v>
      </c>
      <c r="N373">
        <v>9</v>
      </c>
      <c r="O373">
        <v>9.8888888888888893</v>
      </c>
    </row>
    <row r="374" spans="1:15" x14ac:dyDescent="0.25">
      <c r="A374">
        <v>1</v>
      </c>
      <c r="B374">
        <v>3</v>
      </c>
      <c r="C374" t="s">
        <v>6176</v>
      </c>
      <c r="D374" t="s">
        <v>277</v>
      </c>
      <c r="E374" t="s">
        <v>6177</v>
      </c>
      <c r="F374">
        <v>46208.652777777781</v>
      </c>
      <c r="G374">
        <v>264</v>
      </c>
      <c r="H374" t="s">
        <v>6152</v>
      </c>
      <c r="I374" t="s">
        <v>5358</v>
      </c>
      <c r="J374">
        <v>64</v>
      </c>
      <c r="K374">
        <v>393.6</v>
      </c>
      <c r="L374">
        <v>7897</v>
      </c>
      <c r="M374">
        <v>7902</v>
      </c>
      <c r="N374">
        <v>5</v>
      </c>
      <c r="O374">
        <v>12.8</v>
      </c>
    </row>
    <row r="375" spans="1:15" x14ac:dyDescent="0.25">
      <c r="A375">
        <v>1</v>
      </c>
      <c r="B375">
        <v>3</v>
      </c>
      <c r="C375" t="s">
        <v>6176</v>
      </c>
      <c r="D375" t="s">
        <v>277</v>
      </c>
      <c r="E375" t="s">
        <v>6177</v>
      </c>
      <c r="F375">
        <v>46210.62777777778</v>
      </c>
      <c r="G375">
        <v>264</v>
      </c>
      <c r="H375" t="s">
        <v>6152</v>
      </c>
      <c r="I375" t="s">
        <v>5358</v>
      </c>
      <c r="J375">
        <v>137</v>
      </c>
      <c r="K375">
        <v>842.55</v>
      </c>
      <c r="L375">
        <v>7902</v>
      </c>
      <c r="M375">
        <v>7916</v>
      </c>
      <c r="N375">
        <v>14</v>
      </c>
      <c r="O375">
        <v>9.78571428571429</v>
      </c>
    </row>
    <row r="376" spans="1:15" x14ac:dyDescent="0.25">
      <c r="A376">
        <v>1</v>
      </c>
      <c r="B376">
        <v>3</v>
      </c>
      <c r="C376" t="s">
        <v>6176</v>
      </c>
      <c r="D376" t="s">
        <v>277</v>
      </c>
      <c r="E376" t="s">
        <v>6177</v>
      </c>
      <c r="F376">
        <v>46211.839583333334</v>
      </c>
      <c r="G376">
        <v>264</v>
      </c>
      <c r="H376" t="s">
        <v>6152</v>
      </c>
      <c r="I376" t="s">
        <v>5358</v>
      </c>
      <c r="J376">
        <v>100</v>
      </c>
      <c r="K376">
        <v>615</v>
      </c>
      <c r="L376">
        <v>7916</v>
      </c>
      <c r="M376">
        <v>7925</v>
      </c>
      <c r="N376">
        <v>9</v>
      </c>
      <c r="O376">
        <v>11.1111111111111</v>
      </c>
    </row>
    <row r="377" spans="1:15" x14ac:dyDescent="0.25">
      <c r="A377">
        <v>1</v>
      </c>
      <c r="B377">
        <v>3</v>
      </c>
      <c r="C377" t="s">
        <v>6176</v>
      </c>
      <c r="D377" t="s">
        <v>277</v>
      </c>
      <c r="E377" t="s">
        <v>6177</v>
      </c>
      <c r="F377">
        <v>46213.826388888891</v>
      </c>
      <c r="G377">
        <v>264</v>
      </c>
      <c r="H377" t="s">
        <v>6152</v>
      </c>
      <c r="I377" t="s">
        <v>5358</v>
      </c>
      <c r="J377">
        <v>117</v>
      </c>
      <c r="K377">
        <v>719.55</v>
      </c>
      <c r="L377">
        <v>7925</v>
      </c>
      <c r="M377">
        <v>7933</v>
      </c>
      <c r="N377">
        <v>8</v>
      </c>
      <c r="O377">
        <v>14.625</v>
      </c>
    </row>
    <row r="378" spans="1:15" x14ac:dyDescent="0.25">
      <c r="A378">
        <v>1</v>
      </c>
      <c r="B378">
        <v>3</v>
      </c>
      <c r="C378" t="s">
        <v>6176</v>
      </c>
      <c r="D378" t="s">
        <v>277</v>
      </c>
      <c r="E378" t="s">
        <v>6177</v>
      </c>
      <c r="F378">
        <v>46216.865277777775</v>
      </c>
      <c r="G378">
        <v>264</v>
      </c>
      <c r="H378" t="s">
        <v>6152</v>
      </c>
      <c r="I378" t="s">
        <v>5358</v>
      </c>
      <c r="J378">
        <v>55</v>
      </c>
      <c r="K378">
        <v>338.25</v>
      </c>
      <c r="L378">
        <v>7933</v>
      </c>
      <c r="M378">
        <v>7937</v>
      </c>
      <c r="N378">
        <v>4</v>
      </c>
      <c r="O378">
        <v>13.75</v>
      </c>
    </row>
    <row r="379" spans="1:15" x14ac:dyDescent="0.25">
      <c r="A379">
        <v>1</v>
      </c>
      <c r="B379">
        <v>3</v>
      </c>
      <c r="C379" t="s">
        <v>6176</v>
      </c>
      <c r="D379" t="s">
        <v>277</v>
      </c>
      <c r="E379" t="s">
        <v>6177</v>
      </c>
      <c r="F379">
        <v>46218.852777777778</v>
      </c>
      <c r="G379">
        <v>264</v>
      </c>
      <c r="H379" t="s">
        <v>6152</v>
      </c>
      <c r="I379" t="s">
        <v>5358</v>
      </c>
      <c r="J379">
        <v>219</v>
      </c>
      <c r="K379">
        <v>1346.85</v>
      </c>
      <c r="L379">
        <v>7937</v>
      </c>
      <c r="M379">
        <v>7952</v>
      </c>
      <c r="N379">
        <v>15</v>
      </c>
      <c r="O379">
        <v>14.6</v>
      </c>
    </row>
    <row r="380" spans="1:15" x14ac:dyDescent="0.25">
      <c r="A380">
        <v>1</v>
      </c>
      <c r="B380">
        <v>3</v>
      </c>
      <c r="C380" t="s">
        <v>6176</v>
      </c>
      <c r="D380" t="s">
        <v>277</v>
      </c>
      <c r="E380" t="s">
        <v>6177</v>
      </c>
      <c r="F380">
        <v>46219.861111111109</v>
      </c>
      <c r="G380">
        <v>264</v>
      </c>
      <c r="H380" t="s">
        <v>6152</v>
      </c>
      <c r="I380" t="s">
        <v>5358</v>
      </c>
      <c r="J380">
        <v>75</v>
      </c>
      <c r="K380">
        <v>461.25</v>
      </c>
      <c r="L380">
        <v>7952</v>
      </c>
      <c r="M380">
        <v>7958</v>
      </c>
      <c r="N380">
        <v>6</v>
      </c>
      <c r="O380">
        <v>12.5</v>
      </c>
    </row>
    <row r="381" spans="1:15" x14ac:dyDescent="0.25">
      <c r="A381">
        <v>1</v>
      </c>
      <c r="B381">
        <v>3</v>
      </c>
      <c r="C381" t="s">
        <v>6176</v>
      </c>
      <c r="D381" t="s">
        <v>277</v>
      </c>
      <c r="E381" t="s">
        <v>6177</v>
      </c>
      <c r="F381">
        <v>46221.851388888892</v>
      </c>
      <c r="G381">
        <v>264</v>
      </c>
      <c r="H381" t="s">
        <v>6152</v>
      </c>
      <c r="I381" t="s">
        <v>5358</v>
      </c>
      <c r="J381">
        <v>88</v>
      </c>
      <c r="K381">
        <v>545.6</v>
      </c>
      <c r="L381">
        <v>7958</v>
      </c>
      <c r="M381">
        <v>7965</v>
      </c>
      <c r="N381">
        <v>7</v>
      </c>
      <c r="O381">
        <v>12.5714285714286</v>
      </c>
    </row>
    <row r="382" spans="1:15" x14ac:dyDescent="0.25">
      <c r="A382">
        <v>1</v>
      </c>
      <c r="B382">
        <v>3</v>
      </c>
      <c r="C382" t="s">
        <v>6176</v>
      </c>
      <c r="D382" t="s">
        <v>277</v>
      </c>
      <c r="E382" t="s">
        <v>6177</v>
      </c>
      <c r="F382">
        <v>46224.806944444441</v>
      </c>
      <c r="G382">
        <v>264</v>
      </c>
      <c r="H382" t="s">
        <v>6152</v>
      </c>
      <c r="I382" t="s">
        <v>5358</v>
      </c>
      <c r="J382">
        <v>99</v>
      </c>
      <c r="K382">
        <v>624.69000000000005</v>
      </c>
      <c r="L382">
        <v>7965</v>
      </c>
      <c r="M382">
        <v>7973</v>
      </c>
      <c r="N382">
        <v>8</v>
      </c>
      <c r="O382">
        <v>12.375</v>
      </c>
    </row>
    <row r="383" spans="1:15" x14ac:dyDescent="0.25">
      <c r="A383">
        <v>1</v>
      </c>
      <c r="B383">
        <v>3</v>
      </c>
      <c r="C383" t="s">
        <v>6176</v>
      </c>
      <c r="D383" t="s">
        <v>277</v>
      </c>
      <c r="E383" t="s">
        <v>6177</v>
      </c>
      <c r="F383">
        <v>46225.834027777775</v>
      </c>
      <c r="G383">
        <v>264</v>
      </c>
      <c r="H383" t="s">
        <v>6152</v>
      </c>
      <c r="I383" t="s">
        <v>5358</v>
      </c>
      <c r="J383">
        <v>140</v>
      </c>
      <c r="K383">
        <v>883.4</v>
      </c>
      <c r="L383">
        <v>7973</v>
      </c>
      <c r="M383">
        <v>7983</v>
      </c>
      <c r="N383">
        <v>10</v>
      </c>
      <c r="O383">
        <v>14</v>
      </c>
    </row>
    <row r="384" spans="1:15" x14ac:dyDescent="0.25">
      <c r="A384">
        <v>1</v>
      </c>
      <c r="B384">
        <v>3</v>
      </c>
      <c r="C384" t="s">
        <v>6176</v>
      </c>
      <c r="D384" t="s">
        <v>277</v>
      </c>
      <c r="E384" t="s">
        <v>6177</v>
      </c>
      <c r="F384">
        <v>46226.713194444441</v>
      </c>
      <c r="G384">
        <v>264</v>
      </c>
      <c r="H384" t="s">
        <v>6152</v>
      </c>
      <c r="I384" t="s">
        <v>5358</v>
      </c>
      <c r="J384">
        <v>204</v>
      </c>
      <c r="K384">
        <v>1287.24</v>
      </c>
      <c r="L384">
        <v>7983</v>
      </c>
      <c r="M384">
        <v>7997</v>
      </c>
      <c r="N384">
        <v>14</v>
      </c>
      <c r="O384">
        <v>14.5714285714286</v>
      </c>
    </row>
    <row r="385" spans="1:15" x14ac:dyDescent="0.25">
      <c r="A385">
        <v>1</v>
      </c>
      <c r="B385">
        <v>3</v>
      </c>
      <c r="C385" t="s">
        <v>6176</v>
      </c>
      <c r="D385" t="s">
        <v>277</v>
      </c>
      <c r="E385" t="s">
        <v>6177</v>
      </c>
      <c r="F385">
        <v>46227.82708333333</v>
      </c>
      <c r="G385">
        <v>264</v>
      </c>
      <c r="H385" t="s">
        <v>6152</v>
      </c>
      <c r="I385" t="s">
        <v>5358</v>
      </c>
      <c r="J385">
        <v>211</v>
      </c>
      <c r="K385">
        <v>1331.41</v>
      </c>
      <c r="L385">
        <v>7997</v>
      </c>
      <c r="M385">
        <v>8012</v>
      </c>
      <c r="N385">
        <v>15</v>
      </c>
      <c r="O385">
        <v>14.0666666666667</v>
      </c>
    </row>
    <row r="386" spans="1:15" x14ac:dyDescent="0.25">
      <c r="A386">
        <v>1</v>
      </c>
      <c r="B386">
        <v>3</v>
      </c>
      <c r="C386" t="s">
        <v>6176</v>
      </c>
      <c r="D386" t="s">
        <v>277</v>
      </c>
      <c r="E386" t="s">
        <v>6177</v>
      </c>
      <c r="F386">
        <v>46230.88958333333</v>
      </c>
      <c r="G386">
        <v>264</v>
      </c>
      <c r="H386" t="s">
        <v>6152</v>
      </c>
      <c r="I386" t="s">
        <v>5358</v>
      </c>
      <c r="J386">
        <v>93</v>
      </c>
      <c r="K386">
        <v>584.04</v>
      </c>
      <c r="L386">
        <v>8012</v>
      </c>
      <c r="M386">
        <v>8022</v>
      </c>
      <c r="N386">
        <v>10</v>
      </c>
      <c r="O386">
        <v>9.3000000000000007</v>
      </c>
    </row>
    <row r="387" spans="1:15" x14ac:dyDescent="0.25">
      <c r="A387">
        <v>1</v>
      </c>
      <c r="B387">
        <v>3</v>
      </c>
      <c r="C387" t="s">
        <v>6176</v>
      </c>
      <c r="D387" t="s">
        <v>277</v>
      </c>
      <c r="E387" t="s">
        <v>6177</v>
      </c>
      <c r="F387">
        <v>46231.93472222222</v>
      </c>
      <c r="G387">
        <v>264</v>
      </c>
      <c r="H387" t="s">
        <v>6152</v>
      </c>
      <c r="I387" t="s">
        <v>5358</v>
      </c>
      <c r="J387">
        <v>83</v>
      </c>
      <c r="K387">
        <v>521.24</v>
      </c>
      <c r="L387">
        <v>8022</v>
      </c>
      <c r="M387">
        <v>8029</v>
      </c>
      <c r="N387">
        <v>7</v>
      </c>
      <c r="O387">
        <v>11.8571428571429</v>
      </c>
    </row>
    <row r="388" spans="1:15" x14ac:dyDescent="0.25">
      <c r="A388">
        <v>1</v>
      </c>
      <c r="B388">
        <v>3</v>
      </c>
      <c r="C388" t="s">
        <v>6176</v>
      </c>
      <c r="D388" t="s">
        <v>277</v>
      </c>
      <c r="E388" t="s">
        <v>6177</v>
      </c>
      <c r="F388">
        <v>46232.900694444441</v>
      </c>
      <c r="G388">
        <v>264</v>
      </c>
      <c r="H388" t="s">
        <v>6152</v>
      </c>
      <c r="I388" t="s">
        <v>5358</v>
      </c>
      <c r="J388">
        <v>14</v>
      </c>
      <c r="K388">
        <v>87.92</v>
      </c>
      <c r="L388">
        <v>8029</v>
      </c>
      <c r="M388">
        <v>8030</v>
      </c>
      <c r="N388">
        <v>1</v>
      </c>
      <c r="O388">
        <v>14</v>
      </c>
    </row>
    <row r="389" spans="1:15" x14ac:dyDescent="0.25">
      <c r="A389">
        <v>1</v>
      </c>
      <c r="B389">
        <v>3</v>
      </c>
      <c r="C389" t="s">
        <v>6176</v>
      </c>
      <c r="D389" t="s">
        <v>277</v>
      </c>
      <c r="E389" t="s">
        <v>6177</v>
      </c>
      <c r="F389">
        <v>46233.85833333333</v>
      </c>
      <c r="G389">
        <v>264</v>
      </c>
      <c r="H389" t="s">
        <v>6152</v>
      </c>
      <c r="I389" t="s">
        <v>5358</v>
      </c>
      <c r="J389">
        <v>65</v>
      </c>
      <c r="K389">
        <v>408.2</v>
      </c>
      <c r="L389">
        <v>8030</v>
      </c>
      <c r="M389">
        <v>8039</v>
      </c>
      <c r="N389">
        <v>9</v>
      </c>
      <c r="O389">
        <v>7.2222222222222197</v>
      </c>
    </row>
    <row r="390" spans="1:15" x14ac:dyDescent="0.25">
      <c r="A390">
        <v>1</v>
      </c>
      <c r="B390">
        <v>3</v>
      </c>
      <c r="C390" t="s">
        <v>6176</v>
      </c>
      <c r="D390" t="s">
        <v>277</v>
      </c>
      <c r="E390" t="s">
        <v>6177</v>
      </c>
      <c r="F390">
        <v>46234.899305555555</v>
      </c>
      <c r="G390">
        <v>264</v>
      </c>
      <c r="H390" t="s">
        <v>6152</v>
      </c>
      <c r="I390" t="s">
        <v>5358</v>
      </c>
      <c r="J390">
        <v>77</v>
      </c>
      <c r="K390">
        <v>483.56</v>
      </c>
      <c r="L390">
        <v>8039</v>
      </c>
      <c r="M390">
        <v>8048</v>
      </c>
      <c r="N390">
        <v>9</v>
      </c>
      <c r="O390">
        <v>8.5555555555555607</v>
      </c>
    </row>
    <row r="391" spans="1:15" x14ac:dyDescent="0.25">
      <c r="A391">
        <v>1</v>
      </c>
      <c r="B391">
        <v>3</v>
      </c>
      <c r="C391" t="s">
        <v>6176</v>
      </c>
      <c r="D391" t="s">
        <v>280</v>
      </c>
      <c r="E391" t="s">
        <v>6177</v>
      </c>
      <c r="F391">
        <v>46205.432638888888</v>
      </c>
      <c r="G391">
        <v>232</v>
      </c>
      <c r="H391" t="s">
        <v>6155</v>
      </c>
      <c r="I391" t="s">
        <v>5358</v>
      </c>
      <c r="J391">
        <v>120</v>
      </c>
      <c r="K391">
        <v>738</v>
      </c>
      <c r="L391">
        <v>7506</v>
      </c>
      <c r="M391">
        <v>7516</v>
      </c>
      <c r="N391">
        <v>10</v>
      </c>
      <c r="O391">
        <v>12</v>
      </c>
    </row>
    <row r="392" spans="1:15" x14ac:dyDescent="0.25">
      <c r="A392">
        <v>1</v>
      </c>
      <c r="B392">
        <v>3</v>
      </c>
      <c r="C392" t="s">
        <v>6176</v>
      </c>
      <c r="D392" t="s">
        <v>280</v>
      </c>
      <c r="E392" t="s">
        <v>6177</v>
      </c>
      <c r="F392">
        <v>46207.359722222223</v>
      </c>
      <c r="G392">
        <v>264</v>
      </c>
      <c r="H392" t="s">
        <v>6152</v>
      </c>
      <c r="I392" t="s">
        <v>5358</v>
      </c>
      <c r="J392">
        <v>140</v>
      </c>
      <c r="K392">
        <v>861</v>
      </c>
      <c r="L392">
        <v>7516</v>
      </c>
      <c r="M392">
        <v>7526</v>
      </c>
      <c r="N392">
        <v>10</v>
      </c>
      <c r="O392">
        <v>14</v>
      </c>
    </row>
    <row r="393" spans="1:15" x14ac:dyDescent="0.25">
      <c r="A393">
        <v>1</v>
      </c>
      <c r="B393">
        <v>3</v>
      </c>
      <c r="C393" t="s">
        <v>6176</v>
      </c>
      <c r="D393" t="s">
        <v>280</v>
      </c>
      <c r="E393" t="s">
        <v>6177</v>
      </c>
      <c r="F393">
        <v>46210.381249999999</v>
      </c>
      <c r="G393">
        <v>232</v>
      </c>
      <c r="H393" t="s">
        <v>6155</v>
      </c>
      <c r="I393" t="s">
        <v>5358</v>
      </c>
      <c r="J393">
        <v>184</v>
      </c>
      <c r="K393">
        <v>1131.5999999999999</v>
      </c>
      <c r="L393">
        <v>7526</v>
      </c>
      <c r="M393">
        <v>7546</v>
      </c>
      <c r="N393">
        <v>20</v>
      </c>
      <c r="O393">
        <v>9.1999999999999993</v>
      </c>
    </row>
    <row r="394" spans="1:15" x14ac:dyDescent="0.25">
      <c r="A394">
        <v>1</v>
      </c>
      <c r="B394">
        <v>3</v>
      </c>
      <c r="C394" t="s">
        <v>6176</v>
      </c>
      <c r="D394" t="s">
        <v>280</v>
      </c>
      <c r="E394" t="s">
        <v>6177</v>
      </c>
      <c r="F394">
        <v>46212.404166666667</v>
      </c>
      <c r="G394">
        <v>232</v>
      </c>
      <c r="H394" t="s">
        <v>6155</v>
      </c>
      <c r="I394" t="s">
        <v>5358</v>
      </c>
      <c r="J394">
        <v>91</v>
      </c>
      <c r="K394">
        <v>559.65</v>
      </c>
      <c r="L394">
        <v>7546</v>
      </c>
      <c r="M394">
        <v>7554</v>
      </c>
      <c r="N394">
        <v>8</v>
      </c>
      <c r="O394">
        <v>11.375</v>
      </c>
    </row>
    <row r="395" spans="1:15" x14ac:dyDescent="0.25">
      <c r="A395">
        <v>1</v>
      </c>
      <c r="B395">
        <v>3</v>
      </c>
      <c r="C395" t="s">
        <v>6176</v>
      </c>
      <c r="D395" t="s">
        <v>280</v>
      </c>
      <c r="E395" t="s">
        <v>6177</v>
      </c>
      <c r="F395">
        <v>46216.450694444444</v>
      </c>
      <c r="G395">
        <v>129</v>
      </c>
      <c r="H395" t="s">
        <v>6164</v>
      </c>
      <c r="I395" t="s">
        <v>5358</v>
      </c>
      <c r="J395">
        <v>131</v>
      </c>
      <c r="K395">
        <v>805.65</v>
      </c>
      <c r="L395">
        <v>7554</v>
      </c>
      <c r="M395">
        <v>7563</v>
      </c>
      <c r="N395">
        <v>9</v>
      </c>
      <c r="O395">
        <v>14.5555555555556</v>
      </c>
    </row>
    <row r="396" spans="1:15" x14ac:dyDescent="0.25">
      <c r="A396">
        <v>1</v>
      </c>
      <c r="B396">
        <v>3</v>
      </c>
      <c r="C396" t="s">
        <v>6176</v>
      </c>
      <c r="D396" t="s">
        <v>280</v>
      </c>
      <c r="E396" t="s">
        <v>6177</v>
      </c>
      <c r="F396">
        <v>46217.52847222222</v>
      </c>
      <c r="G396">
        <v>232</v>
      </c>
      <c r="H396" t="s">
        <v>6155</v>
      </c>
      <c r="I396" t="s">
        <v>5358</v>
      </c>
      <c r="J396">
        <v>230</v>
      </c>
      <c r="K396">
        <v>1414.5</v>
      </c>
      <c r="L396">
        <v>7563</v>
      </c>
      <c r="M396">
        <v>7576</v>
      </c>
      <c r="N396">
        <v>13</v>
      </c>
      <c r="O396">
        <v>17.692307692307701</v>
      </c>
    </row>
    <row r="397" spans="1:15" x14ac:dyDescent="0.25">
      <c r="A397">
        <v>1</v>
      </c>
      <c r="B397">
        <v>3</v>
      </c>
      <c r="C397" t="s">
        <v>6176</v>
      </c>
      <c r="D397" t="s">
        <v>280</v>
      </c>
      <c r="E397" t="s">
        <v>6177</v>
      </c>
      <c r="F397">
        <v>46218.404166666667</v>
      </c>
      <c r="G397">
        <v>264</v>
      </c>
      <c r="H397" t="s">
        <v>6152</v>
      </c>
      <c r="I397" t="s">
        <v>5358</v>
      </c>
      <c r="J397">
        <v>143</v>
      </c>
      <c r="K397">
        <v>879.45</v>
      </c>
      <c r="L397">
        <v>7576</v>
      </c>
      <c r="M397">
        <v>7585</v>
      </c>
      <c r="N397">
        <v>9</v>
      </c>
      <c r="O397">
        <v>15.8888888888889</v>
      </c>
    </row>
    <row r="398" spans="1:15" x14ac:dyDescent="0.25">
      <c r="A398">
        <v>1</v>
      </c>
      <c r="B398">
        <v>3</v>
      </c>
      <c r="C398" t="s">
        <v>6176</v>
      </c>
      <c r="D398" t="s">
        <v>280</v>
      </c>
      <c r="E398" t="s">
        <v>6177</v>
      </c>
      <c r="F398">
        <v>46219.339583333334</v>
      </c>
      <c r="G398">
        <v>264</v>
      </c>
      <c r="H398" t="s">
        <v>6152</v>
      </c>
      <c r="I398" t="s">
        <v>5358</v>
      </c>
      <c r="J398">
        <v>74</v>
      </c>
      <c r="K398">
        <v>455.1</v>
      </c>
      <c r="L398">
        <v>7585</v>
      </c>
      <c r="M398">
        <v>7590</v>
      </c>
      <c r="N398">
        <v>5</v>
      </c>
      <c r="O398">
        <v>14.8</v>
      </c>
    </row>
    <row r="399" spans="1:15" x14ac:dyDescent="0.25">
      <c r="A399">
        <v>1</v>
      </c>
      <c r="B399">
        <v>3</v>
      </c>
      <c r="C399" t="s">
        <v>6176</v>
      </c>
      <c r="D399" t="s">
        <v>280</v>
      </c>
      <c r="E399" t="s">
        <v>6177</v>
      </c>
      <c r="F399">
        <v>46221.496527777781</v>
      </c>
      <c r="G399">
        <v>264</v>
      </c>
      <c r="H399" t="s">
        <v>6152</v>
      </c>
      <c r="I399" t="s">
        <v>5358</v>
      </c>
      <c r="J399">
        <v>58</v>
      </c>
      <c r="K399">
        <v>359.6</v>
      </c>
      <c r="L399">
        <v>7590</v>
      </c>
      <c r="M399">
        <v>7596</v>
      </c>
      <c r="N399">
        <v>6</v>
      </c>
      <c r="O399">
        <v>9.6666666666666696</v>
      </c>
    </row>
    <row r="400" spans="1:15" x14ac:dyDescent="0.25">
      <c r="A400">
        <v>1</v>
      </c>
      <c r="B400">
        <v>3</v>
      </c>
      <c r="C400" t="s">
        <v>6176</v>
      </c>
      <c r="D400" t="s">
        <v>280</v>
      </c>
      <c r="E400" t="s">
        <v>6177</v>
      </c>
      <c r="F400">
        <v>46224.684027777781</v>
      </c>
      <c r="G400">
        <v>264</v>
      </c>
      <c r="H400" t="s">
        <v>6152</v>
      </c>
      <c r="I400" t="s">
        <v>5358</v>
      </c>
      <c r="J400">
        <v>95</v>
      </c>
      <c r="K400">
        <v>599.45000000000005</v>
      </c>
      <c r="L400">
        <v>7596</v>
      </c>
      <c r="M400">
        <v>7606</v>
      </c>
      <c r="N400">
        <v>10</v>
      </c>
      <c r="O400">
        <v>9.5</v>
      </c>
    </row>
    <row r="401" spans="1:15" x14ac:dyDescent="0.25">
      <c r="A401">
        <v>1</v>
      </c>
      <c r="B401">
        <v>3</v>
      </c>
      <c r="C401" t="s">
        <v>6176</v>
      </c>
      <c r="D401" t="s">
        <v>280</v>
      </c>
      <c r="E401" t="s">
        <v>6177</v>
      </c>
      <c r="F401">
        <v>46226.666666666664</v>
      </c>
      <c r="G401">
        <v>264</v>
      </c>
      <c r="H401" t="s">
        <v>6152</v>
      </c>
      <c r="I401" t="s">
        <v>5358</v>
      </c>
      <c r="J401">
        <v>154</v>
      </c>
      <c r="K401">
        <v>971.74</v>
      </c>
      <c r="L401">
        <v>7606</v>
      </c>
      <c r="M401">
        <v>7617</v>
      </c>
      <c r="N401">
        <v>11</v>
      </c>
      <c r="O401">
        <v>14</v>
      </c>
    </row>
    <row r="402" spans="1:15" x14ac:dyDescent="0.25">
      <c r="A402">
        <v>1</v>
      </c>
      <c r="B402">
        <v>3</v>
      </c>
      <c r="C402" t="s">
        <v>6176</v>
      </c>
      <c r="D402" t="s">
        <v>280</v>
      </c>
      <c r="E402" t="s">
        <v>6177</v>
      </c>
      <c r="F402">
        <v>46227.59097222222</v>
      </c>
      <c r="G402">
        <v>264</v>
      </c>
      <c r="H402" t="s">
        <v>6152</v>
      </c>
      <c r="I402" t="s">
        <v>5358</v>
      </c>
      <c r="J402">
        <v>129</v>
      </c>
      <c r="K402">
        <v>813.99</v>
      </c>
      <c r="L402">
        <v>7617</v>
      </c>
      <c r="M402">
        <v>7624</v>
      </c>
      <c r="N402">
        <v>7</v>
      </c>
      <c r="O402">
        <v>18.428571428571399</v>
      </c>
    </row>
    <row r="403" spans="1:15" x14ac:dyDescent="0.25">
      <c r="A403">
        <v>1</v>
      </c>
      <c r="B403">
        <v>3</v>
      </c>
      <c r="C403" t="s">
        <v>6176</v>
      </c>
      <c r="D403" t="s">
        <v>280</v>
      </c>
      <c r="E403" t="s">
        <v>6177</v>
      </c>
      <c r="F403">
        <v>46230.442361111112</v>
      </c>
      <c r="G403">
        <v>264</v>
      </c>
      <c r="H403" t="s">
        <v>6152</v>
      </c>
      <c r="I403" t="s">
        <v>5358</v>
      </c>
      <c r="J403">
        <v>87</v>
      </c>
      <c r="K403">
        <v>546.36</v>
      </c>
      <c r="L403">
        <v>7624</v>
      </c>
      <c r="M403">
        <v>7632</v>
      </c>
      <c r="N403">
        <v>8</v>
      </c>
      <c r="O403">
        <v>10.875</v>
      </c>
    </row>
    <row r="404" spans="1:15" x14ac:dyDescent="0.25">
      <c r="A404">
        <v>1</v>
      </c>
      <c r="B404">
        <v>3</v>
      </c>
      <c r="C404" t="s">
        <v>6176</v>
      </c>
      <c r="D404" t="s">
        <v>280</v>
      </c>
      <c r="E404" t="s">
        <v>6177</v>
      </c>
      <c r="F404">
        <v>46232.758333333331</v>
      </c>
      <c r="G404">
        <v>264</v>
      </c>
      <c r="H404" t="s">
        <v>6152</v>
      </c>
      <c r="I404" t="s">
        <v>5358</v>
      </c>
      <c r="J404">
        <v>153</v>
      </c>
      <c r="K404">
        <v>960.84</v>
      </c>
      <c r="L404">
        <v>7632</v>
      </c>
      <c r="M404">
        <v>7650</v>
      </c>
      <c r="N404">
        <v>18</v>
      </c>
      <c r="O404">
        <v>8.5</v>
      </c>
    </row>
    <row r="405" spans="1:15" x14ac:dyDescent="0.25">
      <c r="A405">
        <v>1</v>
      </c>
      <c r="B405">
        <v>3</v>
      </c>
      <c r="C405" t="s">
        <v>6176</v>
      </c>
      <c r="D405" t="s">
        <v>280</v>
      </c>
      <c r="E405" t="s">
        <v>6177</v>
      </c>
      <c r="F405">
        <v>46233.70416666667</v>
      </c>
      <c r="G405">
        <v>264</v>
      </c>
      <c r="H405" t="s">
        <v>6152</v>
      </c>
      <c r="I405" t="s">
        <v>5358</v>
      </c>
      <c r="J405">
        <v>70</v>
      </c>
      <c r="K405">
        <v>439.6</v>
      </c>
      <c r="L405">
        <v>7650</v>
      </c>
      <c r="M405">
        <v>7658</v>
      </c>
      <c r="N405">
        <v>8</v>
      </c>
      <c r="O405">
        <v>8.75</v>
      </c>
    </row>
    <row r="406" spans="1:15" x14ac:dyDescent="0.25">
      <c r="A406">
        <v>1</v>
      </c>
      <c r="B406">
        <v>3</v>
      </c>
      <c r="C406" t="s">
        <v>6176</v>
      </c>
      <c r="D406" t="s">
        <v>280</v>
      </c>
      <c r="E406" t="s">
        <v>6177</v>
      </c>
      <c r="F406">
        <v>46234.4375</v>
      </c>
      <c r="G406">
        <v>264</v>
      </c>
      <c r="H406" t="s">
        <v>6152</v>
      </c>
      <c r="I406" t="s">
        <v>5358</v>
      </c>
      <c r="J406">
        <v>64</v>
      </c>
      <c r="K406">
        <v>401.92</v>
      </c>
      <c r="L406">
        <v>7658</v>
      </c>
      <c r="M406">
        <v>7666</v>
      </c>
      <c r="N406">
        <v>8</v>
      </c>
      <c r="O406">
        <v>8</v>
      </c>
    </row>
    <row r="407" spans="1:15" x14ac:dyDescent="0.25">
      <c r="A407">
        <v>1</v>
      </c>
      <c r="B407">
        <v>3</v>
      </c>
      <c r="C407" t="s">
        <v>6176</v>
      </c>
      <c r="D407" t="s">
        <v>283</v>
      </c>
      <c r="E407" t="s">
        <v>6177</v>
      </c>
      <c r="F407">
        <v>46205.433333333334</v>
      </c>
      <c r="G407">
        <v>232</v>
      </c>
      <c r="H407" t="s">
        <v>6155</v>
      </c>
      <c r="I407" t="s">
        <v>5358</v>
      </c>
      <c r="J407">
        <v>117</v>
      </c>
      <c r="K407">
        <v>719.55</v>
      </c>
      <c r="L407">
        <v>7532</v>
      </c>
      <c r="M407">
        <v>7544</v>
      </c>
      <c r="N407">
        <v>12</v>
      </c>
      <c r="O407">
        <v>9.75</v>
      </c>
    </row>
    <row r="408" spans="1:15" x14ac:dyDescent="0.25">
      <c r="A408">
        <v>1</v>
      </c>
      <c r="B408">
        <v>3</v>
      </c>
      <c r="C408" t="s">
        <v>6176</v>
      </c>
      <c r="D408" t="s">
        <v>283</v>
      </c>
      <c r="E408" t="s">
        <v>6177</v>
      </c>
      <c r="F408">
        <v>46207.463194444441</v>
      </c>
      <c r="G408">
        <v>232</v>
      </c>
      <c r="H408" t="s">
        <v>6155</v>
      </c>
      <c r="I408" t="s">
        <v>5358</v>
      </c>
      <c r="J408">
        <v>120</v>
      </c>
      <c r="K408">
        <v>738</v>
      </c>
      <c r="L408">
        <v>7544</v>
      </c>
      <c r="M408">
        <v>7553</v>
      </c>
      <c r="N408">
        <v>9</v>
      </c>
      <c r="O408">
        <v>13.3333333333333</v>
      </c>
    </row>
    <row r="409" spans="1:15" x14ac:dyDescent="0.25">
      <c r="A409">
        <v>1</v>
      </c>
      <c r="B409">
        <v>3</v>
      </c>
      <c r="C409" t="s">
        <v>6176</v>
      </c>
      <c r="D409" t="s">
        <v>283</v>
      </c>
      <c r="E409" t="s">
        <v>6177</v>
      </c>
      <c r="F409">
        <v>46210.382638888892</v>
      </c>
      <c r="G409">
        <v>232</v>
      </c>
      <c r="H409" t="s">
        <v>6155</v>
      </c>
      <c r="I409" t="s">
        <v>5358</v>
      </c>
      <c r="J409">
        <v>96</v>
      </c>
      <c r="K409">
        <v>590.4</v>
      </c>
      <c r="L409">
        <v>7553</v>
      </c>
      <c r="M409">
        <v>7559</v>
      </c>
      <c r="N409">
        <v>6</v>
      </c>
      <c r="O409">
        <v>16</v>
      </c>
    </row>
    <row r="410" spans="1:15" x14ac:dyDescent="0.25">
      <c r="A410">
        <v>1</v>
      </c>
      <c r="B410">
        <v>3</v>
      </c>
      <c r="C410" t="s">
        <v>6176</v>
      </c>
      <c r="D410" t="s">
        <v>283</v>
      </c>
      <c r="E410" t="s">
        <v>6177</v>
      </c>
      <c r="F410">
        <v>46212.404861111114</v>
      </c>
      <c r="G410">
        <v>232</v>
      </c>
      <c r="H410" t="s">
        <v>6155</v>
      </c>
      <c r="I410" t="s">
        <v>5358</v>
      </c>
      <c r="J410">
        <v>80</v>
      </c>
      <c r="K410">
        <v>492</v>
      </c>
      <c r="L410">
        <v>7559</v>
      </c>
      <c r="M410">
        <v>7565</v>
      </c>
      <c r="N410">
        <v>6</v>
      </c>
      <c r="O410">
        <v>13.3333333333333</v>
      </c>
    </row>
    <row r="411" spans="1:15" x14ac:dyDescent="0.25">
      <c r="A411">
        <v>1</v>
      </c>
      <c r="B411">
        <v>3</v>
      </c>
      <c r="C411" t="s">
        <v>6176</v>
      </c>
      <c r="D411" t="s">
        <v>283</v>
      </c>
      <c r="E411" t="s">
        <v>6177</v>
      </c>
      <c r="F411">
        <v>46216.447916666664</v>
      </c>
      <c r="G411">
        <v>129</v>
      </c>
      <c r="H411" t="s">
        <v>6164</v>
      </c>
      <c r="I411" t="s">
        <v>5358</v>
      </c>
      <c r="J411">
        <v>110</v>
      </c>
      <c r="K411">
        <v>676.5</v>
      </c>
      <c r="L411">
        <v>7565</v>
      </c>
      <c r="M411">
        <v>7572</v>
      </c>
      <c r="N411">
        <v>7</v>
      </c>
      <c r="O411">
        <v>15.714285714285699</v>
      </c>
    </row>
    <row r="412" spans="1:15" x14ac:dyDescent="0.25">
      <c r="A412">
        <v>1</v>
      </c>
      <c r="B412">
        <v>3</v>
      </c>
      <c r="C412" t="s">
        <v>6176</v>
      </c>
      <c r="D412" t="s">
        <v>283</v>
      </c>
      <c r="E412" t="s">
        <v>6177</v>
      </c>
      <c r="F412">
        <v>46217.529166666667</v>
      </c>
      <c r="G412">
        <v>232</v>
      </c>
      <c r="H412" t="s">
        <v>6155</v>
      </c>
      <c r="I412" t="s">
        <v>5358</v>
      </c>
      <c r="J412">
        <v>221</v>
      </c>
      <c r="K412">
        <v>1359.15</v>
      </c>
      <c r="L412">
        <v>7572</v>
      </c>
      <c r="M412">
        <v>7586</v>
      </c>
      <c r="N412">
        <v>14</v>
      </c>
      <c r="O412">
        <v>15.785714285714301</v>
      </c>
    </row>
    <row r="413" spans="1:15" x14ac:dyDescent="0.25">
      <c r="A413">
        <v>1</v>
      </c>
      <c r="B413">
        <v>3</v>
      </c>
      <c r="C413" t="s">
        <v>6176</v>
      </c>
      <c r="D413" t="s">
        <v>283</v>
      </c>
      <c r="E413" t="s">
        <v>6177</v>
      </c>
      <c r="F413">
        <v>46219.413888888892</v>
      </c>
      <c r="G413">
        <v>232</v>
      </c>
      <c r="H413" t="s">
        <v>6155</v>
      </c>
      <c r="I413" t="s">
        <v>5358</v>
      </c>
      <c r="J413">
        <v>50</v>
      </c>
      <c r="K413">
        <v>307.5</v>
      </c>
      <c r="L413">
        <v>7586</v>
      </c>
      <c r="M413">
        <v>7589</v>
      </c>
      <c r="N413">
        <v>3</v>
      </c>
      <c r="O413">
        <v>16.6666666666667</v>
      </c>
    </row>
    <row r="414" spans="1:15" x14ac:dyDescent="0.25">
      <c r="A414">
        <v>1</v>
      </c>
      <c r="B414">
        <v>3</v>
      </c>
      <c r="C414" t="s">
        <v>6176</v>
      </c>
      <c r="D414" t="s">
        <v>283</v>
      </c>
      <c r="E414" t="s">
        <v>6177</v>
      </c>
      <c r="F414">
        <v>46221.898611111108</v>
      </c>
      <c r="G414">
        <v>264</v>
      </c>
      <c r="H414" t="s">
        <v>6152</v>
      </c>
      <c r="I414" t="s">
        <v>5358</v>
      </c>
      <c r="J414">
        <v>150</v>
      </c>
      <c r="K414">
        <v>930</v>
      </c>
      <c r="L414">
        <v>7589</v>
      </c>
      <c r="M414">
        <v>7601</v>
      </c>
      <c r="N414">
        <v>12</v>
      </c>
      <c r="O414">
        <v>12.5</v>
      </c>
    </row>
    <row r="415" spans="1:15" x14ac:dyDescent="0.25">
      <c r="A415">
        <v>1</v>
      </c>
      <c r="B415">
        <v>3</v>
      </c>
      <c r="C415" t="s">
        <v>6176</v>
      </c>
      <c r="D415" t="s">
        <v>283</v>
      </c>
      <c r="E415" t="s">
        <v>6177</v>
      </c>
      <c r="F415">
        <v>46225.496527777781</v>
      </c>
      <c r="G415">
        <v>264</v>
      </c>
      <c r="H415" t="s">
        <v>6152</v>
      </c>
      <c r="I415" t="s">
        <v>5358</v>
      </c>
      <c r="J415">
        <v>268</v>
      </c>
      <c r="K415">
        <v>1691.08</v>
      </c>
      <c r="L415">
        <v>7601</v>
      </c>
      <c r="M415">
        <v>7618</v>
      </c>
      <c r="N415">
        <v>17</v>
      </c>
      <c r="O415">
        <v>15.764705882352899</v>
      </c>
    </row>
    <row r="416" spans="1:15" x14ac:dyDescent="0.25">
      <c r="A416">
        <v>1</v>
      </c>
      <c r="B416">
        <v>3</v>
      </c>
      <c r="C416" t="s">
        <v>6176</v>
      </c>
      <c r="D416" t="s">
        <v>283</v>
      </c>
      <c r="E416" t="s">
        <v>6177</v>
      </c>
      <c r="F416">
        <v>46225.501388888886</v>
      </c>
      <c r="G416">
        <v>264</v>
      </c>
      <c r="H416" t="s">
        <v>6152</v>
      </c>
      <c r="I416" t="s">
        <v>5358</v>
      </c>
      <c r="J416">
        <v>191</v>
      </c>
      <c r="K416">
        <v>1205.21</v>
      </c>
      <c r="L416">
        <v>7618</v>
      </c>
      <c r="M416">
        <v>7629</v>
      </c>
      <c r="N416">
        <v>11</v>
      </c>
      <c r="O416">
        <v>17.363636363636399</v>
      </c>
    </row>
    <row r="417" spans="1:15" x14ac:dyDescent="0.25">
      <c r="A417">
        <v>1</v>
      </c>
      <c r="B417">
        <v>3</v>
      </c>
      <c r="C417" t="s">
        <v>6176</v>
      </c>
      <c r="D417" t="s">
        <v>283</v>
      </c>
      <c r="E417" t="s">
        <v>6177</v>
      </c>
      <c r="F417">
        <v>46226.669444444444</v>
      </c>
      <c r="G417">
        <v>264</v>
      </c>
      <c r="H417" t="s">
        <v>6152</v>
      </c>
      <c r="I417" t="s">
        <v>5358</v>
      </c>
      <c r="J417">
        <v>198</v>
      </c>
      <c r="K417">
        <v>1249.3800000000001</v>
      </c>
      <c r="L417">
        <v>7629</v>
      </c>
      <c r="M417">
        <v>7640</v>
      </c>
      <c r="N417">
        <v>11</v>
      </c>
      <c r="O417">
        <v>18</v>
      </c>
    </row>
    <row r="418" spans="1:15" x14ac:dyDescent="0.25">
      <c r="A418">
        <v>1</v>
      </c>
      <c r="B418">
        <v>3</v>
      </c>
      <c r="C418" t="s">
        <v>6176</v>
      </c>
      <c r="D418" t="s">
        <v>283</v>
      </c>
      <c r="E418" t="s">
        <v>6177</v>
      </c>
      <c r="F418">
        <v>46227.588194444441</v>
      </c>
      <c r="G418">
        <v>264</v>
      </c>
      <c r="H418" t="s">
        <v>6152</v>
      </c>
      <c r="I418" t="s">
        <v>5358</v>
      </c>
      <c r="J418">
        <v>190</v>
      </c>
      <c r="K418">
        <v>1198.9000000000001</v>
      </c>
      <c r="L418">
        <v>7640</v>
      </c>
      <c r="M418">
        <v>7652</v>
      </c>
      <c r="N418">
        <v>12</v>
      </c>
      <c r="O418">
        <v>15.8333333333333</v>
      </c>
    </row>
    <row r="419" spans="1:15" x14ac:dyDescent="0.25">
      <c r="A419">
        <v>1</v>
      </c>
      <c r="B419">
        <v>3</v>
      </c>
      <c r="C419" t="s">
        <v>6176</v>
      </c>
      <c r="D419" t="s">
        <v>283</v>
      </c>
      <c r="E419" t="s">
        <v>6177</v>
      </c>
      <c r="F419">
        <v>46230.443055555559</v>
      </c>
      <c r="G419">
        <v>264</v>
      </c>
      <c r="H419" t="s">
        <v>6152</v>
      </c>
      <c r="I419" t="s">
        <v>5358</v>
      </c>
      <c r="J419">
        <v>92</v>
      </c>
      <c r="K419">
        <v>577.76</v>
      </c>
      <c r="L419">
        <v>7652</v>
      </c>
      <c r="M419">
        <v>7658</v>
      </c>
      <c r="N419">
        <v>6</v>
      </c>
      <c r="O419">
        <v>15.3333333333333</v>
      </c>
    </row>
    <row r="420" spans="1:15" x14ac:dyDescent="0.25">
      <c r="A420">
        <v>1</v>
      </c>
      <c r="B420">
        <v>3</v>
      </c>
      <c r="C420" t="s">
        <v>6176</v>
      </c>
      <c r="D420" t="s">
        <v>283</v>
      </c>
      <c r="E420" t="s">
        <v>6177</v>
      </c>
      <c r="F420">
        <v>46232.759027777778</v>
      </c>
      <c r="G420">
        <v>264</v>
      </c>
      <c r="H420" t="s">
        <v>6152</v>
      </c>
      <c r="I420" t="s">
        <v>5358</v>
      </c>
      <c r="J420">
        <v>141</v>
      </c>
      <c r="K420">
        <v>885.48</v>
      </c>
      <c r="L420">
        <v>7658</v>
      </c>
      <c r="M420">
        <v>7675</v>
      </c>
      <c r="N420">
        <v>17</v>
      </c>
      <c r="O420">
        <v>8.2941176470588207</v>
      </c>
    </row>
    <row r="421" spans="1:15" x14ac:dyDescent="0.25">
      <c r="A421">
        <v>1</v>
      </c>
      <c r="B421">
        <v>3</v>
      </c>
      <c r="C421" t="s">
        <v>6176</v>
      </c>
      <c r="D421" t="s">
        <v>283</v>
      </c>
      <c r="E421" t="s">
        <v>6177</v>
      </c>
      <c r="F421">
        <v>46233.704861111109</v>
      </c>
      <c r="G421">
        <v>264</v>
      </c>
      <c r="H421" t="s">
        <v>6152</v>
      </c>
      <c r="I421" t="s">
        <v>5358</v>
      </c>
      <c r="J421">
        <v>57</v>
      </c>
      <c r="K421">
        <v>357.96</v>
      </c>
      <c r="L421">
        <v>7675</v>
      </c>
      <c r="M421">
        <v>7682</v>
      </c>
      <c r="N421">
        <v>7</v>
      </c>
      <c r="O421">
        <v>8.1428571428571406</v>
      </c>
    </row>
    <row r="422" spans="1:15" x14ac:dyDescent="0.25">
      <c r="A422">
        <v>1</v>
      </c>
      <c r="B422">
        <v>3</v>
      </c>
      <c r="C422" t="s">
        <v>6176</v>
      </c>
      <c r="D422" t="s">
        <v>283</v>
      </c>
      <c r="E422" t="s">
        <v>6177</v>
      </c>
      <c r="F422">
        <v>46234.436111111114</v>
      </c>
      <c r="G422">
        <v>264</v>
      </c>
      <c r="H422" t="s">
        <v>6152</v>
      </c>
      <c r="I422" t="s">
        <v>5358</v>
      </c>
      <c r="J422">
        <v>70</v>
      </c>
      <c r="K422">
        <v>439.6</v>
      </c>
      <c r="L422">
        <v>7682</v>
      </c>
      <c r="M422">
        <v>7690</v>
      </c>
      <c r="N422">
        <v>8</v>
      </c>
      <c r="O422">
        <v>8.75</v>
      </c>
    </row>
    <row r="423" spans="1:15" x14ac:dyDescent="0.25">
      <c r="A423">
        <v>1</v>
      </c>
      <c r="B423">
        <v>3</v>
      </c>
      <c r="C423" t="s">
        <v>6176</v>
      </c>
      <c r="D423" t="s">
        <v>286</v>
      </c>
      <c r="E423" t="s">
        <v>6177</v>
      </c>
      <c r="F423">
        <v>46204.777777777781</v>
      </c>
      <c r="G423">
        <v>264</v>
      </c>
      <c r="H423" t="s">
        <v>6152</v>
      </c>
      <c r="I423" t="s">
        <v>5358</v>
      </c>
      <c r="J423">
        <v>75</v>
      </c>
      <c r="K423">
        <v>461.25</v>
      </c>
      <c r="L423">
        <v>6375</v>
      </c>
      <c r="M423">
        <v>6384</v>
      </c>
      <c r="N423">
        <v>9</v>
      </c>
      <c r="O423">
        <v>8.3333333333333304</v>
      </c>
    </row>
    <row r="424" spans="1:15" x14ac:dyDescent="0.25">
      <c r="A424">
        <v>1</v>
      </c>
      <c r="B424">
        <v>3</v>
      </c>
      <c r="C424" t="s">
        <v>6176</v>
      </c>
      <c r="D424" t="s">
        <v>286</v>
      </c>
      <c r="E424" t="s">
        <v>6177</v>
      </c>
      <c r="F424">
        <v>46205.842361111114</v>
      </c>
      <c r="G424">
        <v>264</v>
      </c>
      <c r="H424" t="s">
        <v>6152</v>
      </c>
      <c r="I424" t="s">
        <v>5358</v>
      </c>
      <c r="J424">
        <v>115</v>
      </c>
      <c r="K424">
        <v>707.25</v>
      </c>
      <c r="L424">
        <v>6384</v>
      </c>
      <c r="M424">
        <v>6393</v>
      </c>
      <c r="N424">
        <v>9</v>
      </c>
      <c r="O424">
        <v>12.7777777777778</v>
      </c>
    </row>
    <row r="425" spans="1:15" x14ac:dyDescent="0.25">
      <c r="A425">
        <v>1</v>
      </c>
      <c r="B425">
        <v>3</v>
      </c>
      <c r="C425" t="s">
        <v>6176</v>
      </c>
      <c r="D425" t="s">
        <v>286</v>
      </c>
      <c r="E425" t="s">
        <v>6177</v>
      </c>
      <c r="F425">
        <v>46207.88958333333</v>
      </c>
      <c r="G425">
        <v>264</v>
      </c>
      <c r="H425" t="s">
        <v>6152</v>
      </c>
      <c r="I425" t="s">
        <v>5358</v>
      </c>
      <c r="J425">
        <v>50</v>
      </c>
      <c r="K425">
        <v>307.5</v>
      </c>
      <c r="L425">
        <v>6393</v>
      </c>
      <c r="M425">
        <v>6398</v>
      </c>
      <c r="N425">
        <v>5</v>
      </c>
      <c r="O425">
        <v>10</v>
      </c>
    </row>
    <row r="426" spans="1:15" x14ac:dyDescent="0.25">
      <c r="A426">
        <v>1</v>
      </c>
      <c r="B426">
        <v>3</v>
      </c>
      <c r="C426" t="s">
        <v>6176</v>
      </c>
      <c r="D426" t="s">
        <v>286</v>
      </c>
      <c r="E426" t="s">
        <v>6177</v>
      </c>
      <c r="F426">
        <v>46209.832638888889</v>
      </c>
      <c r="G426">
        <v>264</v>
      </c>
      <c r="H426" t="s">
        <v>6152</v>
      </c>
      <c r="I426" t="s">
        <v>5358</v>
      </c>
      <c r="J426">
        <v>100</v>
      </c>
      <c r="K426">
        <v>615</v>
      </c>
      <c r="L426">
        <v>6398</v>
      </c>
      <c r="M426">
        <v>6413</v>
      </c>
      <c r="N426">
        <v>15</v>
      </c>
      <c r="O426">
        <v>6.6666666666666696</v>
      </c>
    </row>
    <row r="427" spans="1:15" x14ac:dyDescent="0.25">
      <c r="A427">
        <v>1</v>
      </c>
      <c r="B427">
        <v>3</v>
      </c>
      <c r="C427" t="s">
        <v>6176</v>
      </c>
      <c r="D427" t="s">
        <v>286</v>
      </c>
      <c r="E427" t="s">
        <v>6177</v>
      </c>
      <c r="F427">
        <v>46210.787499999999</v>
      </c>
      <c r="G427">
        <v>264</v>
      </c>
      <c r="H427" t="s">
        <v>6152</v>
      </c>
      <c r="I427" t="s">
        <v>5358</v>
      </c>
      <c r="J427">
        <v>88</v>
      </c>
      <c r="K427">
        <v>541.20000000000005</v>
      </c>
      <c r="L427">
        <v>6413</v>
      </c>
      <c r="M427">
        <v>6422</v>
      </c>
      <c r="N427">
        <v>9</v>
      </c>
      <c r="O427">
        <v>9.7777777777777803</v>
      </c>
    </row>
    <row r="428" spans="1:15" x14ac:dyDescent="0.25">
      <c r="A428">
        <v>1</v>
      </c>
      <c r="B428">
        <v>3</v>
      </c>
      <c r="C428" t="s">
        <v>6176</v>
      </c>
      <c r="D428" t="s">
        <v>286</v>
      </c>
      <c r="E428" t="s">
        <v>6177</v>
      </c>
      <c r="F428">
        <v>46211.834027777775</v>
      </c>
      <c r="G428">
        <v>264</v>
      </c>
      <c r="H428" t="s">
        <v>6152</v>
      </c>
      <c r="I428" t="s">
        <v>5358</v>
      </c>
      <c r="J428">
        <v>63</v>
      </c>
      <c r="K428">
        <v>387.45</v>
      </c>
      <c r="L428">
        <v>6422</v>
      </c>
      <c r="M428">
        <v>6431</v>
      </c>
      <c r="N428">
        <v>9</v>
      </c>
      <c r="O428">
        <v>7</v>
      </c>
    </row>
    <row r="429" spans="1:15" x14ac:dyDescent="0.25">
      <c r="A429">
        <v>1</v>
      </c>
      <c r="B429">
        <v>3</v>
      </c>
      <c r="C429" t="s">
        <v>6176</v>
      </c>
      <c r="D429" t="s">
        <v>286</v>
      </c>
      <c r="E429" t="s">
        <v>6177</v>
      </c>
      <c r="F429">
        <v>46213.829861111109</v>
      </c>
      <c r="G429">
        <v>264</v>
      </c>
      <c r="H429" t="s">
        <v>6152</v>
      </c>
      <c r="I429" t="s">
        <v>5358</v>
      </c>
      <c r="J429">
        <v>96</v>
      </c>
      <c r="K429">
        <v>590.4</v>
      </c>
      <c r="L429">
        <v>6431</v>
      </c>
      <c r="M429">
        <v>6450</v>
      </c>
      <c r="N429">
        <v>19</v>
      </c>
      <c r="O429">
        <v>5.0526315789473699</v>
      </c>
    </row>
    <row r="430" spans="1:15" x14ac:dyDescent="0.25">
      <c r="A430">
        <v>1</v>
      </c>
      <c r="B430">
        <v>3</v>
      </c>
      <c r="C430" t="s">
        <v>6176</v>
      </c>
      <c r="D430" t="s">
        <v>286</v>
      </c>
      <c r="E430" t="s">
        <v>6177</v>
      </c>
      <c r="F430">
        <v>46216.87222222222</v>
      </c>
      <c r="G430">
        <v>264</v>
      </c>
      <c r="H430" t="s">
        <v>6152</v>
      </c>
      <c r="I430" t="s">
        <v>5358</v>
      </c>
      <c r="J430">
        <v>114</v>
      </c>
      <c r="K430">
        <v>701.1</v>
      </c>
      <c r="L430">
        <v>6450</v>
      </c>
      <c r="M430">
        <v>6460</v>
      </c>
      <c r="N430">
        <v>10</v>
      </c>
      <c r="O430">
        <v>11.4</v>
      </c>
    </row>
    <row r="431" spans="1:15" x14ac:dyDescent="0.25">
      <c r="A431">
        <v>1</v>
      </c>
      <c r="B431">
        <v>3</v>
      </c>
      <c r="C431" t="s">
        <v>6176</v>
      </c>
      <c r="D431" t="s">
        <v>286</v>
      </c>
      <c r="E431" t="s">
        <v>6177</v>
      </c>
      <c r="F431">
        <v>46218.856944444444</v>
      </c>
      <c r="G431">
        <v>264</v>
      </c>
      <c r="H431" t="s">
        <v>6152</v>
      </c>
      <c r="I431" t="s">
        <v>5358</v>
      </c>
      <c r="J431">
        <v>80</v>
      </c>
      <c r="K431">
        <v>492</v>
      </c>
      <c r="L431">
        <v>6460</v>
      </c>
      <c r="M431">
        <v>6473</v>
      </c>
      <c r="N431">
        <v>13</v>
      </c>
      <c r="O431">
        <v>6.1538461538461497</v>
      </c>
    </row>
    <row r="432" spans="1:15" x14ac:dyDescent="0.25">
      <c r="A432">
        <v>1</v>
      </c>
      <c r="B432">
        <v>3</v>
      </c>
      <c r="C432" t="s">
        <v>6176</v>
      </c>
      <c r="D432" t="s">
        <v>286</v>
      </c>
      <c r="E432" t="s">
        <v>6177</v>
      </c>
      <c r="F432">
        <v>46219.870138888888</v>
      </c>
      <c r="G432">
        <v>264</v>
      </c>
      <c r="H432" t="s">
        <v>6152</v>
      </c>
      <c r="I432" t="s">
        <v>5358</v>
      </c>
      <c r="J432">
        <v>53</v>
      </c>
      <c r="K432">
        <v>325.95</v>
      </c>
      <c r="L432">
        <v>6473</v>
      </c>
      <c r="M432">
        <v>6482</v>
      </c>
      <c r="N432">
        <v>9</v>
      </c>
      <c r="O432">
        <v>5.8888888888888902</v>
      </c>
    </row>
    <row r="433" spans="1:15" x14ac:dyDescent="0.25">
      <c r="A433">
        <v>1</v>
      </c>
      <c r="B433">
        <v>3</v>
      </c>
      <c r="C433" t="s">
        <v>6176</v>
      </c>
      <c r="D433" t="s">
        <v>286</v>
      </c>
      <c r="E433" t="s">
        <v>6177</v>
      </c>
      <c r="F433">
        <v>46221.901388888888</v>
      </c>
      <c r="G433">
        <v>264</v>
      </c>
      <c r="H433" t="s">
        <v>6152</v>
      </c>
      <c r="I433" t="s">
        <v>5358</v>
      </c>
      <c r="J433">
        <v>109</v>
      </c>
      <c r="K433">
        <v>675.8</v>
      </c>
      <c r="L433">
        <v>6482</v>
      </c>
      <c r="M433">
        <v>6496</v>
      </c>
      <c r="N433">
        <v>14</v>
      </c>
      <c r="O433">
        <v>7.78571428571429</v>
      </c>
    </row>
    <row r="434" spans="1:15" x14ac:dyDescent="0.25">
      <c r="A434">
        <v>1</v>
      </c>
      <c r="B434">
        <v>3</v>
      </c>
      <c r="C434" t="s">
        <v>6176</v>
      </c>
      <c r="D434" t="s">
        <v>286</v>
      </c>
      <c r="E434" t="s">
        <v>6177</v>
      </c>
      <c r="F434">
        <v>46224.820833333331</v>
      </c>
      <c r="G434">
        <v>264</v>
      </c>
      <c r="H434" t="s">
        <v>6152</v>
      </c>
      <c r="I434" t="s">
        <v>5358</v>
      </c>
      <c r="J434">
        <v>136</v>
      </c>
      <c r="K434">
        <v>858.16</v>
      </c>
      <c r="L434">
        <v>6496</v>
      </c>
      <c r="M434">
        <v>6511</v>
      </c>
      <c r="N434">
        <v>15</v>
      </c>
      <c r="O434">
        <v>9.06666666666667</v>
      </c>
    </row>
    <row r="435" spans="1:15" x14ac:dyDescent="0.25">
      <c r="A435">
        <v>1</v>
      </c>
      <c r="B435">
        <v>3</v>
      </c>
      <c r="C435" t="s">
        <v>6176</v>
      </c>
      <c r="D435" t="s">
        <v>286</v>
      </c>
      <c r="E435" t="s">
        <v>6177</v>
      </c>
      <c r="F435">
        <v>46225.838888888888</v>
      </c>
      <c r="G435">
        <v>264</v>
      </c>
      <c r="H435" t="s">
        <v>6152</v>
      </c>
      <c r="I435" t="s">
        <v>5358</v>
      </c>
      <c r="J435">
        <v>221</v>
      </c>
      <c r="K435">
        <v>1394.51</v>
      </c>
      <c r="L435">
        <v>6511</v>
      </c>
      <c r="M435">
        <v>6525</v>
      </c>
      <c r="N435">
        <v>14</v>
      </c>
      <c r="O435">
        <v>15.785714285714301</v>
      </c>
    </row>
    <row r="436" spans="1:15" x14ac:dyDescent="0.25">
      <c r="A436">
        <v>1</v>
      </c>
      <c r="B436">
        <v>3</v>
      </c>
      <c r="C436" t="s">
        <v>6176</v>
      </c>
      <c r="D436" t="s">
        <v>286</v>
      </c>
      <c r="E436" t="s">
        <v>6177</v>
      </c>
      <c r="F436">
        <v>46226.804861111108</v>
      </c>
      <c r="G436">
        <v>264</v>
      </c>
      <c r="H436" t="s">
        <v>6152</v>
      </c>
      <c r="I436" t="s">
        <v>5358</v>
      </c>
      <c r="J436">
        <v>209</v>
      </c>
      <c r="K436">
        <v>1318.79</v>
      </c>
      <c r="L436">
        <v>6525</v>
      </c>
      <c r="M436">
        <v>6541</v>
      </c>
      <c r="N436">
        <v>16</v>
      </c>
      <c r="O436">
        <v>13.0625</v>
      </c>
    </row>
    <row r="437" spans="1:15" x14ac:dyDescent="0.25">
      <c r="A437">
        <v>1</v>
      </c>
      <c r="B437">
        <v>3</v>
      </c>
      <c r="C437" t="s">
        <v>6176</v>
      </c>
      <c r="D437" t="s">
        <v>286</v>
      </c>
      <c r="E437" t="s">
        <v>6177</v>
      </c>
      <c r="F437">
        <v>46227.820833333331</v>
      </c>
      <c r="G437">
        <v>264</v>
      </c>
      <c r="H437" t="s">
        <v>6152</v>
      </c>
      <c r="I437" t="s">
        <v>5358</v>
      </c>
      <c r="J437">
        <v>117</v>
      </c>
      <c r="K437">
        <v>738.27</v>
      </c>
      <c r="L437">
        <v>6541</v>
      </c>
      <c r="M437">
        <v>6549</v>
      </c>
      <c r="N437">
        <v>8</v>
      </c>
      <c r="O437">
        <v>14.625</v>
      </c>
    </row>
    <row r="438" spans="1:15" x14ac:dyDescent="0.25">
      <c r="A438">
        <v>1</v>
      </c>
      <c r="B438">
        <v>3</v>
      </c>
      <c r="C438" t="s">
        <v>6176</v>
      </c>
      <c r="D438" t="s">
        <v>286</v>
      </c>
      <c r="E438" t="s">
        <v>6177</v>
      </c>
      <c r="F438">
        <v>46230.897222222222</v>
      </c>
      <c r="G438">
        <v>264</v>
      </c>
      <c r="H438" t="s">
        <v>6152</v>
      </c>
      <c r="I438" t="s">
        <v>5358</v>
      </c>
      <c r="J438">
        <v>201</v>
      </c>
      <c r="K438">
        <v>1262.28</v>
      </c>
      <c r="L438">
        <v>6549</v>
      </c>
      <c r="M438">
        <v>6563</v>
      </c>
      <c r="N438">
        <v>14</v>
      </c>
      <c r="O438">
        <v>14.3571428571429</v>
      </c>
    </row>
    <row r="439" spans="1:15" x14ac:dyDescent="0.25">
      <c r="A439">
        <v>1</v>
      </c>
      <c r="B439">
        <v>3</v>
      </c>
      <c r="C439" t="s">
        <v>6176</v>
      </c>
      <c r="D439" t="s">
        <v>286</v>
      </c>
      <c r="E439" t="s">
        <v>6177</v>
      </c>
      <c r="F439">
        <v>46232.9</v>
      </c>
      <c r="G439">
        <v>264</v>
      </c>
      <c r="H439" t="s">
        <v>6152</v>
      </c>
      <c r="I439" t="s">
        <v>5358</v>
      </c>
      <c r="J439">
        <v>155</v>
      </c>
      <c r="K439">
        <v>973.4</v>
      </c>
      <c r="L439">
        <v>6563</v>
      </c>
      <c r="M439">
        <v>6583</v>
      </c>
      <c r="N439">
        <v>20</v>
      </c>
      <c r="O439">
        <v>7.75</v>
      </c>
    </row>
    <row r="440" spans="1:15" x14ac:dyDescent="0.25">
      <c r="A440">
        <v>1</v>
      </c>
      <c r="B440">
        <v>3</v>
      </c>
      <c r="C440" t="s">
        <v>6176</v>
      </c>
      <c r="D440" t="s">
        <v>286</v>
      </c>
      <c r="E440" t="s">
        <v>6177</v>
      </c>
      <c r="F440">
        <v>46233.859027777777</v>
      </c>
      <c r="G440">
        <v>264</v>
      </c>
      <c r="H440" t="s">
        <v>6152</v>
      </c>
      <c r="I440" t="s">
        <v>5358</v>
      </c>
      <c r="J440">
        <v>74</v>
      </c>
      <c r="K440">
        <v>464.72</v>
      </c>
      <c r="L440">
        <v>6583</v>
      </c>
      <c r="M440">
        <v>6592</v>
      </c>
      <c r="N440">
        <v>9</v>
      </c>
      <c r="O440">
        <v>8.2222222222222197</v>
      </c>
    </row>
    <row r="441" spans="1:15" x14ac:dyDescent="0.25">
      <c r="A441">
        <v>1</v>
      </c>
      <c r="B441">
        <v>3</v>
      </c>
      <c r="C441" t="s">
        <v>6176</v>
      </c>
      <c r="D441" t="s">
        <v>286</v>
      </c>
      <c r="E441" t="s">
        <v>6177</v>
      </c>
      <c r="F441">
        <v>46234.895138888889</v>
      </c>
      <c r="G441">
        <v>264</v>
      </c>
      <c r="H441" t="s">
        <v>6152</v>
      </c>
      <c r="I441" t="s">
        <v>5358</v>
      </c>
      <c r="J441">
        <v>122</v>
      </c>
      <c r="K441">
        <v>766.16</v>
      </c>
      <c r="L441">
        <v>6592</v>
      </c>
      <c r="M441">
        <v>6601</v>
      </c>
      <c r="N441">
        <v>9</v>
      </c>
      <c r="O441">
        <v>13.5555555555556</v>
      </c>
    </row>
    <row r="442" spans="1:15" x14ac:dyDescent="0.25">
      <c r="A442">
        <v>1</v>
      </c>
      <c r="B442">
        <v>3</v>
      </c>
      <c r="C442" t="s">
        <v>6176</v>
      </c>
      <c r="D442" t="s">
        <v>289</v>
      </c>
      <c r="E442" t="s">
        <v>6177</v>
      </c>
      <c r="F442">
        <v>46205.427777777775</v>
      </c>
      <c r="G442">
        <v>232</v>
      </c>
      <c r="H442" t="s">
        <v>6155</v>
      </c>
      <c r="I442" t="s">
        <v>5358</v>
      </c>
      <c r="J442">
        <v>133</v>
      </c>
      <c r="K442">
        <v>817.95</v>
      </c>
      <c r="L442">
        <v>7934</v>
      </c>
      <c r="M442">
        <v>7950</v>
      </c>
      <c r="N442">
        <v>16</v>
      </c>
      <c r="O442">
        <v>8.3125</v>
      </c>
    </row>
    <row r="443" spans="1:15" x14ac:dyDescent="0.25">
      <c r="A443">
        <v>1</v>
      </c>
      <c r="B443">
        <v>3</v>
      </c>
      <c r="C443" t="s">
        <v>6176</v>
      </c>
      <c r="D443" t="s">
        <v>289</v>
      </c>
      <c r="E443" t="s">
        <v>6177</v>
      </c>
      <c r="F443">
        <v>46213.423611111109</v>
      </c>
      <c r="G443">
        <v>232</v>
      </c>
      <c r="H443" t="s">
        <v>6155</v>
      </c>
      <c r="I443" t="s">
        <v>5358</v>
      </c>
      <c r="J443">
        <v>106</v>
      </c>
      <c r="K443">
        <v>651.9</v>
      </c>
      <c r="L443">
        <v>7950</v>
      </c>
      <c r="M443">
        <v>7966</v>
      </c>
      <c r="N443">
        <v>16</v>
      </c>
      <c r="O443">
        <v>6.625</v>
      </c>
    </row>
    <row r="444" spans="1:15" x14ac:dyDescent="0.25">
      <c r="A444">
        <v>1</v>
      </c>
      <c r="B444">
        <v>3</v>
      </c>
      <c r="C444" t="s">
        <v>6176</v>
      </c>
      <c r="D444" t="s">
        <v>289</v>
      </c>
      <c r="E444" t="s">
        <v>6177</v>
      </c>
      <c r="F444">
        <v>46215.441666666666</v>
      </c>
      <c r="G444">
        <v>232</v>
      </c>
      <c r="H444" t="s">
        <v>6155</v>
      </c>
      <c r="I444" t="s">
        <v>5358</v>
      </c>
      <c r="J444">
        <v>120</v>
      </c>
      <c r="K444">
        <v>738</v>
      </c>
      <c r="L444">
        <v>7966</v>
      </c>
      <c r="M444">
        <v>7976</v>
      </c>
      <c r="N444">
        <v>10</v>
      </c>
      <c r="O444">
        <v>12</v>
      </c>
    </row>
    <row r="445" spans="1:15" x14ac:dyDescent="0.25">
      <c r="A445">
        <v>1</v>
      </c>
      <c r="B445">
        <v>3</v>
      </c>
      <c r="C445" t="s">
        <v>6176</v>
      </c>
      <c r="D445" t="s">
        <v>289</v>
      </c>
      <c r="E445" t="s">
        <v>6177</v>
      </c>
      <c r="F445">
        <v>46223.467361111114</v>
      </c>
      <c r="G445">
        <v>232</v>
      </c>
      <c r="H445" t="s">
        <v>6155</v>
      </c>
      <c r="I445" t="s">
        <v>5358</v>
      </c>
      <c r="J445">
        <v>88</v>
      </c>
      <c r="K445">
        <v>550</v>
      </c>
      <c r="L445">
        <v>7976</v>
      </c>
      <c r="M445">
        <v>8010</v>
      </c>
      <c r="N445">
        <v>34</v>
      </c>
      <c r="O445">
        <v>2.5882352941176499</v>
      </c>
    </row>
    <row r="446" spans="1:15" x14ac:dyDescent="0.25">
      <c r="A446">
        <v>1</v>
      </c>
      <c r="B446">
        <v>3</v>
      </c>
      <c r="C446" t="s">
        <v>6176</v>
      </c>
      <c r="D446" t="s">
        <v>289</v>
      </c>
      <c r="E446" t="s">
        <v>6177</v>
      </c>
      <c r="F446">
        <v>46227.640972222223</v>
      </c>
      <c r="G446">
        <v>232</v>
      </c>
      <c r="H446" t="s">
        <v>6155</v>
      </c>
      <c r="I446" t="s">
        <v>5358</v>
      </c>
      <c r="J446">
        <v>125</v>
      </c>
      <c r="K446">
        <v>781.25</v>
      </c>
      <c r="L446">
        <v>8010</v>
      </c>
      <c r="M446">
        <v>8024</v>
      </c>
      <c r="N446">
        <v>14</v>
      </c>
      <c r="O446">
        <v>8.9285714285714306</v>
      </c>
    </row>
    <row r="447" spans="1:15" x14ac:dyDescent="0.25">
      <c r="A447">
        <v>1</v>
      </c>
      <c r="B447">
        <v>3</v>
      </c>
      <c r="C447" t="s">
        <v>6176</v>
      </c>
      <c r="D447" t="s">
        <v>289</v>
      </c>
      <c r="E447" t="s">
        <v>6177</v>
      </c>
      <c r="F447">
        <v>46230.42083333333</v>
      </c>
      <c r="G447">
        <v>232</v>
      </c>
      <c r="H447" t="s">
        <v>6155</v>
      </c>
      <c r="I447" t="s">
        <v>5358</v>
      </c>
      <c r="J447">
        <v>97</v>
      </c>
      <c r="K447">
        <v>606.25</v>
      </c>
      <c r="L447">
        <v>8024</v>
      </c>
      <c r="M447">
        <v>8043</v>
      </c>
      <c r="N447">
        <v>19</v>
      </c>
      <c r="O447">
        <v>5.1052631578947398</v>
      </c>
    </row>
    <row r="448" spans="1:15" x14ac:dyDescent="0.25">
      <c r="A448">
        <v>1</v>
      </c>
      <c r="B448">
        <v>3</v>
      </c>
      <c r="C448" t="s">
        <v>6176</v>
      </c>
      <c r="D448" t="s">
        <v>289</v>
      </c>
      <c r="E448" t="s">
        <v>6177</v>
      </c>
      <c r="F448">
        <v>46232.663194444445</v>
      </c>
      <c r="G448">
        <v>129</v>
      </c>
      <c r="H448" t="s">
        <v>6164</v>
      </c>
      <c r="I448" t="s">
        <v>5358</v>
      </c>
      <c r="J448">
        <v>103</v>
      </c>
      <c r="K448">
        <v>719.97</v>
      </c>
      <c r="L448">
        <v>8043</v>
      </c>
      <c r="M448">
        <v>8062</v>
      </c>
      <c r="N448">
        <v>19</v>
      </c>
      <c r="O448">
        <v>5.4210526315789496</v>
      </c>
    </row>
    <row r="449" spans="1:15" x14ac:dyDescent="0.25">
      <c r="A449">
        <v>1</v>
      </c>
      <c r="B449">
        <v>3</v>
      </c>
      <c r="C449" t="s">
        <v>6176</v>
      </c>
      <c r="D449" t="s">
        <v>289</v>
      </c>
      <c r="E449" t="s">
        <v>6177</v>
      </c>
      <c r="F449">
        <v>46232.665277777778</v>
      </c>
      <c r="G449">
        <v>129</v>
      </c>
      <c r="H449" t="s">
        <v>6164</v>
      </c>
      <c r="I449" t="s">
        <v>5358</v>
      </c>
      <c r="J449">
        <v>51</v>
      </c>
      <c r="K449">
        <v>356.49</v>
      </c>
      <c r="L449">
        <v>8062</v>
      </c>
      <c r="M449">
        <v>8069</v>
      </c>
      <c r="N449">
        <v>7</v>
      </c>
      <c r="O449">
        <v>7.28571428571429</v>
      </c>
    </row>
    <row r="450" spans="1:15" x14ac:dyDescent="0.25">
      <c r="A450">
        <v>1</v>
      </c>
      <c r="B450">
        <v>3</v>
      </c>
      <c r="C450" t="s">
        <v>6176</v>
      </c>
      <c r="D450" t="s">
        <v>289</v>
      </c>
      <c r="E450" t="s">
        <v>6177</v>
      </c>
      <c r="F450">
        <v>46234.420138888891</v>
      </c>
      <c r="G450">
        <v>129</v>
      </c>
      <c r="H450" t="s">
        <v>6164</v>
      </c>
      <c r="I450" t="s">
        <v>5358</v>
      </c>
      <c r="J450">
        <v>51</v>
      </c>
      <c r="K450">
        <v>356.49</v>
      </c>
      <c r="L450">
        <v>8069</v>
      </c>
      <c r="M450">
        <v>8080</v>
      </c>
      <c r="N450">
        <v>11</v>
      </c>
      <c r="O450">
        <v>4.6363636363636402</v>
      </c>
    </row>
    <row r="451" spans="1:15" x14ac:dyDescent="0.25">
      <c r="A451">
        <v>1</v>
      </c>
      <c r="B451">
        <v>3</v>
      </c>
      <c r="C451" t="s">
        <v>6176</v>
      </c>
      <c r="D451" t="s">
        <v>292</v>
      </c>
      <c r="E451" t="s">
        <v>6177</v>
      </c>
      <c r="F451">
        <v>46204.770833333336</v>
      </c>
      <c r="G451">
        <v>264</v>
      </c>
      <c r="H451" t="s">
        <v>6152</v>
      </c>
      <c r="I451" t="s">
        <v>5358</v>
      </c>
      <c r="J451">
        <v>147</v>
      </c>
      <c r="K451">
        <v>904.05</v>
      </c>
      <c r="L451">
        <v>6765</v>
      </c>
      <c r="M451">
        <v>6776</v>
      </c>
      <c r="N451">
        <v>985</v>
      </c>
      <c r="O451">
        <v>0.14923857868020299</v>
      </c>
    </row>
    <row r="452" spans="1:15" x14ac:dyDescent="0.25">
      <c r="A452">
        <v>1</v>
      </c>
      <c r="B452">
        <v>3</v>
      </c>
      <c r="C452" t="s">
        <v>6176</v>
      </c>
      <c r="D452" t="s">
        <v>292</v>
      </c>
      <c r="E452" t="s">
        <v>6177</v>
      </c>
      <c r="F452">
        <v>46205.834722222222</v>
      </c>
      <c r="G452">
        <v>264</v>
      </c>
      <c r="H452" t="s">
        <v>6152</v>
      </c>
      <c r="I452" t="s">
        <v>5358</v>
      </c>
      <c r="J452">
        <v>140</v>
      </c>
      <c r="K452">
        <v>861</v>
      </c>
      <c r="L452">
        <v>6776</v>
      </c>
      <c r="M452">
        <v>6786</v>
      </c>
      <c r="N452">
        <v>10</v>
      </c>
      <c r="O452">
        <v>14</v>
      </c>
    </row>
    <row r="453" spans="1:15" x14ac:dyDescent="0.25">
      <c r="A453">
        <v>1</v>
      </c>
      <c r="B453">
        <v>3</v>
      </c>
      <c r="C453" t="s">
        <v>6176</v>
      </c>
      <c r="D453" t="s">
        <v>292</v>
      </c>
      <c r="E453" t="s">
        <v>6177</v>
      </c>
      <c r="F453">
        <v>46207.886805555558</v>
      </c>
      <c r="G453">
        <v>264</v>
      </c>
      <c r="H453" t="s">
        <v>6152</v>
      </c>
      <c r="I453" t="s">
        <v>5358</v>
      </c>
      <c r="J453">
        <v>95</v>
      </c>
      <c r="K453">
        <v>584.25</v>
      </c>
      <c r="L453">
        <v>6786</v>
      </c>
      <c r="M453">
        <v>6794</v>
      </c>
      <c r="N453">
        <v>8</v>
      </c>
      <c r="O453">
        <v>11.875</v>
      </c>
    </row>
    <row r="454" spans="1:15" x14ac:dyDescent="0.25">
      <c r="A454">
        <v>1</v>
      </c>
      <c r="B454">
        <v>3</v>
      </c>
      <c r="C454" t="s">
        <v>6176</v>
      </c>
      <c r="D454" t="s">
        <v>292</v>
      </c>
      <c r="E454" t="s">
        <v>6177</v>
      </c>
      <c r="F454">
        <v>46208.652777777781</v>
      </c>
      <c r="G454">
        <v>264</v>
      </c>
      <c r="H454" t="s">
        <v>6152</v>
      </c>
      <c r="I454" t="s">
        <v>5358</v>
      </c>
      <c r="J454">
        <v>91</v>
      </c>
      <c r="K454">
        <v>559.65</v>
      </c>
      <c r="L454">
        <v>6794</v>
      </c>
      <c r="M454">
        <v>6800</v>
      </c>
      <c r="N454">
        <v>9.1</v>
      </c>
      <c r="O454">
        <v>10</v>
      </c>
    </row>
    <row r="455" spans="1:15" x14ac:dyDescent="0.25">
      <c r="A455">
        <v>1</v>
      </c>
      <c r="B455">
        <v>3</v>
      </c>
      <c r="C455" t="s">
        <v>6176</v>
      </c>
      <c r="D455" t="s">
        <v>292</v>
      </c>
      <c r="E455" t="s">
        <v>6177</v>
      </c>
      <c r="F455">
        <v>46210.629861111112</v>
      </c>
      <c r="G455">
        <v>264</v>
      </c>
      <c r="H455" t="s">
        <v>6152</v>
      </c>
      <c r="I455" t="s">
        <v>5358</v>
      </c>
      <c r="J455">
        <v>161</v>
      </c>
      <c r="K455">
        <v>990.15</v>
      </c>
      <c r="L455">
        <v>6800</v>
      </c>
      <c r="M455">
        <v>6815</v>
      </c>
      <c r="N455">
        <v>15</v>
      </c>
      <c r="O455">
        <v>10.733333333333301</v>
      </c>
    </row>
    <row r="456" spans="1:15" x14ac:dyDescent="0.25">
      <c r="A456">
        <v>1</v>
      </c>
      <c r="B456">
        <v>3</v>
      </c>
      <c r="C456" t="s">
        <v>6176</v>
      </c>
      <c r="D456" t="s">
        <v>292</v>
      </c>
      <c r="E456" t="s">
        <v>6177</v>
      </c>
      <c r="F456">
        <v>46211.82916666667</v>
      </c>
      <c r="G456">
        <v>264</v>
      </c>
      <c r="H456" t="s">
        <v>6152</v>
      </c>
      <c r="I456" t="s">
        <v>5358</v>
      </c>
      <c r="J456">
        <v>118</v>
      </c>
      <c r="K456">
        <v>725.7</v>
      </c>
      <c r="L456">
        <v>6815</v>
      </c>
      <c r="M456">
        <v>6823</v>
      </c>
      <c r="N456">
        <v>8</v>
      </c>
      <c r="O456">
        <v>14.75</v>
      </c>
    </row>
    <row r="457" spans="1:15" x14ac:dyDescent="0.25">
      <c r="A457">
        <v>1</v>
      </c>
      <c r="B457">
        <v>3</v>
      </c>
      <c r="C457" t="s">
        <v>6176</v>
      </c>
      <c r="D457" t="s">
        <v>292</v>
      </c>
      <c r="E457" t="s">
        <v>6177</v>
      </c>
      <c r="F457">
        <v>46213.826388888891</v>
      </c>
      <c r="G457">
        <v>264</v>
      </c>
      <c r="H457" t="s">
        <v>6152</v>
      </c>
      <c r="I457" t="s">
        <v>5358</v>
      </c>
      <c r="J457">
        <v>144</v>
      </c>
      <c r="K457">
        <v>885.6</v>
      </c>
      <c r="L457">
        <v>6823</v>
      </c>
      <c r="M457">
        <v>6834</v>
      </c>
      <c r="N457">
        <v>11</v>
      </c>
      <c r="O457">
        <v>13.090909090909101</v>
      </c>
    </row>
    <row r="458" spans="1:15" x14ac:dyDescent="0.25">
      <c r="A458">
        <v>1</v>
      </c>
      <c r="B458">
        <v>3</v>
      </c>
      <c r="C458" t="s">
        <v>6176</v>
      </c>
      <c r="D458" t="s">
        <v>292</v>
      </c>
      <c r="E458" t="s">
        <v>6177</v>
      </c>
      <c r="F458">
        <v>46216.861111111109</v>
      </c>
      <c r="G458">
        <v>264</v>
      </c>
      <c r="H458" t="s">
        <v>6152</v>
      </c>
      <c r="I458" t="s">
        <v>5358</v>
      </c>
      <c r="J458">
        <v>205</v>
      </c>
      <c r="K458">
        <v>1260.75</v>
      </c>
      <c r="L458">
        <v>6834</v>
      </c>
      <c r="M458">
        <v>6849</v>
      </c>
      <c r="N458">
        <v>15</v>
      </c>
      <c r="O458">
        <v>13.6666666666667</v>
      </c>
    </row>
    <row r="459" spans="1:15" x14ac:dyDescent="0.25">
      <c r="A459">
        <v>1</v>
      </c>
      <c r="B459">
        <v>3</v>
      </c>
      <c r="C459" t="s">
        <v>6176</v>
      </c>
      <c r="D459" t="s">
        <v>292</v>
      </c>
      <c r="E459" t="s">
        <v>6177</v>
      </c>
      <c r="F459">
        <v>46218.852083333331</v>
      </c>
      <c r="G459">
        <v>264</v>
      </c>
      <c r="H459" t="s">
        <v>6152</v>
      </c>
      <c r="I459" t="s">
        <v>5358</v>
      </c>
      <c r="J459">
        <v>170</v>
      </c>
      <c r="K459">
        <v>1045.5</v>
      </c>
      <c r="L459">
        <v>6849</v>
      </c>
      <c r="M459">
        <v>6865</v>
      </c>
      <c r="N459">
        <v>16</v>
      </c>
      <c r="O459">
        <v>10.625</v>
      </c>
    </row>
    <row r="460" spans="1:15" x14ac:dyDescent="0.25">
      <c r="A460">
        <v>1</v>
      </c>
      <c r="B460">
        <v>3</v>
      </c>
      <c r="C460" t="s">
        <v>6176</v>
      </c>
      <c r="D460" t="s">
        <v>292</v>
      </c>
      <c r="E460" t="s">
        <v>6177</v>
      </c>
      <c r="F460">
        <v>46219.861805555556</v>
      </c>
      <c r="G460">
        <v>264</v>
      </c>
      <c r="H460" t="s">
        <v>6152</v>
      </c>
      <c r="I460" t="s">
        <v>5358</v>
      </c>
      <c r="J460">
        <v>80</v>
      </c>
      <c r="K460">
        <v>492</v>
      </c>
      <c r="L460">
        <v>6865</v>
      </c>
      <c r="M460">
        <v>6871</v>
      </c>
      <c r="N460">
        <v>6</v>
      </c>
      <c r="O460">
        <v>13.3333333333333</v>
      </c>
    </row>
    <row r="461" spans="1:15" x14ac:dyDescent="0.25">
      <c r="A461">
        <v>1</v>
      </c>
      <c r="B461">
        <v>3</v>
      </c>
      <c r="C461" t="s">
        <v>6176</v>
      </c>
      <c r="D461" t="s">
        <v>292</v>
      </c>
      <c r="E461" t="s">
        <v>6177</v>
      </c>
      <c r="F461">
        <v>46221.905555555553</v>
      </c>
      <c r="G461">
        <v>264</v>
      </c>
      <c r="H461" t="s">
        <v>6152</v>
      </c>
      <c r="I461" t="s">
        <v>5358</v>
      </c>
      <c r="J461">
        <v>110</v>
      </c>
      <c r="K461">
        <v>682</v>
      </c>
      <c r="L461">
        <v>6871</v>
      </c>
      <c r="M461">
        <v>6883</v>
      </c>
      <c r="N461">
        <v>12</v>
      </c>
      <c r="O461">
        <v>9.1666666666666696</v>
      </c>
    </row>
    <row r="462" spans="1:15" x14ac:dyDescent="0.25">
      <c r="A462">
        <v>1</v>
      </c>
      <c r="B462">
        <v>3</v>
      </c>
      <c r="C462" t="s">
        <v>6176</v>
      </c>
      <c r="D462" t="s">
        <v>292</v>
      </c>
      <c r="E462" t="s">
        <v>6177</v>
      </c>
      <c r="F462">
        <v>46227.826388888891</v>
      </c>
      <c r="G462">
        <v>264</v>
      </c>
      <c r="H462" t="s">
        <v>6152</v>
      </c>
      <c r="I462" t="s">
        <v>5358</v>
      </c>
      <c r="J462">
        <v>129</v>
      </c>
      <c r="K462">
        <v>813.99</v>
      </c>
      <c r="L462">
        <v>6883</v>
      </c>
      <c r="M462">
        <v>6892</v>
      </c>
      <c r="N462">
        <v>9</v>
      </c>
      <c r="O462">
        <v>14.3333333333333</v>
      </c>
    </row>
    <row r="463" spans="1:15" x14ac:dyDescent="0.25">
      <c r="A463">
        <v>1</v>
      </c>
      <c r="B463">
        <v>3</v>
      </c>
      <c r="C463" t="s">
        <v>6176</v>
      </c>
      <c r="D463" t="s">
        <v>292</v>
      </c>
      <c r="E463" t="s">
        <v>6177</v>
      </c>
      <c r="F463">
        <v>46230.897222222222</v>
      </c>
      <c r="G463">
        <v>264</v>
      </c>
      <c r="H463" t="s">
        <v>6152</v>
      </c>
      <c r="I463" t="s">
        <v>5358</v>
      </c>
      <c r="J463">
        <v>130</v>
      </c>
      <c r="K463">
        <v>816.4</v>
      </c>
      <c r="L463">
        <v>6892</v>
      </c>
      <c r="M463">
        <v>6901</v>
      </c>
      <c r="N463">
        <v>9</v>
      </c>
      <c r="O463">
        <v>14.4444444444444</v>
      </c>
    </row>
    <row r="464" spans="1:15" x14ac:dyDescent="0.25">
      <c r="A464">
        <v>1</v>
      </c>
      <c r="B464">
        <v>3</v>
      </c>
      <c r="C464" t="s">
        <v>6176</v>
      </c>
      <c r="D464" t="s">
        <v>292</v>
      </c>
      <c r="E464" t="s">
        <v>6177</v>
      </c>
      <c r="F464">
        <v>46232.897222222222</v>
      </c>
      <c r="G464">
        <v>264</v>
      </c>
      <c r="H464" t="s">
        <v>6152</v>
      </c>
      <c r="I464" t="s">
        <v>5358</v>
      </c>
      <c r="J464">
        <v>156</v>
      </c>
      <c r="K464">
        <v>979.68</v>
      </c>
      <c r="L464">
        <v>6901</v>
      </c>
      <c r="M464">
        <v>6919</v>
      </c>
      <c r="N464">
        <v>18</v>
      </c>
      <c r="O464">
        <v>8.6666666666666696</v>
      </c>
    </row>
    <row r="465" spans="1:15" x14ac:dyDescent="0.25">
      <c r="A465">
        <v>1</v>
      </c>
      <c r="B465">
        <v>3</v>
      </c>
      <c r="C465" t="s">
        <v>6176</v>
      </c>
      <c r="D465" t="s">
        <v>292</v>
      </c>
      <c r="E465" t="s">
        <v>6177</v>
      </c>
      <c r="F465">
        <v>46233.859722222223</v>
      </c>
      <c r="G465">
        <v>264</v>
      </c>
      <c r="H465" t="s">
        <v>6152</v>
      </c>
      <c r="I465" t="s">
        <v>5358</v>
      </c>
      <c r="J465">
        <v>18</v>
      </c>
      <c r="K465">
        <v>113.04</v>
      </c>
      <c r="L465">
        <v>6919</v>
      </c>
      <c r="M465">
        <v>6921</v>
      </c>
      <c r="N465">
        <v>2</v>
      </c>
      <c r="O465">
        <v>9</v>
      </c>
    </row>
    <row r="466" spans="1:15" x14ac:dyDescent="0.25">
      <c r="A466">
        <v>1</v>
      </c>
      <c r="B466">
        <v>3</v>
      </c>
      <c r="C466" t="s">
        <v>6176</v>
      </c>
      <c r="D466" t="s">
        <v>292</v>
      </c>
      <c r="E466" t="s">
        <v>6177</v>
      </c>
      <c r="F466">
        <v>46234.90347222222</v>
      </c>
      <c r="G466">
        <v>264</v>
      </c>
      <c r="H466" t="s">
        <v>6152</v>
      </c>
      <c r="I466" t="s">
        <v>5358</v>
      </c>
      <c r="J466">
        <v>137</v>
      </c>
      <c r="K466">
        <v>860.36</v>
      </c>
      <c r="L466">
        <v>6921</v>
      </c>
      <c r="M466">
        <v>6931</v>
      </c>
      <c r="N466">
        <v>10</v>
      </c>
      <c r="O466">
        <v>13.7</v>
      </c>
    </row>
    <row r="467" spans="1:15" x14ac:dyDescent="0.25">
      <c r="A467">
        <v>1</v>
      </c>
      <c r="B467">
        <v>3</v>
      </c>
      <c r="C467" t="s">
        <v>6176</v>
      </c>
      <c r="D467" t="s">
        <v>295</v>
      </c>
      <c r="E467" t="s">
        <v>6177</v>
      </c>
      <c r="F467">
        <v>46213.390972222223</v>
      </c>
      <c r="G467">
        <v>264</v>
      </c>
      <c r="H467" t="s">
        <v>6152</v>
      </c>
      <c r="I467" t="s">
        <v>5358</v>
      </c>
      <c r="J467">
        <v>102</v>
      </c>
      <c r="K467">
        <v>627.29999999999995</v>
      </c>
      <c r="L467">
        <v>7781</v>
      </c>
      <c r="M467">
        <v>7962</v>
      </c>
      <c r="N467">
        <v>181</v>
      </c>
      <c r="O467">
        <v>0.56353591160220995</v>
      </c>
    </row>
    <row r="468" spans="1:15" x14ac:dyDescent="0.25">
      <c r="A468">
        <v>1</v>
      </c>
      <c r="B468">
        <v>3</v>
      </c>
      <c r="C468" t="s">
        <v>6176</v>
      </c>
      <c r="D468" t="s">
        <v>295</v>
      </c>
      <c r="E468" t="s">
        <v>6177</v>
      </c>
      <c r="F468">
        <v>46218.454861111109</v>
      </c>
      <c r="G468">
        <v>129</v>
      </c>
      <c r="H468" t="s">
        <v>6164</v>
      </c>
      <c r="I468" t="s">
        <v>5358</v>
      </c>
      <c r="J468">
        <v>65</v>
      </c>
      <c r="K468">
        <v>399.75</v>
      </c>
      <c r="L468">
        <v>7962</v>
      </c>
      <c r="M468">
        <v>8005</v>
      </c>
      <c r="N468">
        <v>43</v>
      </c>
      <c r="O468">
        <v>1.51162790697674</v>
      </c>
    </row>
    <row r="469" spans="1:15" x14ac:dyDescent="0.25">
      <c r="A469">
        <v>1</v>
      </c>
      <c r="B469">
        <v>3</v>
      </c>
      <c r="C469" t="s">
        <v>6176</v>
      </c>
      <c r="D469" t="s">
        <v>295</v>
      </c>
      <c r="E469" t="s">
        <v>6177</v>
      </c>
      <c r="F469">
        <v>46219.34097222222</v>
      </c>
      <c r="G469">
        <v>264</v>
      </c>
      <c r="H469" t="s">
        <v>6152</v>
      </c>
      <c r="I469" t="s">
        <v>5358</v>
      </c>
      <c r="J469">
        <v>80</v>
      </c>
      <c r="K469">
        <v>492</v>
      </c>
      <c r="L469">
        <v>8005</v>
      </c>
      <c r="M469">
        <v>8015</v>
      </c>
      <c r="N469">
        <v>10</v>
      </c>
      <c r="O469">
        <v>8</v>
      </c>
    </row>
    <row r="470" spans="1:15" x14ac:dyDescent="0.25">
      <c r="A470">
        <v>1</v>
      </c>
      <c r="B470">
        <v>3</v>
      </c>
      <c r="C470" t="s">
        <v>6176</v>
      </c>
      <c r="D470" t="s">
        <v>295</v>
      </c>
      <c r="E470" t="s">
        <v>6177</v>
      </c>
      <c r="F470">
        <v>46221.904861111114</v>
      </c>
      <c r="G470">
        <v>264</v>
      </c>
      <c r="H470" t="s">
        <v>6152</v>
      </c>
      <c r="I470" t="s">
        <v>5358</v>
      </c>
      <c r="J470">
        <v>150</v>
      </c>
      <c r="K470">
        <v>930</v>
      </c>
      <c r="L470">
        <v>8015</v>
      </c>
      <c r="M470">
        <v>8034</v>
      </c>
      <c r="N470">
        <v>19</v>
      </c>
      <c r="O470">
        <v>7.8947368421052602</v>
      </c>
    </row>
    <row r="471" spans="1:15" x14ac:dyDescent="0.25">
      <c r="A471">
        <v>1</v>
      </c>
      <c r="B471">
        <v>3</v>
      </c>
      <c r="C471" t="s">
        <v>6176</v>
      </c>
      <c r="D471" t="s">
        <v>295</v>
      </c>
      <c r="E471" t="s">
        <v>6177</v>
      </c>
      <c r="F471">
        <v>46224.68472222222</v>
      </c>
      <c r="G471">
        <v>264</v>
      </c>
      <c r="H471" t="s">
        <v>6152</v>
      </c>
      <c r="I471" t="s">
        <v>5358</v>
      </c>
      <c r="J471">
        <v>116</v>
      </c>
      <c r="K471">
        <v>731.96</v>
      </c>
      <c r="L471">
        <v>8034</v>
      </c>
      <c r="M471">
        <v>8054</v>
      </c>
      <c r="N471">
        <v>20</v>
      </c>
      <c r="O471">
        <v>5.8</v>
      </c>
    </row>
    <row r="472" spans="1:15" x14ac:dyDescent="0.25">
      <c r="A472">
        <v>1</v>
      </c>
      <c r="B472">
        <v>3</v>
      </c>
      <c r="C472" t="s">
        <v>6176</v>
      </c>
      <c r="D472" t="s">
        <v>295</v>
      </c>
      <c r="E472" t="s">
        <v>6177</v>
      </c>
      <c r="F472">
        <v>46225.497916666667</v>
      </c>
      <c r="G472">
        <v>264</v>
      </c>
      <c r="H472" t="s">
        <v>6152</v>
      </c>
      <c r="I472" t="s">
        <v>5358</v>
      </c>
      <c r="J472">
        <v>127</v>
      </c>
      <c r="K472">
        <v>801.37</v>
      </c>
      <c r="L472">
        <v>8054</v>
      </c>
      <c r="M472">
        <v>8063</v>
      </c>
      <c r="N472">
        <v>9</v>
      </c>
      <c r="O472">
        <v>14.1111111111111</v>
      </c>
    </row>
    <row r="473" spans="1:15" x14ac:dyDescent="0.25">
      <c r="A473">
        <v>1</v>
      </c>
      <c r="B473">
        <v>3</v>
      </c>
      <c r="C473" t="s">
        <v>6176</v>
      </c>
      <c r="D473" t="s">
        <v>295</v>
      </c>
      <c r="E473" t="s">
        <v>6177</v>
      </c>
      <c r="F473">
        <v>46225.500694444447</v>
      </c>
      <c r="G473">
        <v>264</v>
      </c>
      <c r="H473" t="s">
        <v>6152</v>
      </c>
      <c r="I473" t="s">
        <v>5358</v>
      </c>
      <c r="J473">
        <v>15</v>
      </c>
      <c r="K473">
        <v>94.65</v>
      </c>
      <c r="L473">
        <v>8063</v>
      </c>
      <c r="M473">
        <v>8066</v>
      </c>
      <c r="N473">
        <v>3</v>
      </c>
      <c r="O473">
        <v>5</v>
      </c>
    </row>
    <row r="474" spans="1:15" x14ac:dyDescent="0.25">
      <c r="A474">
        <v>1</v>
      </c>
      <c r="B474">
        <v>3</v>
      </c>
      <c r="C474" t="s">
        <v>6176</v>
      </c>
      <c r="D474" t="s">
        <v>298</v>
      </c>
      <c r="E474" t="s">
        <v>6177</v>
      </c>
      <c r="F474">
        <v>46204.522916666669</v>
      </c>
      <c r="G474">
        <v>264</v>
      </c>
      <c r="H474" t="s">
        <v>6152</v>
      </c>
      <c r="I474" t="s">
        <v>5358</v>
      </c>
      <c r="J474">
        <v>106</v>
      </c>
      <c r="K474">
        <v>651.9</v>
      </c>
      <c r="L474">
        <v>7333</v>
      </c>
      <c r="M474">
        <v>7342</v>
      </c>
      <c r="N474">
        <v>9</v>
      </c>
      <c r="O474">
        <v>11.7777777777778</v>
      </c>
    </row>
    <row r="475" spans="1:15" x14ac:dyDescent="0.25">
      <c r="A475">
        <v>1</v>
      </c>
      <c r="B475">
        <v>3</v>
      </c>
      <c r="C475" t="s">
        <v>6176</v>
      </c>
      <c r="D475" t="s">
        <v>298</v>
      </c>
      <c r="E475" t="s">
        <v>6177</v>
      </c>
      <c r="F475">
        <v>46205.37777777778</v>
      </c>
      <c r="G475">
        <v>264</v>
      </c>
      <c r="H475" t="s">
        <v>6152</v>
      </c>
      <c r="I475" t="s">
        <v>5358</v>
      </c>
      <c r="J475">
        <v>150</v>
      </c>
      <c r="K475">
        <v>922.5</v>
      </c>
      <c r="L475">
        <v>7342</v>
      </c>
      <c r="M475">
        <v>7353</v>
      </c>
      <c r="N475">
        <v>11</v>
      </c>
      <c r="O475">
        <v>13.636363636363599</v>
      </c>
    </row>
    <row r="476" spans="1:15" x14ac:dyDescent="0.25">
      <c r="A476">
        <v>1</v>
      </c>
      <c r="B476">
        <v>3</v>
      </c>
      <c r="C476" t="s">
        <v>6176</v>
      </c>
      <c r="D476" t="s">
        <v>298</v>
      </c>
      <c r="E476" t="s">
        <v>6177</v>
      </c>
      <c r="F476">
        <v>46207.362500000003</v>
      </c>
      <c r="G476">
        <v>264</v>
      </c>
      <c r="H476" t="s">
        <v>6152</v>
      </c>
      <c r="I476" t="s">
        <v>5358</v>
      </c>
      <c r="J476">
        <v>100</v>
      </c>
      <c r="K476">
        <v>615</v>
      </c>
      <c r="L476">
        <v>7353</v>
      </c>
      <c r="M476">
        <v>7362</v>
      </c>
      <c r="N476">
        <v>9</v>
      </c>
      <c r="O476">
        <v>11.1111111111111</v>
      </c>
    </row>
    <row r="477" spans="1:15" x14ac:dyDescent="0.25">
      <c r="A477">
        <v>1</v>
      </c>
      <c r="B477">
        <v>3</v>
      </c>
      <c r="C477" t="s">
        <v>6176</v>
      </c>
      <c r="D477" t="s">
        <v>298</v>
      </c>
      <c r="E477" t="s">
        <v>6177</v>
      </c>
      <c r="F477">
        <v>46208.395138888889</v>
      </c>
      <c r="G477">
        <v>264</v>
      </c>
      <c r="H477" t="s">
        <v>6152</v>
      </c>
      <c r="I477" t="s">
        <v>5358</v>
      </c>
      <c r="J477">
        <v>92</v>
      </c>
      <c r="K477">
        <v>565.79999999999995</v>
      </c>
      <c r="L477">
        <v>7362</v>
      </c>
      <c r="M477">
        <v>7369</v>
      </c>
      <c r="N477">
        <v>7</v>
      </c>
      <c r="O477">
        <v>13.1428571428571</v>
      </c>
    </row>
    <row r="478" spans="1:15" x14ac:dyDescent="0.25">
      <c r="A478">
        <v>1</v>
      </c>
      <c r="B478">
        <v>3</v>
      </c>
      <c r="C478" t="s">
        <v>6176</v>
      </c>
      <c r="D478" t="s">
        <v>298</v>
      </c>
      <c r="E478" t="s">
        <v>6177</v>
      </c>
      <c r="F478">
        <v>46210.662499999999</v>
      </c>
      <c r="G478">
        <v>264</v>
      </c>
      <c r="H478" t="s">
        <v>6152</v>
      </c>
      <c r="I478" t="s">
        <v>5358</v>
      </c>
      <c r="J478">
        <v>159</v>
      </c>
      <c r="K478">
        <v>977.85</v>
      </c>
      <c r="L478">
        <v>7369</v>
      </c>
      <c r="M478">
        <v>7384</v>
      </c>
      <c r="N478">
        <v>15</v>
      </c>
      <c r="O478">
        <v>10.6</v>
      </c>
    </row>
    <row r="479" spans="1:15" x14ac:dyDescent="0.25">
      <c r="A479">
        <v>1</v>
      </c>
      <c r="B479">
        <v>3</v>
      </c>
      <c r="C479" t="s">
        <v>6176</v>
      </c>
      <c r="D479" t="s">
        <v>298</v>
      </c>
      <c r="E479" t="s">
        <v>6177</v>
      </c>
      <c r="F479">
        <v>46211.363888888889</v>
      </c>
      <c r="G479">
        <v>264</v>
      </c>
      <c r="H479" t="s">
        <v>6152</v>
      </c>
      <c r="I479" t="s">
        <v>5358</v>
      </c>
      <c r="J479">
        <v>114</v>
      </c>
      <c r="K479">
        <v>701.1</v>
      </c>
      <c r="L479">
        <v>7384</v>
      </c>
      <c r="M479">
        <v>7393</v>
      </c>
      <c r="N479">
        <v>9</v>
      </c>
      <c r="O479">
        <v>12.6666666666667</v>
      </c>
    </row>
    <row r="480" spans="1:15" x14ac:dyDescent="0.25">
      <c r="A480">
        <v>1</v>
      </c>
      <c r="B480">
        <v>3</v>
      </c>
      <c r="C480" t="s">
        <v>6176</v>
      </c>
      <c r="D480" t="s">
        <v>298</v>
      </c>
      <c r="E480" t="s">
        <v>6177</v>
      </c>
      <c r="F480">
        <v>46213.374305555553</v>
      </c>
      <c r="G480">
        <v>264</v>
      </c>
      <c r="H480" t="s">
        <v>6152</v>
      </c>
      <c r="I480" t="s">
        <v>5358</v>
      </c>
      <c r="J480">
        <v>139</v>
      </c>
      <c r="K480">
        <v>854.85</v>
      </c>
      <c r="L480">
        <v>7393</v>
      </c>
      <c r="M480">
        <v>7404</v>
      </c>
      <c r="N480">
        <v>11</v>
      </c>
      <c r="O480">
        <v>12.636363636363599</v>
      </c>
    </row>
    <row r="481" spans="1:15" x14ac:dyDescent="0.25">
      <c r="A481">
        <v>1</v>
      </c>
      <c r="B481">
        <v>3</v>
      </c>
      <c r="C481" t="s">
        <v>6176</v>
      </c>
      <c r="D481" t="s">
        <v>298</v>
      </c>
      <c r="E481" t="s">
        <v>6177</v>
      </c>
      <c r="F481">
        <v>46216.499305555553</v>
      </c>
      <c r="G481">
        <v>264</v>
      </c>
      <c r="H481" t="s">
        <v>6152</v>
      </c>
      <c r="I481" t="s">
        <v>5358</v>
      </c>
      <c r="J481">
        <v>212</v>
      </c>
      <c r="K481">
        <v>1303.8</v>
      </c>
      <c r="L481">
        <v>7404</v>
      </c>
      <c r="M481">
        <v>7421</v>
      </c>
      <c r="N481">
        <v>17</v>
      </c>
      <c r="O481">
        <v>12.4705882352941</v>
      </c>
    </row>
    <row r="482" spans="1:15" x14ac:dyDescent="0.25">
      <c r="A482">
        <v>1</v>
      </c>
      <c r="B482">
        <v>3</v>
      </c>
      <c r="C482" t="s">
        <v>6176</v>
      </c>
      <c r="D482" t="s">
        <v>298</v>
      </c>
      <c r="E482" t="s">
        <v>6177</v>
      </c>
      <c r="F482">
        <v>46218.40347222222</v>
      </c>
      <c r="G482">
        <v>264</v>
      </c>
      <c r="H482" t="s">
        <v>6152</v>
      </c>
      <c r="I482" t="s">
        <v>5358</v>
      </c>
      <c r="J482">
        <v>121</v>
      </c>
      <c r="K482">
        <v>744.15</v>
      </c>
      <c r="L482">
        <v>7421</v>
      </c>
      <c r="M482">
        <v>7431</v>
      </c>
      <c r="N482">
        <v>10</v>
      </c>
      <c r="O482">
        <v>12.1</v>
      </c>
    </row>
    <row r="483" spans="1:15" x14ac:dyDescent="0.25">
      <c r="A483">
        <v>1</v>
      </c>
      <c r="B483">
        <v>3</v>
      </c>
      <c r="C483" t="s">
        <v>6176</v>
      </c>
      <c r="D483" t="s">
        <v>298</v>
      </c>
      <c r="E483" t="s">
        <v>6177</v>
      </c>
      <c r="F483">
        <v>46219.340277777781</v>
      </c>
      <c r="G483">
        <v>264</v>
      </c>
      <c r="H483" t="s">
        <v>6152</v>
      </c>
      <c r="I483" t="s">
        <v>5358</v>
      </c>
      <c r="J483">
        <v>77</v>
      </c>
      <c r="K483">
        <v>473.55</v>
      </c>
      <c r="L483">
        <v>7431</v>
      </c>
      <c r="M483">
        <v>7437</v>
      </c>
      <c r="N483">
        <v>6</v>
      </c>
      <c r="O483">
        <v>12.8333333333333</v>
      </c>
    </row>
    <row r="484" spans="1:15" x14ac:dyDescent="0.25">
      <c r="A484">
        <v>1</v>
      </c>
      <c r="B484">
        <v>3</v>
      </c>
      <c r="C484" t="s">
        <v>6176</v>
      </c>
      <c r="D484" t="s">
        <v>298</v>
      </c>
      <c r="E484" t="s">
        <v>6177</v>
      </c>
      <c r="F484">
        <v>46221.49722222222</v>
      </c>
      <c r="G484">
        <v>264</v>
      </c>
      <c r="H484" t="s">
        <v>6152</v>
      </c>
      <c r="I484" t="s">
        <v>5358</v>
      </c>
      <c r="J484">
        <v>124</v>
      </c>
      <c r="K484">
        <v>768.8</v>
      </c>
      <c r="L484">
        <v>7437</v>
      </c>
      <c r="M484">
        <v>7446</v>
      </c>
      <c r="N484">
        <v>9</v>
      </c>
      <c r="O484">
        <v>13.7777777777778</v>
      </c>
    </row>
    <row r="485" spans="1:15" x14ac:dyDescent="0.25">
      <c r="A485">
        <v>1</v>
      </c>
      <c r="B485">
        <v>3</v>
      </c>
      <c r="C485" t="s">
        <v>6176</v>
      </c>
      <c r="D485" t="s">
        <v>298</v>
      </c>
      <c r="E485" t="s">
        <v>6177</v>
      </c>
      <c r="F485">
        <v>46224.683333333334</v>
      </c>
      <c r="G485">
        <v>264</v>
      </c>
      <c r="H485" t="s">
        <v>6152</v>
      </c>
      <c r="I485" t="s">
        <v>5358</v>
      </c>
      <c r="J485">
        <v>102</v>
      </c>
      <c r="K485">
        <v>643.62</v>
      </c>
      <c r="L485">
        <v>7446</v>
      </c>
      <c r="M485">
        <v>7455</v>
      </c>
      <c r="N485">
        <v>9</v>
      </c>
      <c r="O485">
        <v>11.3333333333333</v>
      </c>
    </row>
    <row r="486" spans="1:15" x14ac:dyDescent="0.25">
      <c r="A486">
        <v>1</v>
      </c>
      <c r="B486">
        <v>3</v>
      </c>
      <c r="C486" t="s">
        <v>6176</v>
      </c>
      <c r="D486" t="s">
        <v>298</v>
      </c>
      <c r="E486" t="s">
        <v>6177</v>
      </c>
      <c r="F486">
        <v>46225.499305555553</v>
      </c>
      <c r="G486">
        <v>264</v>
      </c>
      <c r="H486" t="s">
        <v>6152</v>
      </c>
      <c r="I486" t="s">
        <v>5358</v>
      </c>
      <c r="J486">
        <v>175</v>
      </c>
      <c r="K486">
        <v>1104.25</v>
      </c>
      <c r="L486">
        <v>7455</v>
      </c>
      <c r="M486">
        <v>7467</v>
      </c>
      <c r="N486">
        <v>12</v>
      </c>
      <c r="O486">
        <v>14.5833333333333</v>
      </c>
    </row>
    <row r="487" spans="1:15" x14ac:dyDescent="0.25">
      <c r="A487">
        <v>1</v>
      </c>
      <c r="B487">
        <v>3</v>
      </c>
      <c r="C487" t="s">
        <v>6176</v>
      </c>
      <c r="D487" t="s">
        <v>298</v>
      </c>
      <c r="E487" t="s">
        <v>6177</v>
      </c>
      <c r="F487">
        <v>46225.502083333333</v>
      </c>
      <c r="G487">
        <v>264</v>
      </c>
      <c r="H487" t="s">
        <v>6152</v>
      </c>
      <c r="I487" t="s">
        <v>5358</v>
      </c>
      <c r="J487">
        <v>89</v>
      </c>
      <c r="K487">
        <v>561.59</v>
      </c>
      <c r="L487">
        <v>7467</v>
      </c>
      <c r="M487">
        <v>7474</v>
      </c>
      <c r="N487">
        <v>7</v>
      </c>
      <c r="O487">
        <v>12.714285714285699</v>
      </c>
    </row>
    <row r="488" spans="1:15" x14ac:dyDescent="0.25">
      <c r="A488">
        <v>1</v>
      </c>
      <c r="B488">
        <v>3</v>
      </c>
      <c r="C488" t="s">
        <v>6176</v>
      </c>
      <c r="D488" t="s">
        <v>298</v>
      </c>
      <c r="E488" t="s">
        <v>6177</v>
      </c>
      <c r="F488">
        <v>46226.670138888891</v>
      </c>
      <c r="G488">
        <v>264</v>
      </c>
      <c r="H488" t="s">
        <v>6152</v>
      </c>
      <c r="I488" t="s">
        <v>5358</v>
      </c>
      <c r="J488">
        <v>200</v>
      </c>
      <c r="K488">
        <v>1262</v>
      </c>
      <c r="L488">
        <v>7474</v>
      </c>
      <c r="M488">
        <v>7489</v>
      </c>
      <c r="N488">
        <v>15</v>
      </c>
      <c r="O488">
        <v>13.3333333333333</v>
      </c>
    </row>
    <row r="489" spans="1:15" x14ac:dyDescent="0.25">
      <c r="A489">
        <v>1</v>
      </c>
      <c r="B489">
        <v>3</v>
      </c>
      <c r="C489" t="s">
        <v>6176</v>
      </c>
      <c r="D489" t="s">
        <v>298</v>
      </c>
      <c r="E489" t="s">
        <v>6177</v>
      </c>
      <c r="F489">
        <v>46233.705555555556</v>
      </c>
      <c r="G489">
        <v>264</v>
      </c>
      <c r="H489" t="s">
        <v>6152</v>
      </c>
      <c r="I489" t="s">
        <v>5358</v>
      </c>
      <c r="J489">
        <v>115</v>
      </c>
      <c r="K489">
        <v>722.2</v>
      </c>
      <c r="L489">
        <v>7489</v>
      </c>
      <c r="M489">
        <v>7499</v>
      </c>
      <c r="N489">
        <v>10</v>
      </c>
      <c r="O489">
        <v>11.5</v>
      </c>
    </row>
    <row r="490" spans="1:15" x14ac:dyDescent="0.25">
      <c r="A490">
        <v>1</v>
      </c>
      <c r="B490">
        <v>3</v>
      </c>
      <c r="C490" t="s">
        <v>6176</v>
      </c>
      <c r="D490" t="s">
        <v>298</v>
      </c>
      <c r="E490" t="s">
        <v>6177</v>
      </c>
      <c r="F490">
        <v>46234.436805555553</v>
      </c>
      <c r="G490">
        <v>264</v>
      </c>
      <c r="H490" t="s">
        <v>6152</v>
      </c>
      <c r="I490" t="s">
        <v>5358</v>
      </c>
      <c r="J490">
        <v>57</v>
      </c>
      <c r="K490">
        <v>357.96</v>
      </c>
      <c r="L490">
        <v>7499</v>
      </c>
      <c r="M490">
        <v>7508</v>
      </c>
      <c r="N490">
        <v>9</v>
      </c>
      <c r="O490">
        <v>6.3333333333333304</v>
      </c>
    </row>
    <row r="491" spans="1:15" x14ac:dyDescent="0.25">
      <c r="A491">
        <v>1</v>
      </c>
      <c r="B491">
        <v>3</v>
      </c>
      <c r="C491" t="s">
        <v>6176</v>
      </c>
      <c r="D491" t="s">
        <v>301</v>
      </c>
      <c r="E491" t="s">
        <v>6177</v>
      </c>
      <c r="F491">
        <v>46220.493055555555</v>
      </c>
      <c r="G491">
        <v>264</v>
      </c>
      <c r="H491" t="s">
        <v>6152</v>
      </c>
      <c r="I491" t="s">
        <v>5358</v>
      </c>
      <c r="J491">
        <v>189</v>
      </c>
      <c r="K491">
        <v>1171.8</v>
      </c>
      <c r="L491">
        <v>8004</v>
      </c>
      <c r="M491">
        <v>8290</v>
      </c>
      <c r="N491">
        <v>286</v>
      </c>
      <c r="O491">
        <v>0.66083916083916105</v>
      </c>
    </row>
    <row r="492" spans="1:15" x14ac:dyDescent="0.25">
      <c r="A492">
        <v>1</v>
      </c>
      <c r="B492">
        <v>3</v>
      </c>
      <c r="C492" t="s">
        <v>6176</v>
      </c>
      <c r="D492" t="s">
        <v>301</v>
      </c>
      <c r="E492" t="s">
        <v>6177</v>
      </c>
      <c r="F492">
        <v>46221.495138888888</v>
      </c>
      <c r="G492">
        <v>264</v>
      </c>
      <c r="H492" t="s">
        <v>6152</v>
      </c>
      <c r="I492" t="s">
        <v>5358</v>
      </c>
      <c r="J492">
        <v>131</v>
      </c>
      <c r="K492">
        <v>812.2</v>
      </c>
      <c r="L492">
        <v>8290</v>
      </c>
      <c r="M492">
        <v>8300</v>
      </c>
      <c r="N492">
        <v>10</v>
      </c>
      <c r="O492">
        <v>13.1</v>
      </c>
    </row>
    <row r="493" spans="1:15" x14ac:dyDescent="0.25">
      <c r="A493">
        <v>1</v>
      </c>
      <c r="B493">
        <v>3</v>
      </c>
      <c r="C493" t="s">
        <v>6176</v>
      </c>
      <c r="D493" t="s">
        <v>301</v>
      </c>
      <c r="E493" t="s">
        <v>6177</v>
      </c>
      <c r="F493">
        <v>46225.052083333336</v>
      </c>
      <c r="G493">
        <v>264</v>
      </c>
      <c r="H493" t="s">
        <v>6152</v>
      </c>
      <c r="I493" t="s">
        <v>5358</v>
      </c>
      <c r="J493">
        <v>256</v>
      </c>
      <c r="K493">
        <v>1615.36</v>
      </c>
      <c r="L493">
        <v>8300</v>
      </c>
      <c r="M493">
        <v>8320</v>
      </c>
      <c r="N493">
        <v>20</v>
      </c>
      <c r="O493">
        <v>12.8</v>
      </c>
    </row>
    <row r="494" spans="1:15" x14ac:dyDescent="0.25">
      <c r="A494">
        <v>1</v>
      </c>
      <c r="B494">
        <v>3</v>
      </c>
      <c r="C494" t="s">
        <v>6176</v>
      </c>
      <c r="D494" t="s">
        <v>301</v>
      </c>
      <c r="E494" t="s">
        <v>6177</v>
      </c>
      <c r="F494">
        <v>46225.65347222222</v>
      </c>
      <c r="G494">
        <v>264</v>
      </c>
      <c r="H494" t="s">
        <v>6152</v>
      </c>
      <c r="I494" t="s">
        <v>5358</v>
      </c>
      <c r="J494">
        <v>32</v>
      </c>
      <c r="K494">
        <v>201.92</v>
      </c>
      <c r="L494">
        <v>8320</v>
      </c>
      <c r="M494">
        <v>8322</v>
      </c>
      <c r="N494">
        <v>2</v>
      </c>
      <c r="O494">
        <v>16</v>
      </c>
    </row>
    <row r="495" spans="1:15" x14ac:dyDescent="0.25">
      <c r="A495">
        <v>1</v>
      </c>
      <c r="B495">
        <v>3</v>
      </c>
      <c r="C495" t="s">
        <v>6176</v>
      </c>
      <c r="D495" t="s">
        <v>301</v>
      </c>
      <c r="E495" t="s">
        <v>6177</v>
      </c>
      <c r="F495">
        <v>46226.668055555558</v>
      </c>
      <c r="G495">
        <v>264</v>
      </c>
      <c r="H495" t="s">
        <v>6152</v>
      </c>
      <c r="I495" t="s">
        <v>5358</v>
      </c>
      <c r="J495">
        <v>199</v>
      </c>
      <c r="K495">
        <v>1255.69</v>
      </c>
      <c r="L495">
        <v>8322</v>
      </c>
      <c r="M495">
        <v>8334</v>
      </c>
      <c r="N495">
        <v>12</v>
      </c>
      <c r="O495">
        <v>16.5833333333333</v>
      </c>
    </row>
    <row r="496" spans="1:15" x14ac:dyDescent="0.25">
      <c r="A496">
        <v>1</v>
      </c>
      <c r="B496">
        <v>3</v>
      </c>
      <c r="C496" t="s">
        <v>6176</v>
      </c>
      <c r="D496" t="s">
        <v>301</v>
      </c>
      <c r="E496" t="s">
        <v>6177</v>
      </c>
      <c r="F496">
        <v>46230.44027777778</v>
      </c>
      <c r="G496">
        <v>264</v>
      </c>
      <c r="H496" t="s">
        <v>6152</v>
      </c>
      <c r="I496" t="s">
        <v>5358</v>
      </c>
      <c r="J496">
        <v>116</v>
      </c>
      <c r="K496">
        <v>728.48</v>
      </c>
      <c r="L496">
        <v>8334</v>
      </c>
      <c r="M496">
        <v>8341</v>
      </c>
      <c r="N496">
        <v>7</v>
      </c>
      <c r="O496">
        <v>16.571428571428601</v>
      </c>
    </row>
    <row r="497" spans="1:15" x14ac:dyDescent="0.25">
      <c r="A497">
        <v>1</v>
      </c>
      <c r="B497">
        <v>3</v>
      </c>
      <c r="C497" t="s">
        <v>6176</v>
      </c>
      <c r="D497" t="s">
        <v>301</v>
      </c>
      <c r="E497" t="s">
        <v>6177</v>
      </c>
      <c r="F497">
        <v>46230.443749999999</v>
      </c>
      <c r="G497">
        <v>264</v>
      </c>
      <c r="H497" t="s">
        <v>6152</v>
      </c>
      <c r="I497" t="s">
        <v>5358</v>
      </c>
      <c r="J497">
        <v>128</v>
      </c>
      <c r="K497">
        <v>803.84</v>
      </c>
      <c r="L497">
        <v>8341</v>
      </c>
      <c r="M497">
        <v>8347</v>
      </c>
      <c r="N497">
        <v>6</v>
      </c>
      <c r="O497">
        <v>21.3333333333333</v>
      </c>
    </row>
    <row r="498" spans="1:15" x14ac:dyDescent="0.25">
      <c r="A498">
        <v>1</v>
      </c>
      <c r="B498">
        <v>3</v>
      </c>
      <c r="C498" t="s">
        <v>6176</v>
      </c>
      <c r="D498" t="s">
        <v>301</v>
      </c>
      <c r="E498" t="s">
        <v>6177</v>
      </c>
      <c r="F498">
        <v>46231.720833333333</v>
      </c>
      <c r="G498">
        <v>264</v>
      </c>
      <c r="H498" t="s">
        <v>6152</v>
      </c>
      <c r="I498" t="s">
        <v>5358</v>
      </c>
      <c r="J498">
        <v>194</v>
      </c>
      <c r="K498">
        <v>1218.32</v>
      </c>
      <c r="L498">
        <v>8347</v>
      </c>
      <c r="M498">
        <v>8358</v>
      </c>
      <c r="N498">
        <v>11</v>
      </c>
      <c r="O498">
        <v>17.636363636363601</v>
      </c>
    </row>
    <row r="499" spans="1:15" x14ac:dyDescent="0.25">
      <c r="A499">
        <v>1</v>
      </c>
      <c r="B499">
        <v>3</v>
      </c>
      <c r="C499" t="s">
        <v>6176</v>
      </c>
      <c r="D499" t="s">
        <v>301</v>
      </c>
      <c r="E499" t="s">
        <v>6177</v>
      </c>
      <c r="F499">
        <v>46232.757638888892</v>
      </c>
      <c r="G499">
        <v>264</v>
      </c>
      <c r="H499" t="s">
        <v>6152</v>
      </c>
      <c r="I499" t="s">
        <v>5358</v>
      </c>
      <c r="J499">
        <v>136</v>
      </c>
      <c r="K499">
        <v>854.08</v>
      </c>
      <c r="L499">
        <v>8358</v>
      </c>
      <c r="M499">
        <v>8366</v>
      </c>
      <c r="N499">
        <v>8</v>
      </c>
      <c r="O499">
        <v>17</v>
      </c>
    </row>
    <row r="500" spans="1:15" x14ac:dyDescent="0.25">
      <c r="A500">
        <v>1</v>
      </c>
      <c r="B500">
        <v>3</v>
      </c>
      <c r="C500" t="s">
        <v>6176</v>
      </c>
      <c r="D500" t="s">
        <v>301</v>
      </c>
      <c r="E500" t="s">
        <v>6177</v>
      </c>
      <c r="F500">
        <v>46233.706250000003</v>
      </c>
      <c r="G500">
        <v>264</v>
      </c>
      <c r="H500" t="s">
        <v>6152</v>
      </c>
      <c r="I500" t="s">
        <v>5358</v>
      </c>
      <c r="J500">
        <v>199</v>
      </c>
      <c r="K500">
        <v>1249.72</v>
      </c>
      <c r="L500">
        <v>8366</v>
      </c>
      <c r="M500">
        <v>8377</v>
      </c>
      <c r="N500">
        <v>11</v>
      </c>
      <c r="O500">
        <v>18.090909090909101</v>
      </c>
    </row>
    <row r="501" spans="1:15" x14ac:dyDescent="0.25">
      <c r="A501">
        <v>1</v>
      </c>
      <c r="B501">
        <v>3</v>
      </c>
      <c r="C501" t="s">
        <v>6176</v>
      </c>
      <c r="D501" t="s">
        <v>301</v>
      </c>
      <c r="E501" t="s">
        <v>6177</v>
      </c>
      <c r="F501">
        <v>46234.438194444447</v>
      </c>
      <c r="G501">
        <v>264</v>
      </c>
      <c r="H501" t="s">
        <v>6152</v>
      </c>
      <c r="I501" t="s">
        <v>5358</v>
      </c>
      <c r="J501">
        <v>202</v>
      </c>
      <c r="K501">
        <v>1268.56</v>
      </c>
      <c r="L501">
        <v>8377</v>
      </c>
      <c r="M501">
        <v>8389</v>
      </c>
      <c r="N501">
        <v>12</v>
      </c>
      <c r="O501">
        <v>16.8333333333333</v>
      </c>
    </row>
    <row r="502" spans="1:15" x14ac:dyDescent="0.25">
      <c r="A502">
        <v>1</v>
      </c>
      <c r="B502">
        <v>4</v>
      </c>
      <c r="C502" t="s">
        <v>6178</v>
      </c>
      <c r="D502" t="s">
        <v>137</v>
      </c>
      <c r="E502" t="s">
        <v>6159</v>
      </c>
      <c r="F502">
        <v>46207.886111111111</v>
      </c>
      <c r="G502">
        <v>264</v>
      </c>
      <c r="H502" t="s">
        <v>6152</v>
      </c>
      <c r="I502" t="s">
        <v>5358</v>
      </c>
      <c r="J502">
        <v>85</v>
      </c>
      <c r="K502">
        <v>522.75</v>
      </c>
      <c r="L502">
        <v>53</v>
      </c>
      <c r="M502">
        <v>63</v>
      </c>
      <c r="N502">
        <v>10</v>
      </c>
      <c r="O502">
        <v>8.5</v>
      </c>
    </row>
    <row r="503" spans="1:15" x14ac:dyDescent="0.25">
      <c r="A503">
        <v>1</v>
      </c>
      <c r="B503">
        <v>4</v>
      </c>
      <c r="C503" t="s">
        <v>6178</v>
      </c>
      <c r="D503" t="s">
        <v>137</v>
      </c>
      <c r="E503" t="s">
        <v>6159</v>
      </c>
      <c r="F503">
        <v>46217.800694444442</v>
      </c>
      <c r="G503">
        <v>264</v>
      </c>
      <c r="H503" t="s">
        <v>6152</v>
      </c>
      <c r="I503" t="s">
        <v>5358</v>
      </c>
      <c r="J503">
        <v>97</v>
      </c>
      <c r="K503">
        <v>596.54999999999995</v>
      </c>
      <c r="L503">
        <v>63</v>
      </c>
      <c r="M503">
        <v>77</v>
      </c>
      <c r="N503">
        <v>14</v>
      </c>
      <c r="O503">
        <v>6.9285714285714297</v>
      </c>
    </row>
    <row r="504" spans="1:15" x14ac:dyDescent="0.25">
      <c r="A504">
        <v>1</v>
      </c>
      <c r="B504">
        <v>4</v>
      </c>
      <c r="C504" t="s">
        <v>6178</v>
      </c>
      <c r="D504" t="s">
        <v>137</v>
      </c>
      <c r="E504" t="s">
        <v>6159</v>
      </c>
      <c r="F504">
        <v>46219.879166666666</v>
      </c>
      <c r="G504">
        <v>264</v>
      </c>
      <c r="H504" t="s">
        <v>6152</v>
      </c>
      <c r="I504" t="s">
        <v>5358</v>
      </c>
      <c r="J504">
        <v>83</v>
      </c>
      <c r="K504">
        <v>510.45</v>
      </c>
      <c r="L504">
        <v>77</v>
      </c>
      <c r="M504">
        <v>89</v>
      </c>
      <c r="N504">
        <v>12</v>
      </c>
      <c r="O504">
        <v>6.9166666666666696</v>
      </c>
    </row>
    <row r="505" spans="1:15" x14ac:dyDescent="0.25">
      <c r="A505">
        <v>1</v>
      </c>
      <c r="B505">
        <v>4</v>
      </c>
      <c r="C505" t="s">
        <v>6178</v>
      </c>
      <c r="D505" t="s">
        <v>137</v>
      </c>
      <c r="E505" t="s">
        <v>6159</v>
      </c>
      <c r="F505">
        <v>46226.71597222222</v>
      </c>
      <c r="G505">
        <v>264</v>
      </c>
      <c r="H505" t="s">
        <v>6152</v>
      </c>
      <c r="I505" t="s">
        <v>5358</v>
      </c>
      <c r="J505">
        <v>123</v>
      </c>
      <c r="K505">
        <v>776.13</v>
      </c>
      <c r="L505">
        <v>89</v>
      </c>
      <c r="M505">
        <v>107</v>
      </c>
      <c r="N505">
        <v>18</v>
      </c>
      <c r="O505">
        <v>6.8333333333333304</v>
      </c>
    </row>
    <row r="506" spans="1:15" x14ac:dyDescent="0.25">
      <c r="A506">
        <v>1</v>
      </c>
      <c r="B506">
        <v>4</v>
      </c>
      <c r="C506" t="s">
        <v>6178</v>
      </c>
      <c r="D506" t="s">
        <v>137</v>
      </c>
      <c r="E506" t="s">
        <v>6159</v>
      </c>
      <c r="F506">
        <v>46228.769444444442</v>
      </c>
      <c r="G506">
        <v>264</v>
      </c>
      <c r="H506" t="s">
        <v>6152</v>
      </c>
      <c r="I506" t="s">
        <v>5358</v>
      </c>
      <c r="J506">
        <v>98</v>
      </c>
      <c r="K506">
        <v>615.44000000000005</v>
      </c>
      <c r="L506">
        <v>107</v>
      </c>
      <c r="M506">
        <v>114</v>
      </c>
      <c r="N506">
        <v>7</v>
      </c>
      <c r="O506">
        <v>14</v>
      </c>
    </row>
    <row r="507" spans="1:15" x14ac:dyDescent="0.25">
      <c r="A507">
        <v>1</v>
      </c>
      <c r="B507">
        <v>4</v>
      </c>
      <c r="C507" t="s">
        <v>6178</v>
      </c>
      <c r="D507" t="s">
        <v>137</v>
      </c>
      <c r="E507" t="s">
        <v>6159</v>
      </c>
      <c r="F507">
        <v>46232.897222222222</v>
      </c>
      <c r="G507">
        <v>264</v>
      </c>
      <c r="H507" t="s">
        <v>6152</v>
      </c>
      <c r="I507" t="s">
        <v>5358</v>
      </c>
      <c r="J507">
        <v>139</v>
      </c>
      <c r="K507">
        <v>872.92</v>
      </c>
      <c r="L507">
        <v>114</v>
      </c>
      <c r="M507">
        <v>128</v>
      </c>
      <c r="N507">
        <v>14</v>
      </c>
      <c r="O507">
        <v>9.9285714285714306</v>
      </c>
    </row>
    <row r="508" spans="1:15" x14ac:dyDescent="0.25">
      <c r="A508">
        <v>1</v>
      </c>
      <c r="B508">
        <v>4</v>
      </c>
      <c r="C508" t="s">
        <v>6178</v>
      </c>
      <c r="D508" t="s">
        <v>137</v>
      </c>
      <c r="E508" t="s">
        <v>6159</v>
      </c>
      <c r="F508">
        <v>46234.88958333333</v>
      </c>
      <c r="G508">
        <v>264</v>
      </c>
      <c r="H508" t="s">
        <v>6152</v>
      </c>
      <c r="I508" t="s">
        <v>5358</v>
      </c>
      <c r="J508">
        <v>97</v>
      </c>
      <c r="K508">
        <v>609.16</v>
      </c>
      <c r="L508">
        <v>128</v>
      </c>
      <c r="M508">
        <v>138</v>
      </c>
      <c r="N508">
        <v>10</v>
      </c>
      <c r="O508">
        <v>9.6999999999999993</v>
      </c>
    </row>
    <row r="509" spans="1:15" x14ac:dyDescent="0.25">
      <c r="A509">
        <v>1</v>
      </c>
      <c r="B509">
        <v>4</v>
      </c>
      <c r="C509" t="s">
        <v>6178</v>
      </c>
      <c r="D509" t="s">
        <v>137</v>
      </c>
      <c r="E509" t="s">
        <v>6159</v>
      </c>
      <c r="F509">
        <v>46234.904861111114</v>
      </c>
      <c r="G509">
        <v>264</v>
      </c>
      <c r="H509" t="s">
        <v>6152</v>
      </c>
      <c r="I509" t="s">
        <v>5358</v>
      </c>
      <c r="J509">
        <v>26</v>
      </c>
      <c r="K509">
        <v>163.28</v>
      </c>
      <c r="L509">
        <v>138</v>
      </c>
      <c r="M509">
        <v>144</v>
      </c>
      <c r="N509">
        <v>6</v>
      </c>
      <c r="O509">
        <v>4.3333333333333304</v>
      </c>
    </row>
    <row r="510" spans="1:15" x14ac:dyDescent="0.25">
      <c r="A510">
        <v>1</v>
      </c>
      <c r="B510">
        <v>4</v>
      </c>
      <c r="C510" t="s">
        <v>6178</v>
      </c>
      <c r="D510" t="s">
        <v>133</v>
      </c>
      <c r="E510" t="s">
        <v>6159</v>
      </c>
      <c r="F510">
        <v>46207.886111111111</v>
      </c>
      <c r="G510">
        <v>264</v>
      </c>
      <c r="H510" t="s">
        <v>6152</v>
      </c>
      <c r="I510" t="s">
        <v>5358</v>
      </c>
      <c r="J510">
        <v>77</v>
      </c>
      <c r="K510">
        <v>473.55</v>
      </c>
      <c r="L510">
        <v>290</v>
      </c>
      <c r="M510">
        <v>298</v>
      </c>
      <c r="N510">
        <v>8</v>
      </c>
      <c r="O510">
        <v>9.625</v>
      </c>
    </row>
    <row r="511" spans="1:15" x14ac:dyDescent="0.25">
      <c r="A511">
        <v>1</v>
      </c>
      <c r="B511">
        <v>4</v>
      </c>
      <c r="C511" t="s">
        <v>6178</v>
      </c>
      <c r="D511" t="s">
        <v>133</v>
      </c>
      <c r="E511" t="s">
        <v>6159</v>
      </c>
      <c r="F511">
        <v>46209.848611111112</v>
      </c>
      <c r="G511">
        <v>264</v>
      </c>
      <c r="H511" t="s">
        <v>6152</v>
      </c>
      <c r="I511" t="s">
        <v>5358</v>
      </c>
      <c r="J511">
        <v>131</v>
      </c>
      <c r="K511">
        <v>805.65</v>
      </c>
      <c r="L511">
        <v>298</v>
      </c>
      <c r="M511">
        <v>313</v>
      </c>
      <c r="N511">
        <v>15</v>
      </c>
      <c r="O511">
        <v>8.7333333333333307</v>
      </c>
    </row>
    <row r="512" spans="1:15" x14ac:dyDescent="0.25">
      <c r="A512">
        <v>1</v>
      </c>
      <c r="B512">
        <v>4</v>
      </c>
      <c r="C512" t="s">
        <v>6178</v>
      </c>
      <c r="D512" t="s">
        <v>133</v>
      </c>
      <c r="E512" t="s">
        <v>6159</v>
      </c>
      <c r="F512">
        <v>46213.842361111114</v>
      </c>
      <c r="G512">
        <v>264</v>
      </c>
      <c r="H512" t="s">
        <v>6152</v>
      </c>
      <c r="I512" t="s">
        <v>5358</v>
      </c>
      <c r="J512">
        <v>88</v>
      </c>
      <c r="K512">
        <v>541.20000000000005</v>
      </c>
      <c r="L512">
        <v>313</v>
      </c>
      <c r="M512">
        <v>328</v>
      </c>
      <c r="N512">
        <v>15</v>
      </c>
      <c r="O512">
        <v>5.8666666666666698</v>
      </c>
    </row>
    <row r="513" spans="1:15" x14ac:dyDescent="0.25">
      <c r="A513">
        <v>1</v>
      </c>
      <c r="B513">
        <v>4</v>
      </c>
      <c r="C513" t="s">
        <v>6178</v>
      </c>
      <c r="D513" t="s">
        <v>133</v>
      </c>
      <c r="E513" t="s">
        <v>6159</v>
      </c>
      <c r="F513">
        <v>46217.800694444442</v>
      </c>
      <c r="G513">
        <v>264</v>
      </c>
      <c r="H513" t="s">
        <v>6152</v>
      </c>
      <c r="I513" t="s">
        <v>5358</v>
      </c>
      <c r="J513">
        <v>128</v>
      </c>
      <c r="K513">
        <v>787.2</v>
      </c>
      <c r="L513">
        <v>328</v>
      </c>
      <c r="M513">
        <v>345</v>
      </c>
      <c r="N513">
        <v>17</v>
      </c>
      <c r="O513">
        <v>7.5294117647058796</v>
      </c>
    </row>
    <row r="514" spans="1:15" x14ac:dyDescent="0.25">
      <c r="A514">
        <v>1</v>
      </c>
      <c r="B514">
        <v>4</v>
      </c>
      <c r="C514" t="s">
        <v>6178</v>
      </c>
      <c r="D514" t="s">
        <v>133</v>
      </c>
      <c r="E514" t="s">
        <v>6159</v>
      </c>
      <c r="F514">
        <v>46219.879861111112</v>
      </c>
      <c r="G514">
        <v>264</v>
      </c>
      <c r="H514" t="s">
        <v>6152</v>
      </c>
      <c r="I514" t="s">
        <v>5358</v>
      </c>
      <c r="J514">
        <v>68</v>
      </c>
      <c r="K514">
        <v>418.2</v>
      </c>
      <c r="L514">
        <v>345</v>
      </c>
      <c r="M514">
        <v>352</v>
      </c>
      <c r="N514">
        <v>7</v>
      </c>
      <c r="O514">
        <v>9.71428571428571</v>
      </c>
    </row>
    <row r="515" spans="1:15" x14ac:dyDescent="0.25">
      <c r="A515">
        <v>1</v>
      </c>
      <c r="B515">
        <v>4</v>
      </c>
      <c r="C515" t="s">
        <v>6178</v>
      </c>
      <c r="D515" t="s">
        <v>133</v>
      </c>
      <c r="E515" t="s">
        <v>6159</v>
      </c>
      <c r="F515">
        <v>46223.881944444445</v>
      </c>
      <c r="G515">
        <v>264</v>
      </c>
      <c r="H515" t="s">
        <v>6152</v>
      </c>
      <c r="I515" t="s">
        <v>5358</v>
      </c>
      <c r="J515">
        <v>134</v>
      </c>
      <c r="K515">
        <v>845.54</v>
      </c>
      <c r="L515">
        <v>352</v>
      </c>
      <c r="M515">
        <v>366</v>
      </c>
      <c r="N515">
        <v>14</v>
      </c>
      <c r="O515">
        <v>9.5714285714285694</v>
      </c>
    </row>
    <row r="516" spans="1:15" x14ac:dyDescent="0.25">
      <c r="A516">
        <v>1</v>
      </c>
      <c r="B516">
        <v>4</v>
      </c>
      <c r="C516" t="s">
        <v>6178</v>
      </c>
      <c r="D516" t="s">
        <v>133</v>
      </c>
      <c r="E516" t="s">
        <v>6159</v>
      </c>
      <c r="F516">
        <v>46227.82708333333</v>
      </c>
      <c r="G516">
        <v>264</v>
      </c>
      <c r="H516" t="s">
        <v>6152</v>
      </c>
      <c r="I516" t="s">
        <v>5358</v>
      </c>
      <c r="J516">
        <v>67</v>
      </c>
      <c r="K516">
        <v>422.77</v>
      </c>
      <c r="L516">
        <v>366</v>
      </c>
      <c r="M516">
        <v>374</v>
      </c>
      <c r="N516">
        <v>8</v>
      </c>
      <c r="O516">
        <v>8.375</v>
      </c>
    </row>
    <row r="517" spans="1:15" x14ac:dyDescent="0.25">
      <c r="A517">
        <v>1</v>
      </c>
      <c r="B517">
        <v>4</v>
      </c>
      <c r="C517" t="s">
        <v>6178</v>
      </c>
      <c r="D517" t="s">
        <v>133</v>
      </c>
      <c r="E517" t="s">
        <v>6159</v>
      </c>
      <c r="F517">
        <v>46229.620138888888</v>
      </c>
      <c r="G517">
        <v>264</v>
      </c>
      <c r="H517" t="s">
        <v>6152</v>
      </c>
      <c r="I517" t="s">
        <v>5358</v>
      </c>
      <c r="J517">
        <v>98</v>
      </c>
      <c r="K517">
        <v>615.44000000000005</v>
      </c>
      <c r="L517">
        <v>374</v>
      </c>
      <c r="M517">
        <v>385</v>
      </c>
      <c r="N517">
        <v>11</v>
      </c>
      <c r="O517">
        <v>8.9090909090909101</v>
      </c>
    </row>
    <row r="518" spans="1:15" x14ac:dyDescent="0.25">
      <c r="A518">
        <v>1</v>
      </c>
      <c r="B518">
        <v>4</v>
      </c>
      <c r="C518" t="s">
        <v>6178</v>
      </c>
      <c r="D518" t="s">
        <v>133</v>
      </c>
      <c r="E518" t="s">
        <v>6159</v>
      </c>
      <c r="F518">
        <v>46230.498611111114</v>
      </c>
      <c r="G518">
        <v>264</v>
      </c>
      <c r="H518" t="s">
        <v>6152</v>
      </c>
      <c r="I518" t="s">
        <v>5358</v>
      </c>
      <c r="J518">
        <v>55</v>
      </c>
      <c r="K518">
        <v>345.4</v>
      </c>
      <c r="L518">
        <v>385</v>
      </c>
      <c r="M518">
        <v>391</v>
      </c>
      <c r="N518">
        <v>6</v>
      </c>
      <c r="O518">
        <v>9.1666666666666696</v>
      </c>
    </row>
    <row r="519" spans="1:15" x14ac:dyDescent="0.25">
      <c r="A519">
        <v>1</v>
      </c>
      <c r="B519">
        <v>4</v>
      </c>
      <c r="C519" t="s">
        <v>6178</v>
      </c>
      <c r="D519" t="s">
        <v>133</v>
      </c>
      <c r="E519" t="s">
        <v>6159</v>
      </c>
      <c r="F519">
        <v>46232.901388888888</v>
      </c>
      <c r="G519">
        <v>264</v>
      </c>
      <c r="H519" t="s">
        <v>6152</v>
      </c>
      <c r="I519" t="s">
        <v>5358</v>
      </c>
      <c r="J519">
        <v>87</v>
      </c>
      <c r="K519">
        <v>546.36</v>
      </c>
      <c r="L519">
        <v>391</v>
      </c>
      <c r="M519">
        <v>405</v>
      </c>
      <c r="N519">
        <v>14</v>
      </c>
      <c r="O519">
        <v>6.21428571428571</v>
      </c>
    </row>
    <row r="520" spans="1:15" x14ac:dyDescent="0.25">
      <c r="A520">
        <v>1</v>
      </c>
      <c r="B520">
        <v>4</v>
      </c>
      <c r="C520" t="s">
        <v>6178</v>
      </c>
      <c r="D520" t="s">
        <v>5359</v>
      </c>
      <c r="E520" t="s">
        <v>6159</v>
      </c>
      <c r="F520">
        <v>46207.461805555555</v>
      </c>
      <c r="G520">
        <v>232</v>
      </c>
      <c r="H520" t="s">
        <v>6155</v>
      </c>
      <c r="I520" t="s">
        <v>5358</v>
      </c>
      <c r="J520">
        <v>146</v>
      </c>
      <c r="K520">
        <v>897.9</v>
      </c>
      <c r="L520">
        <v>457</v>
      </c>
      <c r="M520">
        <v>480</v>
      </c>
      <c r="N520">
        <v>23</v>
      </c>
      <c r="O520">
        <v>6.3478260869565197</v>
      </c>
    </row>
    <row r="521" spans="1:15" x14ac:dyDescent="0.25">
      <c r="A521">
        <v>1</v>
      </c>
      <c r="B521">
        <v>4</v>
      </c>
      <c r="C521" t="s">
        <v>6178</v>
      </c>
      <c r="D521" t="s">
        <v>5359</v>
      </c>
      <c r="E521" t="s">
        <v>6159</v>
      </c>
      <c r="F521">
        <v>46210.386111111111</v>
      </c>
      <c r="G521">
        <v>232</v>
      </c>
      <c r="H521" t="s">
        <v>6155</v>
      </c>
      <c r="I521" t="s">
        <v>5358</v>
      </c>
      <c r="J521">
        <v>80</v>
      </c>
      <c r="K521">
        <v>492</v>
      </c>
      <c r="L521">
        <v>480</v>
      </c>
      <c r="M521">
        <v>488</v>
      </c>
      <c r="N521">
        <v>8</v>
      </c>
      <c r="O521">
        <v>10</v>
      </c>
    </row>
    <row r="522" spans="1:15" x14ac:dyDescent="0.25">
      <c r="A522">
        <v>1</v>
      </c>
      <c r="B522">
        <v>4</v>
      </c>
      <c r="C522" t="s">
        <v>6178</v>
      </c>
      <c r="D522" t="s">
        <v>5359</v>
      </c>
      <c r="E522" t="s">
        <v>6159</v>
      </c>
      <c r="F522">
        <v>46212.412499999999</v>
      </c>
      <c r="G522">
        <v>232</v>
      </c>
      <c r="H522" t="s">
        <v>6155</v>
      </c>
      <c r="I522" t="s">
        <v>5358</v>
      </c>
      <c r="J522">
        <v>107</v>
      </c>
      <c r="K522">
        <v>658.05</v>
      </c>
      <c r="L522">
        <v>488</v>
      </c>
      <c r="M522">
        <v>499</v>
      </c>
      <c r="N522">
        <v>11</v>
      </c>
      <c r="O522">
        <v>9.7272727272727302</v>
      </c>
    </row>
    <row r="523" spans="1:15" x14ac:dyDescent="0.25">
      <c r="A523">
        <v>1</v>
      </c>
      <c r="B523">
        <v>4</v>
      </c>
      <c r="C523" t="s">
        <v>6178</v>
      </c>
      <c r="D523" t="s">
        <v>5359</v>
      </c>
      <c r="E523" t="s">
        <v>6159</v>
      </c>
      <c r="F523">
        <v>46217.527083333334</v>
      </c>
      <c r="G523">
        <v>232</v>
      </c>
      <c r="H523" t="s">
        <v>6155</v>
      </c>
      <c r="I523" t="s">
        <v>5358</v>
      </c>
      <c r="J523">
        <v>84</v>
      </c>
      <c r="K523">
        <v>516.6</v>
      </c>
      <c r="L523">
        <v>499</v>
      </c>
      <c r="M523">
        <v>510</v>
      </c>
      <c r="N523">
        <v>11</v>
      </c>
      <c r="O523">
        <v>7.6363636363636402</v>
      </c>
    </row>
    <row r="524" spans="1:15" x14ac:dyDescent="0.25">
      <c r="A524">
        <v>1</v>
      </c>
      <c r="B524">
        <v>4</v>
      </c>
      <c r="C524" t="s">
        <v>6178</v>
      </c>
      <c r="D524" t="s">
        <v>5359</v>
      </c>
      <c r="E524" t="s">
        <v>6159</v>
      </c>
      <c r="F524">
        <v>46227.563888888886</v>
      </c>
      <c r="G524">
        <v>188</v>
      </c>
      <c r="H524" t="s">
        <v>6173</v>
      </c>
      <c r="I524" t="s">
        <v>5358</v>
      </c>
      <c r="J524">
        <v>163</v>
      </c>
      <c r="K524">
        <v>1139.3699999999999</v>
      </c>
      <c r="L524">
        <v>510</v>
      </c>
      <c r="M524">
        <v>530</v>
      </c>
      <c r="N524">
        <v>20</v>
      </c>
      <c r="O524">
        <v>8.15</v>
      </c>
    </row>
    <row r="525" spans="1:15" x14ac:dyDescent="0.25">
      <c r="A525">
        <v>1</v>
      </c>
      <c r="B525">
        <v>4</v>
      </c>
      <c r="C525" t="s">
        <v>6178</v>
      </c>
      <c r="D525" t="s">
        <v>434</v>
      </c>
      <c r="E525" t="s">
        <v>6159</v>
      </c>
      <c r="F525">
        <v>46204.78125</v>
      </c>
      <c r="G525">
        <v>264</v>
      </c>
      <c r="H525" t="s">
        <v>6152</v>
      </c>
      <c r="I525" t="s">
        <v>5358</v>
      </c>
      <c r="J525">
        <v>140</v>
      </c>
      <c r="K525">
        <v>861</v>
      </c>
      <c r="L525">
        <v>284</v>
      </c>
      <c r="M525">
        <v>296</v>
      </c>
      <c r="N525">
        <v>12</v>
      </c>
      <c r="O525">
        <v>11.6666666666667</v>
      </c>
    </row>
    <row r="526" spans="1:15" x14ac:dyDescent="0.25">
      <c r="A526">
        <v>1</v>
      </c>
      <c r="B526">
        <v>4</v>
      </c>
      <c r="C526" t="s">
        <v>6178</v>
      </c>
      <c r="D526" t="s">
        <v>434</v>
      </c>
      <c r="E526" t="s">
        <v>6159</v>
      </c>
      <c r="F526">
        <v>46205.841666666667</v>
      </c>
      <c r="G526">
        <v>264</v>
      </c>
      <c r="H526" t="s">
        <v>6152</v>
      </c>
      <c r="I526" t="s">
        <v>5358</v>
      </c>
      <c r="J526">
        <v>35</v>
      </c>
      <c r="K526">
        <v>215.25</v>
      </c>
      <c r="L526">
        <v>296</v>
      </c>
      <c r="M526">
        <v>301</v>
      </c>
      <c r="N526">
        <v>5</v>
      </c>
      <c r="O526">
        <v>7</v>
      </c>
    </row>
    <row r="527" spans="1:15" x14ac:dyDescent="0.25">
      <c r="A527">
        <v>1</v>
      </c>
      <c r="B527">
        <v>4</v>
      </c>
      <c r="C527" t="s">
        <v>6178</v>
      </c>
      <c r="D527" t="s">
        <v>434</v>
      </c>
      <c r="E527" t="s">
        <v>6159</v>
      </c>
      <c r="F527">
        <v>46207.883333333331</v>
      </c>
      <c r="G527">
        <v>264</v>
      </c>
      <c r="H527" t="s">
        <v>6152</v>
      </c>
      <c r="I527" t="s">
        <v>5358</v>
      </c>
      <c r="J527">
        <v>45</v>
      </c>
      <c r="K527">
        <v>276.75</v>
      </c>
      <c r="L527">
        <v>301</v>
      </c>
      <c r="M527">
        <v>307</v>
      </c>
      <c r="N527">
        <v>6</v>
      </c>
      <c r="O527">
        <v>7.5</v>
      </c>
    </row>
    <row r="528" spans="1:15" x14ac:dyDescent="0.25">
      <c r="A528">
        <v>1</v>
      </c>
      <c r="B528">
        <v>4</v>
      </c>
      <c r="C528" t="s">
        <v>6178</v>
      </c>
      <c r="D528" t="s">
        <v>434</v>
      </c>
      <c r="E528" t="s">
        <v>6159</v>
      </c>
      <c r="F528">
        <v>46210.863194444442</v>
      </c>
      <c r="G528">
        <v>264</v>
      </c>
      <c r="H528" t="s">
        <v>6152</v>
      </c>
      <c r="I528" t="s">
        <v>5358</v>
      </c>
      <c r="J528">
        <v>44</v>
      </c>
      <c r="K528">
        <v>270.60000000000002</v>
      </c>
      <c r="L528">
        <v>307</v>
      </c>
      <c r="M528">
        <v>311</v>
      </c>
      <c r="N528">
        <v>4</v>
      </c>
      <c r="O528">
        <v>11</v>
      </c>
    </row>
    <row r="529" spans="1:15" x14ac:dyDescent="0.25">
      <c r="A529">
        <v>1</v>
      </c>
      <c r="B529">
        <v>4</v>
      </c>
      <c r="C529" t="s">
        <v>6178</v>
      </c>
      <c r="D529" t="s">
        <v>434</v>
      </c>
      <c r="E529" t="s">
        <v>6159</v>
      </c>
      <c r="F529">
        <v>46211.838888888888</v>
      </c>
      <c r="G529">
        <v>264</v>
      </c>
      <c r="H529" t="s">
        <v>6152</v>
      </c>
      <c r="I529" t="s">
        <v>5358</v>
      </c>
      <c r="J529">
        <v>41</v>
      </c>
      <c r="K529">
        <v>252.15</v>
      </c>
      <c r="L529">
        <v>311</v>
      </c>
      <c r="M529">
        <v>317</v>
      </c>
      <c r="N529">
        <v>6</v>
      </c>
      <c r="O529">
        <v>6.8333333333333304</v>
      </c>
    </row>
    <row r="530" spans="1:15" x14ac:dyDescent="0.25">
      <c r="A530">
        <v>1</v>
      </c>
      <c r="B530">
        <v>4</v>
      </c>
      <c r="C530" t="s">
        <v>6178</v>
      </c>
      <c r="D530" t="s">
        <v>434</v>
      </c>
      <c r="E530" t="s">
        <v>6159</v>
      </c>
      <c r="F530">
        <v>46213.834722222222</v>
      </c>
      <c r="G530">
        <v>264</v>
      </c>
      <c r="H530" t="s">
        <v>6152</v>
      </c>
      <c r="I530" t="s">
        <v>5358</v>
      </c>
      <c r="J530">
        <v>90</v>
      </c>
      <c r="K530">
        <v>553.5</v>
      </c>
      <c r="L530">
        <v>317</v>
      </c>
      <c r="M530">
        <v>331</v>
      </c>
      <c r="N530">
        <v>14</v>
      </c>
      <c r="O530">
        <v>6.4285714285714297</v>
      </c>
    </row>
    <row r="531" spans="1:15" x14ac:dyDescent="0.25">
      <c r="A531">
        <v>1</v>
      </c>
      <c r="B531">
        <v>4</v>
      </c>
      <c r="C531" t="s">
        <v>6178</v>
      </c>
      <c r="D531" t="s">
        <v>434</v>
      </c>
      <c r="E531" t="s">
        <v>6159</v>
      </c>
      <c r="F531">
        <v>46217.802777777775</v>
      </c>
      <c r="G531">
        <v>264</v>
      </c>
      <c r="H531" t="s">
        <v>6152</v>
      </c>
      <c r="I531" t="s">
        <v>5358</v>
      </c>
      <c r="J531">
        <v>72</v>
      </c>
      <c r="K531">
        <v>442.8</v>
      </c>
      <c r="L531">
        <v>331</v>
      </c>
      <c r="M531">
        <v>339</v>
      </c>
      <c r="N531">
        <v>8</v>
      </c>
      <c r="O531">
        <v>9</v>
      </c>
    </row>
    <row r="532" spans="1:15" x14ac:dyDescent="0.25">
      <c r="A532">
        <v>1</v>
      </c>
      <c r="B532">
        <v>4</v>
      </c>
      <c r="C532" t="s">
        <v>6178</v>
      </c>
      <c r="D532" t="s">
        <v>434</v>
      </c>
      <c r="E532" t="s">
        <v>6159</v>
      </c>
      <c r="F532">
        <v>46218.86041666667</v>
      </c>
      <c r="G532">
        <v>264</v>
      </c>
      <c r="H532" t="s">
        <v>6152</v>
      </c>
      <c r="I532" t="s">
        <v>5358</v>
      </c>
      <c r="J532">
        <v>49</v>
      </c>
      <c r="K532">
        <v>301.35000000000002</v>
      </c>
      <c r="L532">
        <v>339</v>
      </c>
      <c r="M532">
        <v>345</v>
      </c>
      <c r="N532">
        <v>6</v>
      </c>
      <c r="O532">
        <v>8.1666666666666696</v>
      </c>
    </row>
    <row r="533" spans="1:15" x14ac:dyDescent="0.25">
      <c r="A533">
        <v>1</v>
      </c>
      <c r="B533">
        <v>4</v>
      </c>
      <c r="C533" t="s">
        <v>6178</v>
      </c>
      <c r="D533" t="s">
        <v>434</v>
      </c>
      <c r="E533" t="s">
        <v>6159</v>
      </c>
      <c r="F533">
        <v>46223.881249999999</v>
      </c>
      <c r="G533">
        <v>264</v>
      </c>
      <c r="H533" t="s">
        <v>6152</v>
      </c>
      <c r="I533" t="s">
        <v>5358</v>
      </c>
      <c r="J533">
        <v>173</v>
      </c>
      <c r="K533">
        <v>1091.6300000000001</v>
      </c>
      <c r="L533">
        <v>345</v>
      </c>
      <c r="M533">
        <v>370</v>
      </c>
      <c r="N533">
        <v>25</v>
      </c>
      <c r="O533">
        <v>6.92</v>
      </c>
    </row>
    <row r="534" spans="1:15" x14ac:dyDescent="0.25">
      <c r="A534">
        <v>1</v>
      </c>
      <c r="B534">
        <v>4</v>
      </c>
      <c r="C534" t="s">
        <v>6178</v>
      </c>
      <c r="D534" t="s">
        <v>434</v>
      </c>
      <c r="E534" t="s">
        <v>6159</v>
      </c>
      <c r="F534">
        <v>46229.621527777781</v>
      </c>
      <c r="G534">
        <v>264</v>
      </c>
      <c r="H534" t="s">
        <v>6152</v>
      </c>
      <c r="I534" t="s">
        <v>5358</v>
      </c>
      <c r="J534">
        <v>79</v>
      </c>
      <c r="K534">
        <v>496.12</v>
      </c>
      <c r="L534">
        <v>370</v>
      </c>
      <c r="M534">
        <v>381</v>
      </c>
      <c r="N534">
        <v>11</v>
      </c>
      <c r="O534">
        <v>7.1818181818181799</v>
      </c>
    </row>
    <row r="535" spans="1:15" x14ac:dyDescent="0.25">
      <c r="A535">
        <v>1</v>
      </c>
      <c r="B535">
        <v>4</v>
      </c>
      <c r="C535" t="s">
        <v>6178</v>
      </c>
      <c r="D535" t="s">
        <v>434</v>
      </c>
      <c r="E535" t="s">
        <v>6159</v>
      </c>
      <c r="F535">
        <v>46230.896527777775</v>
      </c>
      <c r="G535">
        <v>264</v>
      </c>
      <c r="H535" t="s">
        <v>6152</v>
      </c>
      <c r="I535" t="s">
        <v>5358</v>
      </c>
      <c r="J535">
        <v>115</v>
      </c>
      <c r="K535">
        <v>722.2</v>
      </c>
      <c r="L535">
        <v>381</v>
      </c>
      <c r="M535">
        <v>389</v>
      </c>
      <c r="N535">
        <v>8</v>
      </c>
      <c r="O535">
        <v>14.375</v>
      </c>
    </row>
    <row r="536" spans="1:15" x14ac:dyDescent="0.25">
      <c r="A536">
        <v>1</v>
      </c>
      <c r="B536">
        <v>4</v>
      </c>
      <c r="C536" t="s">
        <v>6178</v>
      </c>
      <c r="D536" t="s">
        <v>434</v>
      </c>
      <c r="E536" t="s">
        <v>6159</v>
      </c>
      <c r="F536">
        <v>46232.898611111108</v>
      </c>
      <c r="G536">
        <v>264</v>
      </c>
      <c r="H536" t="s">
        <v>6152</v>
      </c>
      <c r="I536" t="s">
        <v>5358</v>
      </c>
      <c r="J536">
        <v>65</v>
      </c>
      <c r="K536">
        <v>408.2</v>
      </c>
      <c r="L536">
        <v>389</v>
      </c>
      <c r="M536">
        <v>402</v>
      </c>
      <c r="N536">
        <v>13</v>
      </c>
      <c r="O536">
        <v>5</v>
      </c>
    </row>
    <row r="537" spans="1:15" x14ac:dyDescent="0.25">
      <c r="A537">
        <v>1</v>
      </c>
      <c r="B537">
        <v>4</v>
      </c>
      <c r="C537" t="s">
        <v>6178</v>
      </c>
      <c r="D537" t="s">
        <v>434</v>
      </c>
      <c r="E537" t="s">
        <v>6159</v>
      </c>
      <c r="F537">
        <v>46234.905555555553</v>
      </c>
      <c r="G537">
        <v>264</v>
      </c>
      <c r="H537" t="s">
        <v>6152</v>
      </c>
      <c r="I537" t="s">
        <v>5358</v>
      </c>
      <c r="J537">
        <v>90</v>
      </c>
      <c r="K537">
        <v>565.20000000000005</v>
      </c>
      <c r="L537">
        <v>402</v>
      </c>
      <c r="M537">
        <v>415</v>
      </c>
      <c r="N537">
        <v>13</v>
      </c>
      <c r="O537">
        <v>6.9230769230769198</v>
      </c>
    </row>
    <row r="538" spans="1:15" x14ac:dyDescent="0.25">
      <c r="A538">
        <v>1</v>
      </c>
      <c r="B538">
        <v>4</v>
      </c>
      <c r="C538" t="s">
        <v>6178</v>
      </c>
      <c r="D538" t="s">
        <v>330</v>
      </c>
      <c r="E538" t="s">
        <v>6159</v>
      </c>
      <c r="F538">
        <v>46209.9375</v>
      </c>
      <c r="G538">
        <v>232</v>
      </c>
      <c r="H538" t="s">
        <v>6155</v>
      </c>
      <c r="I538" t="s">
        <v>5358</v>
      </c>
      <c r="J538">
        <v>181</v>
      </c>
      <c r="K538">
        <v>1113.1500000000001</v>
      </c>
      <c r="L538">
        <v>688</v>
      </c>
      <c r="M538">
        <v>708</v>
      </c>
      <c r="N538">
        <v>20</v>
      </c>
      <c r="O538">
        <v>9.0500000000000007</v>
      </c>
    </row>
    <row r="539" spans="1:15" x14ac:dyDescent="0.25">
      <c r="A539">
        <v>1</v>
      </c>
      <c r="B539">
        <v>4</v>
      </c>
      <c r="C539" t="s">
        <v>6178</v>
      </c>
      <c r="D539" t="s">
        <v>330</v>
      </c>
      <c r="E539" t="s">
        <v>6159</v>
      </c>
      <c r="F539">
        <v>46212.998611111114</v>
      </c>
      <c r="G539">
        <v>232</v>
      </c>
      <c r="H539" t="s">
        <v>6155</v>
      </c>
      <c r="I539" t="s">
        <v>5358</v>
      </c>
      <c r="J539">
        <v>107</v>
      </c>
      <c r="K539">
        <v>658.05</v>
      </c>
      <c r="L539">
        <v>708</v>
      </c>
      <c r="M539">
        <v>724</v>
      </c>
      <c r="N539">
        <v>16</v>
      </c>
      <c r="O539">
        <v>6.6875</v>
      </c>
    </row>
    <row r="540" spans="1:15" x14ac:dyDescent="0.25">
      <c r="A540">
        <v>1</v>
      </c>
      <c r="B540">
        <v>4</v>
      </c>
      <c r="C540" t="s">
        <v>6178</v>
      </c>
      <c r="D540" t="s">
        <v>330</v>
      </c>
      <c r="E540" t="s">
        <v>6159</v>
      </c>
      <c r="F540">
        <v>46217.459722222222</v>
      </c>
      <c r="G540">
        <v>129</v>
      </c>
      <c r="H540" t="s">
        <v>6164</v>
      </c>
      <c r="I540" t="s">
        <v>5358</v>
      </c>
      <c r="J540">
        <v>182</v>
      </c>
      <c r="K540">
        <v>1119.3</v>
      </c>
      <c r="L540">
        <v>724</v>
      </c>
      <c r="M540">
        <v>745</v>
      </c>
      <c r="N540">
        <v>21</v>
      </c>
      <c r="O540">
        <v>8.6666666666666696</v>
      </c>
    </row>
    <row r="541" spans="1:15" x14ac:dyDescent="0.25">
      <c r="A541">
        <v>1</v>
      </c>
      <c r="B541">
        <v>4</v>
      </c>
      <c r="C541" t="s">
        <v>6178</v>
      </c>
      <c r="D541" t="s">
        <v>330</v>
      </c>
      <c r="E541" t="s">
        <v>6159</v>
      </c>
      <c r="F541">
        <v>46221.924305555556</v>
      </c>
      <c r="G541">
        <v>232</v>
      </c>
      <c r="H541" t="s">
        <v>6155</v>
      </c>
      <c r="I541" t="s">
        <v>5358</v>
      </c>
      <c r="J541">
        <v>207</v>
      </c>
      <c r="K541">
        <v>1273.05</v>
      </c>
      <c r="L541">
        <v>745</v>
      </c>
      <c r="M541">
        <v>769</v>
      </c>
      <c r="N541">
        <v>24</v>
      </c>
      <c r="O541">
        <v>8.625</v>
      </c>
    </row>
    <row r="542" spans="1:15" x14ac:dyDescent="0.25">
      <c r="A542">
        <v>1</v>
      </c>
      <c r="B542">
        <v>4</v>
      </c>
      <c r="C542" t="s">
        <v>6178</v>
      </c>
      <c r="D542" t="s">
        <v>330</v>
      </c>
      <c r="E542" t="s">
        <v>6159</v>
      </c>
      <c r="F542">
        <v>46224.904861111114</v>
      </c>
      <c r="G542">
        <v>232</v>
      </c>
      <c r="H542" t="s">
        <v>6155</v>
      </c>
      <c r="I542" t="s">
        <v>5358</v>
      </c>
      <c r="J542">
        <v>196</v>
      </c>
      <c r="K542">
        <v>1225</v>
      </c>
      <c r="L542">
        <v>769</v>
      </c>
      <c r="M542">
        <v>798</v>
      </c>
      <c r="N542">
        <v>29</v>
      </c>
      <c r="O542">
        <v>6.7586206896551699</v>
      </c>
    </row>
    <row r="543" spans="1:15" x14ac:dyDescent="0.25">
      <c r="A543">
        <v>1</v>
      </c>
      <c r="B543">
        <v>4</v>
      </c>
      <c r="C543" t="s">
        <v>6178</v>
      </c>
      <c r="D543" t="s">
        <v>330</v>
      </c>
      <c r="E543" t="s">
        <v>6159</v>
      </c>
      <c r="F543">
        <v>46227.088888888888</v>
      </c>
      <c r="G543">
        <v>232</v>
      </c>
      <c r="H543" t="s">
        <v>6155</v>
      </c>
      <c r="I543" t="s">
        <v>5358</v>
      </c>
      <c r="J543">
        <v>120</v>
      </c>
      <c r="K543">
        <v>750</v>
      </c>
      <c r="L543">
        <v>798</v>
      </c>
      <c r="M543">
        <v>813</v>
      </c>
      <c r="N543">
        <v>15</v>
      </c>
      <c r="O543">
        <v>8</v>
      </c>
    </row>
    <row r="544" spans="1:15" x14ac:dyDescent="0.25">
      <c r="A544">
        <v>1</v>
      </c>
      <c r="B544">
        <v>4</v>
      </c>
      <c r="C544" t="s">
        <v>6178</v>
      </c>
      <c r="D544" t="s">
        <v>330</v>
      </c>
      <c r="E544" t="s">
        <v>6159</v>
      </c>
      <c r="F544">
        <v>46233.015972222223</v>
      </c>
      <c r="G544">
        <v>232</v>
      </c>
      <c r="H544" t="s">
        <v>6155</v>
      </c>
      <c r="I544" t="s">
        <v>5358</v>
      </c>
      <c r="J544">
        <v>115</v>
      </c>
      <c r="K544">
        <v>718.75</v>
      </c>
      <c r="L544">
        <v>813</v>
      </c>
      <c r="M544">
        <v>832</v>
      </c>
      <c r="N544">
        <v>19</v>
      </c>
      <c r="O544">
        <v>6.0526315789473699</v>
      </c>
    </row>
    <row r="545" spans="1:15" x14ac:dyDescent="0.25">
      <c r="A545">
        <v>1</v>
      </c>
      <c r="B545">
        <v>4</v>
      </c>
      <c r="C545" t="s">
        <v>6178</v>
      </c>
      <c r="D545" t="s">
        <v>596</v>
      </c>
      <c r="E545" t="s">
        <v>6179</v>
      </c>
      <c r="F545">
        <v>46204.524305555555</v>
      </c>
      <c r="G545">
        <v>264</v>
      </c>
      <c r="H545" t="s">
        <v>6152</v>
      </c>
      <c r="I545" t="s">
        <v>5358</v>
      </c>
      <c r="J545">
        <v>52</v>
      </c>
      <c r="K545">
        <v>319.8</v>
      </c>
      <c r="L545">
        <v>637</v>
      </c>
      <c r="M545">
        <v>647</v>
      </c>
      <c r="N545">
        <v>10</v>
      </c>
      <c r="O545">
        <v>5.2</v>
      </c>
    </row>
    <row r="546" spans="1:15" x14ac:dyDescent="0.25">
      <c r="A546">
        <v>1</v>
      </c>
      <c r="B546">
        <v>4</v>
      </c>
      <c r="C546" t="s">
        <v>6178</v>
      </c>
      <c r="D546" t="s">
        <v>596</v>
      </c>
      <c r="E546" t="s">
        <v>6179</v>
      </c>
      <c r="F546">
        <v>46205.379166666666</v>
      </c>
      <c r="G546">
        <v>264</v>
      </c>
      <c r="H546" t="s">
        <v>6152</v>
      </c>
      <c r="I546" t="s">
        <v>5358</v>
      </c>
      <c r="J546">
        <v>53</v>
      </c>
      <c r="K546">
        <v>325.95</v>
      </c>
      <c r="L546">
        <v>647</v>
      </c>
      <c r="M546">
        <v>656</v>
      </c>
      <c r="N546">
        <v>9</v>
      </c>
      <c r="O546">
        <v>5.8888888888888902</v>
      </c>
    </row>
    <row r="547" spans="1:15" x14ac:dyDescent="0.25">
      <c r="A547">
        <v>1</v>
      </c>
      <c r="B547">
        <v>4</v>
      </c>
      <c r="C547" t="s">
        <v>6178</v>
      </c>
      <c r="D547" t="s">
        <v>596</v>
      </c>
      <c r="E547" t="s">
        <v>6179</v>
      </c>
      <c r="F547">
        <v>46207.892361111109</v>
      </c>
      <c r="G547">
        <v>264</v>
      </c>
      <c r="H547" t="s">
        <v>6152</v>
      </c>
      <c r="I547" t="s">
        <v>5358</v>
      </c>
      <c r="J547">
        <v>26</v>
      </c>
      <c r="K547">
        <v>159.9</v>
      </c>
      <c r="L547">
        <v>656</v>
      </c>
      <c r="M547">
        <v>661</v>
      </c>
      <c r="N547">
        <v>5</v>
      </c>
      <c r="O547">
        <v>5.2</v>
      </c>
    </row>
    <row r="548" spans="1:15" x14ac:dyDescent="0.25">
      <c r="A548">
        <v>1</v>
      </c>
      <c r="B548">
        <v>4</v>
      </c>
      <c r="C548" t="s">
        <v>6178</v>
      </c>
      <c r="D548" t="s">
        <v>596</v>
      </c>
      <c r="E548" t="s">
        <v>6179</v>
      </c>
      <c r="F548">
        <v>46209.698611111111</v>
      </c>
      <c r="G548">
        <v>264</v>
      </c>
      <c r="H548" t="s">
        <v>6152</v>
      </c>
      <c r="I548" t="s">
        <v>5358</v>
      </c>
      <c r="J548">
        <v>37</v>
      </c>
      <c r="K548">
        <v>227.55</v>
      </c>
      <c r="L548">
        <v>661</v>
      </c>
      <c r="M548">
        <v>668</v>
      </c>
      <c r="N548">
        <v>7</v>
      </c>
      <c r="O548">
        <v>5.28571428571429</v>
      </c>
    </row>
    <row r="549" spans="1:15" x14ac:dyDescent="0.25">
      <c r="A549">
        <v>1</v>
      </c>
      <c r="B549">
        <v>4</v>
      </c>
      <c r="C549" t="s">
        <v>6178</v>
      </c>
      <c r="D549" t="s">
        <v>596</v>
      </c>
      <c r="E549" t="s">
        <v>6179</v>
      </c>
      <c r="F549">
        <v>46213.817361111112</v>
      </c>
      <c r="G549">
        <v>264</v>
      </c>
      <c r="H549" t="s">
        <v>6152</v>
      </c>
      <c r="I549" t="s">
        <v>5358</v>
      </c>
      <c r="J549">
        <v>49</v>
      </c>
      <c r="K549">
        <v>301.35000000000002</v>
      </c>
      <c r="L549">
        <v>668</v>
      </c>
      <c r="M549">
        <v>672</v>
      </c>
      <c r="N549">
        <v>4</v>
      </c>
      <c r="O549">
        <v>12.25</v>
      </c>
    </row>
    <row r="550" spans="1:15" x14ac:dyDescent="0.25">
      <c r="A550">
        <v>1</v>
      </c>
      <c r="B550">
        <v>4</v>
      </c>
      <c r="C550" t="s">
        <v>6178</v>
      </c>
      <c r="D550" t="s">
        <v>596</v>
      </c>
      <c r="E550" t="s">
        <v>6179</v>
      </c>
      <c r="F550">
        <v>46214.36041666667</v>
      </c>
      <c r="G550">
        <v>264</v>
      </c>
      <c r="H550" t="s">
        <v>6152</v>
      </c>
      <c r="I550" t="s">
        <v>5358</v>
      </c>
      <c r="J550">
        <v>47</v>
      </c>
      <c r="K550">
        <v>289.05</v>
      </c>
      <c r="L550">
        <v>672</v>
      </c>
      <c r="M550">
        <v>687</v>
      </c>
      <c r="N550">
        <v>15</v>
      </c>
      <c r="O550">
        <v>3.1333333333333302</v>
      </c>
    </row>
    <row r="551" spans="1:15" x14ac:dyDescent="0.25">
      <c r="A551">
        <v>1</v>
      </c>
      <c r="B551">
        <v>4</v>
      </c>
      <c r="C551" t="s">
        <v>6178</v>
      </c>
      <c r="D551" t="s">
        <v>596</v>
      </c>
      <c r="E551" t="s">
        <v>6179</v>
      </c>
      <c r="F551">
        <v>46216.5</v>
      </c>
      <c r="G551">
        <v>264</v>
      </c>
      <c r="H551" t="s">
        <v>6152</v>
      </c>
      <c r="I551" t="s">
        <v>5358</v>
      </c>
      <c r="J551">
        <v>53</v>
      </c>
      <c r="K551">
        <v>325.95</v>
      </c>
      <c r="L551">
        <v>687</v>
      </c>
      <c r="M551">
        <v>697</v>
      </c>
      <c r="N551">
        <v>10</v>
      </c>
      <c r="O551">
        <v>5.3</v>
      </c>
    </row>
    <row r="552" spans="1:15" x14ac:dyDescent="0.25">
      <c r="A552">
        <v>1</v>
      </c>
      <c r="B552">
        <v>4</v>
      </c>
      <c r="C552" t="s">
        <v>6178</v>
      </c>
      <c r="D552" t="s">
        <v>596</v>
      </c>
      <c r="E552" t="s">
        <v>6179</v>
      </c>
      <c r="F552">
        <v>46218.844444444447</v>
      </c>
      <c r="G552">
        <v>264</v>
      </c>
      <c r="H552" t="s">
        <v>6152</v>
      </c>
      <c r="I552" t="s">
        <v>5358</v>
      </c>
      <c r="J552">
        <v>59</v>
      </c>
      <c r="K552">
        <v>362.85</v>
      </c>
      <c r="L552">
        <v>697</v>
      </c>
      <c r="M552">
        <v>706</v>
      </c>
      <c r="N552">
        <v>9</v>
      </c>
      <c r="O552">
        <v>6.5555555555555598</v>
      </c>
    </row>
    <row r="553" spans="1:15" x14ac:dyDescent="0.25">
      <c r="A553">
        <v>1</v>
      </c>
      <c r="B553">
        <v>4</v>
      </c>
      <c r="C553" t="s">
        <v>6178</v>
      </c>
      <c r="D553" t="s">
        <v>596</v>
      </c>
      <c r="E553" t="s">
        <v>6179</v>
      </c>
      <c r="F553">
        <v>46219.854861111111</v>
      </c>
      <c r="G553">
        <v>264</v>
      </c>
      <c r="H553" t="s">
        <v>6152</v>
      </c>
      <c r="I553" t="s">
        <v>5358</v>
      </c>
      <c r="J553">
        <v>52</v>
      </c>
      <c r="K553">
        <v>319.8</v>
      </c>
      <c r="L553">
        <v>706</v>
      </c>
      <c r="M553">
        <v>714</v>
      </c>
      <c r="N553">
        <v>8</v>
      </c>
      <c r="O553">
        <v>6.5</v>
      </c>
    </row>
    <row r="554" spans="1:15" x14ac:dyDescent="0.25">
      <c r="A554">
        <v>1</v>
      </c>
      <c r="B554">
        <v>4</v>
      </c>
      <c r="C554" t="s">
        <v>6178</v>
      </c>
      <c r="D554" t="s">
        <v>596</v>
      </c>
      <c r="E554" t="s">
        <v>6179</v>
      </c>
      <c r="F554">
        <v>46220.844444444447</v>
      </c>
      <c r="G554">
        <v>264</v>
      </c>
      <c r="H554" t="s">
        <v>6152</v>
      </c>
      <c r="I554" t="s">
        <v>5358</v>
      </c>
      <c r="J554">
        <v>51</v>
      </c>
      <c r="K554">
        <v>316.2</v>
      </c>
      <c r="L554">
        <v>714</v>
      </c>
      <c r="M554">
        <v>723</v>
      </c>
      <c r="N554">
        <v>9</v>
      </c>
      <c r="O554">
        <v>5.6666666666666696</v>
      </c>
    </row>
    <row r="555" spans="1:15" x14ac:dyDescent="0.25">
      <c r="A555">
        <v>1</v>
      </c>
      <c r="B555">
        <v>4</v>
      </c>
      <c r="C555" t="s">
        <v>6178</v>
      </c>
      <c r="D555" t="s">
        <v>596</v>
      </c>
      <c r="E555" t="s">
        <v>6179</v>
      </c>
      <c r="F555">
        <v>46221.896527777775</v>
      </c>
      <c r="G555">
        <v>264</v>
      </c>
      <c r="H555" t="s">
        <v>6152</v>
      </c>
      <c r="I555" t="s">
        <v>5358</v>
      </c>
      <c r="J555">
        <v>44</v>
      </c>
      <c r="K555">
        <v>272.8</v>
      </c>
      <c r="L555">
        <v>723</v>
      </c>
      <c r="M555">
        <v>730</v>
      </c>
      <c r="N555">
        <v>7</v>
      </c>
      <c r="O555">
        <v>6.28571428571429</v>
      </c>
    </row>
    <row r="556" spans="1:15" x14ac:dyDescent="0.25">
      <c r="A556">
        <v>1</v>
      </c>
      <c r="B556">
        <v>4</v>
      </c>
      <c r="C556" t="s">
        <v>6178</v>
      </c>
      <c r="D556" t="s">
        <v>596</v>
      </c>
      <c r="E556" t="s">
        <v>6179</v>
      </c>
      <c r="F556">
        <v>46222.72152777778</v>
      </c>
      <c r="G556">
        <v>264</v>
      </c>
      <c r="H556" t="s">
        <v>6152</v>
      </c>
      <c r="I556" t="s">
        <v>5358</v>
      </c>
      <c r="J556">
        <v>15</v>
      </c>
      <c r="K556">
        <v>93</v>
      </c>
      <c r="L556">
        <v>730</v>
      </c>
      <c r="M556">
        <v>733</v>
      </c>
      <c r="N556">
        <v>3</v>
      </c>
      <c r="O556">
        <v>5</v>
      </c>
    </row>
    <row r="557" spans="1:15" x14ac:dyDescent="0.25">
      <c r="A557">
        <v>1</v>
      </c>
      <c r="B557">
        <v>4</v>
      </c>
      <c r="C557" t="s">
        <v>6178</v>
      </c>
      <c r="D557" t="s">
        <v>596</v>
      </c>
      <c r="E557" t="s">
        <v>6179</v>
      </c>
      <c r="F557">
        <v>46223.875694444447</v>
      </c>
      <c r="G557">
        <v>264</v>
      </c>
      <c r="H557" t="s">
        <v>6152</v>
      </c>
      <c r="I557" t="s">
        <v>5358</v>
      </c>
      <c r="J557">
        <v>30</v>
      </c>
      <c r="K557">
        <v>189.3</v>
      </c>
      <c r="L557">
        <v>733</v>
      </c>
      <c r="M557">
        <v>738</v>
      </c>
      <c r="N557">
        <v>5</v>
      </c>
      <c r="O557">
        <v>6</v>
      </c>
    </row>
    <row r="558" spans="1:15" x14ac:dyDescent="0.25">
      <c r="A558">
        <v>1</v>
      </c>
      <c r="B558">
        <v>4</v>
      </c>
      <c r="C558" t="s">
        <v>6178</v>
      </c>
      <c r="D558" t="s">
        <v>596</v>
      </c>
      <c r="E558" t="s">
        <v>6179</v>
      </c>
      <c r="F558">
        <v>46230.888194444444</v>
      </c>
      <c r="G558">
        <v>264</v>
      </c>
      <c r="H558" t="s">
        <v>6152</v>
      </c>
      <c r="I558" t="s">
        <v>5358</v>
      </c>
      <c r="J558">
        <v>52</v>
      </c>
      <c r="K558">
        <v>326.56</v>
      </c>
      <c r="L558">
        <v>738</v>
      </c>
      <c r="M558">
        <v>748</v>
      </c>
      <c r="N558">
        <v>10</v>
      </c>
      <c r="O558">
        <v>5.2</v>
      </c>
    </row>
    <row r="559" spans="1:15" x14ac:dyDescent="0.25">
      <c r="A559">
        <v>1</v>
      </c>
      <c r="B559">
        <v>4</v>
      </c>
      <c r="C559" t="s">
        <v>6178</v>
      </c>
      <c r="D559" t="s">
        <v>596</v>
      </c>
      <c r="E559" t="s">
        <v>6179</v>
      </c>
      <c r="F559">
        <v>46231.926388888889</v>
      </c>
      <c r="G559">
        <v>264</v>
      </c>
      <c r="H559" t="s">
        <v>6152</v>
      </c>
      <c r="I559" t="s">
        <v>5358</v>
      </c>
      <c r="J559">
        <v>8</v>
      </c>
      <c r="K559">
        <v>50.24</v>
      </c>
      <c r="L559">
        <v>748</v>
      </c>
      <c r="M559">
        <v>751</v>
      </c>
      <c r="N559">
        <v>3</v>
      </c>
      <c r="O559">
        <v>2.6666666666666701</v>
      </c>
    </row>
    <row r="560" spans="1:15" x14ac:dyDescent="0.25">
      <c r="A560">
        <v>1</v>
      </c>
      <c r="B560">
        <v>4</v>
      </c>
      <c r="C560" t="s">
        <v>6178</v>
      </c>
      <c r="D560" t="s">
        <v>647</v>
      </c>
      <c r="E560" t="s">
        <v>6162</v>
      </c>
      <c r="F560">
        <v>46205.843055555553</v>
      </c>
      <c r="G560">
        <v>264</v>
      </c>
      <c r="H560" t="s">
        <v>6152</v>
      </c>
      <c r="I560" t="s">
        <v>5358</v>
      </c>
      <c r="J560">
        <v>141</v>
      </c>
      <c r="K560">
        <v>867.15</v>
      </c>
      <c r="L560">
        <v>1640</v>
      </c>
      <c r="M560">
        <v>1647</v>
      </c>
      <c r="N560">
        <v>7</v>
      </c>
      <c r="O560">
        <v>20.1428571428571</v>
      </c>
    </row>
    <row r="561" spans="1:15" x14ac:dyDescent="0.25">
      <c r="A561">
        <v>1</v>
      </c>
      <c r="B561">
        <v>4</v>
      </c>
      <c r="C561" t="s">
        <v>6178</v>
      </c>
      <c r="D561" t="s">
        <v>647</v>
      </c>
      <c r="E561" t="s">
        <v>6162</v>
      </c>
      <c r="F561">
        <v>46207.892361111109</v>
      </c>
      <c r="G561">
        <v>264</v>
      </c>
      <c r="H561" t="s">
        <v>6152</v>
      </c>
      <c r="I561" t="s">
        <v>5358</v>
      </c>
      <c r="J561">
        <v>139</v>
      </c>
      <c r="K561">
        <v>854.85</v>
      </c>
      <c r="L561">
        <v>1647</v>
      </c>
      <c r="M561">
        <v>1654</v>
      </c>
      <c r="N561">
        <v>7</v>
      </c>
      <c r="O561">
        <v>19.8571428571429</v>
      </c>
    </row>
    <row r="562" spans="1:15" x14ac:dyDescent="0.25">
      <c r="A562">
        <v>1</v>
      </c>
      <c r="B562">
        <v>4</v>
      </c>
      <c r="C562" t="s">
        <v>6178</v>
      </c>
      <c r="D562" t="s">
        <v>647</v>
      </c>
      <c r="E562" t="s">
        <v>6162</v>
      </c>
      <c r="F562">
        <v>46209.829861111109</v>
      </c>
      <c r="G562">
        <v>264</v>
      </c>
      <c r="H562" t="s">
        <v>6152</v>
      </c>
      <c r="I562" t="s">
        <v>5358</v>
      </c>
      <c r="J562">
        <v>138</v>
      </c>
      <c r="K562">
        <v>848.7</v>
      </c>
      <c r="L562">
        <v>1654</v>
      </c>
      <c r="M562">
        <v>1660</v>
      </c>
      <c r="N562">
        <v>6</v>
      </c>
      <c r="O562">
        <v>23</v>
      </c>
    </row>
    <row r="563" spans="1:15" x14ac:dyDescent="0.25">
      <c r="A563">
        <v>1</v>
      </c>
      <c r="B563">
        <v>4</v>
      </c>
      <c r="C563" t="s">
        <v>6178</v>
      </c>
      <c r="D563" t="s">
        <v>647</v>
      </c>
      <c r="E563" t="s">
        <v>6162</v>
      </c>
      <c r="F563">
        <v>46210.78125</v>
      </c>
      <c r="G563">
        <v>264</v>
      </c>
      <c r="H563" t="s">
        <v>6152</v>
      </c>
      <c r="I563" t="s">
        <v>5358</v>
      </c>
      <c r="J563">
        <v>207</v>
      </c>
      <c r="K563">
        <v>1273.05</v>
      </c>
      <c r="L563">
        <v>1660</v>
      </c>
      <c r="M563">
        <v>1670</v>
      </c>
      <c r="N563">
        <v>10</v>
      </c>
      <c r="O563">
        <v>20.7</v>
      </c>
    </row>
    <row r="564" spans="1:15" x14ac:dyDescent="0.25">
      <c r="A564">
        <v>1</v>
      </c>
      <c r="B564">
        <v>4</v>
      </c>
      <c r="C564" t="s">
        <v>6178</v>
      </c>
      <c r="D564" t="s">
        <v>647</v>
      </c>
      <c r="E564" t="s">
        <v>6162</v>
      </c>
      <c r="F564">
        <v>46211.830555555556</v>
      </c>
      <c r="G564">
        <v>264</v>
      </c>
      <c r="H564" t="s">
        <v>6152</v>
      </c>
      <c r="I564" t="s">
        <v>5358</v>
      </c>
      <c r="J564">
        <v>163</v>
      </c>
      <c r="K564">
        <v>1002.45</v>
      </c>
      <c r="L564">
        <v>1670</v>
      </c>
      <c r="M564">
        <v>1678</v>
      </c>
      <c r="N564">
        <v>8</v>
      </c>
      <c r="O564">
        <v>20.375</v>
      </c>
    </row>
    <row r="565" spans="1:15" x14ac:dyDescent="0.25">
      <c r="A565">
        <v>1</v>
      </c>
      <c r="B565">
        <v>4</v>
      </c>
      <c r="C565" t="s">
        <v>6178</v>
      </c>
      <c r="D565" t="s">
        <v>647</v>
      </c>
      <c r="E565" t="s">
        <v>6162</v>
      </c>
      <c r="F565">
        <v>46212.77847222222</v>
      </c>
      <c r="G565">
        <v>264</v>
      </c>
      <c r="H565" t="s">
        <v>6152</v>
      </c>
      <c r="I565" t="s">
        <v>5358</v>
      </c>
      <c r="J565">
        <v>156</v>
      </c>
      <c r="K565">
        <v>959.4</v>
      </c>
      <c r="L565">
        <v>1678</v>
      </c>
      <c r="M565">
        <v>1686</v>
      </c>
      <c r="N565">
        <v>8</v>
      </c>
      <c r="O565">
        <v>19.5</v>
      </c>
    </row>
    <row r="566" spans="1:15" x14ac:dyDescent="0.25">
      <c r="A566">
        <v>1</v>
      </c>
      <c r="B566">
        <v>4</v>
      </c>
      <c r="C566" t="s">
        <v>6178</v>
      </c>
      <c r="D566" t="s">
        <v>647</v>
      </c>
      <c r="E566" t="s">
        <v>6162</v>
      </c>
      <c r="F566">
        <v>46213.825694444444</v>
      </c>
      <c r="G566">
        <v>264</v>
      </c>
      <c r="H566" t="s">
        <v>6152</v>
      </c>
      <c r="I566" t="s">
        <v>5358</v>
      </c>
      <c r="J566">
        <v>179</v>
      </c>
      <c r="K566">
        <v>1100.8499999999999</v>
      </c>
      <c r="L566">
        <v>1686</v>
      </c>
      <c r="M566">
        <v>1695</v>
      </c>
      <c r="N566">
        <v>9</v>
      </c>
      <c r="O566">
        <v>19.8888888888889</v>
      </c>
    </row>
    <row r="567" spans="1:15" x14ac:dyDescent="0.25">
      <c r="A567">
        <v>1</v>
      </c>
      <c r="B567">
        <v>4</v>
      </c>
      <c r="C567" t="s">
        <v>6178</v>
      </c>
      <c r="D567" t="s">
        <v>647</v>
      </c>
      <c r="E567" t="s">
        <v>6162</v>
      </c>
      <c r="F567">
        <v>46216.859722222223</v>
      </c>
      <c r="G567">
        <v>264</v>
      </c>
      <c r="H567" t="s">
        <v>6152</v>
      </c>
      <c r="I567" t="s">
        <v>5358</v>
      </c>
      <c r="J567">
        <v>228</v>
      </c>
      <c r="K567">
        <v>1402.2</v>
      </c>
      <c r="L567">
        <v>1695</v>
      </c>
      <c r="M567">
        <v>1712</v>
      </c>
      <c r="N567">
        <v>17</v>
      </c>
      <c r="O567">
        <v>13.411764705882399</v>
      </c>
    </row>
    <row r="568" spans="1:15" x14ac:dyDescent="0.25">
      <c r="A568">
        <v>1</v>
      </c>
      <c r="B568">
        <v>4</v>
      </c>
      <c r="C568" t="s">
        <v>6178</v>
      </c>
      <c r="D568" t="s">
        <v>647</v>
      </c>
      <c r="E568" t="s">
        <v>6162</v>
      </c>
      <c r="F568">
        <v>46217.79583333333</v>
      </c>
      <c r="G568">
        <v>264</v>
      </c>
      <c r="H568" t="s">
        <v>6152</v>
      </c>
      <c r="I568" t="s">
        <v>5358</v>
      </c>
      <c r="J568">
        <v>161</v>
      </c>
      <c r="K568">
        <v>990.15</v>
      </c>
      <c r="L568">
        <v>1712</v>
      </c>
      <c r="M568">
        <v>1721</v>
      </c>
      <c r="N568">
        <v>9</v>
      </c>
      <c r="O568">
        <v>17.8888888888889</v>
      </c>
    </row>
    <row r="569" spans="1:15" x14ac:dyDescent="0.25">
      <c r="A569">
        <v>1</v>
      </c>
      <c r="B569">
        <v>4</v>
      </c>
      <c r="C569" t="s">
        <v>6178</v>
      </c>
      <c r="D569" t="s">
        <v>647</v>
      </c>
      <c r="E569" t="s">
        <v>6162</v>
      </c>
      <c r="F569">
        <v>46219.857638888891</v>
      </c>
      <c r="G569">
        <v>264</v>
      </c>
      <c r="H569" t="s">
        <v>6152</v>
      </c>
      <c r="I569" t="s">
        <v>5358</v>
      </c>
      <c r="J569">
        <v>128</v>
      </c>
      <c r="K569">
        <v>787.2</v>
      </c>
      <c r="L569">
        <v>1721</v>
      </c>
      <c r="M569">
        <v>1730</v>
      </c>
      <c r="N569">
        <v>9</v>
      </c>
      <c r="O569">
        <v>14.2222222222222</v>
      </c>
    </row>
    <row r="570" spans="1:15" x14ac:dyDescent="0.25">
      <c r="A570">
        <v>1</v>
      </c>
      <c r="B570">
        <v>4</v>
      </c>
      <c r="C570" t="s">
        <v>6178</v>
      </c>
      <c r="D570" t="s">
        <v>647</v>
      </c>
      <c r="E570" t="s">
        <v>6162</v>
      </c>
      <c r="F570">
        <v>46221.9</v>
      </c>
      <c r="G570">
        <v>264</v>
      </c>
      <c r="H570" t="s">
        <v>6152</v>
      </c>
      <c r="I570" t="s">
        <v>5358</v>
      </c>
      <c r="J570">
        <v>132</v>
      </c>
      <c r="K570">
        <v>818.4</v>
      </c>
      <c r="L570">
        <v>1730</v>
      </c>
      <c r="M570">
        <v>1738</v>
      </c>
      <c r="N570">
        <v>8</v>
      </c>
      <c r="O570">
        <v>16.5</v>
      </c>
    </row>
    <row r="571" spans="1:15" x14ac:dyDescent="0.25">
      <c r="A571">
        <v>1</v>
      </c>
      <c r="B571">
        <v>4</v>
      </c>
      <c r="C571" t="s">
        <v>6178</v>
      </c>
      <c r="D571" t="s">
        <v>647</v>
      </c>
      <c r="E571" t="s">
        <v>6162</v>
      </c>
      <c r="F571">
        <v>46223.863194444442</v>
      </c>
      <c r="G571">
        <v>264</v>
      </c>
      <c r="H571" t="s">
        <v>6152</v>
      </c>
      <c r="I571" t="s">
        <v>5358</v>
      </c>
      <c r="J571">
        <v>201</v>
      </c>
      <c r="K571">
        <v>1268.31</v>
      </c>
      <c r="L571">
        <v>1738</v>
      </c>
      <c r="M571">
        <v>1751</v>
      </c>
      <c r="N571">
        <v>13</v>
      </c>
      <c r="O571">
        <v>15.461538461538501</v>
      </c>
    </row>
    <row r="572" spans="1:15" x14ac:dyDescent="0.25">
      <c r="A572">
        <v>1</v>
      </c>
      <c r="B572">
        <v>4</v>
      </c>
      <c r="C572" t="s">
        <v>6178</v>
      </c>
      <c r="D572" t="s">
        <v>647</v>
      </c>
      <c r="E572" t="s">
        <v>6162</v>
      </c>
      <c r="F572">
        <v>46224.806250000001</v>
      </c>
      <c r="G572">
        <v>264</v>
      </c>
      <c r="H572" t="s">
        <v>6152</v>
      </c>
      <c r="I572" t="s">
        <v>5358</v>
      </c>
      <c r="J572">
        <v>150</v>
      </c>
      <c r="K572">
        <v>946.5</v>
      </c>
      <c r="L572">
        <v>1751</v>
      </c>
      <c r="M572">
        <v>1759</v>
      </c>
      <c r="N572">
        <v>8</v>
      </c>
      <c r="O572">
        <v>18.75</v>
      </c>
    </row>
    <row r="573" spans="1:15" x14ac:dyDescent="0.25">
      <c r="A573">
        <v>1</v>
      </c>
      <c r="B573">
        <v>4</v>
      </c>
      <c r="C573" t="s">
        <v>6178</v>
      </c>
      <c r="D573" t="s">
        <v>647</v>
      </c>
      <c r="E573" t="s">
        <v>6162</v>
      </c>
      <c r="F573">
        <v>46232.888888888891</v>
      </c>
      <c r="G573">
        <v>264</v>
      </c>
      <c r="H573" t="s">
        <v>6152</v>
      </c>
      <c r="I573" t="s">
        <v>5358</v>
      </c>
      <c r="J573">
        <v>238</v>
      </c>
      <c r="K573">
        <v>1494.64</v>
      </c>
      <c r="L573">
        <v>1759</v>
      </c>
      <c r="M573">
        <v>1777</v>
      </c>
      <c r="N573">
        <v>18</v>
      </c>
      <c r="O573">
        <v>13.2222222222222</v>
      </c>
    </row>
    <row r="574" spans="1:15" x14ac:dyDescent="0.25">
      <c r="A574">
        <v>1</v>
      </c>
      <c r="B574">
        <v>4</v>
      </c>
      <c r="C574" t="s">
        <v>6178</v>
      </c>
      <c r="D574" t="s">
        <v>647</v>
      </c>
      <c r="E574" t="s">
        <v>6162</v>
      </c>
      <c r="F574">
        <v>46234.893055555556</v>
      </c>
      <c r="G574">
        <v>264</v>
      </c>
      <c r="H574" t="s">
        <v>6152</v>
      </c>
      <c r="I574" t="s">
        <v>5358</v>
      </c>
      <c r="J574">
        <v>257</v>
      </c>
      <c r="K574">
        <v>1613.96</v>
      </c>
      <c r="L574">
        <v>1777</v>
      </c>
      <c r="M574">
        <v>1790</v>
      </c>
      <c r="N574">
        <v>13</v>
      </c>
      <c r="O574">
        <v>19.769230769230798</v>
      </c>
    </row>
    <row r="575" spans="1:15" x14ac:dyDescent="0.25">
      <c r="A575">
        <v>1</v>
      </c>
      <c r="B575">
        <v>4</v>
      </c>
      <c r="C575" t="s">
        <v>6178</v>
      </c>
      <c r="D575" t="s">
        <v>609</v>
      </c>
      <c r="E575" t="s">
        <v>6162</v>
      </c>
      <c r="F575">
        <v>46204.776388888888</v>
      </c>
      <c r="G575">
        <v>264</v>
      </c>
      <c r="H575" t="s">
        <v>6152</v>
      </c>
      <c r="I575" t="s">
        <v>5358</v>
      </c>
      <c r="J575">
        <v>274</v>
      </c>
      <c r="K575">
        <v>1685.1</v>
      </c>
      <c r="L575">
        <v>703</v>
      </c>
      <c r="M575">
        <v>718</v>
      </c>
      <c r="N575">
        <v>15</v>
      </c>
      <c r="O575">
        <v>18.266666666666701</v>
      </c>
    </row>
    <row r="576" spans="1:15" x14ac:dyDescent="0.25">
      <c r="A576">
        <v>1</v>
      </c>
      <c r="B576">
        <v>4</v>
      </c>
      <c r="C576" t="s">
        <v>6178</v>
      </c>
      <c r="D576" t="s">
        <v>609</v>
      </c>
      <c r="E576" t="s">
        <v>6162</v>
      </c>
      <c r="F576">
        <v>46205.834027777775</v>
      </c>
      <c r="G576">
        <v>264</v>
      </c>
      <c r="H576" t="s">
        <v>6152</v>
      </c>
      <c r="I576" t="s">
        <v>5358</v>
      </c>
      <c r="J576">
        <v>204</v>
      </c>
      <c r="K576">
        <v>1254.5999999999999</v>
      </c>
      <c r="L576">
        <v>718</v>
      </c>
      <c r="M576">
        <v>728</v>
      </c>
      <c r="N576">
        <v>10</v>
      </c>
      <c r="O576">
        <v>20.399999999999999</v>
      </c>
    </row>
    <row r="577" spans="1:15" x14ac:dyDescent="0.25">
      <c r="A577">
        <v>1</v>
      </c>
      <c r="B577">
        <v>4</v>
      </c>
      <c r="C577" t="s">
        <v>6178</v>
      </c>
      <c r="D577" t="s">
        <v>609</v>
      </c>
      <c r="E577" t="s">
        <v>6162</v>
      </c>
      <c r="F577">
        <v>46207.896527777775</v>
      </c>
      <c r="G577">
        <v>264</v>
      </c>
      <c r="H577" t="s">
        <v>6152</v>
      </c>
      <c r="I577" t="s">
        <v>5358</v>
      </c>
      <c r="J577">
        <v>237</v>
      </c>
      <c r="K577">
        <v>1457.55</v>
      </c>
      <c r="L577">
        <v>728</v>
      </c>
      <c r="M577">
        <v>736</v>
      </c>
      <c r="N577">
        <v>8</v>
      </c>
      <c r="O577">
        <v>29.625</v>
      </c>
    </row>
    <row r="578" spans="1:15" x14ac:dyDescent="0.25">
      <c r="A578">
        <v>1</v>
      </c>
      <c r="B578">
        <v>4</v>
      </c>
      <c r="C578" t="s">
        <v>6178</v>
      </c>
      <c r="D578" t="s">
        <v>609</v>
      </c>
      <c r="E578" t="s">
        <v>6162</v>
      </c>
      <c r="F578">
        <v>46209.696527777778</v>
      </c>
      <c r="G578">
        <v>264</v>
      </c>
      <c r="H578" t="s">
        <v>6152</v>
      </c>
      <c r="I578" t="s">
        <v>5358</v>
      </c>
      <c r="J578">
        <v>192</v>
      </c>
      <c r="K578">
        <v>1180.8</v>
      </c>
      <c r="L578">
        <v>736</v>
      </c>
      <c r="M578">
        <v>746</v>
      </c>
      <c r="N578">
        <v>10</v>
      </c>
      <c r="O578">
        <v>19.2</v>
      </c>
    </row>
    <row r="579" spans="1:15" x14ac:dyDescent="0.25">
      <c r="A579">
        <v>1</v>
      </c>
      <c r="B579">
        <v>4</v>
      </c>
      <c r="C579" t="s">
        <v>6178</v>
      </c>
      <c r="D579" t="s">
        <v>609</v>
      </c>
      <c r="E579" t="s">
        <v>6162</v>
      </c>
      <c r="F579">
        <v>46210.779861111114</v>
      </c>
      <c r="G579">
        <v>264</v>
      </c>
      <c r="H579" t="s">
        <v>6152</v>
      </c>
      <c r="I579" t="s">
        <v>5358</v>
      </c>
      <c r="J579">
        <v>243</v>
      </c>
      <c r="K579">
        <v>1494.45</v>
      </c>
      <c r="L579">
        <v>746</v>
      </c>
      <c r="M579">
        <v>759</v>
      </c>
      <c r="N579">
        <v>13</v>
      </c>
      <c r="O579">
        <v>18.692307692307701</v>
      </c>
    </row>
    <row r="580" spans="1:15" x14ac:dyDescent="0.25">
      <c r="A580">
        <v>1</v>
      </c>
      <c r="B580">
        <v>4</v>
      </c>
      <c r="C580" t="s">
        <v>6178</v>
      </c>
      <c r="D580" t="s">
        <v>609</v>
      </c>
      <c r="E580" t="s">
        <v>6162</v>
      </c>
      <c r="F580">
        <v>46212.357638888891</v>
      </c>
      <c r="G580">
        <v>264</v>
      </c>
      <c r="H580" t="s">
        <v>6152</v>
      </c>
      <c r="I580" t="s">
        <v>5358</v>
      </c>
      <c r="J580">
        <v>268</v>
      </c>
      <c r="K580">
        <v>1648.2</v>
      </c>
      <c r="L580">
        <v>759</v>
      </c>
      <c r="M580">
        <v>772</v>
      </c>
      <c r="N580">
        <v>13</v>
      </c>
      <c r="O580">
        <v>20.615384615384599</v>
      </c>
    </row>
    <row r="581" spans="1:15" x14ac:dyDescent="0.25">
      <c r="A581">
        <v>1</v>
      </c>
      <c r="B581">
        <v>4</v>
      </c>
      <c r="C581" t="s">
        <v>6178</v>
      </c>
      <c r="D581" t="s">
        <v>609</v>
      </c>
      <c r="E581" t="s">
        <v>6162</v>
      </c>
      <c r="F581">
        <v>46213.816666666666</v>
      </c>
      <c r="G581">
        <v>264</v>
      </c>
      <c r="H581" t="s">
        <v>6152</v>
      </c>
      <c r="I581" t="s">
        <v>5358</v>
      </c>
      <c r="J581">
        <v>160</v>
      </c>
      <c r="K581">
        <v>984</v>
      </c>
      <c r="L581">
        <v>772</v>
      </c>
      <c r="M581">
        <v>780</v>
      </c>
      <c r="N581">
        <v>8</v>
      </c>
      <c r="O581">
        <v>20</v>
      </c>
    </row>
    <row r="582" spans="1:15" x14ac:dyDescent="0.25">
      <c r="A582">
        <v>1</v>
      </c>
      <c r="B582">
        <v>4</v>
      </c>
      <c r="C582" t="s">
        <v>6178</v>
      </c>
      <c r="D582" t="s">
        <v>609</v>
      </c>
      <c r="E582" t="s">
        <v>6162</v>
      </c>
      <c r="F582">
        <v>46214.740972222222</v>
      </c>
      <c r="G582">
        <v>264</v>
      </c>
      <c r="H582" t="s">
        <v>6152</v>
      </c>
      <c r="I582" t="s">
        <v>5358</v>
      </c>
      <c r="J582">
        <v>146</v>
      </c>
      <c r="K582">
        <v>897.9</v>
      </c>
      <c r="L582">
        <v>780</v>
      </c>
      <c r="M582">
        <v>789</v>
      </c>
      <c r="N582">
        <v>9</v>
      </c>
      <c r="O582">
        <v>16.2222222222222</v>
      </c>
    </row>
    <row r="583" spans="1:15" x14ac:dyDescent="0.25">
      <c r="A583">
        <v>1</v>
      </c>
      <c r="B583">
        <v>4</v>
      </c>
      <c r="C583" t="s">
        <v>6178</v>
      </c>
      <c r="D583" t="s">
        <v>609</v>
      </c>
      <c r="E583" t="s">
        <v>6162</v>
      </c>
      <c r="F583">
        <v>46216.854166666664</v>
      </c>
      <c r="G583">
        <v>264</v>
      </c>
      <c r="H583" t="s">
        <v>6152</v>
      </c>
      <c r="I583" t="s">
        <v>5358</v>
      </c>
      <c r="J583">
        <v>168</v>
      </c>
      <c r="K583">
        <v>1033.2</v>
      </c>
      <c r="L583">
        <v>789</v>
      </c>
      <c r="M583">
        <v>799</v>
      </c>
      <c r="N583">
        <v>10</v>
      </c>
      <c r="O583">
        <v>16.8</v>
      </c>
    </row>
    <row r="584" spans="1:15" x14ac:dyDescent="0.25">
      <c r="A584">
        <v>1</v>
      </c>
      <c r="B584">
        <v>4</v>
      </c>
      <c r="C584" t="s">
        <v>6178</v>
      </c>
      <c r="D584" t="s">
        <v>609</v>
      </c>
      <c r="E584" t="s">
        <v>6162</v>
      </c>
      <c r="F584">
        <v>46217.795138888891</v>
      </c>
      <c r="G584">
        <v>264</v>
      </c>
      <c r="H584" t="s">
        <v>6152</v>
      </c>
      <c r="I584" t="s">
        <v>5358</v>
      </c>
      <c r="J584">
        <v>156</v>
      </c>
      <c r="K584">
        <v>959.4</v>
      </c>
      <c r="L584">
        <v>799</v>
      </c>
      <c r="M584">
        <v>809</v>
      </c>
      <c r="N584">
        <v>10</v>
      </c>
      <c r="O584">
        <v>15.6</v>
      </c>
    </row>
    <row r="585" spans="1:15" x14ac:dyDescent="0.25">
      <c r="A585">
        <v>1</v>
      </c>
      <c r="B585">
        <v>4</v>
      </c>
      <c r="C585" t="s">
        <v>6178</v>
      </c>
      <c r="D585" t="s">
        <v>609</v>
      </c>
      <c r="E585" t="s">
        <v>6162</v>
      </c>
      <c r="F585">
        <v>46218.84652777778</v>
      </c>
      <c r="G585">
        <v>264</v>
      </c>
      <c r="H585" t="s">
        <v>6152</v>
      </c>
      <c r="I585" t="s">
        <v>5358</v>
      </c>
      <c r="J585">
        <v>102</v>
      </c>
      <c r="K585">
        <v>627.29999999999995</v>
      </c>
      <c r="L585">
        <v>809</v>
      </c>
      <c r="M585">
        <v>816</v>
      </c>
      <c r="N585">
        <v>7</v>
      </c>
      <c r="O585">
        <v>14.5714285714286</v>
      </c>
    </row>
    <row r="586" spans="1:15" x14ac:dyDescent="0.25">
      <c r="A586">
        <v>1</v>
      </c>
      <c r="B586">
        <v>4</v>
      </c>
      <c r="C586" t="s">
        <v>6178</v>
      </c>
      <c r="D586" t="s">
        <v>609</v>
      </c>
      <c r="E586" t="s">
        <v>6162</v>
      </c>
      <c r="F586">
        <v>46219.85833333333</v>
      </c>
      <c r="G586">
        <v>264</v>
      </c>
      <c r="H586" t="s">
        <v>6152</v>
      </c>
      <c r="I586" t="s">
        <v>5358</v>
      </c>
      <c r="J586">
        <v>200</v>
      </c>
      <c r="K586">
        <v>1230</v>
      </c>
      <c r="L586">
        <v>816</v>
      </c>
      <c r="M586">
        <v>829</v>
      </c>
      <c r="N586">
        <v>13</v>
      </c>
      <c r="O586">
        <v>15.384615384615399</v>
      </c>
    </row>
    <row r="587" spans="1:15" x14ac:dyDescent="0.25">
      <c r="A587">
        <v>1</v>
      </c>
      <c r="B587">
        <v>4</v>
      </c>
      <c r="C587" t="s">
        <v>6178</v>
      </c>
      <c r="D587" t="s">
        <v>609</v>
      </c>
      <c r="E587" t="s">
        <v>6162</v>
      </c>
      <c r="F587">
        <v>46220.847916666666</v>
      </c>
      <c r="G587">
        <v>264</v>
      </c>
      <c r="H587" t="s">
        <v>6152</v>
      </c>
      <c r="I587" t="s">
        <v>5358</v>
      </c>
      <c r="J587">
        <v>143</v>
      </c>
      <c r="K587">
        <v>886.6</v>
      </c>
      <c r="L587">
        <v>829</v>
      </c>
      <c r="M587">
        <v>838</v>
      </c>
      <c r="N587">
        <v>9</v>
      </c>
      <c r="O587">
        <v>15.8888888888889</v>
      </c>
    </row>
    <row r="588" spans="1:15" x14ac:dyDescent="0.25">
      <c r="A588">
        <v>1</v>
      </c>
      <c r="B588">
        <v>4</v>
      </c>
      <c r="C588" t="s">
        <v>6178</v>
      </c>
      <c r="D588" t="s">
        <v>609</v>
      </c>
      <c r="E588" t="s">
        <v>6162</v>
      </c>
      <c r="F588">
        <v>46221.907638888886</v>
      </c>
      <c r="G588">
        <v>264</v>
      </c>
      <c r="H588" t="s">
        <v>6152</v>
      </c>
      <c r="I588" t="s">
        <v>5358</v>
      </c>
      <c r="J588">
        <v>77</v>
      </c>
      <c r="K588">
        <v>477.4</v>
      </c>
      <c r="L588">
        <v>838</v>
      </c>
      <c r="M588">
        <v>845</v>
      </c>
      <c r="N588">
        <v>7</v>
      </c>
      <c r="O588">
        <v>11</v>
      </c>
    </row>
    <row r="589" spans="1:15" x14ac:dyDescent="0.25">
      <c r="A589">
        <v>1</v>
      </c>
      <c r="B589">
        <v>4</v>
      </c>
      <c r="C589" t="s">
        <v>6178</v>
      </c>
      <c r="D589" t="s">
        <v>609</v>
      </c>
      <c r="E589" t="s">
        <v>6162</v>
      </c>
      <c r="F589">
        <v>46224.804861111108</v>
      </c>
      <c r="G589">
        <v>264</v>
      </c>
      <c r="H589" t="s">
        <v>6152</v>
      </c>
      <c r="I589" t="s">
        <v>5358</v>
      </c>
      <c r="J589">
        <v>289</v>
      </c>
      <c r="K589">
        <v>1823.59</v>
      </c>
      <c r="L589">
        <v>845</v>
      </c>
      <c r="M589">
        <v>862</v>
      </c>
      <c r="N589">
        <v>17</v>
      </c>
      <c r="O589">
        <v>17</v>
      </c>
    </row>
    <row r="590" spans="1:15" x14ac:dyDescent="0.25">
      <c r="A590">
        <v>1</v>
      </c>
      <c r="B590">
        <v>4</v>
      </c>
      <c r="C590" t="s">
        <v>6178</v>
      </c>
      <c r="D590" t="s">
        <v>609</v>
      </c>
      <c r="E590" t="s">
        <v>6162</v>
      </c>
      <c r="F590">
        <v>46230.888888888891</v>
      </c>
      <c r="G590">
        <v>264</v>
      </c>
      <c r="H590" t="s">
        <v>6152</v>
      </c>
      <c r="I590" t="s">
        <v>5358</v>
      </c>
      <c r="J590">
        <v>249</v>
      </c>
      <c r="K590">
        <v>1563.72</v>
      </c>
      <c r="L590">
        <v>862</v>
      </c>
      <c r="M590">
        <v>878</v>
      </c>
      <c r="N590">
        <v>16</v>
      </c>
      <c r="O590">
        <v>15.5625</v>
      </c>
    </row>
    <row r="591" spans="1:15" x14ac:dyDescent="0.25">
      <c r="A591">
        <v>1</v>
      </c>
      <c r="B591">
        <v>4</v>
      </c>
      <c r="C591" t="s">
        <v>6178</v>
      </c>
      <c r="D591" t="s">
        <v>609</v>
      </c>
      <c r="E591" t="s">
        <v>6162</v>
      </c>
      <c r="F591">
        <v>46231.927777777775</v>
      </c>
      <c r="G591">
        <v>264</v>
      </c>
      <c r="H591" t="s">
        <v>6152</v>
      </c>
      <c r="I591" t="s">
        <v>5358</v>
      </c>
      <c r="J591">
        <v>145</v>
      </c>
      <c r="K591">
        <v>910.6</v>
      </c>
      <c r="L591">
        <v>878</v>
      </c>
      <c r="M591">
        <v>887</v>
      </c>
      <c r="N591">
        <v>9</v>
      </c>
      <c r="O591">
        <v>16.1111111111111</v>
      </c>
    </row>
    <row r="592" spans="1:15" x14ac:dyDescent="0.25">
      <c r="A592">
        <v>1</v>
      </c>
      <c r="B592">
        <v>4</v>
      </c>
      <c r="C592" t="s">
        <v>6178</v>
      </c>
      <c r="D592" t="s">
        <v>609</v>
      </c>
      <c r="E592" t="s">
        <v>6162</v>
      </c>
      <c r="F592">
        <v>46232.888194444444</v>
      </c>
      <c r="G592">
        <v>264</v>
      </c>
      <c r="H592" t="s">
        <v>6152</v>
      </c>
      <c r="I592" t="s">
        <v>5358</v>
      </c>
      <c r="J592">
        <v>156</v>
      </c>
      <c r="K592">
        <v>979.68</v>
      </c>
      <c r="L592">
        <v>887</v>
      </c>
      <c r="M592">
        <v>896</v>
      </c>
      <c r="N592">
        <v>9</v>
      </c>
      <c r="O592">
        <v>17.3333333333333</v>
      </c>
    </row>
    <row r="593" spans="1:15" x14ac:dyDescent="0.25">
      <c r="A593">
        <v>1</v>
      </c>
      <c r="B593">
        <v>4</v>
      </c>
      <c r="C593" t="s">
        <v>6178</v>
      </c>
      <c r="D593" t="s">
        <v>609</v>
      </c>
      <c r="E593" t="s">
        <v>6162</v>
      </c>
      <c r="F593">
        <v>46233.852777777778</v>
      </c>
      <c r="G593">
        <v>264</v>
      </c>
      <c r="H593" t="s">
        <v>6152</v>
      </c>
      <c r="I593" t="s">
        <v>5358</v>
      </c>
      <c r="J593">
        <v>148</v>
      </c>
      <c r="K593">
        <v>929.44</v>
      </c>
      <c r="L593">
        <v>896</v>
      </c>
      <c r="M593">
        <v>904</v>
      </c>
      <c r="N593">
        <v>8</v>
      </c>
      <c r="O593">
        <v>18.5</v>
      </c>
    </row>
    <row r="594" spans="1:15" x14ac:dyDescent="0.25">
      <c r="A594">
        <v>1</v>
      </c>
      <c r="B594">
        <v>4</v>
      </c>
      <c r="C594" t="s">
        <v>6178</v>
      </c>
      <c r="D594" t="s">
        <v>609</v>
      </c>
      <c r="E594" t="s">
        <v>6162</v>
      </c>
      <c r="F594">
        <v>46234.9</v>
      </c>
      <c r="G594">
        <v>264</v>
      </c>
      <c r="H594" t="s">
        <v>6152</v>
      </c>
      <c r="I594" t="s">
        <v>5358</v>
      </c>
      <c r="J594">
        <v>147</v>
      </c>
      <c r="K594">
        <v>923.16</v>
      </c>
      <c r="L594">
        <v>904</v>
      </c>
      <c r="M594">
        <v>913</v>
      </c>
      <c r="N594">
        <v>9</v>
      </c>
      <c r="O594">
        <v>16.3333333333333</v>
      </c>
    </row>
    <row r="595" spans="1:15" x14ac:dyDescent="0.25">
      <c r="A595">
        <v>1</v>
      </c>
      <c r="B595">
        <v>4</v>
      </c>
      <c r="C595" t="s">
        <v>6178</v>
      </c>
      <c r="D595" t="s">
        <v>652</v>
      </c>
      <c r="E595" t="s">
        <v>6162</v>
      </c>
      <c r="F595">
        <v>46205.434027777781</v>
      </c>
      <c r="G595">
        <v>232</v>
      </c>
      <c r="H595" t="s">
        <v>6155</v>
      </c>
      <c r="I595" t="s">
        <v>5358</v>
      </c>
      <c r="J595">
        <v>88</v>
      </c>
      <c r="K595">
        <v>541.20000000000005</v>
      </c>
      <c r="L595">
        <v>27</v>
      </c>
      <c r="M595">
        <v>28</v>
      </c>
      <c r="N595">
        <v>1</v>
      </c>
      <c r="O595">
        <v>88</v>
      </c>
    </row>
    <row r="596" spans="1:15" x14ac:dyDescent="0.25">
      <c r="A596">
        <v>1</v>
      </c>
      <c r="B596">
        <v>4</v>
      </c>
      <c r="C596" t="s">
        <v>6178</v>
      </c>
      <c r="D596" t="s">
        <v>652</v>
      </c>
      <c r="E596" t="s">
        <v>6162</v>
      </c>
      <c r="F596">
        <v>46207.462500000001</v>
      </c>
      <c r="G596">
        <v>232</v>
      </c>
      <c r="H596" t="s">
        <v>6155</v>
      </c>
      <c r="I596" t="s">
        <v>5358</v>
      </c>
      <c r="J596">
        <v>54</v>
      </c>
      <c r="K596">
        <v>332.1</v>
      </c>
      <c r="L596">
        <v>28</v>
      </c>
      <c r="M596">
        <v>34</v>
      </c>
      <c r="N596">
        <v>6</v>
      </c>
      <c r="O596">
        <v>9</v>
      </c>
    </row>
    <row r="597" spans="1:15" x14ac:dyDescent="0.25">
      <c r="A597">
        <v>1</v>
      </c>
      <c r="B597">
        <v>4</v>
      </c>
      <c r="C597" t="s">
        <v>6178</v>
      </c>
      <c r="D597" t="s">
        <v>652</v>
      </c>
      <c r="E597" t="s">
        <v>6162</v>
      </c>
      <c r="F597">
        <v>46214.677083333336</v>
      </c>
      <c r="G597">
        <v>129</v>
      </c>
      <c r="H597" t="s">
        <v>6164</v>
      </c>
      <c r="I597" t="s">
        <v>5358</v>
      </c>
      <c r="J597">
        <v>189</v>
      </c>
      <c r="K597">
        <v>1162.3499999999999</v>
      </c>
      <c r="L597">
        <v>34</v>
      </c>
      <c r="M597">
        <v>47</v>
      </c>
      <c r="N597">
        <v>13</v>
      </c>
      <c r="O597">
        <v>14.538461538461499</v>
      </c>
    </row>
    <row r="598" spans="1:15" x14ac:dyDescent="0.25">
      <c r="A598">
        <v>1</v>
      </c>
      <c r="B598">
        <v>4</v>
      </c>
      <c r="C598" t="s">
        <v>6178</v>
      </c>
      <c r="D598" t="s">
        <v>652</v>
      </c>
      <c r="E598" t="s">
        <v>6162</v>
      </c>
      <c r="F598">
        <v>46219.414583333331</v>
      </c>
      <c r="G598">
        <v>232</v>
      </c>
      <c r="H598" t="s">
        <v>6155</v>
      </c>
      <c r="I598" t="s">
        <v>5358</v>
      </c>
      <c r="J598">
        <v>196</v>
      </c>
      <c r="K598">
        <v>1205.4000000000001</v>
      </c>
      <c r="L598">
        <v>47</v>
      </c>
      <c r="M598">
        <v>64</v>
      </c>
      <c r="N598">
        <v>17</v>
      </c>
      <c r="O598">
        <v>11.5294117647059</v>
      </c>
    </row>
    <row r="599" spans="1:15" x14ac:dyDescent="0.25">
      <c r="A599">
        <v>1</v>
      </c>
      <c r="B599">
        <v>4</v>
      </c>
      <c r="C599" t="s">
        <v>6178</v>
      </c>
      <c r="D599" t="s">
        <v>652</v>
      </c>
      <c r="E599" t="s">
        <v>6162</v>
      </c>
      <c r="F599">
        <v>46221.904166666667</v>
      </c>
      <c r="G599">
        <v>264</v>
      </c>
      <c r="H599" t="s">
        <v>6152</v>
      </c>
      <c r="I599" t="s">
        <v>5358</v>
      </c>
      <c r="J599">
        <v>105</v>
      </c>
      <c r="K599">
        <v>651</v>
      </c>
      <c r="L599">
        <v>64</v>
      </c>
      <c r="M599">
        <v>70</v>
      </c>
      <c r="N599">
        <v>6</v>
      </c>
      <c r="O599">
        <v>17.5</v>
      </c>
    </row>
    <row r="600" spans="1:15" x14ac:dyDescent="0.25">
      <c r="A600">
        <v>1</v>
      </c>
      <c r="B600">
        <v>4</v>
      </c>
      <c r="C600" t="s">
        <v>6178</v>
      </c>
      <c r="D600" t="s">
        <v>652</v>
      </c>
      <c r="E600" t="s">
        <v>6162</v>
      </c>
      <c r="F600">
        <v>46222.726388888892</v>
      </c>
      <c r="G600">
        <v>264</v>
      </c>
      <c r="H600" t="s">
        <v>6152</v>
      </c>
      <c r="I600" t="s">
        <v>5358</v>
      </c>
      <c r="J600">
        <v>214</v>
      </c>
      <c r="K600">
        <v>1326.8</v>
      </c>
      <c r="L600">
        <v>70</v>
      </c>
      <c r="M600">
        <v>80</v>
      </c>
      <c r="N600">
        <v>10</v>
      </c>
      <c r="O600">
        <v>21.4</v>
      </c>
    </row>
    <row r="601" spans="1:15" x14ac:dyDescent="0.25">
      <c r="A601">
        <v>1</v>
      </c>
      <c r="B601">
        <v>4</v>
      </c>
      <c r="C601" t="s">
        <v>6178</v>
      </c>
      <c r="D601" t="s">
        <v>652</v>
      </c>
      <c r="E601" t="s">
        <v>6162</v>
      </c>
      <c r="F601">
        <v>46223.872916666667</v>
      </c>
      <c r="G601">
        <v>264</v>
      </c>
      <c r="H601" t="s">
        <v>6152</v>
      </c>
      <c r="I601" t="s">
        <v>5358</v>
      </c>
      <c r="J601">
        <v>138</v>
      </c>
      <c r="K601">
        <v>870.78</v>
      </c>
      <c r="L601">
        <v>80</v>
      </c>
      <c r="M601">
        <v>88</v>
      </c>
      <c r="N601">
        <v>8</v>
      </c>
      <c r="O601">
        <v>17.25</v>
      </c>
    </row>
    <row r="602" spans="1:15" x14ac:dyDescent="0.25">
      <c r="A602">
        <v>1</v>
      </c>
      <c r="B602">
        <v>4</v>
      </c>
      <c r="C602" t="s">
        <v>6178</v>
      </c>
      <c r="D602" t="s">
        <v>652</v>
      </c>
      <c r="E602" t="s">
        <v>6162</v>
      </c>
      <c r="F602">
        <v>46224.819444444445</v>
      </c>
      <c r="G602">
        <v>264</v>
      </c>
      <c r="H602" t="s">
        <v>6152</v>
      </c>
      <c r="I602" t="s">
        <v>5358</v>
      </c>
      <c r="J602">
        <v>173</v>
      </c>
      <c r="K602">
        <v>1091.6300000000001</v>
      </c>
      <c r="L602">
        <v>88</v>
      </c>
      <c r="M602">
        <v>98</v>
      </c>
      <c r="N602">
        <v>10</v>
      </c>
      <c r="O602">
        <v>17.3</v>
      </c>
    </row>
    <row r="603" spans="1:15" x14ac:dyDescent="0.25">
      <c r="A603">
        <v>1</v>
      </c>
      <c r="B603">
        <v>4</v>
      </c>
      <c r="C603" t="s">
        <v>6178</v>
      </c>
      <c r="D603" t="s">
        <v>652</v>
      </c>
      <c r="E603" t="s">
        <v>6162</v>
      </c>
      <c r="F603">
        <v>46231.931944444441</v>
      </c>
      <c r="G603">
        <v>264</v>
      </c>
      <c r="H603" t="s">
        <v>6152</v>
      </c>
      <c r="I603" t="s">
        <v>5358</v>
      </c>
      <c r="J603">
        <v>219</v>
      </c>
      <c r="K603">
        <v>1375.32</v>
      </c>
      <c r="L603">
        <v>98</v>
      </c>
      <c r="M603">
        <v>109</v>
      </c>
      <c r="N603">
        <v>11</v>
      </c>
      <c r="O603">
        <v>19.909090909090899</v>
      </c>
    </row>
    <row r="604" spans="1:15" x14ac:dyDescent="0.25">
      <c r="A604">
        <v>1</v>
      </c>
      <c r="B604">
        <v>4</v>
      </c>
      <c r="C604" t="s">
        <v>6178</v>
      </c>
      <c r="D604" t="s">
        <v>652</v>
      </c>
      <c r="E604" t="s">
        <v>6162</v>
      </c>
      <c r="F604">
        <v>46232.886805555558</v>
      </c>
      <c r="G604">
        <v>264</v>
      </c>
      <c r="H604" t="s">
        <v>6152</v>
      </c>
      <c r="I604" t="s">
        <v>5358</v>
      </c>
      <c r="J604">
        <v>164</v>
      </c>
      <c r="K604">
        <v>1029.92</v>
      </c>
      <c r="L604">
        <v>109</v>
      </c>
      <c r="M604">
        <v>117</v>
      </c>
      <c r="N604">
        <v>8</v>
      </c>
      <c r="O604">
        <v>20.5</v>
      </c>
    </row>
    <row r="605" spans="1:15" x14ac:dyDescent="0.25">
      <c r="A605">
        <v>1</v>
      </c>
      <c r="B605">
        <v>4</v>
      </c>
      <c r="C605" t="s">
        <v>6178</v>
      </c>
      <c r="D605" t="s">
        <v>652</v>
      </c>
      <c r="E605" t="s">
        <v>6162</v>
      </c>
      <c r="F605">
        <v>46233.854166666664</v>
      </c>
      <c r="G605">
        <v>264</v>
      </c>
      <c r="H605" t="s">
        <v>6152</v>
      </c>
      <c r="I605" t="s">
        <v>5358</v>
      </c>
      <c r="J605">
        <v>126</v>
      </c>
      <c r="K605">
        <v>791.28</v>
      </c>
      <c r="L605">
        <v>117</v>
      </c>
      <c r="M605">
        <v>124</v>
      </c>
      <c r="N605">
        <v>7</v>
      </c>
      <c r="O605">
        <v>18</v>
      </c>
    </row>
    <row r="606" spans="1:15" x14ac:dyDescent="0.25">
      <c r="A606">
        <v>1</v>
      </c>
      <c r="B606">
        <v>4</v>
      </c>
      <c r="C606" t="s">
        <v>6178</v>
      </c>
      <c r="D606" t="s">
        <v>652</v>
      </c>
      <c r="E606" t="s">
        <v>6162</v>
      </c>
      <c r="F606">
        <v>46234.893750000003</v>
      </c>
      <c r="G606">
        <v>264</v>
      </c>
      <c r="H606" t="s">
        <v>6152</v>
      </c>
      <c r="I606" t="s">
        <v>5358</v>
      </c>
      <c r="J606">
        <v>169</v>
      </c>
      <c r="K606">
        <v>1061.32</v>
      </c>
      <c r="L606">
        <v>124</v>
      </c>
      <c r="M606">
        <v>132</v>
      </c>
      <c r="N606">
        <v>8</v>
      </c>
      <c r="O606">
        <v>21.125</v>
      </c>
    </row>
    <row r="607" spans="1:15" x14ac:dyDescent="0.25">
      <c r="A607">
        <v>1</v>
      </c>
      <c r="B607">
        <v>4</v>
      </c>
      <c r="C607" t="s">
        <v>6178</v>
      </c>
      <c r="D607" t="s">
        <v>706</v>
      </c>
      <c r="E607" t="s">
        <v>6180</v>
      </c>
      <c r="F607">
        <v>46204.777083333334</v>
      </c>
      <c r="G607">
        <v>264</v>
      </c>
      <c r="H607" t="s">
        <v>6152</v>
      </c>
      <c r="I607" t="s">
        <v>5358</v>
      </c>
      <c r="J607">
        <v>72</v>
      </c>
      <c r="K607">
        <v>442.8</v>
      </c>
      <c r="L607">
        <v>147</v>
      </c>
      <c r="M607">
        <v>154</v>
      </c>
      <c r="N607">
        <v>7</v>
      </c>
      <c r="O607">
        <v>10.285714285714301</v>
      </c>
    </row>
    <row r="608" spans="1:15" x14ac:dyDescent="0.25">
      <c r="A608">
        <v>1</v>
      </c>
      <c r="B608">
        <v>4</v>
      </c>
      <c r="C608" t="s">
        <v>6178</v>
      </c>
      <c r="D608" t="s">
        <v>706</v>
      </c>
      <c r="E608" t="s">
        <v>6180</v>
      </c>
      <c r="F608">
        <v>46205.838194444441</v>
      </c>
      <c r="G608">
        <v>264</v>
      </c>
      <c r="H608" t="s">
        <v>6152</v>
      </c>
      <c r="I608" t="s">
        <v>5358</v>
      </c>
      <c r="J608">
        <v>60</v>
      </c>
      <c r="K608">
        <v>369</v>
      </c>
      <c r="L608">
        <v>154</v>
      </c>
      <c r="M608">
        <v>157</v>
      </c>
      <c r="N608">
        <v>3</v>
      </c>
      <c r="O608">
        <v>20</v>
      </c>
    </row>
    <row r="609" spans="1:15" x14ac:dyDescent="0.25">
      <c r="A609">
        <v>1</v>
      </c>
      <c r="B609">
        <v>4</v>
      </c>
      <c r="C609" t="s">
        <v>6178</v>
      </c>
      <c r="D609" t="s">
        <v>706</v>
      </c>
      <c r="E609" t="s">
        <v>6180</v>
      </c>
      <c r="F609">
        <v>46207.888194444444</v>
      </c>
      <c r="G609">
        <v>264</v>
      </c>
      <c r="H609" t="s">
        <v>6152</v>
      </c>
      <c r="I609" t="s">
        <v>5358</v>
      </c>
      <c r="J609">
        <v>66</v>
      </c>
      <c r="K609">
        <v>405.9</v>
      </c>
      <c r="L609">
        <v>157</v>
      </c>
      <c r="M609">
        <v>162</v>
      </c>
      <c r="N609">
        <v>5</v>
      </c>
      <c r="O609">
        <v>13.2</v>
      </c>
    </row>
    <row r="610" spans="1:15" x14ac:dyDescent="0.25">
      <c r="A610">
        <v>1</v>
      </c>
      <c r="B610">
        <v>4</v>
      </c>
      <c r="C610" t="s">
        <v>6178</v>
      </c>
      <c r="D610" t="s">
        <v>706</v>
      </c>
      <c r="E610" t="s">
        <v>6180</v>
      </c>
      <c r="F610">
        <v>46208.654166666667</v>
      </c>
      <c r="G610">
        <v>264</v>
      </c>
      <c r="H610" t="s">
        <v>6152</v>
      </c>
      <c r="I610" t="s">
        <v>5358</v>
      </c>
      <c r="J610">
        <v>59</v>
      </c>
      <c r="K610">
        <v>362.85</v>
      </c>
      <c r="L610">
        <v>162</v>
      </c>
      <c r="M610">
        <v>166</v>
      </c>
      <c r="N610">
        <v>4</v>
      </c>
      <c r="O610">
        <v>14.75</v>
      </c>
    </row>
    <row r="611" spans="1:15" x14ac:dyDescent="0.25">
      <c r="A611">
        <v>1</v>
      </c>
      <c r="B611">
        <v>4</v>
      </c>
      <c r="C611" t="s">
        <v>6178</v>
      </c>
      <c r="D611" t="s">
        <v>706</v>
      </c>
      <c r="E611" t="s">
        <v>6180</v>
      </c>
      <c r="F611">
        <v>46209.831250000003</v>
      </c>
      <c r="G611">
        <v>264</v>
      </c>
      <c r="H611" t="s">
        <v>6152</v>
      </c>
      <c r="I611" t="s">
        <v>5358</v>
      </c>
      <c r="J611">
        <v>86</v>
      </c>
      <c r="K611">
        <v>528.9</v>
      </c>
      <c r="L611">
        <v>166</v>
      </c>
      <c r="M611">
        <v>174</v>
      </c>
      <c r="N611">
        <v>8</v>
      </c>
      <c r="O611">
        <v>10.75</v>
      </c>
    </row>
    <row r="612" spans="1:15" x14ac:dyDescent="0.25">
      <c r="A612">
        <v>1</v>
      </c>
      <c r="B612">
        <v>4</v>
      </c>
      <c r="C612" t="s">
        <v>6178</v>
      </c>
      <c r="D612" t="s">
        <v>706</v>
      </c>
      <c r="E612" t="s">
        <v>6180</v>
      </c>
      <c r="F612">
        <v>46210.785416666666</v>
      </c>
      <c r="G612">
        <v>264</v>
      </c>
      <c r="H612" t="s">
        <v>6152</v>
      </c>
      <c r="I612" t="s">
        <v>5358</v>
      </c>
      <c r="J612">
        <v>52</v>
      </c>
      <c r="K612">
        <v>319.8</v>
      </c>
      <c r="L612">
        <v>174</v>
      </c>
      <c r="M612">
        <v>178</v>
      </c>
      <c r="N612">
        <v>4</v>
      </c>
      <c r="O612">
        <v>13</v>
      </c>
    </row>
    <row r="613" spans="1:15" x14ac:dyDescent="0.25">
      <c r="A613">
        <v>1</v>
      </c>
      <c r="B613">
        <v>4</v>
      </c>
      <c r="C613" t="s">
        <v>6178</v>
      </c>
      <c r="D613" t="s">
        <v>706</v>
      </c>
      <c r="E613" t="s">
        <v>6180</v>
      </c>
      <c r="F613">
        <v>46211.832638888889</v>
      </c>
      <c r="G613">
        <v>264</v>
      </c>
      <c r="H613" t="s">
        <v>6152</v>
      </c>
      <c r="I613" t="s">
        <v>5358</v>
      </c>
      <c r="J613">
        <v>73</v>
      </c>
      <c r="K613">
        <v>448.95</v>
      </c>
      <c r="L613">
        <v>178</v>
      </c>
      <c r="M613">
        <v>183</v>
      </c>
      <c r="N613">
        <v>5</v>
      </c>
      <c r="O613">
        <v>14.6</v>
      </c>
    </row>
    <row r="614" spans="1:15" x14ac:dyDescent="0.25">
      <c r="A614">
        <v>1</v>
      </c>
      <c r="B614">
        <v>4</v>
      </c>
      <c r="C614" t="s">
        <v>6178</v>
      </c>
      <c r="D614" t="s">
        <v>706</v>
      </c>
      <c r="E614" t="s">
        <v>6180</v>
      </c>
      <c r="F614">
        <v>46212.780555555553</v>
      </c>
      <c r="G614">
        <v>264</v>
      </c>
      <c r="H614" t="s">
        <v>6152</v>
      </c>
      <c r="I614" t="s">
        <v>5358</v>
      </c>
      <c r="J614">
        <v>123</v>
      </c>
      <c r="K614">
        <v>756.45</v>
      </c>
      <c r="L614">
        <v>183</v>
      </c>
      <c r="M614">
        <v>192</v>
      </c>
      <c r="N614">
        <v>9</v>
      </c>
      <c r="O614">
        <v>13.6666666666667</v>
      </c>
    </row>
    <row r="615" spans="1:15" x14ac:dyDescent="0.25">
      <c r="A615">
        <v>1</v>
      </c>
      <c r="B615">
        <v>4</v>
      </c>
      <c r="C615" t="s">
        <v>6178</v>
      </c>
      <c r="D615" t="s">
        <v>706</v>
      </c>
      <c r="E615" t="s">
        <v>6180</v>
      </c>
      <c r="F615">
        <v>46213.828472222223</v>
      </c>
      <c r="G615">
        <v>264</v>
      </c>
      <c r="H615" t="s">
        <v>6152</v>
      </c>
      <c r="I615" t="s">
        <v>5358</v>
      </c>
      <c r="J615">
        <v>49</v>
      </c>
      <c r="K615">
        <v>301.35000000000002</v>
      </c>
      <c r="L615">
        <v>192</v>
      </c>
      <c r="M615">
        <v>197</v>
      </c>
      <c r="N615">
        <v>5</v>
      </c>
      <c r="O615">
        <v>9.8000000000000007</v>
      </c>
    </row>
    <row r="616" spans="1:15" x14ac:dyDescent="0.25">
      <c r="A616">
        <v>1</v>
      </c>
      <c r="B616">
        <v>4</v>
      </c>
      <c r="C616" t="s">
        <v>6178</v>
      </c>
      <c r="D616" t="s">
        <v>706</v>
      </c>
      <c r="E616" t="s">
        <v>6180</v>
      </c>
      <c r="F616">
        <v>46214.745833333334</v>
      </c>
      <c r="G616">
        <v>264</v>
      </c>
      <c r="H616" t="s">
        <v>6152</v>
      </c>
      <c r="I616" t="s">
        <v>5358</v>
      </c>
      <c r="J616">
        <v>94</v>
      </c>
      <c r="K616">
        <v>578.1</v>
      </c>
      <c r="L616">
        <v>197</v>
      </c>
      <c r="M616">
        <v>205</v>
      </c>
      <c r="N616">
        <v>8</v>
      </c>
      <c r="O616">
        <v>11.75</v>
      </c>
    </row>
    <row r="617" spans="1:15" x14ac:dyDescent="0.25">
      <c r="A617">
        <v>1</v>
      </c>
      <c r="B617">
        <v>4</v>
      </c>
      <c r="C617" t="s">
        <v>6178</v>
      </c>
      <c r="D617" t="s">
        <v>706</v>
      </c>
      <c r="E617" t="s">
        <v>6180</v>
      </c>
      <c r="F617">
        <v>46216.869444444441</v>
      </c>
      <c r="G617">
        <v>264</v>
      </c>
      <c r="H617" t="s">
        <v>6152</v>
      </c>
      <c r="I617" t="s">
        <v>5358</v>
      </c>
      <c r="J617">
        <v>83</v>
      </c>
      <c r="K617">
        <v>510.45</v>
      </c>
      <c r="L617">
        <v>205</v>
      </c>
      <c r="M617">
        <v>208</v>
      </c>
      <c r="N617">
        <v>3</v>
      </c>
      <c r="O617">
        <v>27.6666666666667</v>
      </c>
    </row>
    <row r="618" spans="1:15" x14ac:dyDescent="0.25">
      <c r="A618">
        <v>1</v>
      </c>
      <c r="B618">
        <v>4</v>
      </c>
      <c r="C618" t="s">
        <v>6178</v>
      </c>
      <c r="D618" t="s">
        <v>706</v>
      </c>
      <c r="E618" t="s">
        <v>6180</v>
      </c>
      <c r="F618">
        <v>46217.798611111109</v>
      </c>
      <c r="G618">
        <v>264</v>
      </c>
      <c r="H618" t="s">
        <v>6152</v>
      </c>
      <c r="I618" t="s">
        <v>5358</v>
      </c>
      <c r="J618">
        <v>30</v>
      </c>
      <c r="K618">
        <v>184.5</v>
      </c>
      <c r="L618">
        <v>208</v>
      </c>
      <c r="M618">
        <v>214</v>
      </c>
      <c r="N618">
        <v>6</v>
      </c>
      <c r="O618">
        <v>5</v>
      </c>
    </row>
    <row r="619" spans="1:15" x14ac:dyDescent="0.25">
      <c r="A619">
        <v>1</v>
      </c>
      <c r="B619">
        <v>4</v>
      </c>
      <c r="C619" t="s">
        <v>6178</v>
      </c>
      <c r="D619" t="s">
        <v>706</v>
      </c>
      <c r="E619" t="s">
        <v>6180</v>
      </c>
      <c r="F619">
        <v>46218.854861111111</v>
      </c>
      <c r="G619">
        <v>264</v>
      </c>
      <c r="H619" t="s">
        <v>6152</v>
      </c>
      <c r="I619" t="s">
        <v>5358</v>
      </c>
      <c r="J619">
        <v>122</v>
      </c>
      <c r="K619">
        <v>750.3</v>
      </c>
      <c r="L619">
        <v>214</v>
      </c>
      <c r="M619">
        <v>223</v>
      </c>
      <c r="N619">
        <v>9</v>
      </c>
      <c r="O619">
        <v>13.5555555555556</v>
      </c>
    </row>
    <row r="620" spans="1:15" x14ac:dyDescent="0.25">
      <c r="A620">
        <v>1</v>
      </c>
      <c r="B620">
        <v>4</v>
      </c>
      <c r="C620" t="s">
        <v>6178</v>
      </c>
      <c r="D620" t="s">
        <v>706</v>
      </c>
      <c r="E620" t="s">
        <v>6180</v>
      </c>
      <c r="F620">
        <v>46219.864583333336</v>
      </c>
      <c r="G620">
        <v>264</v>
      </c>
      <c r="H620" t="s">
        <v>6152</v>
      </c>
      <c r="I620" t="s">
        <v>5358</v>
      </c>
      <c r="J620">
        <v>88</v>
      </c>
      <c r="K620">
        <v>541.20000000000005</v>
      </c>
      <c r="L620">
        <v>223</v>
      </c>
      <c r="M620">
        <v>230</v>
      </c>
      <c r="N620">
        <v>7</v>
      </c>
      <c r="O620">
        <v>12.5714285714286</v>
      </c>
    </row>
    <row r="621" spans="1:15" x14ac:dyDescent="0.25">
      <c r="A621">
        <v>1</v>
      </c>
      <c r="B621">
        <v>4</v>
      </c>
      <c r="C621" t="s">
        <v>6178</v>
      </c>
      <c r="D621" t="s">
        <v>706</v>
      </c>
      <c r="E621" t="s">
        <v>6180</v>
      </c>
      <c r="F621">
        <v>46220.848611111112</v>
      </c>
      <c r="G621">
        <v>264</v>
      </c>
      <c r="H621" t="s">
        <v>6152</v>
      </c>
      <c r="I621" t="s">
        <v>5358</v>
      </c>
      <c r="J621">
        <v>71</v>
      </c>
      <c r="K621">
        <v>440.2</v>
      </c>
      <c r="L621">
        <v>230</v>
      </c>
      <c r="M621">
        <v>236</v>
      </c>
      <c r="N621">
        <v>6</v>
      </c>
      <c r="O621">
        <v>11.8333333333333</v>
      </c>
    </row>
    <row r="622" spans="1:15" x14ac:dyDescent="0.25">
      <c r="A622">
        <v>1</v>
      </c>
      <c r="B622">
        <v>4</v>
      </c>
      <c r="C622" t="s">
        <v>6178</v>
      </c>
      <c r="D622" t="s">
        <v>706</v>
      </c>
      <c r="E622" t="s">
        <v>6180</v>
      </c>
      <c r="F622">
        <v>46221.900694444441</v>
      </c>
      <c r="G622">
        <v>264</v>
      </c>
      <c r="H622" t="s">
        <v>6152</v>
      </c>
      <c r="I622" t="s">
        <v>5358</v>
      </c>
      <c r="J622">
        <v>149</v>
      </c>
      <c r="K622">
        <v>923.8</v>
      </c>
      <c r="L622">
        <v>236</v>
      </c>
      <c r="M622">
        <v>248</v>
      </c>
      <c r="N622">
        <v>12</v>
      </c>
      <c r="O622">
        <v>12.4166666666667</v>
      </c>
    </row>
    <row r="623" spans="1:15" x14ac:dyDescent="0.25">
      <c r="A623">
        <v>1</v>
      </c>
      <c r="B623">
        <v>4</v>
      </c>
      <c r="C623" t="s">
        <v>6178</v>
      </c>
      <c r="D623" t="s">
        <v>706</v>
      </c>
      <c r="E623" t="s">
        <v>6180</v>
      </c>
      <c r="F623">
        <v>46222.728472222225</v>
      </c>
      <c r="G623">
        <v>264</v>
      </c>
      <c r="H623" t="s">
        <v>6152</v>
      </c>
      <c r="I623" t="s">
        <v>5358</v>
      </c>
      <c r="J623">
        <v>81</v>
      </c>
      <c r="K623">
        <v>502.2</v>
      </c>
      <c r="L623">
        <v>248</v>
      </c>
      <c r="M623">
        <v>256</v>
      </c>
      <c r="N623">
        <v>8</v>
      </c>
      <c r="O623">
        <v>10.125</v>
      </c>
    </row>
    <row r="624" spans="1:15" x14ac:dyDescent="0.25">
      <c r="A624">
        <v>1</v>
      </c>
      <c r="B624">
        <v>4</v>
      </c>
      <c r="C624" t="s">
        <v>6178</v>
      </c>
      <c r="D624" t="s">
        <v>706</v>
      </c>
      <c r="E624" t="s">
        <v>6180</v>
      </c>
      <c r="F624">
        <v>46223.870833333334</v>
      </c>
      <c r="G624">
        <v>264</v>
      </c>
      <c r="H624" t="s">
        <v>6152</v>
      </c>
      <c r="I624" t="s">
        <v>5358</v>
      </c>
      <c r="J624">
        <v>114</v>
      </c>
      <c r="K624">
        <v>719.34</v>
      </c>
      <c r="L624">
        <v>256</v>
      </c>
      <c r="M624">
        <v>264</v>
      </c>
      <c r="N624">
        <v>8</v>
      </c>
      <c r="O624">
        <v>14.25</v>
      </c>
    </row>
    <row r="625" spans="1:15" x14ac:dyDescent="0.25">
      <c r="A625">
        <v>1</v>
      </c>
      <c r="B625">
        <v>4</v>
      </c>
      <c r="C625" t="s">
        <v>6178</v>
      </c>
      <c r="D625" t="s">
        <v>706</v>
      </c>
      <c r="E625" t="s">
        <v>6180</v>
      </c>
      <c r="F625">
        <v>46224.815972222219</v>
      </c>
      <c r="G625">
        <v>264</v>
      </c>
      <c r="H625" t="s">
        <v>6152</v>
      </c>
      <c r="I625" t="s">
        <v>5358</v>
      </c>
      <c r="J625">
        <v>112</v>
      </c>
      <c r="K625">
        <v>706.72</v>
      </c>
      <c r="L625">
        <v>264</v>
      </c>
      <c r="M625">
        <v>273</v>
      </c>
      <c r="N625">
        <v>9</v>
      </c>
      <c r="O625">
        <v>12.4444444444444</v>
      </c>
    </row>
    <row r="626" spans="1:15" x14ac:dyDescent="0.25">
      <c r="A626">
        <v>1</v>
      </c>
      <c r="B626">
        <v>4</v>
      </c>
      <c r="C626" t="s">
        <v>6178</v>
      </c>
      <c r="D626" t="s">
        <v>706</v>
      </c>
      <c r="E626" t="s">
        <v>6180</v>
      </c>
      <c r="F626">
        <v>46231.930555555555</v>
      </c>
      <c r="G626">
        <v>264</v>
      </c>
      <c r="H626" t="s">
        <v>6152</v>
      </c>
      <c r="I626" t="s">
        <v>5358</v>
      </c>
      <c r="J626">
        <v>35</v>
      </c>
      <c r="K626">
        <v>219.8</v>
      </c>
      <c r="L626">
        <v>273</v>
      </c>
      <c r="M626">
        <v>276</v>
      </c>
      <c r="N626">
        <v>3</v>
      </c>
      <c r="O626">
        <v>11.6666666666667</v>
      </c>
    </row>
    <row r="627" spans="1:15" x14ac:dyDescent="0.25">
      <c r="A627">
        <v>1</v>
      </c>
      <c r="B627">
        <v>4</v>
      </c>
      <c r="C627" t="s">
        <v>6178</v>
      </c>
      <c r="D627" t="s">
        <v>706</v>
      </c>
      <c r="E627" t="s">
        <v>6180</v>
      </c>
      <c r="F627">
        <v>46232.885416666664</v>
      </c>
      <c r="G627">
        <v>264</v>
      </c>
      <c r="H627" t="s">
        <v>6152</v>
      </c>
      <c r="I627" t="s">
        <v>5358</v>
      </c>
      <c r="J627">
        <v>86</v>
      </c>
      <c r="K627">
        <v>540.08000000000004</v>
      </c>
      <c r="L627">
        <v>276</v>
      </c>
      <c r="M627">
        <v>283</v>
      </c>
      <c r="N627">
        <v>7</v>
      </c>
      <c r="O627">
        <v>12.285714285714301</v>
      </c>
    </row>
    <row r="628" spans="1:15" x14ac:dyDescent="0.25">
      <c r="A628">
        <v>1</v>
      </c>
      <c r="B628">
        <v>4</v>
      </c>
      <c r="C628" t="s">
        <v>6178</v>
      </c>
      <c r="D628" t="s">
        <v>706</v>
      </c>
      <c r="E628" t="s">
        <v>6180</v>
      </c>
      <c r="F628">
        <v>46233.851388888892</v>
      </c>
      <c r="G628">
        <v>264</v>
      </c>
      <c r="H628" t="s">
        <v>6152</v>
      </c>
      <c r="I628" t="s">
        <v>5358</v>
      </c>
      <c r="J628">
        <v>60</v>
      </c>
      <c r="K628">
        <v>376.8</v>
      </c>
      <c r="L628">
        <v>283</v>
      </c>
      <c r="M628">
        <v>287</v>
      </c>
      <c r="N628">
        <v>4</v>
      </c>
      <c r="O628">
        <v>15</v>
      </c>
    </row>
    <row r="629" spans="1:15" x14ac:dyDescent="0.25">
      <c r="A629">
        <v>1</v>
      </c>
      <c r="B629">
        <v>4</v>
      </c>
      <c r="C629" t="s">
        <v>6178</v>
      </c>
      <c r="D629" t="s">
        <v>706</v>
      </c>
      <c r="E629" t="s">
        <v>6180</v>
      </c>
      <c r="F629">
        <v>46234.896527777775</v>
      </c>
      <c r="G629">
        <v>264</v>
      </c>
      <c r="H629" t="s">
        <v>6152</v>
      </c>
      <c r="I629" t="s">
        <v>5358</v>
      </c>
      <c r="J629">
        <v>91</v>
      </c>
      <c r="K629">
        <v>571.48</v>
      </c>
      <c r="L629">
        <v>287</v>
      </c>
      <c r="M629">
        <v>293</v>
      </c>
      <c r="N629">
        <v>6</v>
      </c>
      <c r="O629">
        <v>15.1666666666667</v>
      </c>
    </row>
    <row r="630" spans="1:15" x14ac:dyDescent="0.25">
      <c r="A630">
        <v>1</v>
      </c>
      <c r="B630">
        <v>4</v>
      </c>
      <c r="C630" t="s">
        <v>6178</v>
      </c>
      <c r="D630" t="s">
        <v>701</v>
      </c>
      <c r="E630" t="s">
        <v>6181</v>
      </c>
      <c r="F630">
        <v>46204.651388888888</v>
      </c>
      <c r="G630">
        <v>232</v>
      </c>
      <c r="H630" t="s">
        <v>6155</v>
      </c>
      <c r="I630" t="s">
        <v>5358</v>
      </c>
      <c r="J630">
        <v>39</v>
      </c>
      <c r="K630">
        <v>239.85</v>
      </c>
      <c r="L630">
        <v>125</v>
      </c>
      <c r="M630">
        <v>129</v>
      </c>
      <c r="N630">
        <v>4</v>
      </c>
      <c r="O630">
        <v>9.75</v>
      </c>
    </row>
    <row r="631" spans="1:15" x14ac:dyDescent="0.25">
      <c r="A631">
        <v>1</v>
      </c>
      <c r="B631">
        <v>4</v>
      </c>
      <c r="C631" t="s">
        <v>6178</v>
      </c>
      <c r="D631" t="s">
        <v>701</v>
      </c>
      <c r="E631" t="s">
        <v>6181</v>
      </c>
      <c r="F631">
        <v>46207.593055555553</v>
      </c>
      <c r="G631">
        <v>232</v>
      </c>
      <c r="H631" t="s">
        <v>6155</v>
      </c>
      <c r="I631" t="s">
        <v>5358</v>
      </c>
      <c r="J631">
        <v>72</v>
      </c>
      <c r="K631">
        <v>442.8</v>
      </c>
      <c r="L631">
        <v>129</v>
      </c>
      <c r="M631">
        <v>133</v>
      </c>
      <c r="N631">
        <v>4</v>
      </c>
      <c r="O631">
        <v>18</v>
      </c>
    </row>
    <row r="632" spans="1:15" x14ac:dyDescent="0.25">
      <c r="A632">
        <v>1</v>
      </c>
      <c r="B632">
        <v>4</v>
      </c>
      <c r="C632" t="s">
        <v>6178</v>
      </c>
      <c r="D632" t="s">
        <v>701</v>
      </c>
      <c r="E632" t="s">
        <v>6181</v>
      </c>
      <c r="F632">
        <v>46209.935416666667</v>
      </c>
      <c r="G632">
        <v>232</v>
      </c>
      <c r="H632" t="s">
        <v>6155</v>
      </c>
      <c r="I632" t="s">
        <v>5358</v>
      </c>
      <c r="J632">
        <v>65</v>
      </c>
      <c r="K632">
        <v>399.75</v>
      </c>
      <c r="L632">
        <v>133</v>
      </c>
      <c r="M632">
        <v>140</v>
      </c>
      <c r="N632">
        <v>7</v>
      </c>
      <c r="O632">
        <v>9.28571428571429</v>
      </c>
    </row>
    <row r="633" spans="1:15" x14ac:dyDescent="0.25">
      <c r="A633">
        <v>1</v>
      </c>
      <c r="B633">
        <v>4</v>
      </c>
      <c r="C633" t="s">
        <v>6178</v>
      </c>
      <c r="D633" t="s">
        <v>701</v>
      </c>
      <c r="E633" t="s">
        <v>6181</v>
      </c>
      <c r="F633">
        <v>46210.981944444444</v>
      </c>
      <c r="G633">
        <v>232</v>
      </c>
      <c r="H633" t="s">
        <v>6155</v>
      </c>
      <c r="I633" t="s">
        <v>5358</v>
      </c>
      <c r="J633">
        <v>51</v>
      </c>
      <c r="K633">
        <v>313.64999999999998</v>
      </c>
      <c r="L633">
        <v>140</v>
      </c>
      <c r="M633">
        <v>143</v>
      </c>
      <c r="N633">
        <v>3</v>
      </c>
      <c r="O633">
        <v>17</v>
      </c>
    </row>
    <row r="634" spans="1:15" x14ac:dyDescent="0.25">
      <c r="A634">
        <v>1</v>
      </c>
      <c r="B634">
        <v>4</v>
      </c>
      <c r="C634" t="s">
        <v>6178</v>
      </c>
      <c r="D634" t="s">
        <v>701</v>
      </c>
      <c r="E634" t="s">
        <v>6181</v>
      </c>
      <c r="F634">
        <v>46211.004861111112</v>
      </c>
      <c r="G634">
        <v>232</v>
      </c>
      <c r="H634" t="s">
        <v>6155</v>
      </c>
      <c r="I634" t="s">
        <v>5358</v>
      </c>
      <c r="J634">
        <v>47</v>
      </c>
      <c r="K634">
        <v>289.05</v>
      </c>
      <c r="L634">
        <v>143</v>
      </c>
      <c r="M634">
        <v>147</v>
      </c>
      <c r="N634">
        <v>4</v>
      </c>
      <c r="O634">
        <v>11.75</v>
      </c>
    </row>
    <row r="635" spans="1:15" x14ac:dyDescent="0.25">
      <c r="A635">
        <v>1</v>
      </c>
      <c r="B635">
        <v>4</v>
      </c>
      <c r="C635" t="s">
        <v>6178</v>
      </c>
      <c r="D635" t="s">
        <v>701</v>
      </c>
      <c r="E635" t="s">
        <v>6181</v>
      </c>
      <c r="F635">
        <v>46212.997916666667</v>
      </c>
      <c r="G635">
        <v>232</v>
      </c>
      <c r="H635" t="s">
        <v>6155</v>
      </c>
      <c r="I635" t="s">
        <v>5358</v>
      </c>
      <c r="J635">
        <v>60</v>
      </c>
      <c r="K635">
        <v>369</v>
      </c>
      <c r="L635">
        <v>147</v>
      </c>
      <c r="M635">
        <v>152</v>
      </c>
      <c r="N635">
        <v>5</v>
      </c>
      <c r="O635">
        <v>12</v>
      </c>
    </row>
    <row r="636" spans="1:15" x14ac:dyDescent="0.25">
      <c r="A636">
        <v>1</v>
      </c>
      <c r="B636">
        <v>4</v>
      </c>
      <c r="C636" t="s">
        <v>6178</v>
      </c>
      <c r="D636" t="s">
        <v>701</v>
      </c>
      <c r="E636" t="s">
        <v>6181</v>
      </c>
      <c r="F636">
        <v>46214.020833333336</v>
      </c>
      <c r="G636">
        <v>232</v>
      </c>
      <c r="H636" t="s">
        <v>6155</v>
      </c>
      <c r="I636" t="s">
        <v>5358</v>
      </c>
      <c r="J636">
        <v>74</v>
      </c>
      <c r="K636">
        <v>455.1</v>
      </c>
      <c r="L636">
        <v>152</v>
      </c>
      <c r="M636">
        <v>157</v>
      </c>
      <c r="N636">
        <v>5</v>
      </c>
      <c r="O636">
        <v>14.8</v>
      </c>
    </row>
    <row r="637" spans="1:15" x14ac:dyDescent="0.25">
      <c r="A637">
        <v>1</v>
      </c>
      <c r="B637">
        <v>4</v>
      </c>
      <c r="C637" t="s">
        <v>6178</v>
      </c>
      <c r="D637" t="s">
        <v>701</v>
      </c>
      <c r="E637" t="s">
        <v>6181</v>
      </c>
      <c r="F637">
        <v>46218.463888888888</v>
      </c>
      <c r="G637">
        <v>129</v>
      </c>
      <c r="H637" t="s">
        <v>6164</v>
      </c>
      <c r="I637" t="s">
        <v>5358</v>
      </c>
      <c r="J637">
        <v>56</v>
      </c>
      <c r="K637">
        <v>344.4</v>
      </c>
      <c r="L637">
        <v>157</v>
      </c>
      <c r="M637">
        <v>161</v>
      </c>
      <c r="N637">
        <v>4</v>
      </c>
      <c r="O637">
        <v>14</v>
      </c>
    </row>
    <row r="638" spans="1:15" x14ac:dyDescent="0.25">
      <c r="A638">
        <v>1</v>
      </c>
      <c r="B638">
        <v>4</v>
      </c>
      <c r="C638" t="s">
        <v>6178</v>
      </c>
      <c r="D638" t="s">
        <v>701</v>
      </c>
      <c r="E638" t="s">
        <v>6181</v>
      </c>
      <c r="F638">
        <v>46220.417361111111</v>
      </c>
      <c r="G638">
        <v>129</v>
      </c>
      <c r="H638" t="s">
        <v>6164</v>
      </c>
      <c r="I638" t="s">
        <v>5358</v>
      </c>
      <c r="J638">
        <v>74</v>
      </c>
      <c r="K638">
        <v>455.1</v>
      </c>
      <c r="L638">
        <v>161</v>
      </c>
      <c r="M638">
        <v>168</v>
      </c>
      <c r="N638">
        <v>7</v>
      </c>
      <c r="O638">
        <v>10.5714285714286</v>
      </c>
    </row>
    <row r="639" spans="1:15" x14ac:dyDescent="0.25">
      <c r="A639">
        <v>1</v>
      </c>
      <c r="B639">
        <v>4</v>
      </c>
      <c r="C639" t="s">
        <v>6178</v>
      </c>
      <c r="D639" t="s">
        <v>701</v>
      </c>
      <c r="E639" t="s">
        <v>6181</v>
      </c>
      <c r="F639">
        <v>46222.25</v>
      </c>
      <c r="G639">
        <v>232</v>
      </c>
      <c r="H639" t="s">
        <v>6155</v>
      </c>
      <c r="I639" t="s">
        <v>5358</v>
      </c>
      <c r="J639">
        <v>55</v>
      </c>
      <c r="K639">
        <v>346.5</v>
      </c>
      <c r="L639">
        <v>168</v>
      </c>
      <c r="M639">
        <v>172</v>
      </c>
      <c r="N639">
        <v>4</v>
      </c>
      <c r="O639">
        <v>13.75</v>
      </c>
    </row>
    <row r="640" spans="1:15" x14ac:dyDescent="0.25">
      <c r="A640">
        <v>1</v>
      </c>
      <c r="B640">
        <v>4</v>
      </c>
      <c r="C640" t="s">
        <v>6178</v>
      </c>
      <c r="D640" t="s">
        <v>701</v>
      </c>
      <c r="E640" t="s">
        <v>6181</v>
      </c>
      <c r="F640">
        <v>46222.396527777775</v>
      </c>
      <c r="G640">
        <v>129</v>
      </c>
      <c r="H640" t="s">
        <v>6164</v>
      </c>
      <c r="I640" t="s">
        <v>5358</v>
      </c>
      <c r="J640">
        <v>53</v>
      </c>
      <c r="K640">
        <v>370.47</v>
      </c>
      <c r="L640">
        <v>172</v>
      </c>
      <c r="M640">
        <v>177</v>
      </c>
      <c r="N640">
        <v>5</v>
      </c>
      <c r="O640">
        <v>10.6</v>
      </c>
    </row>
    <row r="641" spans="1:15" x14ac:dyDescent="0.25">
      <c r="A641">
        <v>1</v>
      </c>
      <c r="B641">
        <v>4</v>
      </c>
      <c r="C641" t="s">
        <v>6178</v>
      </c>
      <c r="D641" t="s">
        <v>701</v>
      </c>
      <c r="E641" t="s">
        <v>6181</v>
      </c>
      <c r="F641">
        <v>46223.421527777777</v>
      </c>
      <c r="G641">
        <v>129</v>
      </c>
      <c r="H641" t="s">
        <v>6164</v>
      </c>
      <c r="I641" t="s">
        <v>5358</v>
      </c>
      <c r="J641">
        <v>40</v>
      </c>
      <c r="K641">
        <v>279.60000000000002</v>
      </c>
      <c r="L641">
        <v>177</v>
      </c>
      <c r="M641">
        <v>180</v>
      </c>
      <c r="N641">
        <v>3</v>
      </c>
      <c r="O641">
        <v>13.3333333333333</v>
      </c>
    </row>
    <row r="642" spans="1:15" x14ac:dyDescent="0.25">
      <c r="A642">
        <v>1</v>
      </c>
      <c r="B642">
        <v>4</v>
      </c>
      <c r="C642" t="s">
        <v>6178</v>
      </c>
      <c r="D642" t="s">
        <v>701</v>
      </c>
      <c r="E642" t="s">
        <v>6181</v>
      </c>
      <c r="F642">
        <v>46225.027777777781</v>
      </c>
      <c r="G642">
        <v>232</v>
      </c>
      <c r="H642" t="s">
        <v>6155</v>
      </c>
      <c r="I642" t="s">
        <v>5358</v>
      </c>
      <c r="J642">
        <v>50</v>
      </c>
      <c r="K642">
        <v>312.5</v>
      </c>
      <c r="L642">
        <v>180</v>
      </c>
      <c r="M642">
        <v>183</v>
      </c>
      <c r="N642">
        <v>3</v>
      </c>
      <c r="O642">
        <v>16.6666666666667</v>
      </c>
    </row>
    <row r="643" spans="1:15" x14ac:dyDescent="0.25">
      <c r="A643">
        <v>1</v>
      </c>
      <c r="B643">
        <v>4</v>
      </c>
      <c r="C643" t="s">
        <v>6178</v>
      </c>
      <c r="D643" t="s">
        <v>704</v>
      </c>
      <c r="E643" t="s">
        <v>6181</v>
      </c>
      <c r="F643">
        <v>46204.652083333334</v>
      </c>
      <c r="G643">
        <v>232</v>
      </c>
      <c r="H643" t="s">
        <v>6155</v>
      </c>
      <c r="I643" t="s">
        <v>5358</v>
      </c>
      <c r="J643">
        <v>54</v>
      </c>
      <c r="K643">
        <v>332.1</v>
      </c>
      <c r="L643">
        <v>123</v>
      </c>
      <c r="M643">
        <v>126</v>
      </c>
      <c r="N643">
        <v>3</v>
      </c>
      <c r="O643">
        <v>18</v>
      </c>
    </row>
    <row r="644" spans="1:15" x14ac:dyDescent="0.25">
      <c r="A644">
        <v>1</v>
      </c>
      <c r="B644">
        <v>4</v>
      </c>
      <c r="C644" t="s">
        <v>6178</v>
      </c>
      <c r="D644" t="s">
        <v>704</v>
      </c>
      <c r="E644" t="s">
        <v>6181</v>
      </c>
      <c r="F644">
        <v>46207.594444444447</v>
      </c>
      <c r="G644">
        <v>232</v>
      </c>
      <c r="H644" t="s">
        <v>6155</v>
      </c>
      <c r="I644" t="s">
        <v>5358</v>
      </c>
      <c r="J644">
        <v>81</v>
      </c>
      <c r="K644">
        <v>498.15</v>
      </c>
      <c r="L644">
        <v>126</v>
      </c>
      <c r="M644">
        <v>130</v>
      </c>
      <c r="N644">
        <v>4</v>
      </c>
      <c r="O644">
        <v>20.25</v>
      </c>
    </row>
    <row r="645" spans="1:15" x14ac:dyDescent="0.25">
      <c r="A645">
        <v>1</v>
      </c>
      <c r="B645">
        <v>4</v>
      </c>
      <c r="C645" t="s">
        <v>6178</v>
      </c>
      <c r="D645" t="s">
        <v>704</v>
      </c>
      <c r="E645" t="s">
        <v>6181</v>
      </c>
      <c r="F645">
        <v>46208.952777777777</v>
      </c>
      <c r="G645">
        <v>232</v>
      </c>
      <c r="H645" t="s">
        <v>6155</v>
      </c>
      <c r="I645" t="s">
        <v>5358</v>
      </c>
      <c r="J645">
        <v>12</v>
      </c>
      <c r="K645">
        <v>77.040000000000006</v>
      </c>
      <c r="L645">
        <v>130</v>
      </c>
      <c r="M645">
        <v>132</v>
      </c>
      <c r="N645">
        <v>2</v>
      </c>
      <c r="O645">
        <v>6</v>
      </c>
    </row>
    <row r="646" spans="1:15" x14ac:dyDescent="0.25">
      <c r="A646">
        <v>1</v>
      </c>
      <c r="B646">
        <v>4</v>
      </c>
      <c r="C646" t="s">
        <v>6178</v>
      </c>
      <c r="D646" t="s">
        <v>704</v>
      </c>
      <c r="E646" t="s">
        <v>6181</v>
      </c>
      <c r="F646">
        <v>46209.936111111114</v>
      </c>
      <c r="G646">
        <v>232</v>
      </c>
      <c r="H646" t="s">
        <v>6155</v>
      </c>
      <c r="I646" t="s">
        <v>5358</v>
      </c>
      <c r="J646">
        <v>39</v>
      </c>
      <c r="K646">
        <v>239.85</v>
      </c>
      <c r="L646">
        <v>132</v>
      </c>
      <c r="M646">
        <v>136</v>
      </c>
      <c r="N646">
        <v>4</v>
      </c>
      <c r="O646">
        <v>9.75</v>
      </c>
    </row>
    <row r="647" spans="1:15" x14ac:dyDescent="0.25">
      <c r="A647">
        <v>1</v>
      </c>
      <c r="B647">
        <v>4</v>
      </c>
      <c r="C647" t="s">
        <v>6178</v>
      </c>
      <c r="D647" t="s">
        <v>704</v>
      </c>
      <c r="E647" t="s">
        <v>6181</v>
      </c>
      <c r="F647">
        <v>46210.982638888891</v>
      </c>
      <c r="G647">
        <v>232</v>
      </c>
      <c r="H647" t="s">
        <v>6155</v>
      </c>
      <c r="I647" t="s">
        <v>5358</v>
      </c>
      <c r="J647">
        <v>40</v>
      </c>
      <c r="K647">
        <v>246</v>
      </c>
      <c r="L647">
        <v>136</v>
      </c>
      <c r="M647">
        <v>141</v>
      </c>
      <c r="N647">
        <v>5</v>
      </c>
      <c r="O647">
        <v>8</v>
      </c>
    </row>
    <row r="648" spans="1:15" x14ac:dyDescent="0.25">
      <c r="A648">
        <v>1</v>
      </c>
      <c r="B648">
        <v>4</v>
      </c>
      <c r="C648" t="s">
        <v>6178</v>
      </c>
      <c r="D648" t="s">
        <v>704</v>
      </c>
      <c r="E648" t="s">
        <v>6181</v>
      </c>
      <c r="F648">
        <v>46211.001388888886</v>
      </c>
      <c r="G648">
        <v>232</v>
      </c>
      <c r="H648" t="s">
        <v>6155</v>
      </c>
      <c r="I648" t="s">
        <v>5358</v>
      </c>
      <c r="J648">
        <v>21</v>
      </c>
      <c r="K648">
        <v>129.15</v>
      </c>
      <c r="L648">
        <v>141</v>
      </c>
      <c r="M648">
        <v>144</v>
      </c>
      <c r="N648">
        <v>3</v>
      </c>
      <c r="O648">
        <v>7</v>
      </c>
    </row>
    <row r="649" spans="1:15" x14ac:dyDescent="0.25">
      <c r="A649">
        <v>1</v>
      </c>
      <c r="B649">
        <v>4</v>
      </c>
      <c r="C649" t="s">
        <v>6178</v>
      </c>
      <c r="D649" t="s">
        <v>704</v>
      </c>
      <c r="E649" t="s">
        <v>6181</v>
      </c>
      <c r="F649">
        <v>46212.99722222222</v>
      </c>
      <c r="G649">
        <v>232</v>
      </c>
      <c r="H649" t="s">
        <v>6155</v>
      </c>
      <c r="I649" t="s">
        <v>5358</v>
      </c>
      <c r="J649">
        <v>60</v>
      </c>
      <c r="K649">
        <v>369</v>
      </c>
      <c r="L649">
        <v>144</v>
      </c>
      <c r="M649">
        <v>149</v>
      </c>
      <c r="N649">
        <v>5</v>
      </c>
      <c r="O649">
        <v>12</v>
      </c>
    </row>
    <row r="650" spans="1:15" x14ac:dyDescent="0.25">
      <c r="A650">
        <v>1</v>
      </c>
      <c r="B650">
        <v>4</v>
      </c>
      <c r="C650" t="s">
        <v>6178</v>
      </c>
      <c r="D650" t="s">
        <v>704</v>
      </c>
      <c r="E650" t="s">
        <v>6181</v>
      </c>
      <c r="F650">
        <v>46218.461805555555</v>
      </c>
      <c r="G650">
        <v>129</v>
      </c>
      <c r="H650" t="s">
        <v>6164</v>
      </c>
      <c r="I650" t="s">
        <v>5358</v>
      </c>
      <c r="J650">
        <v>73</v>
      </c>
      <c r="K650">
        <v>448.95</v>
      </c>
      <c r="L650">
        <v>149</v>
      </c>
      <c r="M650">
        <v>156</v>
      </c>
      <c r="N650">
        <v>7</v>
      </c>
      <c r="O650">
        <v>10.4285714285714</v>
      </c>
    </row>
    <row r="651" spans="1:15" x14ac:dyDescent="0.25">
      <c r="A651">
        <v>1</v>
      </c>
      <c r="B651">
        <v>4</v>
      </c>
      <c r="C651" t="s">
        <v>6178</v>
      </c>
      <c r="D651" t="s">
        <v>704</v>
      </c>
      <c r="E651" t="s">
        <v>6181</v>
      </c>
      <c r="F651">
        <v>46220.505555555559</v>
      </c>
      <c r="G651">
        <v>129</v>
      </c>
      <c r="H651" t="s">
        <v>6164</v>
      </c>
      <c r="I651" t="s">
        <v>5358</v>
      </c>
      <c r="J651">
        <v>75</v>
      </c>
      <c r="K651">
        <v>461.25</v>
      </c>
      <c r="L651">
        <v>156</v>
      </c>
      <c r="M651">
        <v>162</v>
      </c>
      <c r="N651">
        <v>6</v>
      </c>
      <c r="O651">
        <v>12.5</v>
      </c>
    </row>
    <row r="652" spans="1:15" x14ac:dyDescent="0.25">
      <c r="A652">
        <v>1</v>
      </c>
      <c r="B652">
        <v>4</v>
      </c>
      <c r="C652" t="s">
        <v>6178</v>
      </c>
      <c r="D652" t="s">
        <v>704</v>
      </c>
      <c r="E652" t="s">
        <v>6181</v>
      </c>
      <c r="F652">
        <v>46222.395833333336</v>
      </c>
      <c r="G652">
        <v>129</v>
      </c>
      <c r="H652" t="s">
        <v>6164</v>
      </c>
      <c r="I652" t="s">
        <v>5358</v>
      </c>
      <c r="J652">
        <v>62</v>
      </c>
      <c r="K652">
        <v>433.38</v>
      </c>
      <c r="L652">
        <v>162</v>
      </c>
      <c r="M652">
        <v>169</v>
      </c>
      <c r="N652">
        <v>7</v>
      </c>
      <c r="O652">
        <v>8.8571428571428594</v>
      </c>
    </row>
    <row r="653" spans="1:15" x14ac:dyDescent="0.25">
      <c r="A653">
        <v>1</v>
      </c>
      <c r="B653">
        <v>4</v>
      </c>
      <c r="C653" t="s">
        <v>6178</v>
      </c>
      <c r="D653" t="s">
        <v>704</v>
      </c>
      <c r="E653" t="s">
        <v>6181</v>
      </c>
      <c r="F653">
        <v>46223.09097222222</v>
      </c>
      <c r="G653">
        <v>232</v>
      </c>
      <c r="H653" t="s">
        <v>6155</v>
      </c>
      <c r="I653" t="s">
        <v>5358</v>
      </c>
      <c r="J653">
        <v>60</v>
      </c>
      <c r="K653">
        <v>375</v>
      </c>
      <c r="L653">
        <v>169</v>
      </c>
      <c r="M653">
        <v>174</v>
      </c>
      <c r="N653">
        <v>5</v>
      </c>
      <c r="O653">
        <v>12</v>
      </c>
    </row>
    <row r="654" spans="1:15" x14ac:dyDescent="0.25">
      <c r="A654">
        <v>1</v>
      </c>
      <c r="B654">
        <v>4</v>
      </c>
      <c r="C654" t="s">
        <v>6178</v>
      </c>
      <c r="D654" t="s">
        <v>704</v>
      </c>
      <c r="E654" t="s">
        <v>6181</v>
      </c>
      <c r="F654">
        <v>46223.418749999997</v>
      </c>
      <c r="G654">
        <v>129</v>
      </c>
      <c r="H654" t="s">
        <v>6164</v>
      </c>
      <c r="I654" t="s">
        <v>5358</v>
      </c>
      <c r="J654">
        <v>48</v>
      </c>
      <c r="K654">
        <v>335.52</v>
      </c>
      <c r="L654">
        <v>174</v>
      </c>
      <c r="M654">
        <v>177</v>
      </c>
      <c r="N654">
        <v>3</v>
      </c>
      <c r="O654">
        <v>16</v>
      </c>
    </row>
    <row r="655" spans="1:15" x14ac:dyDescent="0.25">
      <c r="A655">
        <v>1</v>
      </c>
      <c r="B655">
        <v>4</v>
      </c>
      <c r="C655" t="s">
        <v>6178</v>
      </c>
      <c r="D655" t="s">
        <v>704</v>
      </c>
      <c r="E655" t="s">
        <v>6181</v>
      </c>
      <c r="F655">
        <v>46226.839583333334</v>
      </c>
      <c r="G655">
        <v>232</v>
      </c>
      <c r="H655" t="s">
        <v>6155</v>
      </c>
      <c r="I655" t="s">
        <v>5358</v>
      </c>
      <c r="J655">
        <v>51</v>
      </c>
      <c r="K655">
        <v>318.75</v>
      </c>
      <c r="L655">
        <v>177</v>
      </c>
      <c r="M655">
        <v>182</v>
      </c>
      <c r="N655">
        <v>5</v>
      </c>
      <c r="O655">
        <v>10.199999999999999</v>
      </c>
    </row>
    <row r="656" spans="1:15" x14ac:dyDescent="0.25">
      <c r="A656">
        <v>1</v>
      </c>
      <c r="B656">
        <v>4</v>
      </c>
      <c r="C656" t="s">
        <v>6178</v>
      </c>
      <c r="D656" t="s">
        <v>704</v>
      </c>
      <c r="E656" t="s">
        <v>6181</v>
      </c>
      <c r="F656">
        <v>46227.089583333334</v>
      </c>
      <c r="G656">
        <v>232</v>
      </c>
      <c r="H656" t="s">
        <v>6155</v>
      </c>
      <c r="I656" t="s">
        <v>5358</v>
      </c>
      <c r="J656">
        <v>53</v>
      </c>
      <c r="K656">
        <v>331.25</v>
      </c>
      <c r="L656">
        <v>182</v>
      </c>
      <c r="M656">
        <v>187</v>
      </c>
      <c r="N656">
        <v>5</v>
      </c>
      <c r="O656">
        <v>10.6</v>
      </c>
    </row>
    <row r="657" spans="1:15" x14ac:dyDescent="0.25">
      <c r="A657">
        <v>1</v>
      </c>
      <c r="B657">
        <v>4</v>
      </c>
      <c r="C657" t="s">
        <v>6178</v>
      </c>
      <c r="D657" t="s">
        <v>849</v>
      </c>
      <c r="E657" t="s">
        <v>6182</v>
      </c>
      <c r="F657">
        <v>46204.775694444441</v>
      </c>
      <c r="G657">
        <v>264</v>
      </c>
      <c r="H657" t="s">
        <v>6152</v>
      </c>
      <c r="I657" t="s">
        <v>5358</v>
      </c>
      <c r="J657">
        <v>222</v>
      </c>
      <c r="K657">
        <v>1365.3</v>
      </c>
      <c r="L657">
        <v>674</v>
      </c>
      <c r="M657">
        <v>683</v>
      </c>
      <c r="N657">
        <v>9</v>
      </c>
      <c r="O657">
        <v>24.6666666666667</v>
      </c>
    </row>
    <row r="658" spans="1:15" x14ac:dyDescent="0.25">
      <c r="A658">
        <v>1</v>
      </c>
      <c r="B658">
        <v>4</v>
      </c>
      <c r="C658" t="s">
        <v>6178</v>
      </c>
      <c r="D658" t="s">
        <v>849</v>
      </c>
      <c r="E658" t="s">
        <v>6182</v>
      </c>
      <c r="F658">
        <v>46205.834027777775</v>
      </c>
      <c r="G658">
        <v>264</v>
      </c>
      <c r="H658" t="s">
        <v>6152</v>
      </c>
      <c r="I658" t="s">
        <v>5358</v>
      </c>
      <c r="J658">
        <v>108</v>
      </c>
      <c r="K658">
        <v>664.2</v>
      </c>
      <c r="L658">
        <v>683</v>
      </c>
      <c r="M658">
        <v>689</v>
      </c>
      <c r="N658">
        <v>6</v>
      </c>
      <c r="O658">
        <v>18</v>
      </c>
    </row>
    <row r="659" spans="1:15" x14ac:dyDescent="0.25">
      <c r="A659">
        <v>1</v>
      </c>
      <c r="B659">
        <v>4</v>
      </c>
      <c r="C659" t="s">
        <v>6178</v>
      </c>
      <c r="D659" t="s">
        <v>849</v>
      </c>
      <c r="E659" t="s">
        <v>6182</v>
      </c>
      <c r="F659">
        <v>46207.893750000003</v>
      </c>
      <c r="G659">
        <v>264</v>
      </c>
      <c r="H659" t="s">
        <v>6152</v>
      </c>
      <c r="I659" t="s">
        <v>5358</v>
      </c>
      <c r="J659">
        <v>20</v>
      </c>
      <c r="K659">
        <v>123</v>
      </c>
      <c r="L659">
        <v>689</v>
      </c>
      <c r="M659">
        <v>690</v>
      </c>
      <c r="N659">
        <v>1</v>
      </c>
      <c r="O659">
        <v>20</v>
      </c>
    </row>
    <row r="660" spans="1:15" x14ac:dyDescent="0.25">
      <c r="A660">
        <v>1</v>
      </c>
      <c r="B660">
        <v>4</v>
      </c>
      <c r="C660" t="s">
        <v>6178</v>
      </c>
      <c r="D660" t="s">
        <v>849</v>
      </c>
      <c r="E660" t="s">
        <v>6182</v>
      </c>
      <c r="F660">
        <v>46208.652083333334</v>
      </c>
      <c r="G660">
        <v>264</v>
      </c>
      <c r="H660" t="s">
        <v>6152</v>
      </c>
      <c r="I660" t="s">
        <v>5358</v>
      </c>
      <c r="J660">
        <v>110</v>
      </c>
      <c r="K660">
        <v>676.5</v>
      </c>
      <c r="L660">
        <v>690</v>
      </c>
      <c r="M660">
        <v>697</v>
      </c>
      <c r="N660">
        <v>7</v>
      </c>
      <c r="O660">
        <v>15.714285714285699</v>
      </c>
    </row>
    <row r="661" spans="1:15" x14ac:dyDescent="0.25">
      <c r="A661">
        <v>1</v>
      </c>
      <c r="B661">
        <v>4</v>
      </c>
      <c r="C661" t="s">
        <v>6178</v>
      </c>
      <c r="D661" t="s">
        <v>849</v>
      </c>
      <c r="E661" t="s">
        <v>6182</v>
      </c>
      <c r="F661">
        <v>46209.699305555558</v>
      </c>
      <c r="G661">
        <v>264</v>
      </c>
      <c r="H661" t="s">
        <v>6152</v>
      </c>
      <c r="I661" t="s">
        <v>5358</v>
      </c>
      <c r="J661">
        <v>55</v>
      </c>
      <c r="K661">
        <v>338.25</v>
      </c>
      <c r="L661">
        <v>697</v>
      </c>
      <c r="M661">
        <v>700</v>
      </c>
      <c r="N661">
        <v>3</v>
      </c>
      <c r="O661">
        <v>18.3333333333333</v>
      </c>
    </row>
    <row r="662" spans="1:15" x14ac:dyDescent="0.25">
      <c r="A662">
        <v>1</v>
      </c>
      <c r="B662">
        <v>4</v>
      </c>
      <c r="C662" t="s">
        <v>6178</v>
      </c>
      <c r="D662" t="s">
        <v>841</v>
      </c>
      <c r="E662" t="s">
        <v>6182</v>
      </c>
      <c r="F662">
        <v>46204.779861111114</v>
      </c>
      <c r="G662">
        <v>264</v>
      </c>
      <c r="H662" t="s">
        <v>6152</v>
      </c>
      <c r="I662" t="s">
        <v>5358</v>
      </c>
      <c r="J662">
        <v>158</v>
      </c>
      <c r="K662">
        <v>971.7</v>
      </c>
      <c r="L662">
        <v>530</v>
      </c>
      <c r="M662">
        <v>540</v>
      </c>
      <c r="N662">
        <v>10</v>
      </c>
      <c r="O662">
        <v>15.8</v>
      </c>
    </row>
    <row r="663" spans="1:15" x14ac:dyDescent="0.25">
      <c r="A663">
        <v>1</v>
      </c>
      <c r="B663">
        <v>4</v>
      </c>
      <c r="C663" t="s">
        <v>6178</v>
      </c>
      <c r="D663" t="s">
        <v>841</v>
      </c>
      <c r="E663" t="s">
        <v>6182</v>
      </c>
      <c r="F663">
        <v>46205.840277777781</v>
      </c>
      <c r="G663">
        <v>264</v>
      </c>
      <c r="H663" t="s">
        <v>6152</v>
      </c>
      <c r="I663" t="s">
        <v>5358</v>
      </c>
      <c r="J663">
        <v>192</v>
      </c>
      <c r="K663">
        <v>1180.8</v>
      </c>
      <c r="L663">
        <v>540</v>
      </c>
      <c r="M663">
        <v>549</v>
      </c>
      <c r="N663">
        <v>9</v>
      </c>
      <c r="O663">
        <v>21.3333333333333</v>
      </c>
    </row>
    <row r="664" spans="1:15" x14ac:dyDescent="0.25">
      <c r="A664">
        <v>1</v>
      </c>
      <c r="B664">
        <v>4</v>
      </c>
      <c r="C664" t="s">
        <v>6178</v>
      </c>
      <c r="D664" t="s">
        <v>841</v>
      </c>
      <c r="E664" t="s">
        <v>6182</v>
      </c>
      <c r="F664">
        <v>46207.890972222223</v>
      </c>
      <c r="G664">
        <v>264</v>
      </c>
      <c r="H664" t="s">
        <v>6152</v>
      </c>
      <c r="I664" t="s">
        <v>5358</v>
      </c>
      <c r="J664">
        <v>150</v>
      </c>
      <c r="K664">
        <v>922.5</v>
      </c>
      <c r="L664">
        <v>549</v>
      </c>
      <c r="M664">
        <v>556</v>
      </c>
      <c r="N664">
        <v>7</v>
      </c>
      <c r="O664">
        <v>21.428571428571399</v>
      </c>
    </row>
    <row r="665" spans="1:15" x14ac:dyDescent="0.25">
      <c r="A665">
        <v>1</v>
      </c>
      <c r="B665">
        <v>4</v>
      </c>
      <c r="C665" t="s">
        <v>6178</v>
      </c>
      <c r="D665" t="s">
        <v>841</v>
      </c>
      <c r="E665" t="s">
        <v>6182</v>
      </c>
      <c r="F665">
        <v>46208.65625</v>
      </c>
      <c r="G665">
        <v>264</v>
      </c>
      <c r="H665" t="s">
        <v>6152</v>
      </c>
      <c r="I665" t="s">
        <v>5358</v>
      </c>
      <c r="J665">
        <v>134</v>
      </c>
      <c r="K665">
        <v>824.1</v>
      </c>
      <c r="L665">
        <v>556</v>
      </c>
      <c r="M665">
        <v>562</v>
      </c>
      <c r="N665">
        <v>6</v>
      </c>
      <c r="O665">
        <v>22.3333333333333</v>
      </c>
    </row>
    <row r="666" spans="1:15" x14ac:dyDescent="0.25">
      <c r="A666">
        <v>1</v>
      </c>
      <c r="B666">
        <v>4</v>
      </c>
      <c r="C666" t="s">
        <v>6178</v>
      </c>
      <c r="D666" t="s">
        <v>841</v>
      </c>
      <c r="E666" t="s">
        <v>6182</v>
      </c>
      <c r="F666">
        <v>46209.836111111108</v>
      </c>
      <c r="G666">
        <v>264</v>
      </c>
      <c r="H666" t="s">
        <v>6152</v>
      </c>
      <c r="I666" t="s">
        <v>5358</v>
      </c>
      <c r="J666">
        <v>97</v>
      </c>
      <c r="K666">
        <v>596.54999999999995</v>
      </c>
      <c r="L666">
        <v>562</v>
      </c>
      <c r="M666">
        <v>567</v>
      </c>
      <c r="N666">
        <v>5</v>
      </c>
      <c r="O666">
        <v>19.399999999999999</v>
      </c>
    </row>
    <row r="667" spans="1:15" x14ac:dyDescent="0.25">
      <c r="A667">
        <v>1</v>
      </c>
      <c r="B667">
        <v>4</v>
      </c>
      <c r="C667" t="s">
        <v>6178</v>
      </c>
      <c r="D667" t="s">
        <v>841</v>
      </c>
      <c r="E667" t="s">
        <v>6182</v>
      </c>
      <c r="F667">
        <v>46210.783333333333</v>
      </c>
      <c r="G667">
        <v>264</v>
      </c>
      <c r="H667" t="s">
        <v>6152</v>
      </c>
      <c r="I667" t="s">
        <v>5358</v>
      </c>
      <c r="J667">
        <v>213</v>
      </c>
      <c r="K667">
        <v>1309.95</v>
      </c>
      <c r="L667">
        <v>567</v>
      </c>
      <c r="M667">
        <v>576</v>
      </c>
      <c r="N667">
        <v>9</v>
      </c>
      <c r="O667">
        <v>23.6666666666667</v>
      </c>
    </row>
    <row r="668" spans="1:15" x14ac:dyDescent="0.25">
      <c r="A668">
        <v>1</v>
      </c>
      <c r="B668">
        <v>4</v>
      </c>
      <c r="C668" t="s">
        <v>6178</v>
      </c>
      <c r="D668" t="s">
        <v>841</v>
      </c>
      <c r="E668" t="s">
        <v>6182</v>
      </c>
      <c r="F668">
        <v>46212.777083333334</v>
      </c>
      <c r="G668">
        <v>264</v>
      </c>
      <c r="H668" t="s">
        <v>6152</v>
      </c>
      <c r="I668" t="s">
        <v>5358</v>
      </c>
      <c r="J668">
        <v>198</v>
      </c>
      <c r="K668">
        <v>1217.7</v>
      </c>
      <c r="L668">
        <v>576</v>
      </c>
      <c r="M668">
        <v>586</v>
      </c>
      <c r="N668">
        <v>10</v>
      </c>
      <c r="O668">
        <v>19.8</v>
      </c>
    </row>
    <row r="669" spans="1:15" x14ac:dyDescent="0.25">
      <c r="A669">
        <v>1</v>
      </c>
      <c r="B669">
        <v>4</v>
      </c>
      <c r="C669" t="s">
        <v>6178</v>
      </c>
      <c r="D669" t="s">
        <v>841</v>
      </c>
      <c r="E669" t="s">
        <v>6182</v>
      </c>
      <c r="F669">
        <v>46213.831250000003</v>
      </c>
      <c r="G669">
        <v>264</v>
      </c>
      <c r="H669" t="s">
        <v>6152</v>
      </c>
      <c r="I669" t="s">
        <v>5358</v>
      </c>
      <c r="J669">
        <v>125</v>
      </c>
      <c r="K669">
        <v>768.75</v>
      </c>
      <c r="L669">
        <v>586</v>
      </c>
      <c r="M669">
        <v>594</v>
      </c>
      <c r="N669">
        <v>8</v>
      </c>
      <c r="O669">
        <v>15.625</v>
      </c>
    </row>
    <row r="670" spans="1:15" x14ac:dyDescent="0.25">
      <c r="A670">
        <v>1</v>
      </c>
      <c r="B670">
        <v>4</v>
      </c>
      <c r="C670" t="s">
        <v>6178</v>
      </c>
      <c r="D670" t="s">
        <v>841</v>
      </c>
      <c r="E670" t="s">
        <v>6182</v>
      </c>
      <c r="F670">
        <v>46214.745833333334</v>
      </c>
      <c r="G670">
        <v>264</v>
      </c>
      <c r="H670" t="s">
        <v>6152</v>
      </c>
      <c r="I670" t="s">
        <v>5358</v>
      </c>
      <c r="J670">
        <v>105</v>
      </c>
      <c r="K670">
        <v>645.75</v>
      </c>
      <c r="L670">
        <v>594</v>
      </c>
      <c r="M670">
        <v>600</v>
      </c>
      <c r="N670">
        <v>6</v>
      </c>
      <c r="O670">
        <v>17.5</v>
      </c>
    </row>
    <row r="671" spans="1:15" x14ac:dyDescent="0.25">
      <c r="A671">
        <v>1</v>
      </c>
      <c r="B671">
        <v>4</v>
      </c>
      <c r="C671" t="s">
        <v>6178</v>
      </c>
      <c r="D671" t="s">
        <v>841</v>
      </c>
      <c r="E671" t="s">
        <v>6182</v>
      </c>
      <c r="F671">
        <v>46216.861805555556</v>
      </c>
      <c r="G671">
        <v>264</v>
      </c>
      <c r="H671" t="s">
        <v>6152</v>
      </c>
      <c r="I671" t="s">
        <v>5358</v>
      </c>
      <c r="J671">
        <v>111</v>
      </c>
      <c r="K671">
        <v>682.65</v>
      </c>
      <c r="L671">
        <v>600</v>
      </c>
      <c r="M671">
        <v>605</v>
      </c>
      <c r="N671">
        <v>5</v>
      </c>
      <c r="O671">
        <v>22.2</v>
      </c>
    </row>
    <row r="672" spans="1:15" x14ac:dyDescent="0.25">
      <c r="A672">
        <v>1</v>
      </c>
      <c r="B672">
        <v>4</v>
      </c>
      <c r="C672" t="s">
        <v>6178</v>
      </c>
      <c r="D672" t="s">
        <v>841</v>
      </c>
      <c r="E672" t="s">
        <v>6182</v>
      </c>
      <c r="F672">
        <v>46217.799305555556</v>
      </c>
      <c r="G672">
        <v>264</v>
      </c>
      <c r="H672" t="s">
        <v>6152</v>
      </c>
      <c r="I672" t="s">
        <v>5358</v>
      </c>
      <c r="J672">
        <v>130</v>
      </c>
      <c r="K672">
        <v>799.5</v>
      </c>
      <c r="L672">
        <v>605</v>
      </c>
      <c r="M672">
        <v>613</v>
      </c>
      <c r="N672">
        <v>8</v>
      </c>
      <c r="O672">
        <v>16.25</v>
      </c>
    </row>
    <row r="673" spans="1:15" x14ac:dyDescent="0.25">
      <c r="A673">
        <v>1</v>
      </c>
      <c r="B673">
        <v>4</v>
      </c>
      <c r="C673" t="s">
        <v>6178</v>
      </c>
      <c r="D673" t="s">
        <v>841</v>
      </c>
      <c r="E673" t="s">
        <v>6182</v>
      </c>
      <c r="F673">
        <v>46219.870833333334</v>
      </c>
      <c r="G673">
        <v>264</v>
      </c>
      <c r="H673" t="s">
        <v>6152</v>
      </c>
      <c r="I673" t="s">
        <v>5358</v>
      </c>
      <c r="J673">
        <v>181</v>
      </c>
      <c r="K673">
        <v>1113.1500000000001</v>
      </c>
      <c r="L673">
        <v>613</v>
      </c>
      <c r="M673">
        <v>622</v>
      </c>
      <c r="N673">
        <v>9</v>
      </c>
      <c r="O673">
        <v>20.1111111111111</v>
      </c>
    </row>
    <row r="674" spans="1:15" x14ac:dyDescent="0.25">
      <c r="A674">
        <v>1</v>
      </c>
      <c r="B674">
        <v>4</v>
      </c>
      <c r="C674" t="s">
        <v>6178</v>
      </c>
      <c r="D674" t="s">
        <v>841</v>
      </c>
      <c r="E674" t="s">
        <v>6182</v>
      </c>
      <c r="F674">
        <v>46220.851388888892</v>
      </c>
      <c r="G674">
        <v>264</v>
      </c>
      <c r="H674" t="s">
        <v>6152</v>
      </c>
      <c r="I674" t="s">
        <v>5358</v>
      </c>
      <c r="J674">
        <v>194</v>
      </c>
      <c r="K674">
        <v>1202.8</v>
      </c>
      <c r="L674">
        <v>622</v>
      </c>
      <c r="M674">
        <v>631</v>
      </c>
      <c r="N674">
        <v>9</v>
      </c>
      <c r="O674">
        <v>21.5555555555556</v>
      </c>
    </row>
    <row r="675" spans="1:15" x14ac:dyDescent="0.25">
      <c r="A675">
        <v>1</v>
      </c>
      <c r="B675">
        <v>4</v>
      </c>
      <c r="C675" t="s">
        <v>6178</v>
      </c>
      <c r="D675" t="s">
        <v>841</v>
      </c>
      <c r="E675" t="s">
        <v>6182</v>
      </c>
      <c r="F675">
        <v>46221.90347222222</v>
      </c>
      <c r="G675">
        <v>264</v>
      </c>
      <c r="H675" t="s">
        <v>6152</v>
      </c>
      <c r="I675" t="s">
        <v>5358</v>
      </c>
      <c r="J675">
        <v>126</v>
      </c>
      <c r="K675">
        <v>781.2</v>
      </c>
      <c r="L675">
        <v>631</v>
      </c>
      <c r="M675">
        <v>638</v>
      </c>
      <c r="N675">
        <v>7</v>
      </c>
      <c r="O675">
        <v>18</v>
      </c>
    </row>
    <row r="676" spans="1:15" x14ac:dyDescent="0.25">
      <c r="A676">
        <v>1</v>
      </c>
      <c r="B676">
        <v>4</v>
      </c>
      <c r="C676" t="s">
        <v>6178</v>
      </c>
      <c r="D676" t="s">
        <v>841</v>
      </c>
      <c r="E676" t="s">
        <v>6182</v>
      </c>
      <c r="F676">
        <v>46222.726388888892</v>
      </c>
      <c r="G676">
        <v>264</v>
      </c>
      <c r="H676" t="s">
        <v>6152</v>
      </c>
      <c r="I676" t="s">
        <v>5358</v>
      </c>
      <c r="J676">
        <v>87</v>
      </c>
      <c r="K676">
        <v>539.4</v>
      </c>
      <c r="L676">
        <v>638</v>
      </c>
      <c r="M676">
        <v>644</v>
      </c>
      <c r="N676">
        <v>6</v>
      </c>
      <c r="O676">
        <v>14.5</v>
      </c>
    </row>
    <row r="677" spans="1:15" x14ac:dyDescent="0.25">
      <c r="A677">
        <v>1</v>
      </c>
      <c r="B677">
        <v>4</v>
      </c>
      <c r="C677" t="s">
        <v>6178</v>
      </c>
      <c r="D677" t="s">
        <v>841</v>
      </c>
      <c r="E677" t="s">
        <v>6182</v>
      </c>
      <c r="F677">
        <v>46223.871527777781</v>
      </c>
      <c r="G677">
        <v>264</v>
      </c>
      <c r="H677" t="s">
        <v>6152</v>
      </c>
      <c r="I677" t="s">
        <v>5358</v>
      </c>
      <c r="J677">
        <v>135</v>
      </c>
      <c r="K677">
        <v>851.85</v>
      </c>
      <c r="L677">
        <v>644</v>
      </c>
      <c r="M677">
        <v>653</v>
      </c>
      <c r="N677">
        <v>9</v>
      </c>
      <c r="O677">
        <v>15</v>
      </c>
    </row>
    <row r="678" spans="1:15" x14ac:dyDescent="0.25">
      <c r="A678">
        <v>1</v>
      </c>
      <c r="B678">
        <v>4</v>
      </c>
      <c r="C678" t="s">
        <v>6178</v>
      </c>
      <c r="D678" t="s">
        <v>841</v>
      </c>
      <c r="E678" t="s">
        <v>6182</v>
      </c>
      <c r="F678">
        <v>46224.818055555559</v>
      </c>
      <c r="G678">
        <v>264</v>
      </c>
      <c r="H678" t="s">
        <v>6152</v>
      </c>
      <c r="I678" t="s">
        <v>5358</v>
      </c>
      <c r="J678">
        <v>149</v>
      </c>
      <c r="K678">
        <v>940.19</v>
      </c>
      <c r="L678">
        <v>653</v>
      </c>
      <c r="M678">
        <v>663</v>
      </c>
      <c r="N678">
        <v>10</v>
      </c>
      <c r="O678">
        <v>14.9</v>
      </c>
    </row>
    <row r="679" spans="1:15" x14ac:dyDescent="0.25">
      <c r="A679">
        <v>1</v>
      </c>
      <c r="B679">
        <v>4</v>
      </c>
      <c r="C679" t="s">
        <v>6178</v>
      </c>
      <c r="D679" t="s">
        <v>841</v>
      </c>
      <c r="E679" t="s">
        <v>6182</v>
      </c>
      <c r="F679">
        <v>46231.929166666669</v>
      </c>
      <c r="G679">
        <v>264</v>
      </c>
      <c r="H679" t="s">
        <v>6152</v>
      </c>
      <c r="I679" t="s">
        <v>5358</v>
      </c>
      <c r="J679">
        <v>170</v>
      </c>
      <c r="K679">
        <v>1067.5999999999999</v>
      </c>
      <c r="L679">
        <v>663</v>
      </c>
      <c r="M679">
        <v>673</v>
      </c>
      <c r="N679">
        <v>10</v>
      </c>
      <c r="O679">
        <v>17</v>
      </c>
    </row>
    <row r="680" spans="1:15" x14ac:dyDescent="0.25">
      <c r="A680">
        <v>1</v>
      </c>
      <c r="B680">
        <v>4</v>
      </c>
      <c r="C680" t="s">
        <v>6178</v>
      </c>
      <c r="D680" t="s">
        <v>841</v>
      </c>
      <c r="E680" t="s">
        <v>6182</v>
      </c>
      <c r="F680">
        <v>46232.886111111111</v>
      </c>
      <c r="G680">
        <v>264</v>
      </c>
      <c r="H680" t="s">
        <v>6152</v>
      </c>
      <c r="I680" t="s">
        <v>5358</v>
      </c>
      <c r="J680">
        <v>114</v>
      </c>
      <c r="K680">
        <v>715.92</v>
      </c>
      <c r="L680">
        <v>673</v>
      </c>
      <c r="M680">
        <v>679</v>
      </c>
      <c r="N680">
        <v>6</v>
      </c>
      <c r="O680">
        <v>19</v>
      </c>
    </row>
    <row r="681" spans="1:15" x14ac:dyDescent="0.25">
      <c r="A681">
        <v>1</v>
      </c>
      <c r="B681">
        <v>4</v>
      </c>
      <c r="C681" t="s">
        <v>6178</v>
      </c>
      <c r="D681" t="s">
        <v>841</v>
      </c>
      <c r="E681" t="s">
        <v>6182</v>
      </c>
      <c r="F681">
        <v>46233.85</v>
      </c>
      <c r="G681">
        <v>264</v>
      </c>
      <c r="H681" t="s">
        <v>6152</v>
      </c>
      <c r="I681" t="s">
        <v>5358</v>
      </c>
      <c r="J681">
        <v>115</v>
      </c>
      <c r="K681">
        <v>722.2</v>
      </c>
      <c r="L681">
        <v>679</v>
      </c>
      <c r="M681">
        <v>686</v>
      </c>
      <c r="N681">
        <v>7</v>
      </c>
      <c r="O681">
        <v>16.428571428571399</v>
      </c>
    </row>
    <row r="682" spans="1:15" x14ac:dyDescent="0.25">
      <c r="A682">
        <v>1</v>
      </c>
      <c r="B682">
        <v>4</v>
      </c>
      <c r="C682" t="s">
        <v>6178</v>
      </c>
      <c r="D682" t="s">
        <v>841</v>
      </c>
      <c r="E682" t="s">
        <v>6182</v>
      </c>
      <c r="F682">
        <v>46234.895138888889</v>
      </c>
      <c r="G682">
        <v>264</v>
      </c>
      <c r="H682" t="s">
        <v>6152</v>
      </c>
      <c r="I682" t="s">
        <v>5358</v>
      </c>
      <c r="J682">
        <v>180</v>
      </c>
      <c r="K682">
        <v>1130.4000000000001</v>
      </c>
      <c r="L682">
        <v>686</v>
      </c>
      <c r="M682">
        <v>695</v>
      </c>
      <c r="N682">
        <v>9</v>
      </c>
      <c r="O682">
        <v>20</v>
      </c>
    </row>
    <row r="683" spans="1:15" x14ac:dyDescent="0.25">
      <c r="A683">
        <v>5</v>
      </c>
      <c r="B683">
        <v>1</v>
      </c>
      <c r="C683" t="s">
        <v>5308</v>
      </c>
      <c r="D683" t="s">
        <v>5309</v>
      </c>
      <c r="E683" t="s">
        <v>6183</v>
      </c>
      <c r="F683">
        <v>46204.659722222219</v>
      </c>
      <c r="G683">
        <v>232</v>
      </c>
      <c r="H683" t="s">
        <v>6155</v>
      </c>
      <c r="I683" t="s">
        <v>5358</v>
      </c>
      <c r="J683">
        <v>103</v>
      </c>
      <c r="K683">
        <v>633.45000000000005</v>
      </c>
      <c r="L683">
        <v>1491</v>
      </c>
      <c r="M683">
        <v>1500</v>
      </c>
      <c r="N683">
        <v>9</v>
      </c>
      <c r="O683">
        <v>11.4444444444444</v>
      </c>
    </row>
    <row r="684" spans="1:15" x14ac:dyDescent="0.25">
      <c r="A684">
        <v>5</v>
      </c>
      <c r="B684">
        <v>1</v>
      </c>
      <c r="C684" t="s">
        <v>5308</v>
      </c>
      <c r="D684" t="s">
        <v>5309</v>
      </c>
      <c r="E684" t="s">
        <v>6183</v>
      </c>
      <c r="F684">
        <v>46207.474305555559</v>
      </c>
      <c r="G684">
        <v>232</v>
      </c>
      <c r="H684" t="s">
        <v>6155</v>
      </c>
      <c r="I684" t="s">
        <v>5358</v>
      </c>
      <c r="J684">
        <v>40</v>
      </c>
      <c r="K684">
        <v>246</v>
      </c>
      <c r="L684">
        <v>1500</v>
      </c>
      <c r="M684">
        <v>1502</v>
      </c>
      <c r="N684">
        <v>2</v>
      </c>
      <c r="O684">
        <v>20</v>
      </c>
    </row>
    <row r="685" spans="1:15" x14ac:dyDescent="0.25">
      <c r="A685">
        <v>5</v>
      </c>
      <c r="B685">
        <v>1</v>
      </c>
      <c r="C685" t="s">
        <v>5308</v>
      </c>
      <c r="D685" t="s">
        <v>5309</v>
      </c>
      <c r="E685" t="s">
        <v>6183</v>
      </c>
      <c r="F685">
        <v>46208.604166666664</v>
      </c>
      <c r="G685">
        <v>232</v>
      </c>
      <c r="H685" t="s">
        <v>6155</v>
      </c>
      <c r="I685" t="s">
        <v>5358</v>
      </c>
      <c r="J685">
        <v>24</v>
      </c>
      <c r="K685">
        <v>154.08000000000001</v>
      </c>
      <c r="L685">
        <v>1502</v>
      </c>
      <c r="M685">
        <v>1503</v>
      </c>
      <c r="N685">
        <v>1</v>
      </c>
      <c r="O685">
        <v>24</v>
      </c>
    </row>
    <row r="686" spans="1:15" x14ac:dyDescent="0.25">
      <c r="A686">
        <v>5</v>
      </c>
      <c r="B686">
        <v>1</v>
      </c>
      <c r="C686" t="s">
        <v>5308</v>
      </c>
      <c r="D686" t="s">
        <v>5309</v>
      </c>
      <c r="E686" t="s">
        <v>6183</v>
      </c>
      <c r="F686">
        <v>46211.473611111112</v>
      </c>
      <c r="G686">
        <v>232</v>
      </c>
      <c r="H686" t="s">
        <v>6155</v>
      </c>
      <c r="I686" t="s">
        <v>5358</v>
      </c>
      <c r="J686">
        <v>64</v>
      </c>
      <c r="K686">
        <v>393.6</v>
      </c>
      <c r="L686">
        <v>1503</v>
      </c>
      <c r="M686">
        <v>1507</v>
      </c>
      <c r="N686">
        <v>4</v>
      </c>
      <c r="O686">
        <v>16</v>
      </c>
    </row>
    <row r="687" spans="1:15" x14ac:dyDescent="0.25">
      <c r="A687">
        <v>5</v>
      </c>
      <c r="B687">
        <v>1</v>
      </c>
      <c r="C687" t="s">
        <v>5308</v>
      </c>
      <c r="D687" t="s">
        <v>5309</v>
      </c>
      <c r="E687" t="s">
        <v>6183</v>
      </c>
      <c r="F687">
        <v>46212.416666666664</v>
      </c>
      <c r="G687">
        <v>232</v>
      </c>
      <c r="H687" t="s">
        <v>6155</v>
      </c>
      <c r="I687" t="s">
        <v>5358</v>
      </c>
      <c r="J687">
        <v>60</v>
      </c>
      <c r="K687">
        <v>369</v>
      </c>
      <c r="L687">
        <v>1507</v>
      </c>
      <c r="M687">
        <v>1511</v>
      </c>
      <c r="N687">
        <v>4</v>
      </c>
      <c r="O687">
        <v>15</v>
      </c>
    </row>
    <row r="688" spans="1:15" x14ac:dyDescent="0.25">
      <c r="A688">
        <v>5</v>
      </c>
      <c r="B688">
        <v>1</v>
      </c>
      <c r="C688" t="s">
        <v>5308</v>
      </c>
      <c r="D688" t="s">
        <v>5309</v>
      </c>
      <c r="E688" t="s">
        <v>6183</v>
      </c>
      <c r="F688">
        <v>46219.38958333333</v>
      </c>
      <c r="G688">
        <v>232</v>
      </c>
      <c r="H688" t="s">
        <v>6155</v>
      </c>
      <c r="I688" t="s">
        <v>5358</v>
      </c>
      <c r="J688">
        <v>66</v>
      </c>
      <c r="K688">
        <v>405.9</v>
      </c>
      <c r="L688">
        <v>1511</v>
      </c>
      <c r="M688">
        <v>1513</v>
      </c>
      <c r="N688">
        <v>2</v>
      </c>
      <c r="O688">
        <v>33</v>
      </c>
    </row>
    <row r="689" spans="1:15" x14ac:dyDescent="0.25">
      <c r="A689">
        <v>5</v>
      </c>
      <c r="B689">
        <v>1</v>
      </c>
      <c r="C689" t="s">
        <v>5308</v>
      </c>
      <c r="D689" t="s">
        <v>5309</v>
      </c>
      <c r="E689" t="s">
        <v>6183</v>
      </c>
      <c r="F689">
        <v>46224.480555555558</v>
      </c>
      <c r="G689">
        <v>232</v>
      </c>
      <c r="H689" t="s">
        <v>6155</v>
      </c>
      <c r="I689" t="s">
        <v>5358</v>
      </c>
      <c r="J689">
        <v>112</v>
      </c>
      <c r="K689">
        <v>700</v>
      </c>
      <c r="L689">
        <v>1513</v>
      </c>
      <c r="M689">
        <v>1520</v>
      </c>
      <c r="N689">
        <v>7</v>
      </c>
      <c r="O689">
        <v>16</v>
      </c>
    </row>
    <row r="690" spans="1:15" x14ac:dyDescent="0.25">
      <c r="A690">
        <v>5</v>
      </c>
      <c r="B690">
        <v>1</v>
      </c>
      <c r="C690" t="s">
        <v>5308</v>
      </c>
      <c r="D690" t="s">
        <v>5328</v>
      </c>
      <c r="E690" t="s">
        <v>6183</v>
      </c>
      <c r="F690">
        <v>46205.466666666667</v>
      </c>
      <c r="G690">
        <v>232</v>
      </c>
      <c r="H690" t="s">
        <v>6155</v>
      </c>
      <c r="I690" t="s">
        <v>5358</v>
      </c>
      <c r="J690">
        <v>68</v>
      </c>
      <c r="K690">
        <v>418.2</v>
      </c>
      <c r="L690">
        <v>178</v>
      </c>
      <c r="M690">
        <v>198</v>
      </c>
      <c r="N690">
        <v>20</v>
      </c>
      <c r="O690">
        <v>3.4</v>
      </c>
    </row>
    <row r="691" spans="1:15" x14ac:dyDescent="0.25">
      <c r="A691">
        <v>5</v>
      </c>
      <c r="B691">
        <v>1</v>
      </c>
      <c r="C691" t="s">
        <v>5308</v>
      </c>
      <c r="D691" t="s">
        <v>5328</v>
      </c>
      <c r="E691" t="s">
        <v>6183</v>
      </c>
      <c r="F691">
        <v>46208.521527777775</v>
      </c>
      <c r="G691">
        <v>232</v>
      </c>
      <c r="H691" t="s">
        <v>6155</v>
      </c>
      <c r="I691" t="s">
        <v>5358</v>
      </c>
      <c r="J691">
        <v>130</v>
      </c>
      <c r="K691">
        <v>834.6</v>
      </c>
      <c r="L691">
        <v>198</v>
      </c>
      <c r="M691">
        <v>206</v>
      </c>
      <c r="N691">
        <v>8</v>
      </c>
      <c r="O691">
        <v>16.25</v>
      </c>
    </row>
    <row r="692" spans="1:15" x14ac:dyDescent="0.25">
      <c r="A692">
        <v>5</v>
      </c>
      <c r="B692">
        <v>1</v>
      </c>
      <c r="C692" t="s">
        <v>5308</v>
      </c>
      <c r="D692" t="s">
        <v>5328</v>
      </c>
      <c r="E692" t="s">
        <v>6183</v>
      </c>
      <c r="F692">
        <v>46208.531944444447</v>
      </c>
      <c r="G692">
        <v>232</v>
      </c>
      <c r="H692" t="s">
        <v>6155</v>
      </c>
      <c r="I692" t="s">
        <v>5358</v>
      </c>
      <c r="J692">
        <v>46</v>
      </c>
      <c r="K692">
        <v>295.32</v>
      </c>
      <c r="L692">
        <v>206</v>
      </c>
      <c r="M692">
        <v>210</v>
      </c>
      <c r="N692">
        <v>4</v>
      </c>
      <c r="O692">
        <v>11.5</v>
      </c>
    </row>
    <row r="693" spans="1:15" x14ac:dyDescent="0.25">
      <c r="A693">
        <v>5</v>
      </c>
      <c r="B693">
        <v>1</v>
      </c>
      <c r="C693" t="s">
        <v>5308</v>
      </c>
      <c r="D693" t="s">
        <v>5328</v>
      </c>
      <c r="E693" t="s">
        <v>6183</v>
      </c>
      <c r="F693">
        <v>46209.441666666666</v>
      </c>
      <c r="G693">
        <v>232</v>
      </c>
      <c r="H693" t="s">
        <v>6155</v>
      </c>
      <c r="I693" t="s">
        <v>5358</v>
      </c>
      <c r="J693">
        <v>118</v>
      </c>
      <c r="K693">
        <v>725.7</v>
      </c>
      <c r="L693">
        <v>210</v>
      </c>
      <c r="M693">
        <v>213</v>
      </c>
      <c r="N693">
        <v>3</v>
      </c>
      <c r="O693">
        <v>39.3333333333333</v>
      </c>
    </row>
    <row r="694" spans="1:15" x14ac:dyDescent="0.25">
      <c r="A694">
        <v>5</v>
      </c>
      <c r="B694">
        <v>1</v>
      </c>
      <c r="C694" t="s">
        <v>5308</v>
      </c>
      <c r="D694" t="s">
        <v>5328</v>
      </c>
      <c r="E694" t="s">
        <v>6183</v>
      </c>
      <c r="F694">
        <v>46210.363888888889</v>
      </c>
      <c r="G694">
        <v>232</v>
      </c>
      <c r="H694" t="s">
        <v>6155</v>
      </c>
      <c r="I694" t="s">
        <v>5358</v>
      </c>
      <c r="J694">
        <v>88</v>
      </c>
      <c r="K694">
        <v>541.20000000000005</v>
      </c>
      <c r="L694">
        <v>213</v>
      </c>
      <c r="M694">
        <v>218</v>
      </c>
      <c r="N694">
        <v>5</v>
      </c>
      <c r="O694">
        <v>17.600000000000001</v>
      </c>
    </row>
    <row r="695" spans="1:15" x14ac:dyDescent="0.25">
      <c r="A695">
        <v>5</v>
      </c>
      <c r="B695">
        <v>1</v>
      </c>
      <c r="C695" t="s">
        <v>5308</v>
      </c>
      <c r="D695" t="s">
        <v>5328</v>
      </c>
      <c r="E695" t="s">
        <v>6183</v>
      </c>
      <c r="F695">
        <v>46234.388194444444</v>
      </c>
      <c r="G695">
        <v>232</v>
      </c>
      <c r="H695" t="s">
        <v>6155</v>
      </c>
      <c r="I695" t="s">
        <v>5358</v>
      </c>
      <c r="J695">
        <v>83</v>
      </c>
      <c r="K695">
        <v>518.75</v>
      </c>
      <c r="L695">
        <v>218</v>
      </c>
      <c r="M695">
        <v>399</v>
      </c>
      <c r="N695">
        <v>181</v>
      </c>
      <c r="O695">
        <v>0.45856353591160198</v>
      </c>
    </row>
    <row r="696" spans="1:15" x14ac:dyDescent="0.25">
      <c r="A696">
        <v>5</v>
      </c>
      <c r="B696">
        <v>1</v>
      </c>
      <c r="C696" t="s">
        <v>5308</v>
      </c>
      <c r="D696" t="s">
        <v>5310</v>
      </c>
      <c r="E696" t="s">
        <v>6183</v>
      </c>
      <c r="F696">
        <v>46204.660416666666</v>
      </c>
      <c r="G696">
        <v>232</v>
      </c>
      <c r="H696" t="s">
        <v>6155</v>
      </c>
      <c r="I696" t="s">
        <v>5358</v>
      </c>
      <c r="J696">
        <v>328</v>
      </c>
      <c r="K696">
        <v>2017.2</v>
      </c>
      <c r="L696">
        <v>3830</v>
      </c>
      <c r="M696">
        <v>3840</v>
      </c>
      <c r="N696">
        <v>10</v>
      </c>
      <c r="O696">
        <v>32.799999999999997</v>
      </c>
    </row>
    <row r="697" spans="1:15" x14ac:dyDescent="0.25">
      <c r="A697">
        <v>5</v>
      </c>
      <c r="B697">
        <v>1</v>
      </c>
      <c r="C697" t="s">
        <v>5308</v>
      </c>
      <c r="D697" t="s">
        <v>5310</v>
      </c>
      <c r="E697" t="s">
        <v>6183</v>
      </c>
      <c r="F697">
        <v>46205.479166666664</v>
      </c>
      <c r="G697">
        <v>232</v>
      </c>
      <c r="H697" t="s">
        <v>6155</v>
      </c>
      <c r="I697" t="s">
        <v>5358</v>
      </c>
      <c r="J697">
        <v>83</v>
      </c>
      <c r="K697">
        <v>510.45</v>
      </c>
      <c r="L697">
        <v>3840</v>
      </c>
      <c r="M697">
        <v>3850</v>
      </c>
      <c r="N697">
        <v>10</v>
      </c>
      <c r="O697">
        <v>8.3000000000000007</v>
      </c>
    </row>
    <row r="698" spans="1:15" x14ac:dyDescent="0.25">
      <c r="A698">
        <v>5</v>
      </c>
      <c r="B698">
        <v>1</v>
      </c>
      <c r="C698" t="s">
        <v>5308</v>
      </c>
      <c r="D698" t="s">
        <v>5310</v>
      </c>
      <c r="E698" t="s">
        <v>6183</v>
      </c>
      <c r="F698">
        <v>46207.484027777777</v>
      </c>
      <c r="G698">
        <v>232</v>
      </c>
      <c r="H698" t="s">
        <v>6155</v>
      </c>
      <c r="I698" t="s">
        <v>5358</v>
      </c>
      <c r="J698">
        <v>139</v>
      </c>
      <c r="K698">
        <v>854.85</v>
      </c>
      <c r="L698">
        <v>3850</v>
      </c>
      <c r="M698">
        <v>3860</v>
      </c>
      <c r="N698">
        <v>10</v>
      </c>
      <c r="O698">
        <v>13.9</v>
      </c>
    </row>
    <row r="699" spans="1:15" x14ac:dyDescent="0.25">
      <c r="A699">
        <v>5</v>
      </c>
      <c r="B699">
        <v>1</v>
      </c>
      <c r="C699" t="s">
        <v>5308</v>
      </c>
      <c r="D699" t="s">
        <v>5310</v>
      </c>
      <c r="E699" t="s">
        <v>6183</v>
      </c>
      <c r="F699">
        <v>46209.413888888892</v>
      </c>
      <c r="G699">
        <v>264</v>
      </c>
      <c r="H699" t="s">
        <v>6152</v>
      </c>
      <c r="I699" t="s">
        <v>5358</v>
      </c>
      <c r="J699">
        <v>53</v>
      </c>
      <c r="K699">
        <v>325.95</v>
      </c>
      <c r="L699">
        <v>3860</v>
      </c>
      <c r="M699">
        <v>3870</v>
      </c>
      <c r="N699">
        <v>10</v>
      </c>
      <c r="O699">
        <v>5.3</v>
      </c>
    </row>
    <row r="700" spans="1:15" x14ac:dyDescent="0.25">
      <c r="A700">
        <v>5</v>
      </c>
      <c r="B700">
        <v>1</v>
      </c>
      <c r="C700" t="s">
        <v>5308</v>
      </c>
      <c r="D700" t="s">
        <v>5310</v>
      </c>
      <c r="E700" t="s">
        <v>6183</v>
      </c>
      <c r="F700">
        <v>46213.49722222222</v>
      </c>
      <c r="G700">
        <v>264</v>
      </c>
      <c r="H700" t="s">
        <v>6152</v>
      </c>
      <c r="I700" t="s">
        <v>5358</v>
      </c>
      <c r="J700">
        <v>222</v>
      </c>
      <c r="K700">
        <v>1365.3</v>
      </c>
      <c r="L700">
        <v>3870</v>
      </c>
      <c r="M700">
        <v>3880</v>
      </c>
      <c r="N700">
        <v>10</v>
      </c>
      <c r="O700">
        <v>22.2</v>
      </c>
    </row>
    <row r="701" spans="1:15" x14ac:dyDescent="0.25">
      <c r="A701">
        <v>5</v>
      </c>
      <c r="B701">
        <v>1</v>
      </c>
      <c r="C701" t="s">
        <v>5308</v>
      </c>
      <c r="D701" t="s">
        <v>5310</v>
      </c>
      <c r="E701" t="s">
        <v>6183</v>
      </c>
      <c r="F701">
        <v>46214.353472222225</v>
      </c>
      <c r="G701">
        <v>264</v>
      </c>
      <c r="H701" t="s">
        <v>6152</v>
      </c>
      <c r="I701" t="s">
        <v>5358</v>
      </c>
      <c r="J701">
        <v>145</v>
      </c>
      <c r="K701">
        <v>891.75</v>
      </c>
      <c r="L701">
        <v>3880</v>
      </c>
      <c r="M701">
        <v>6012</v>
      </c>
      <c r="N701">
        <v>2132</v>
      </c>
      <c r="O701">
        <v>6.8011257035647296E-2</v>
      </c>
    </row>
    <row r="702" spans="1:15" x14ac:dyDescent="0.25">
      <c r="A702">
        <v>5</v>
      </c>
      <c r="B702">
        <v>1</v>
      </c>
      <c r="C702" t="s">
        <v>5308</v>
      </c>
      <c r="D702" t="s">
        <v>5310</v>
      </c>
      <c r="E702" t="s">
        <v>6183</v>
      </c>
      <c r="F702">
        <v>46214.386111111111</v>
      </c>
      <c r="G702">
        <v>232</v>
      </c>
      <c r="H702" t="s">
        <v>6155</v>
      </c>
      <c r="I702" t="s">
        <v>5358</v>
      </c>
      <c r="J702">
        <v>39</v>
      </c>
      <c r="K702">
        <v>239.85</v>
      </c>
      <c r="L702">
        <v>6012</v>
      </c>
      <c r="M702">
        <v>6022</v>
      </c>
      <c r="N702">
        <v>10</v>
      </c>
      <c r="O702">
        <v>3.9</v>
      </c>
    </row>
    <row r="703" spans="1:15" x14ac:dyDescent="0.25">
      <c r="A703">
        <v>5</v>
      </c>
      <c r="B703">
        <v>1</v>
      </c>
      <c r="C703" t="s">
        <v>5308</v>
      </c>
      <c r="D703" t="s">
        <v>5310</v>
      </c>
      <c r="E703" t="s">
        <v>6183</v>
      </c>
      <c r="F703">
        <v>46215.435416666667</v>
      </c>
      <c r="G703">
        <v>232</v>
      </c>
      <c r="H703" t="s">
        <v>6155</v>
      </c>
      <c r="I703" t="s">
        <v>5358</v>
      </c>
      <c r="J703">
        <v>14</v>
      </c>
      <c r="K703">
        <v>86.1</v>
      </c>
      <c r="L703">
        <v>6022</v>
      </c>
      <c r="M703">
        <v>6024</v>
      </c>
      <c r="N703">
        <v>2</v>
      </c>
      <c r="O703">
        <v>7</v>
      </c>
    </row>
    <row r="704" spans="1:15" x14ac:dyDescent="0.25">
      <c r="A704">
        <v>5</v>
      </c>
      <c r="B704">
        <v>1</v>
      </c>
      <c r="C704" t="s">
        <v>5308</v>
      </c>
      <c r="D704" t="s">
        <v>5310</v>
      </c>
      <c r="E704" t="s">
        <v>6183</v>
      </c>
      <c r="F704">
        <v>46216.495138888888</v>
      </c>
      <c r="G704">
        <v>264</v>
      </c>
      <c r="H704" t="s">
        <v>6152</v>
      </c>
      <c r="I704" t="s">
        <v>5358</v>
      </c>
      <c r="J704">
        <v>64</v>
      </c>
      <c r="K704">
        <v>393.6</v>
      </c>
      <c r="L704">
        <v>6024</v>
      </c>
      <c r="M704">
        <v>6034</v>
      </c>
      <c r="N704">
        <v>10</v>
      </c>
      <c r="O704">
        <v>6.4</v>
      </c>
    </row>
    <row r="705" spans="1:15" x14ac:dyDescent="0.25">
      <c r="A705">
        <v>5</v>
      </c>
      <c r="B705">
        <v>1</v>
      </c>
      <c r="C705" t="s">
        <v>5308</v>
      </c>
      <c r="D705" t="s">
        <v>5310</v>
      </c>
      <c r="E705" t="s">
        <v>6183</v>
      </c>
      <c r="F705">
        <v>46216.787499999999</v>
      </c>
      <c r="G705">
        <v>245</v>
      </c>
      <c r="H705" t="s">
        <v>6184</v>
      </c>
      <c r="I705" t="s">
        <v>5358</v>
      </c>
      <c r="J705">
        <v>62</v>
      </c>
      <c r="K705">
        <v>381.3</v>
      </c>
      <c r="L705">
        <v>6034</v>
      </c>
      <c r="M705">
        <v>6034</v>
      </c>
      <c r="N705">
        <v>0</v>
      </c>
      <c r="O705">
        <v>0</v>
      </c>
    </row>
    <row r="706" spans="1:15" x14ac:dyDescent="0.25">
      <c r="A706">
        <v>5</v>
      </c>
      <c r="B706">
        <v>1</v>
      </c>
      <c r="C706" t="s">
        <v>5308</v>
      </c>
      <c r="D706" t="s">
        <v>5310</v>
      </c>
      <c r="E706" t="s">
        <v>6183</v>
      </c>
      <c r="F706">
        <v>46217.498611111114</v>
      </c>
      <c r="G706">
        <v>232</v>
      </c>
      <c r="H706" t="s">
        <v>6155</v>
      </c>
      <c r="I706" t="s">
        <v>5358</v>
      </c>
      <c r="J706">
        <v>65</v>
      </c>
      <c r="K706">
        <v>399.75</v>
      </c>
      <c r="L706">
        <v>6034</v>
      </c>
      <c r="M706">
        <v>6044</v>
      </c>
      <c r="N706">
        <v>10</v>
      </c>
      <c r="O706">
        <v>6.5</v>
      </c>
    </row>
    <row r="707" spans="1:15" x14ac:dyDescent="0.25">
      <c r="A707">
        <v>5</v>
      </c>
      <c r="B707">
        <v>1</v>
      </c>
      <c r="C707" t="s">
        <v>5308</v>
      </c>
      <c r="D707" t="s">
        <v>5310</v>
      </c>
      <c r="E707" t="s">
        <v>6183</v>
      </c>
      <c r="F707">
        <v>46218.527083333334</v>
      </c>
      <c r="G707">
        <v>232</v>
      </c>
      <c r="H707" t="s">
        <v>6155</v>
      </c>
      <c r="I707" t="s">
        <v>5358</v>
      </c>
      <c r="J707">
        <v>100</v>
      </c>
      <c r="K707">
        <v>615</v>
      </c>
      <c r="L707">
        <v>6044</v>
      </c>
      <c r="M707">
        <v>6054</v>
      </c>
      <c r="N707">
        <v>10</v>
      </c>
      <c r="O707">
        <v>10</v>
      </c>
    </row>
    <row r="708" spans="1:15" x14ac:dyDescent="0.25">
      <c r="A708">
        <v>5</v>
      </c>
      <c r="B708">
        <v>1</v>
      </c>
      <c r="C708" t="s">
        <v>5308</v>
      </c>
      <c r="D708" t="s">
        <v>5310</v>
      </c>
      <c r="E708" t="s">
        <v>6183</v>
      </c>
      <c r="F708">
        <v>46219.338888888888</v>
      </c>
      <c r="G708">
        <v>264</v>
      </c>
      <c r="H708" t="s">
        <v>6152</v>
      </c>
      <c r="I708" t="s">
        <v>5358</v>
      </c>
      <c r="J708">
        <v>100</v>
      </c>
      <c r="K708">
        <v>615</v>
      </c>
      <c r="L708">
        <v>6054</v>
      </c>
      <c r="M708">
        <v>6064</v>
      </c>
      <c r="N708">
        <v>10</v>
      </c>
      <c r="O708">
        <v>10</v>
      </c>
    </row>
    <row r="709" spans="1:15" x14ac:dyDescent="0.25">
      <c r="A709">
        <v>5</v>
      </c>
      <c r="B709">
        <v>1</v>
      </c>
      <c r="C709" t="s">
        <v>5308</v>
      </c>
      <c r="D709" t="s">
        <v>5310</v>
      </c>
      <c r="E709" t="s">
        <v>6183</v>
      </c>
      <c r="F709">
        <v>46220.47152777778</v>
      </c>
      <c r="G709">
        <v>232</v>
      </c>
      <c r="H709" t="s">
        <v>6155</v>
      </c>
      <c r="I709" t="s">
        <v>5358</v>
      </c>
      <c r="J709">
        <v>177</v>
      </c>
      <c r="K709">
        <v>1088.55</v>
      </c>
      <c r="L709">
        <v>6064</v>
      </c>
      <c r="M709">
        <v>6074</v>
      </c>
      <c r="N709">
        <v>10</v>
      </c>
      <c r="O709">
        <v>17.7</v>
      </c>
    </row>
    <row r="710" spans="1:15" x14ac:dyDescent="0.25">
      <c r="A710">
        <v>5</v>
      </c>
      <c r="B710">
        <v>1</v>
      </c>
      <c r="C710" t="s">
        <v>5308</v>
      </c>
      <c r="D710" t="s">
        <v>5310</v>
      </c>
      <c r="E710" t="s">
        <v>6183</v>
      </c>
      <c r="F710">
        <v>46225.383333333331</v>
      </c>
      <c r="G710">
        <v>232</v>
      </c>
      <c r="H710" t="s">
        <v>6155</v>
      </c>
      <c r="I710" t="s">
        <v>5358</v>
      </c>
      <c r="J710">
        <v>77</v>
      </c>
      <c r="K710">
        <v>481.25</v>
      </c>
      <c r="L710">
        <v>6074</v>
      </c>
      <c r="M710">
        <v>6084</v>
      </c>
      <c r="N710">
        <v>10</v>
      </c>
      <c r="O710">
        <v>7.7</v>
      </c>
    </row>
    <row r="711" spans="1:15" x14ac:dyDescent="0.25">
      <c r="A711">
        <v>5</v>
      </c>
      <c r="B711">
        <v>1</v>
      </c>
      <c r="C711" t="s">
        <v>5308</v>
      </c>
      <c r="D711" t="s">
        <v>5310</v>
      </c>
      <c r="E711" t="s">
        <v>6183</v>
      </c>
      <c r="F711">
        <v>46228.671527777777</v>
      </c>
      <c r="G711">
        <v>232</v>
      </c>
      <c r="H711" t="s">
        <v>6155</v>
      </c>
      <c r="I711" t="s">
        <v>5358</v>
      </c>
      <c r="J711">
        <v>46</v>
      </c>
      <c r="K711">
        <v>287.5</v>
      </c>
      <c r="L711">
        <v>6084</v>
      </c>
      <c r="M711">
        <v>6094</v>
      </c>
      <c r="N711">
        <v>10</v>
      </c>
      <c r="O711">
        <v>4.5999999999999996</v>
      </c>
    </row>
    <row r="712" spans="1:15" x14ac:dyDescent="0.25">
      <c r="A712">
        <v>5</v>
      </c>
      <c r="B712">
        <v>1</v>
      </c>
      <c r="C712" t="s">
        <v>5308</v>
      </c>
      <c r="D712" t="s">
        <v>5310</v>
      </c>
      <c r="E712" t="s">
        <v>6183</v>
      </c>
      <c r="F712">
        <v>46229.759027777778</v>
      </c>
      <c r="G712">
        <v>232</v>
      </c>
      <c r="H712" t="s">
        <v>6155</v>
      </c>
      <c r="I712" t="s">
        <v>5358</v>
      </c>
      <c r="J712">
        <v>110</v>
      </c>
      <c r="K712">
        <v>693</v>
      </c>
      <c r="L712">
        <v>6094</v>
      </c>
      <c r="M712">
        <v>7004</v>
      </c>
      <c r="N712">
        <v>910</v>
      </c>
      <c r="O712">
        <v>0.120879120879121</v>
      </c>
    </row>
    <row r="713" spans="1:15" x14ac:dyDescent="0.25">
      <c r="A713">
        <v>5</v>
      </c>
      <c r="B713">
        <v>1</v>
      </c>
      <c r="C713" t="s">
        <v>5308</v>
      </c>
      <c r="D713" t="s">
        <v>5310</v>
      </c>
      <c r="E713" t="s">
        <v>6183</v>
      </c>
      <c r="F713">
        <v>46229.776388888888</v>
      </c>
      <c r="G713">
        <v>264</v>
      </c>
      <c r="H713" t="s">
        <v>6152</v>
      </c>
      <c r="I713" t="s">
        <v>5358</v>
      </c>
      <c r="J713">
        <v>201</v>
      </c>
      <c r="K713">
        <v>1262.28</v>
      </c>
      <c r="L713">
        <v>7004</v>
      </c>
      <c r="M713">
        <v>7014</v>
      </c>
      <c r="N713">
        <v>10</v>
      </c>
      <c r="O713">
        <v>20.100000000000001</v>
      </c>
    </row>
    <row r="714" spans="1:15" x14ac:dyDescent="0.25">
      <c r="A714">
        <v>5</v>
      </c>
      <c r="B714">
        <v>1</v>
      </c>
      <c r="C714" t="s">
        <v>5308</v>
      </c>
      <c r="D714" t="s">
        <v>5310</v>
      </c>
      <c r="E714" t="s">
        <v>6183</v>
      </c>
      <c r="F714">
        <v>46230.42083333333</v>
      </c>
      <c r="G714">
        <v>232</v>
      </c>
      <c r="H714" t="s">
        <v>6155</v>
      </c>
      <c r="I714" t="s">
        <v>5358</v>
      </c>
      <c r="J714">
        <v>20</v>
      </c>
      <c r="K714">
        <v>125</v>
      </c>
      <c r="L714">
        <v>7014</v>
      </c>
      <c r="M714">
        <v>7024</v>
      </c>
      <c r="N714">
        <v>10</v>
      </c>
      <c r="O714">
        <v>2</v>
      </c>
    </row>
    <row r="715" spans="1:15" x14ac:dyDescent="0.25">
      <c r="A715">
        <v>5</v>
      </c>
      <c r="B715">
        <v>1</v>
      </c>
      <c r="C715" t="s">
        <v>5308</v>
      </c>
      <c r="D715" t="s">
        <v>5310</v>
      </c>
      <c r="E715" t="s">
        <v>6183</v>
      </c>
      <c r="F715">
        <v>46230.519444444442</v>
      </c>
      <c r="G715">
        <v>246</v>
      </c>
      <c r="H715" t="s">
        <v>6185</v>
      </c>
      <c r="I715" t="s">
        <v>5358</v>
      </c>
      <c r="J715">
        <v>68</v>
      </c>
      <c r="K715">
        <v>429.08</v>
      </c>
      <c r="L715">
        <v>7024</v>
      </c>
      <c r="M715">
        <v>7034</v>
      </c>
      <c r="N715">
        <v>10</v>
      </c>
      <c r="O715">
        <v>6.8</v>
      </c>
    </row>
    <row r="716" spans="1:15" x14ac:dyDescent="0.25">
      <c r="A716">
        <v>5</v>
      </c>
      <c r="B716">
        <v>1</v>
      </c>
      <c r="C716" t="s">
        <v>5308</v>
      </c>
      <c r="D716" t="s">
        <v>5310</v>
      </c>
      <c r="E716" t="s">
        <v>6183</v>
      </c>
      <c r="F716">
        <v>46232.718055555553</v>
      </c>
      <c r="G716">
        <v>232</v>
      </c>
      <c r="H716" t="s">
        <v>6155</v>
      </c>
      <c r="I716" t="s">
        <v>5358</v>
      </c>
      <c r="J716">
        <v>252</v>
      </c>
      <c r="K716">
        <v>1575</v>
      </c>
      <c r="L716">
        <v>7034</v>
      </c>
      <c r="M716">
        <v>7044</v>
      </c>
      <c r="N716">
        <v>10</v>
      </c>
      <c r="O716">
        <v>25.2</v>
      </c>
    </row>
    <row r="717" spans="1:15" x14ac:dyDescent="0.25">
      <c r="A717">
        <v>5</v>
      </c>
      <c r="B717">
        <v>1</v>
      </c>
      <c r="C717" t="s">
        <v>5308</v>
      </c>
      <c r="D717" t="s">
        <v>5310</v>
      </c>
      <c r="E717" t="s">
        <v>6183</v>
      </c>
      <c r="F717">
        <v>46232.756249999999</v>
      </c>
      <c r="G717">
        <v>264</v>
      </c>
      <c r="H717" t="s">
        <v>6152</v>
      </c>
      <c r="I717" t="s">
        <v>5358</v>
      </c>
      <c r="J717">
        <v>228</v>
      </c>
      <c r="K717">
        <v>1431.84</v>
      </c>
      <c r="L717">
        <v>7044</v>
      </c>
      <c r="M717">
        <v>7054</v>
      </c>
      <c r="N717">
        <v>10</v>
      </c>
      <c r="O717">
        <v>22.8</v>
      </c>
    </row>
    <row r="718" spans="1:15" x14ac:dyDescent="0.25">
      <c r="A718">
        <v>5</v>
      </c>
      <c r="B718">
        <v>1</v>
      </c>
      <c r="C718" t="s">
        <v>5308</v>
      </c>
      <c r="D718" t="s">
        <v>5310</v>
      </c>
      <c r="E718" t="s">
        <v>6183</v>
      </c>
      <c r="F718">
        <v>46233.602777777778</v>
      </c>
      <c r="G718">
        <v>232</v>
      </c>
      <c r="H718" t="s">
        <v>6155</v>
      </c>
      <c r="I718" t="s">
        <v>5358</v>
      </c>
      <c r="J718">
        <v>57</v>
      </c>
      <c r="K718">
        <v>356.25</v>
      </c>
      <c r="L718">
        <v>7054</v>
      </c>
      <c r="M718">
        <v>7064</v>
      </c>
      <c r="N718">
        <v>10</v>
      </c>
      <c r="O718">
        <v>5.7</v>
      </c>
    </row>
    <row r="719" spans="1:15" x14ac:dyDescent="0.25">
      <c r="A719">
        <v>5</v>
      </c>
      <c r="B719">
        <v>1</v>
      </c>
      <c r="C719" t="s">
        <v>5308</v>
      </c>
      <c r="D719" t="s">
        <v>5310</v>
      </c>
      <c r="E719" t="s">
        <v>6183</v>
      </c>
      <c r="F719">
        <v>46233.629166666666</v>
      </c>
      <c r="G719">
        <v>129</v>
      </c>
      <c r="H719" t="s">
        <v>6164</v>
      </c>
      <c r="I719" t="s">
        <v>5358</v>
      </c>
      <c r="J719">
        <v>70</v>
      </c>
      <c r="K719">
        <v>489.3</v>
      </c>
      <c r="L719">
        <v>7064</v>
      </c>
      <c r="M719">
        <v>7074</v>
      </c>
      <c r="N719">
        <v>10</v>
      </c>
      <c r="O719">
        <v>7</v>
      </c>
    </row>
    <row r="720" spans="1:15" x14ac:dyDescent="0.25">
      <c r="A720">
        <v>5</v>
      </c>
      <c r="B720">
        <v>1</v>
      </c>
      <c r="C720" t="s">
        <v>5308</v>
      </c>
      <c r="D720" t="s">
        <v>5310</v>
      </c>
      <c r="E720" t="s">
        <v>6183</v>
      </c>
      <c r="F720">
        <v>46233.677777777775</v>
      </c>
      <c r="G720">
        <v>264</v>
      </c>
      <c r="H720" t="s">
        <v>6152</v>
      </c>
      <c r="I720" t="s">
        <v>5358</v>
      </c>
      <c r="J720">
        <v>27</v>
      </c>
      <c r="K720">
        <v>169.56</v>
      </c>
      <c r="L720">
        <v>7074</v>
      </c>
      <c r="M720">
        <v>7076</v>
      </c>
      <c r="N720">
        <v>2</v>
      </c>
      <c r="O720">
        <v>13.5</v>
      </c>
    </row>
    <row r="721" spans="1:15" x14ac:dyDescent="0.25">
      <c r="A721">
        <v>5</v>
      </c>
      <c r="B721">
        <v>1</v>
      </c>
      <c r="C721" t="s">
        <v>5308</v>
      </c>
      <c r="D721" t="s">
        <v>5310</v>
      </c>
      <c r="E721" t="s">
        <v>6183</v>
      </c>
      <c r="F721">
        <v>46234.382638888892</v>
      </c>
      <c r="G721">
        <v>232</v>
      </c>
      <c r="H721" t="s">
        <v>6155</v>
      </c>
      <c r="I721" t="s">
        <v>5358</v>
      </c>
      <c r="J721">
        <v>131</v>
      </c>
      <c r="K721">
        <v>818.75</v>
      </c>
      <c r="L721">
        <v>7076</v>
      </c>
      <c r="M721">
        <v>7086</v>
      </c>
      <c r="N721">
        <v>10</v>
      </c>
      <c r="O721">
        <v>13.1</v>
      </c>
    </row>
    <row r="722" spans="1:15" x14ac:dyDescent="0.25">
      <c r="A722">
        <v>5</v>
      </c>
      <c r="B722">
        <v>1</v>
      </c>
      <c r="C722" t="s">
        <v>5308</v>
      </c>
      <c r="D722" t="s">
        <v>5310</v>
      </c>
      <c r="E722" t="s">
        <v>6183</v>
      </c>
      <c r="F722">
        <v>46234.413194444445</v>
      </c>
      <c r="G722">
        <v>129</v>
      </c>
      <c r="H722" t="s">
        <v>6164</v>
      </c>
      <c r="I722" t="s">
        <v>5358</v>
      </c>
      <c r="J722">
        <v>99</v>
      </c>
      <c r="K722">
        <v>692.01</v>
      </c>
      <c r="L722">
        <v>7086</v>
      </c>
      <c r="M722">
        <v>7096</v>
      </c>
      <c r="N722">
        <v>10</v>
      </c>
      <c r="O722">
        <v>9.9</v>
      </c>
    </row>
    <row r="723" spans="1:15" x14ac:dyDescent="0.25">
      <c r="A723">
        <v>5</v>
      </c>
      <c r="B723">
        <v>1</v>
      </c>
      <c r="C723" t="s">
        <v>5308</v>
      </c>
      <c r="D723" t="s">
        <v>5310</v>
      </c>
      <c r="E723" t="s">
        <v>6183</v>
      </c>
      <c r="F723">
        <v>46234.435416666667</v>
      </c>
      <c r="G723">
        <v>264</v>
      </c>
      <c r="H723" t="s">
        <v>6152</v>
      </c>
      <c r="I723" t="s">
        <v>5358</v>
      </c>
      <c r="J723">
        <v>73</v>
      </c>
      <c r="K723">
        <v>458.44</v>
      </c>
      <c r="L723">
        <v>7096</v>
      </c>
      <c r="M723">
        <v>8006</v>
      </c>
      <c r="N723">
        <v>910</v>
      </c>
      <c r="O723">
        <v>8.0219780219780198E-2</v>
      </c>
    </row>
    <row r="724" spans="1:15" x14ac:dyDescent="0.25">
      <c r="A724">
        <v>5</v>
      </c>
      <c r="B724">
        <v>3</v>
      </c>
      <c r="C724" t="s">
        <v>5341</v>
      </c>
      <c r="D724" t="s">
        <v>588</v>
      </c>
      <c r="E724" t="s">
        <v>6186</v>
      </c>
      <c r="F724">
        <v>46207.595138888886</v>
      </c>
      <c r="G724">
        <v>232</v>
      </c>
      <c r="H724" t="s">
        <v>6155</v>
      </c>
      <c r="I724" t="s">
        <v>5358</v>
      </c>
      <c r="J724">
        <v>60</v>
      </c>
      <c r="K724">
        <v>369</v>
      </c>
      <c r="L724">
        <v>2608</v>
      </c>
      <c r="M724">
        <v>2619</v>
      </c>
      <c r="N724">
        <v>11</v>
      </c>
      <c r="O724">
        <v>5.4545454545454497</v>
      </c>
    </row>
    <row r="725" spans="1:15" x14ac:dyDescent="0.25">
      <c r="A725">
        <v>5</v>
      </c>
      <c r="B725">
        <v>3</v>
      </c>
      <c r="C725" t="s">
        <v>5341</v>
      </c>
      <c r="D725" t="s">
        <v>588</v>
      </c>
      <c r="E725" t="s">
        <v>6186</v>
      </c>
      <c r="F725">
        <v>46208.953472222223</v>
      </c>
      <c r="G725">
        <v>232</v>
      </c>
      <c r="H725" t="s">
        <v>6155</v>
      </c>
      <c r="I725" t="s">
        <v>5358</v>
      </c>
      <c r="J725">
        <v>16</v>
      </c>
      <c r="K725">
        <v>102.72</v>
      </c>
      <c r="L725">
        <v>2619</v>
      </c>
      <c r="M725">
        <v>2621</v>
      </c>
      <c r="N725">
        <v>2</v>
      </c>
      <c r="O725">
        <v>8</v>
      </c>
    </row>
    <row r="726" spans="1:15" x14ac:dyDescent="0.25">
      <c r="A726">
        <v>5</v>
      </c>
      <c r="B726">
        <v>3</v>
      </c>
      <c r="C726" t="s">
        <v>5341</v>
      </c>
      <c r="D726" t="s">
        <v>588</v>
      </c>
      <c r="E726" t="s">
        <v>6186</v>
      </c>
      <c r="F726">
        <v>46209.938194444447</v>
      </c>
      <c r="G726">
        <v>232</v>
      </c>
      <c r="H726" t="s">
        <v>6155</v>
      </c>
      <c r="I726" t="s">
        <v>5358</v>
      </c>
      <c r="J726">
        <v>19</v>
      </c>
      <c r="K726">
        <v>116.85</v>
      </c>
      <c r="L726">
        <v>2621</v>
      </c>
      <c r="M726">
        <v>2623</v>
      </c>
      <c r="N726">
        <v>2</v>
      </c>
      <c r="O726">
        <v>9.5</v>
      </c>
    </row>
    <row r="727" spans="1:15" x14ac:dyDescent="0.25">
      <c r="A727">
        <v>5</v>
      </c>
      <c r="B727">
        <v>3</v>
      </c>
      <c r="C727" t="s">
        <v>5341</v>
      </c>
      <c r="D727" t="s">
        <v>588</v>
      </c>
      <c r="E727" t="s">
        <v>6186</v>
      </c>
      <c r="F727">
        <v>46210.984722222223</v>
      </c>
      <c r="G727">
        <v>232</v>
      </c>
      <c r="H727" t="s">
        <v>6155</v>
      </c>
      <c r="I727" t="s">
        <v>5358</v>
      </c>
      <c r="J727">
        <v>16</v>
      </c>
      <c r="K727">
        <v>98.4</v>
      </c>
      <c r="L727">
        <v>2623</v>
      </c>
      <c r="M727">
        <v>2624</v>
      </c>
      <c r="N727">
        <v>1</v>
      </c>
      <c r="O727">
        <v>16</v>
      </c>
    </row>
    <row r="728" spans="1:15" x14ac:dyDescent="0.25">
      <c r="A728">
        <v>5</v>
      </c>
      <c r="B728">
        <v>3</v>
      </c>
      <c r="C728" t="s">
        <v>5341</v>
      </c>
      <c r="D728" t="s">
        <v>588</v>
      </c>
      <c r="E728" t="s">
        <v>6186</v>
      </c>
      <c r="F728">
        <v>46211.005555555559</v>
      </c>
      <c r="G728">
        <v>232</v>
      </c>
      <c r="H728" t="s">
        <v>6155</v>
      </c>
      <c r="I728" t="s">
        <v>5358</v>
      </c>
      <c r="J728">
        <v>15</v>
      </c>
      <c r="K728">
        <v>92.25</v>
      </c>
      <c r="L728">
        <v>2624</v>
      </c>
      <c r="M728">
        <v>2627</v>
      </c>
      <c r="N728">
        <v>3</v>
      </c>
      <c r="O728">
        <v>5</v>
      </c>
    </row>
    <row r="729" spans="1:15" x14ac:dyDescent="0.25">
      <c r="A729">
        <v>5</v>
      </c>
      <c r="B729">
        <v>3</v>
      </c>
      <c r="C729" t="s">
        <v>5341</v>
      </c>
      <c r="D729" t="s">
        <v>588</v>
      </c>
      <c r="E729" t="s">
        <v>6186</v>
      </c>
      <c r="F729">
        <v>46212.996527777781</v>
      </c>
      <c r="G729">
        <v>232</v>
      </c>
      <c r="H729" t="s">
        <v>6155</v>
      </c>
      <c r="I729" t="s">
        <v>5358</v>
      </c>
      <c r="J729">
        <v>17</v>
      </c>
      <c r="K729">
        <v>104.55</v>
      </c>
      <c r="L729">
        <v>2627</v>
      </c>
      <c r="M729">
        <v>2629</v>
      </c>
      <c r="N729">
        <v>2</v>
      </c>
      <c r="O729">
        <v>8.5</v>
      </c>
    </row>
    <row r="730" spans="1:15" x14ac:dyDescent="0.25">
      <c r="A730">
        <v>5</v>
      </c>
      <c r="B730">
        <v>3</v>
      </c>
      <c r="C730" t="s">
        <v>5341</v>
      </c>
      <c r="D730" t="s">
        <v>588</v>
      </c>
      <c r="E730" t="s">
        <v>6186</v>
      </c>
      <c r="F730">
        <v>46222.398611111108</v>
      </c>
      <c r="G730">
        <v>129</v>
      </c>
      <c r="H730" t="s">
        <v>6164</v>
      </c>
      <c r="I730" t="s">
        <v>5358</v>
      </c>
      <c r="J730">
        <v>19</v>
      </c>
      <c r="K730">
        <v>132.81</v>
      </c>
      <c r="L730">
        <v>2629</v>
      </c>
      <c r="M730">
        <v>2636</v>
      </c>
      <c r="N730">
        <v>7</v>
      </c>
      <c r="O730">
        <v>2.71428571428571</v>
      </c>
    </row>
    <row r="731" spans="1:15" x14ac:dyDescent="0.25">
      <c r="A731">
        <v>5</v>
      </c>
      <c r="B731">
        <v>3</v>
      </c>
      <c r="C731" t="s">
        <v>5341</v>
      </c>
      <c r="D731" t="s">
        <v>588</v>
      </c>
      <c r="E731" t="s">
        <v>6186</v>
      </c>
      <c r="F731">
        <v>46224.906944444447</v>
      </c>
      <c r="G731">
        <v>232</v>
      </c>
      <c r="H731" t="s">
        <v>6155</v>
      </c>
      <c r="I731" t="s">
        <v>5358</v>
      </c>
      <c r="J731">
        <v>20</v>
      </c>
      <c r="K731">
        <v>125</v>
      </c>
      <c r="L731">
        <v>2636</v>
      </c>
      <c r="M731">
        <v>2642</v>
      </c>
      <c r="N731">
        <v>6</v>
      </c>
      <c r="O731">
        <v>3.3333333333333299</v>
      </c>
    </row>
    <row r="732" spans="1:15" x14ac:dyDescent="0.25">
      <c r="A732">
        <v>5</v>
      </c>
      <c r="B732">
        <v>3</v>
      </c>
      <c r="C732" t="s">
        <v>5341</v>
      </c>
      <c r="D732" t="s">
        <v>588</v>
      </c>
      <c r="E732" t="s">
        <v>6186</v>
      </c>
      <c r="F732">
        <v>46227.09097222222</v>
      </c>
      <c r="G732">
        <v>232</v>
      </c>
      <c r="H732" t="s">
        <v>6155</v>
      </c>
      <c r="I732" t="s">
        <v>5358</v>
      </c>
      <c r="J732">
        <v>12</v>
      </c>
      <c r="K732">
        <v>75</v>
      </c>
      <c r="L732">
        <v>2642</v>
      </c>
      <c r="M732">
        <v>2645</v>
      </c>
      <c r="N732">
        <v>3</v>
      </c>
      <c r="O732">
        <v>4</v>
      </c>
    </row>
    <row r="733" spans="1:15" x14ac:dyDescent="0.25">
      <c r="A733">
        <v>5</v>
      </c>
      <c r="B733">
        <v>8</v>
      </c>
      <c r="C733" t="s">
        <v>5312</v>
      </c>
      <c r="D733" t="s">
        <v>416</v>
      </c>
      <c r="E733" t="s">
        <v>6187</v>
      </c>
      <c r="F733">
        <v>46207.475694444445</v>
      </c>
      <c r="G733">
        <v>232</v>
      </c>
      <c r="H733" t="s">
        <v>6155</v>
      </c>
      <c r="I733" t="s">
        <v>5358</v>
      </c>
      <c r="J733">
        <v>392</v>
      </c>
      <c r="K733">
        <v>2410.8000000000002</v>
      </c>
      <c r="L733">
        <v>465343</v>
      </c>
      <c r="M733">
        <v>465735</v>
      </c>
      <c r="N733">
        <v>392</v>
      </c>
      <c r="O733">
        <v>1</v>
      </c>
    </row>
    <row r="734" spans="1:15" x14ac:dyDescent="0.25">
      <c r="A734">
        <v>5</v>
      </c>
      <c r="B734">
        <v>8</v>
      </c>
      <c r="C734" t="s">
        <v>5312</v>
      </c>
      <c r="D734" t="s">
        <v>416</v>
      </c>
      <c r="E734" t="s">
        <v>6187</v>
      </c>
      <c r="F734">
        <v>46208.538194444445</v>
      </c>
      <c r="G734">
        <v>232</v>
      </c>
      <c r="H734" t="s">
        <v>6155</v>
      </c>
      <c r="I734" t="s">
        <v>5358</v>
      </c>
      <c r="J734">
        <v>226</v>
      </c>
      <c r="K734">
        <v>1450.92</v>
      </c>
      <c r="L734">
        <v>465735</v>
      </c>
      <c r="M734">
        <v>465961</v>
      </c>
      <c r="N734">
        <v>226</v>
      </c>
      <c r="O734">
        <v>1</v>
      </c>
    </row>
    <row r="735" spans="1:15" x14ac:dyDescent="0.25">
      <c r="A735">
        <v>5</v>
      </c>
      <c r="B735">
        <v>8</v>
      </c>
      <c r="C735" t="s">
        <v>5312</v>
      </c>
      <c r="D735" t="s">
        <v>416</v>
      </c>
      <c r="E735" t="s">
        <v>6187</v>
      </c>
      <c r="F735">
        <v>46213.431944444441</v>
      </c>
      <c r="G735">
        <v>232</v>
      </c>
      <c r="H735" t="s">
        <v>6155</v>
      </c>
      <c r="I735" t="s">
        <v>5358</v>
      </c>
      <c r="J735">
        <v>226</v>
      </c>
      <c r="K735">
        <v>1389.9</v>
      </c>
      <c r="L735">
        <v>465961</v>
      </c>
      <c r="M735">
        <v>466187</v>
      </c>
      <c r="N735">
        <v>226</v>
      </c>
      <c r="O735">
        <v>1</v>
      </c>
    </row>
    <row r="736" spans="1:15" x14ac:dyDescent="0.25">
      <c r="A736">
        <v>5</v>
      </c>
      <c r="B736">
        <v>8</v>
      </c>
      <c r="C736" t="s">
        <v>5312</v>
      </c>
      <c r="D736" t="s">
        <v>416</v>
      </c>
      <c r="E736" t="s">
        <v>6187</v>
      </c>
      <c r="F736">
        <v>46219.394444444442</v>
      </c>
      <c r="G736">
        <v>232</v>
      </c>
      <c r="H736" t="s">
        <v>6155</v>
      </c>
      <c r="I736" t="s">
        <v>5358</v>
      </c>
      <c r="J736">
        <v>101</v>
      </c>
      <c r="K736">
        <v>621.15</v>
      </c>
      <c r="L736">
        <v>466187</v>
      </c>
      <c r="M736">
        <v>466287</v>
      </c>
      <c r="N736">
        <v>100</v>
      </c>
      <c r="O736">
        <v>0.99009900990098998</v>
      </c>
    </row>
    <row r="737" spans="1:15" x14ac:dyDescent="0.25">
      <c r="A737">
        <v>5</v>
      </c>
      <c r="B737">
        <v>8</v>
      </c>
      <c r="C737" t="s">
        <v>5312</v>
      </c>
      <c r="D737" t="s">
        <v>416</v>
      </c>
      <c r="E737" t="s">
        <v>6187</v>
      </c>
      <c r="F737">
        <v>46225.379861111112</v>
      </c>
      <c r="G737">
        <v>232</v>
      </c>
      <c r="H737" t="s">
        <v>6155</v>
      </c>
      <c r="I737" t="s">
        <v>5358</v>
      </c>
      <c r="J737">
        <v>300</v>
      </c>
      <c r="K737">
        <v>1875</v>
      </c>
      <c r="L737">
        <v>466287</v>
      </c>
      <c r="M737">
        <v>466587</v>
      </c>
      <c r="N737">
        <v>300</v>
      </c>
      <c r="O737">
        <v>1</v>
      </c>
    </row>
    <row r="738" spans="1:15" x14ac:dyDescent="0.25">
      <c r="A738">
        <v>5</v>
      </c>
      <c r="B738">
        <v>8</v>
      </c>
      <c r="C738" t="s">
        <v>5312</v>
      </c>
      <c r="D738" t="s">
        <v>416</v>
      </c>
      <c r="E738" t="s">
        <v>6187</v>
      </c>
      <c r="F738">
        <v>46227.636805555558</v>
      </c>
      <c r="G738">
        <v>232</v>
      </c>
      <c r="H738" t="s">
        <v>6155</v>
      </c>
      <c r="I738" t="s">
        <v>5358</v>
      </c>
      <c r="J738">
        <v>155</v>
      </c>
      <c r="K738">
        <v>968.75</v>
      </c>
      <c r="L738">
        <v>466587</v>
      </c>
      <c r="M738">
        <v>466587</v>
      </c>
      <c r="N738">
        <v>0</v>
      </c>
      <c r="O738">
        <v>0</v>
      </c>
    </row>
    <row r="739" spans="1:15" x14ac:dyDescent="0.25">
      <c r="A739">
        <v>5</v>
      </c>
      <c r="B739">
        <v>8</v>
      </c>
      <c r="C739" t="s">
        <v>5312</v>
      </c>
      <c r="D739" t="s">
        <v>416</v>
      </c>
      <c r="E739" t="s">
        <v>6187</v>
      </c>
      <c r="F739">
        <v>46231.359027777777</v>
      </c>
      <c r="G739">
        <v>232</v>
      </c>
      <c r="H739" t="s">
        <v>6155</v>
      </c>
      <c r="I739" t="s">
        <v>5358</v>
      </c>
      <c r="J739">
        <v>135</v>
      </c>
      <c r="K739">
        <v>843.75</v>
      </c>
      <c r="L739">
        <v>466587</v>
      </c>
      <c r="M739">
        <v>466722</v>
      </c>
      <c r="N739">
        <v>135</v>
      </c>
      <c r="O739">
        <v>1</v>
      </c>
    </row>
    <row r="740" spans="1:15" x14ac:dyDescent="0.25">
      <c r="A740">
        <v>5</v>
      </c>
      <c r="B740">
        <v>8</v>
      </c>
      <c r="C740" t="s">
        <v>5312</v>
      </c>
      <c r="D740" t="s">
        <v>416</v>
      </c>
      <c r="E740" t="s">
        <v>6187</v>
      </c>
      <c r="F740">
        <v>46233.601388888892</v>
      </c>
      <c r="G740">
        <v>232</v>
      </c>
      <c r="H740" t="s">
        <v>6155</v>
      </c>
      <c r="I740" t="s">
        <v>5358</v>
      </c>
      <c r="J740">
        <v>246</v>
      </c>
      <c r="K740">
        <v>1537.5</v>
      </c>
      <c r="L740">
        <v>466722</v>
      </c>
      <c r="M740">
        <v>466968</v>
      </c>
      <c r="N740">
        <v>246</v>
      </c>
      <c r="O740">
        <v>1</v>
      </c>
    </row>
    <row r="741" spans="1:15" x14ac:dyDescent="0.25">
      <c r="A741">
        <v>5</v>
      </c>
      <c r="B741">
        <v>8</v>
      </c>
      <c r="C741" t="s">
        <v>5312</v>
      </c>
      <c r="D741" t="s">
        <v>759</v>
      </c>
      <c r="E741" t="s">
        <v>6188</v>
      </c>
      <c r="F741">
        <v>46207.357638888891</v>
      </c>
      <c r="G741">
        <v>264</v>
      </c>
      <c r="H741" t="s">
        <v>6152</v>
      </c>
      <c r="I741" t="s">
        <v>5358</v>
      </c>
      <c r="J741">
        <v>140</v>
      </c>
      <c r="K741">
        <v>861</v>
      </c>
      <c r="L741">
        <v>20409</v>
      </c>
      <c r="M741">
        <v>20420</v>
      </c>
      <c r="N741">
        <v>11</v>
      </c>
      <c r="O741">
        <v>7.8571428571428598E-2</v>
      </c>
    </row>
    <row r="742" spans="1:15" x14ac:dyDescent="0.25">
      <c r="A742">
        <v>5</v>
      </c>
      <c r="B742">
        <v>8</v>
      </c>
      <c r="C742" t="s">
        <v>5312</v>
      </c>
      <c r="D742" t="s">
        <v>759</v>
      </c>
      <c r="E742" t="s">
        <v>6188</v>
      </c>
      <c r="F742">
        <v>46209.411805555559</v>
      </c>
      <c r="G742">
        <v>264</v>
      </c>
      <c r="H742" t="s">
        <v>6152</v>
      </c>
      <c r="I742" t="s">
        <v>5358</v>
      </c>
      <c r="J742">
        <v>179</v>
      </c>
      <c r="K742">
        <v>1100.8499999999999</v>
      </c>
      <c r="L742">
        <v>20420</v>
      </c>
      <c r="M742">
        <v>20430</v>
      </c>
      <c r="N742">
        <v>10</v>
      </c>
      <c r="O742">
        <v>5.5865921787709501E-2</v>
      </c>
    </row>
    <row r="743" spans="1:15" x14ac:dyDescent="0.25">
      <c r="A743">
        <v>5</v>
      </c>
      <c r="B743">
        <v>8</v>
      </c>
      <c r="C743" t="s">
        <v>5312</v>
      </c>
      <c r="D743" t="s">
        <v>759</v>
      </c>
      <c r="E743" t="s">
        <v>6188</v>
      </c>
      <c r="F743">
        <v>46213.370138888888</v>
      </c>
      <c r="G743">
        <v>264</v>
      </c>
      <c r="H743" t="s">
        <v>6152</v>
      </c>
      <c r="I743" t="s">
        <v>5358</v>
      </c>
      <c r="J743">
        <v>303</v>
      </c>
      <c r="K743">
        <v>1863.45</v>
      </c>
      <c r="L743">
        <v>20430</v>
      </c>
      <c r="M743">
        <v>20453</v>
      </c>
      <c r="N743">
        <v>23</v>
      </c>
      <c r="O743">
        <v>7.5907590759075896E-2</v>
      </c>
    </row>
    <row r="744" spans="1:15" x14ac:dyDescent="0.25">
      <c r="A744">
        <v>5</v>
      </c>
      <c r="B744">
        <v>8</v>
      </c>
      <c r="C744" t="s">
        <v>5312</v>
      </c>
      <c r="D744" t="s">
        <v>759</v>
      </c>
      <c r="E744" t="s">
        <v>6188</v>
      </c>
      <c r="F744">
        <v>46217.472222222219</v>
      </c>
      <c r="G744">
        <v>264</v>
      </c>
      <c r="H744" t="s">
        <v>6152</v>
      </c>
      <c r="I744" t="s">
        <v>5358</v>
      </c>
      <c r="J744">
        <v>279</v>
      </c>
      <c r="K744">
        <v>1715.85</v>
      </c>
      <c r="L744">
        <v>20453</v>
      </c>
      <c r="M744">
        <v>20471</v>
      </c>
      <c r="N744">
        <v>18</v>
      </c>
      <c r="O744">
        <v>6.4516129032258104E-2</v>
      </c>
    </row>
    <row r="745" spans="1:15" x14ac:dyDescent="0.25">
      <c r="A745">
        <v>5</v>
      </c>
      <c r="B745">
        <v>8</v>
      </c>
      <c r="C745" t="s">
        <v>5312</v>
      </c>
      <c r="D745" t="s">
        <v>759</v>
      </c>
      <c r="E745" t="s">
        <v>6188</v>
      </c>
      <c r="F745">
        <v>46219.336111111108</v>
      </c>
      <c r="G745">
        <v>264</v>
      </c>
      <c r="H745" t="s">
        <v>6152</v>
      </c>
      <c r="I745" t="s">
        <v>5358</v>
      </c>
      <c r="J745">
        <v>179</v>
      </c>
      <c r="K745">
        <v>1100.8499999999999</v>
      </c>
      <c r="L745">
        <v>20471</v>
      </c>
      <c r="M745">
        <v>20482</v>
      </c>
      <c r="N745">
        <v>11</v>
      </c>
      <c r="O745">
        <v>6.1452513966480403E-2</v>
      </c>
    </row>
    <row r="746" spans="1:15" x14ac:dyDescent="0.25">
      <c r="A746">
        <v>5</v>
      </c>
      <c r="B746">
        <v>8</v>
      </c>
      <c r="C746" t="s">
        <v>5312</v>
      </c>
      <c r="D746" t="s">
        <v>759</v>
      </c>
      <c r="E746" t="s">
        <v>6188</v>
      </c>
      <c r="F746">
        <v>46221.491666666669</v>
      </c>
      <c r="G746">
        <v>264</v>
      </c>
      <c r="H746" t="s">
        <v>6152</v>
      </c>
      <c r="I746" t="s">
        <v>5358</v>
      </c>
      <c r="J746">
        <v>308</v>
      </c>
      <c r="K746">
        <v>1909.6</v>
      </c>
      <c r="L746">
        <v>20482</v>
      </c>
      <c r="M746">
        <v>20496</v>
      </c>
      <c r="N746">
        <v>14</v>
      </c>
      <c r="O746">
        <v>4.5454545454545497E-2</v>
      </c>
    </row>
    <row r="747" spans="1:15" x14ac:dyDescent="0.25">
      <c r="A747">
        <v>5</v>
      </c>
      <c r="B747">
        <v>8</v>
      </c>
      <c r="C747" t="s">
        <v>5312</v>
      </c>
      <c r="D747" t="s">
        <v>759</v>
      </c>
      <c r="E747" t="s">
        <v>6188</v>
      </c>
      <c r="F747">
        <v>46224.688888888886</v>
      </c>
      <c r="G747">
        <v>264</v>
      </c>
      <c r="H747" t="s">
        <v>6152</v>
      </c>
      <c r="I747" t="s">
        <v>5358</v>
      </c>
      <c r="J747">
        <v>256</v>
      </c>
      <c r="K747">
        <v>1615.36</v>
      </c>
      <c r="L747">
        <v>20496</v>
      </c>
      <c r="M747">
        <v>20508</v>
      </c>
      <c r="N747">
        <v>12</v>
      </c>
      <c r="O747">
        <v>4.6875E-2</v>
      </c>
    </row>
    <row r="748" spans="1:15" x14ac:dyDescent="0.25">
      <c r="A748">
        <v>5</v>
      </c>
      <c r="B748">
        <v>8</v>
      </c>
      <c r="C748" t="s">
        <v>5312</v>
      </c>
      <c r="D748" t="s">
        <v>759</v>
      </c>
      <c r="E748" t="s">
        <v>6188</v>
      </c>
      <c r="F748">
        <v>46227.804861111108</v>
      </c>
      <c r="G748">
        <v>264</v>
      </c>
      <c r="H748" t="s">
        <v>6152</v>
      </c>
      <c r="I748" t="s">
        <v>5358</v>
      </c>
      <c r="J748">
        <v>500</v>
      </c>
      <c r="K748">
        <v>3155</v>
      </c>
      <c r="L748">
        <v>20508</v>
      </c>
      <c r="M748">
        <v>20529</v>
      </c>
      <c r="N748">
        <v>21</v>
      </c>
      <c r="O748">
        <v>4.2000000000000003E-2</v>
      </c>
    </row>
    <row r="749" spans="1:15" x14ac:dyDescent="0.25">
      <c r="A749">
        <v>5</v>
      </c>
      <c r="B749">
        <v>8</v>
      </c>
      <c r="C749" t="s">
        <v>5312</v>
      </c>
      <c r="D749" t="s">
        <v>759</v>
      </c>
      <c r="E749" t="s">
        <v>6188</v>
      </c>
      <c r="F749">
        <v>46228.773611111108</v>
      </c>
      <c r="G749">
        <v>264</v>
      </c>
      <c r="H749" t="s">
        <v>6152</v>
      </c>
      <c r="I749" t="s">
        <v>5358</v>
      </c>
      <c r="J749">
        <v>192</v>
      </c>
      <c r="K749">
        <v>1205.76</v>
      </c>
      <c r="L749">
        <v>20529</v>
      </c>
      <c r="M749">
        <v>20537</v>
      </c>
      <c r="N749">
        <v>8</v>
      </c>
      <c r="O749">
        <v>4.1666666666666699E-2</v>
      </c>
    </row>
    <row r="750" spans="1:15" x14ac:dyDescent="0.25">
      <c r="A750">
        <v>5</v>
      </c>
      <c r="B750">
        <v>8</v>
      </c>
      <c r="C750" t="s">
        <v>5312</v>
      </c>
      <c r="D750" t="s">
        <v>759</v>
      </c>
      <c r="E750" t="s">
        <v>6188</v>
      </c>
      <c r="F750">
        <v>46232.897916666669</v>
      </c>
      <c r="G750">
        <v>264</v>
      </c>
      <c r="H750" t="s">
        <v>6152</v>
      </c>
      <c r="I750" t="s">
        <v>5358</v>
      </c>
      <c r="J750">
        <v>403</v>
      </c>
      <c r="K750">
        <v>2530.84</v>
      </c>
      <c r="L750">
        <v>20537</v>
      </c>
      <c r="M750">
        <v>20557</v>
      </c>
      <c r="N750">
        <v>20</v>
      </c>
      <c r="O750">
        <v>4.9627791563275403E-2</v>
      </c>
    </row>
    <row r="751" spans="1:15" x14ac:dyDescent="0.25">
      <c r="A751">
        <v>5</v>
      </c>
      <c r="B751">
        <v>8</v>
      </c>
      <c r="C751" t="s">
        <v>5312</v>
      </c>
      <c r="D751" t="s">
        <v>759</v>
      </c>
      <c r="E751" t="s">
        <v>6188</v>
      </c>
      <c r="F751">
        <v>46234.90347222222</v>
      </c>
      <c r="G751">
        <v>264</v>
      </c>
      <c r="H751" t="s">
        <v>6152</v>
      </c>
      <c r="I751" t="s">
        <v>5358</v>
      </c>
      <c r="J751">
        <v>155</v>
      </c>
      <c r="K751">
        <v>973.4</v>
      </c>
      <c r="L751">
        <v>20557</v>
      </c>
      <c r="M751">
        <v>20566</v>
      </c>
      <c r="N751">
        <v>9</v>
      </c>
      <c r="O751">
        <v>5.8064516129032302E-2</v>
      </c>
    </row>
    <row r="752" spans="1:15" x14ac:dyDescent="0.25">
      <c r="A752">
        <v>5</v>
      </c>
      <c r="B752">
        <v>8</v>
      </c>
      <c r="C752" t="s">
        <v>5312</v>
      </c>
      <c r="D752" t="s">
        <v>451</v>
      </c>
      <c r="E752" t="s">
        <v>6189</v>
      </c>
      <c r="F752">
        <v>46216.462500000001</v>
      </c>
      <c r="G752">
        <v>232</v>
      </c>
      <c r="H752" t="s">
        <v>6155</v>
      </c>
      <c r="I752" t="s">
        <v>5358</v>
      </c>
      <c r="J752">
        <v>74</v>
      </c>
      <c r="K752">
        <v>455.1</v>
      </c>
      <c r="L752">
        <v>235404</v>
      </c>
      <c r="M752">
        <v>235440</v>
      </c>
      <c r="N752">
        <v>36</v>
      </c>
      <c r="O752">
        <v>0.48648648648648701</v>
      </c>
    </row>
    <row r="753" spans="1:15" x14ac:dyDescent="0.25">
      <c r="A753">
        <v>5</v>
      </c>
      <c r="B753">
        <v>8</v>
      </c>
      <c r="C753" t="s">
        <v>5312</v>
      </c>
      <c r="D753" t="s">
        <v>451</v>
      </c>
      <c r="E753" t="s">
        <v>6189</v>
      </c>
      <c r="F753">
        <v>46219.117361111108</v>
      </c>
      <c r="G753">
        <v>232</v>
      </c>
      <c r="H753" t="s">
        <v>6155</v>
      </c>
      <c r="I753" t="s">
        <v>5358</v>
      </c>
      <c r="J753">
        <v>109</v>
      </c>
      <c r="K753">
        <v>670.35</v>
      </c>
      <c r="L753">
        <v>235440</v>
      </c>
      <c r="M753">
        <v>9308</v>
      </c>
      <c r="N753">
        <v>0</v>
      </c>
      <c r="O753">
        <v>0</v>
      </c>
    </row>
    <row r="754" spans="1:15" x14ac:dyDescent="0.25">
      <c r="A754">
        <v>5</v>
      </c>
      <c r="B754">
        <v>8</v>
      </c>
      <c r="C754" t="s">
        <v>5312</v>
      </c>
      <c r="D754" t="s">
        <v>451</v>
      </c>
      <c r="E754" t="s">
        <v>6189</v>
      </c>
      <c r="F754">
        <v>46221.930555555555</v>
      </c>
      <c r="G754">
        <v>232</v>
      </c>
      <c r="H754" t="s">
        <v>6155</v>
      </c>
      <c r="I754" t="s">
        <v>5358</v>
      </c>
      <c r="J754">
        <v>92</v>
      </c>
      <c r="K754">
        <v>565.79999999999995</v>
      </c>
      <c r="L754">
        <v>9308</v>
      </c>
      <c r="M754">
        <v>9321</v>
      </c>
      <c r="N754">
        <v>13</v>
      </c>
      <c r="O754">
        <v>0.141304347826087</v>
      </c>
    </row>
    <row r="755" spans="1:15" x14ac:dyDescent="0.25">
      <c r="A755">
        <v>5</v>
      </c>
      <c r="B755">
        <v>8</v>
      </c>
      <c r="C755" t="s">
        <v>5312</v>
      </c>
      <c r="D755" t="s">
        <v>451</v>
      </c>
      <c r="E755" t="s">
        <v>6189</v>
      </c>
      <c r="F755">
        <v>46225.018055555556</v>
      </c>
      <c r="G755">
        <v>232</v>
      </c>
      <c r="H755" t="s">
        <v>6155</v>
      </c>
      <c r="I755" t="s">
        <v>5358</v>
      </c>
      <c r="J755">
        <v>88</v>
      </c>
      <c r="K755">
        <v>550</v>
      </c>
      <c r="L755">
        <v>9321</v>
      </c>
      <c r="M755">
        <v>9339</v>
      </c>
      <c r="N755">
        <v>18</v>
      </c>
      <c r="O755">
        <v>0.204545454545455</v>
      </c>
    </row>
    <row r="756" spans="1:15" x14ac:dyDescent="0.25">
      <c r="A756">
        <v>5</v>
      </c>
      <c r="B756">
        <v>8</v>
      </c>
      <c r="C756" t="s">
        <v>5312</v>
      </c>
      <c r="D756" t="s">
        <v>451</v>
      </c>
      <c r="E756" t="s">
        <v>6189</v>
      </c>
      <c r="F756">
        <v>46227.074999999997</v>
      </c>
      <c r="G756">
        <v>232</v>
      </c>
      <c r="H756" t="s">
        <v>6155</v>
      </c>
      <c r="I756" t="s">
        <v>5358</v>
      </c>
      <c r="J756">
        <v>51</v>
      </c>
      <c r="K756">
        <v>318.75</v>
      </c>
      <c r="L756">
        <v>9339</v>
      </c>
      <c r="M756">
        <v>9345</v>
      </c>
      <c r="N756">
        <v>6</v>
      </c>
      <c r="O756">
        <v>0.11764705882352899</v>
      </c>
    </row>
    <row r="757" spans="1:15" x14ac:dyDescent="0.25">
      <c r="A757">
        <v>5</v>
      </c>
      <c r="B757">
        <v>8</v>
      </c>
      <c r="C757" t="s">
        <v>5312</v>
      </c>
      <c r="D757" t="s">
        <v>451</v>
      </c>
      <c r="E757" t="s">
        <v>6189</v>
      </c>
      <c r="F757">
        <v>46228.974305555559</v>
      </c>
      <c r="G757">
        <v>232</v>
      </c>
      <c r="H757" t="s">
        <v>6155</v>
      </c>
      <c r="I757" t="s">
        <v>5358</v>
      </c>
      <c r="J757">
        <v>41</v>
      </c>
      <c r="K757">
        <v>256.25</v>
      </c>
      <c r="L757">
        <v>9345</v>
      </c>
      <c r="M757">
        <v>9351</v>
      </c>
      <c r="N757">
        <v>6</v>
      </c>
      <c r="O757">
        <v>0.146341463414634</v>
      </c>
    </row>
    <row r="758" spans="1:15" x14ac:dyDescent="0.25">
      <c r="A758">
        <v>5</v>
      </c>
      <c r="B758">
        <v>8</v>
      </c>
      <c r="C758" t="s">
        <v>5312</v>
      </c>
      <c r="D758" t="s">
        <v>451</v>
      </c>
      <c r="E758" t="s">
        <v>6189</v>
      </c>
      <c r="F758">
        <v>46231.029861111114</v>
      </c>
      <c r="G758">
        <v>232</v>
      </c>
      <c r="H758" t="s">
        <v>6155</v>
      </c>
      <c r="I758" t="s">
        <v>5358</v>
      </c>
      <c r="J758">
        <v>94</v>
      </c>
      <c r="K758">
        <v>587.5</v>
      </c>
      <c r="L758">
        <v>9351</v>
      </c>
      <c r="M758">
        <v>9370</v>
      </c>
      <c r="N758">
        <v>19</v>
      </c>
      <c r="O758">
        <v>0.20212765957446799</v>
      </c>
    </row>
    <row r="759" spans="1:15" x14ac:dyDescent="0.25">
      <c r="A759">
        <v>5</v>
      </c>
      <c r="B759">
        <v>8</v>
      </c>
      <c r="C759" t="s">
        <v>5312</v>
      </c>
      <c r="D759" t="s">
        <v>451</v>
      </c>
      <c r="E759" t="s">
        <v>6189</v>
      </c>
      <c r="F759">
        <v>46234.068055555559</v>
      </c>
      <c r="G759">
        <v>232</v>
      </c>
      <c r="H759" t="s">
        <v>6155</v>
      </c>
      <c r="I759" t="s">
        <v>5358</v>
      </c>
      <c r="J759">
        <v>88</v>
      </c>
      <c r="K759">
        <v>550</v>
      </c>
      <c r="L759">
        <v>9370</v>
      </c>
      <c r="M759">
        <v>9388</v>
      </c>
      <c r="N759">
        <v>18</v>
      </c>
      <c r="O759">
        <v>0.204545454545455</v>
      </c>
    </row>
    <row r="760" spans="1:15" x14ac:dyDescent="0.25">
      <c r="A760">
        <v>5</v>
      </c>
      <c r="B760">
        <v>8</v>
      </c>
      <c r="C760" t="s">
        <v>5312</v>
      </c>
      <c r="D760" t="s">
        <v>71</v>
      </c>
      <c r="E760" t="s">
        <v>6190</v>
      </c>
      <c r="F760">
        <v>46204.769444444442</v>
      </c>
      <c r="G760">
        <v>264</v>
      </c>
      <c r="H760" t="s">
        <v>6152</v>
      </c>
      <c r="I760" t="s">
        <v>5358</v>
      </c>
      <c r="J760">
        <v>136</v>
      </c>
      <c r="K760">
        <v>836.4</v>
      </c>
      <c r="L760">
        <v>2584</v>
      </c>
      <c r="M760">
        <v>2594</v>
      </c>
      <c r="N760">
        <v>10</v>
      </c>
      <c r="O760">
        <v>13.6</v>
      </c>
    </row>
    <row r="761" spans="1:15" x14ac:dyDescent="0.25">
      <c r="A761">
        <v>5</v>
      </c>
      <c r="B761">
        <v>8</v>
      </c>
      <c r="C761" t="s">
        <v>5312</v>
      </c>
      <c r="D761" t="s">
        <v>71</v>
      </c>
      <c r="E761" t="s">
        <v>6190</v>
      </c>
      <c r="F761">
        <v>46205.831250000003</v>
      </c>
      <c r="G761">
        <v>264</v>
      </c>
      <c r="H761" t="s">
        <v>6152</v>
      </c>
      <c r="I761" t="s">
        <v>5358</v>
      </c>
      <c r="J761">
        <v>105</v>
      </c>
      <c r="K761">
        <v>645.75</v>
      </c>
      <c r="L761">
        <v>2594</v>
      </c>
      <c r="M761">
        <v>2602</v>
      </c>
      <c r="N761">
        <v>8</v>
      </c>
      <c r="O761">
        <v>13.125</v>
      </c>
    </row>
    <row r="762" spans="1:15" x14ac:dyDescent="0.25">
      <c r="A762">
        <v>5</v>
      </c>
      <c r="B762">
        <v>8</v>
      </c>
      <c r="C762" t="s">
        <v>5312</v>
      </c>
      <c r="D762" t="s">
        <v>71</v>
      </c>
      <c r="E762" t="s">
        <v>6190</v>
      </c>
      <c r="F762">
        <v>46208.65347222222</v>
      </c>
      <c r="G762">
        <v>264</v>
      </c>
      <c r="H762" t="s">
        <v>6152</v>
      </c>
      <c r="I762" t="s">
        <v>5358</v>
      </c>
      <c r="J762">
        <v>154</v>
      </c>
      <c r="K762">
        <v>947.1</v>
      </c>
      <c r="L762">
        <v>2602</v>
      </c>
      <c r="M762">
        <v>2614</v>
      </c>
      <c r="N762">
        <v>12</v>
      </c>
      <c r="O762">
        <v>12.8333333333333</v>
      </c>
    </row>
    <row r="763" spans="1:15" x14ac:dyDescent="0.25">
      <c r="A763">
        <v>5</v>
      </c>
      <c r="B763">
        <v>8</v>
      </c>
      <c r="C763" t="s">
        <v>5312</v>
      </c>
      <c r="D763" t="s">
        <v>71</v>
      </c>
      <c r="E763" t="s">
        <v>6190</v>
      </c>
      <c r="F763">
        <v>46210.782638888886</v>
      </c>
      <c r="G763">
        <v>264</v>
      </c>
      <c r="H763" t="s">
        <v>6152</v>
      </c>
      <c r="I763" t="s">
        <v>5358</v>
      </c>
      <c r="J763">
        <v>98</v>
      </c>
      <c r="K763">
        <v>602.70000000000005</v>
      </c>
      <c r="L763">
        <v>2614</v>
      </c>
      <c r="M763">
        <v>2626</v>
      </c>
      <c r="N763">
        <v>12</v>
      </c>
      <c r="O763">
        <v>8.1666666666666696</v>
      </c>
    </row>
    <row r="764" spans="1:15" x14ac:dyDescent="0.25">
      <c r="A764">
        <v>5</v>
      </c>
      <c r="B764">
        <v>8</v>
      </c>
      <c r="C764" t="s">
        <v>5312</v>
      </c>
      <c r="D764" t="s">
        <v>71</v>
      </c>
      <c r="E764" t="s">
        <v>6190</v>
      </c>
      <c r="F764">
        <v>46211.837500000001</v>
      </c>
      <c r="G764">
        <v>264</v>
      </c>
      <c r="H764" t="s">
        <v>6152</v>
      </c>
      <c r="I764" t="s">
        <v>5358</v>
      </c>
      <c r="J764">
        <v>58</v>
      </c>
      <c r="K764">
        <v>356.7</v>
      </c>
      <c r="L764">
        <v>2626</v>
      </c>
      <c r="M764">
        <v>2631</v>
      </c>
      <c r="N764">
        <v>5</v>
      </c>
      <c r="O764">
        <v>11.6</v>
      </c>
    </row>
    <row r="765" spans="1:15" x14ac:dyDescent="0.25">
      <c r="A765">
        <v>5</v>
      </c>
      <c r="B765">
        <v>8</v>
      </c>
      <c r="C765" t="s">
        <v>5312</v>
      </c>
      <c r="D765" t="s">
        <v>71</v>
      </c>
      <c r="E765" t="s">
        <v>6190</v>
      </c>
      <c r="F765">
        <v>46214.744444444441</v>
      </c>
      <c r="G765">
        <v>264</v>
      </c>
      <c r="H765" t="s">
        <v>6152</v>
      </c>
      <c r="I765" t="s">
        <v>5358</v>
      </c>
      <c r="J765">
        <v>36</v>
      </c>
      <c r="K765">
        <v>221.4</v>
      </c>
      <c r="L765">
        <v>2631</v>
      </c>
      <c r="M765">
        <v>2635</v>
      </c>
      <c r="N765">
        <v>4</v>
      </c>
      <c r="O765">
        <v>9</v>
      </c>
    </row>
    <row r="766" spans="1:15" x14ac:dyDescent="0.25">
      <c r="A766">
        <v>5</v>
      </c>
      <c r="B766">
        <v>8</v>
      </c>
      <c r="C766" t="s">
        <v>5312</v>
      </c>
      <c r="D766" t="s">
        <v>71</v>
      </c>
      <c r="E766" t="s">
        <v>6190</v>
      </c>
      <c r="F766">
        <v>46221.898611111108</v>
      </c>
      <c r="G766">
        <v>264</v>
      </c>
      <c r="H766" t="s">
        <v>6152</v>
      </c>
      <c r="I766" t="s">
        <v>5358</v>
      </c>
      <c r="J766">
        <v>120</v>
      </c>
      <c r="K766">
        <v>744</v>
      </c>
      <c r="L766">
        <v>2635</v>
      </c>
      <c r="M766">
        <v>2648</v>
      </c>
      <c r="N766">
        <v>13</v>
      </c>
      <c r="O766">
        <v>9.2307692307692299</v>
      </c>
    </row>
    <row r="767" spans="1:15" x14ac:dyDescent="0.25">
      <c r="A767">
        <v>5</v>
      </c>
      <c r="B767">
        <v>8</v>
      </c>
      <c r="C767" t="s">
        <v>5312</v>
      </c>
      <c r="D767" t="s">
        <v>71</v>
      </c>
      <c r="E767" t="s">
        <v>6190</v>
      </c>
      <c r="F767">
        <v>46223.870138888888</v>
      </c>
      <c r="G767">
        <v>264</v>
      </c>
      <c r="H767" t="s">
        <v>6152</v>
      </c>
      <c r="I767" t="s">
        <v>5358</v>
      </c>
      <c r="J767">
        <v>113</v>
      </c>
      <c r="K767">
        <v>713.03</v>
      </c>
      <c r="L767">
        <v>2648</v>
      </c>
      <c r="M767">
        <v>2661</v>
      </c>
      <c r="N767">
        <v>13</v>
      </c>
      <c r="O767">
        <v>8.6923076923076898</v>
      </c>
    </row>
    <row r="768" spans="1:15" x14ac:dyDescent="0.25">
      <c r="A768">
        <v>5</v>
      </c>
      <c r="B768">
        <v>8</v>
      </c>
      <c r="C768" t="s">
        <v>5312</v>
      </c>
      <c r="D768" t="s">
        <v>71</v>
      </c>
      <c r="E768" t="s">
        <v>6190</v>
      </c>
      <c r="F768">
        <v>46224.813194444447</v>
      </c>
      <c r="G768">
        <v>264</v>
      </c>
      <c r="H768" t="s">
        <v>6152</v>
      </c>
      <c r="I768" t="s">
        <v>5358</v>
      </c>
      <c r="J768">
        <v>49</v>
      </c>
      <c r="K768">
        <v>309.19</v>
      </c>
      <c r="L768">
        <v>2661</v>
      </c>
      <c r="M768">
        <v>2667</v>
      </c>
      <c r="N768">
        <v>6</v>
      </c>
      <c r="O768">
        <v>8.1666666666666696</v>
      </c>
    </row>
    <row r="769" spans="1:15" x14ac:dyDescent="0.25">
      <c r="A769">
        <v>5</v>
      </c>
      <c r="B769">
        <v>8</v>
      </c>
      <c r="C769" t="s">
        <v>5312</v>
      </c>
      <c r="D769" t="s">
        <v>71</v>
      </c>
      <c r="E769" t="s">
        <v>6190</v>
      </c>
      <c r="F769">
        <v>46230.892361111109</v>
      </c>
      <c r="G769">
        <v>264</v>
      </c>
      <c r="H769" t="s">
        <v>6152</v>
      </c>
      <c r="I769" t="s">
        <v>5358</v>
      </c>
      <c r="J769">
        <v>25</v>
      </c>
      <c r="K769">
        <v>157</v>
      </c>
      <c r="L769">
        <v>2667</v>
      </c>
      <c r="M769">
        <v>2670</v>
      </c>
      <c r="N769">
        <v>3</v>
      </c>
      <c r="O769">
        <v>8.3333333333333304</v>
      </c>
    </row>
    <row r="770" spans="1:15" x14ac:dyDescent="0.25">
      <c r="A770">
        <v>5</v>
      </c>
      <c r="B770">
        <v>8</v>
      </c>
      <c r="C770" t="s">
        <v>5312</v>
      </c>
      <c r="D770" t="s">
        <v>71</v>
      </c>
      <c r="E770" t="s">
        <v>6190</v>
      </c>
      <c r="F770">
        <v>46231.931250000001</v>
      </c>
      <c r="G770">
        <v>264</v>
      </c>
      <c r="H770" t="s">
        <v>6152</v>
      </c>
      <c r="I770" t="s">
        <v>5358</v>
      </c>
      <c r="J770">
        <v>22</v>
      </c>
      <c r="K770">
        <v>138.16</v>
      </c>
      <c r="L770">
        <v>2670</v>
      </c>
      <c r="M770">
        <v>2671</v>
      </c>
      <c r="N770">
        <v>1</v>
      </c>
      <c r="O770">
        <v>22</v>
      </c>
    </row>
    <row r="771" spans="1:15" x14ac:dyDescent="0.25">
      <c r="A771">
        <v>5</v>
      </c>
      <c r="B771">
        <v>8</v>
      </c>
      <c r="C771" t="s">
        <v>5312</v>
      </c>
      <c r="D771" t="s">
        <v>422</v>
      </c>
      <c r="E771" t="s">
        <v>6191</v>
      </c>
      <c r="F771">
        <v>46205.459722222222</v>
      </c>
      <c r="G771">
        <v>232</v>
      </c>
      <c r="H771" t="s">
        <v>6155</v>
      </c>
      <c r="I771" t="s">
        <v>5358</v>
      </c>
      <c r="J771">
        <v>52</v>
      </c>
      <c r="K771">
        <v>319.8</v>
      </c>
      <c r="L771">
        <v>10736</v>
      </c>
      <c r="M771">
        <v>10750</v>
      </c>
      <c r="N771">
        <v>14</v>
      </c>
      <c r="O771">
        <v>0.269230769230769</v>
      </c>
    </row>
    <row r="772" spans="1:15" x14ac:dyDescent="0.25">
      <c r="A772">
        <v>5</v>
      </c>
      <c r="B772">
        <v>8</v>
      </c>
      <c r="C772" t="s">
        <v>5312</v>
      </c>
      <c r="D772" t="s">
        <v>422</v>
      </c>
      <c r="E772" t="s">
        <v>6191</v>
      </c>
      <c r="F772">
        <v>46208.539583333331</v>
      </c>
      <c r="G772">
        <v>232</v>
      </c>
      <c r="H772" t="s">
        <v>6155</v>
      </c>
      <c r="I772" t="s">
        <v>5358</v>
      </c>
      <c r="J772">
        <v>39</v>
      </c>
      <c r="K772">
        <v>250.38</v>
      </c>
      <c r="L772">
        <v>10750</v>
      </c>
      <c r="M772">
        <v>10765</v>
      </c>
      <c r="N772">
        <v>15</v>
      </c>
      <c r="O772">
        <v>0.38461538461538503</v>
      </c>
    </row>
    <row r="773" spans="1:15" x14ac:dyDescent="0.25">
      <c r="A773">
        <v>5</v>
      </c>
      <c r="B773">
        <v>8</v>
      </c>
      <c r="C773" t="s">
        <v>5312</v>
      </c>
      <c r="D773" t="s">
        <v>422</v>
      </c>
      <c r="E773" t="s">
        <v>6191</v>
      </c>
      <c r="F773">
        <v>46219.397916666669</v>
      </c>
      <c r="G773">
        <v>232</v>
      </c>
      <c r="H773" t="s">
        <v>6155</v>
      </c>
      <c r="I773" t="s">
        <v>5358</v>
      </c>
      <c r="J773">
        <v>66</v>
      </c>
      <c r="K773">
        <v>405.9</v>
      </c>
      <c r="L773">
        <v>10765</v>
      </c>
      <c r="M773">
        <v>10802</v>
      </c>
      <c r="N773">
        <v>37</v>
      </c>
      <c r="O773">
        <v>0.560606060606061</v>
      </c>
    </row>
    <row r="774" spans="1:15" x14ac:dyDescent="0.25">
      <c r="A774">
        <v>5</v>
      </c>
      <c r="B774">
        <v>8</v>
      </c>
      <c r="C774" t="s">
        <v>5312</v>
      </c>
      <c r="D774" t="s">
        <v>422</v>
      </c>
      <c r="E774" t="s">
        <v>6191</v>
      </c>
      <c r="F774">
        <v>46225.382638888892</v>
      </c>
      <c r="G774">
        <v>232</v>
      </c>
      <c r="H774" t="s">
        <v>6155</v>
      </c>
      <c r="I774" t="s">
        <v>5358</v>
      </c>
      <c r="J774">
        <v>76</v>
      </c>
      <c r="K774">
        <v>475</v>
      </c>
      <c r="L774">
        <v>10802</v>
      </c>
      <c r="M774">
        <v>10837</v>
      </c>
      <c r="N774">
        <v>35</v>
      </c>
      <c r="O774">
        <v>0.46052631578947401</v>
      </c>
    </row>
    <row r="775" spans="1:15" x14ac:dyDescent="0.25">
      <c r="A775">
        <v>5</v>
      </c>
      <c r="B775">
        <v>8</v>
      </c>
      <c r="C775" t="s">
        <v>5312</v>
      </c>
      <c r="D775" t="s">
        <v>422</v>
      </c>
      <c r="E775" t="s">
        <v>6191</v>
      </c>
      <c r="F775">
        <v>46229.760416666664</v>
      </c>
      <c r="G775">
        <v>232</v>
      </c>
      <c r="H775" t="s">
        <v>6155</v>
      </c>
      <c r="I775" t="s">
        <v>5358</v>
      </c>
      <c r="J775">
        <v>31</v>
      </c>
      <c r="K775">
        <v>195.3</v>
      </c>
      <c r="L775">
        <v>10837</v>
      </c>
      <c r="M775">
        <v>10860</v>
      </c>
      <c r="N775">
        <v>23</v>
      </c>
      <c r="O775">
        <v>0.74193548387096797</v>
      </c>
    </row>
    <row r="776" spans="1:15" x14ac:dyDescent="0.25">
      <c r="A776">
        <v>5</v>
      </c>
      <c r="B776">
        <v>8</v>
      </c>
      <c r="C776" t="s">
        <v>5312</v>
      </c>
      <c r="D776" t="s">
        <v>422</v>
      </c>
      <c r="E776" t="s">
        <v>6191</v>
      </c>
      <c r="F776">
        <v>46234.375694444447</v>
      </c>
      <c r="G776">
        <v>232</v>
      </c>
      <c r="H776" t="s">
        <v>6155</v>
      </c>
      <c r="I776" t="s">
        <v>5358</v>
      </c>
      <c r="J776">
        <v>57</v>
      </c>
      <c r="K776">
        <v>356.25</v>
      </c>
      <c r="L776">
        <v>10860</v>
      </c>
      <c r="M776">
        <v>10891</v>
      </c>
      <c r="N776">
        <v>31</v>
      </c>
      <c r="O776">
        <v>0.54385964912280704</v>
      </c>
    </row>
    <row r="777" spans="1:15" x14ac:dyDescent="0.25">
      <c r="A777">
        <v>5</v>
      </c>
      <c r="B777">
        <v>54</v>
      </c>
      <c r="C777" t="s">
        <v>520</v>
      </c>
      <c r="D777" t="s">
        <v>516</v>
      </c>
      <c r="E777" t="s">
        <v>310</v>
      </c>
      <c r="F777">
        <v>46204.522916666669</v>
      </c>
      <c r="G777">
        <v>264</v>
      </c>
      <c r="H777" t="s">
        <v>6152</v>
      </c>
      <c r="I777" t="s">
        <v>5358</v>
      </c>
      <c r="J777">
        <v>100</v>
      </c>
      <c r="K777">
        <v>615</v>
      </c>
      <c r="L777">
        <v>2710</v>
      </c>
      <c r="M777">
        <v>2715</v>
      </c>
      <c r="N777">
        <v>5</v>
      </c>
      <c r="O777">
        <v>0.05</v>
      </c>
    </row>
    <row r="778" spans="1:15" x14ac:dyDescent="0.25">
      <c r="A778">
        <v>5</v>
      </c>
      <c r="B778">
        <v>54</v>
      </c>
      <c r="C778" t="s">
        <v>520</v>
      </c>
      <c r="D778" t="s">
        <v>516</v>
      </c>
      <c r="E778" t="s">
        <v>310</v>
      </c>
      <c r="F778">
        <v>46208.393750000003</v>
      </c>
      <c r="G778">
        <v>264</v>
      </c>
      <c r="H778" t="s">
        <v>6152</v>
      </c>
      <c r="I778" t="s">
        <v>5358</v>
      </c>
      <c r="J778">
        <v>65</v>
      </c>
      <c r="K778">
        <v>399.75</v>
      </c>
      <c r="L778">
        <v>2715</v>
      </c>
      <c r="M778">
        <v>2720</v>
      </c>
      <c r="N778">
        <v>5</v>
      </c>
      <c r="O778">
        <v>7.69230769230769E-2</v>
      </c>
    </row>
    <row r="779" spans="1:15" x14ac:dyDescent="0.25">
      <c r="A779">
        <v>5</v>
      </c>
      <c r="B779">
        <v>54</v>
      </c>
      <c r="C779" t="s">
        <v>520</v>
      </c>
      <c r="D779" t="s">
        <v>516</v>
      </c>
      <c r="E779" t="s">
        <v>310</v>
      </c>
      <c r="F779">
        <v>46210.660416666666</v>
      </c>
      <c r="G779">
        <v>264</v>
      </c>
      <c r="H779" t="s">
        <v>6152</v>
      </c>
      <c r="I779" t="s">
        <v>5358</v>
      </c>
      <c r="J779">
        <v>55</v>
      </c>
      <c r="K779">
        <v>338.25</v>
      </c>
      <c r="L779">
        <v>2720</v>
      </c>
      <c r="M779">
        <v>10844</v>
      </c>
      <c r="N779">
        <v>8124</v>
      </c>
      <c r="O779">
        <v>147.709090909091</v>
      </c>
    </row>
    <row r="780" spans="1:15" x14ac:dyDescent="0.25">
      <c r="A780">
        <v>5</v>
      </c>
      <c r="B780">
        <v>54</v>
      </c>
      <c r="C780" t="s">
        <v>520</v>
      </c>
      <c r="D780" t="s">
        <v>516</v>
      </c>
      <c r="E780" t="s">
        <v>310</v>
      </c>
      <c r="F780">
        <v>46213.368750000001</v>
      </c>
      <c r="G780">
        <v>264</v>
      </c>
      <c r="H780" t="s">
        <v>6152</v>
      </c>
      <c r="I780" t="s">
        <v>5358</v>
      </c>
      <c r="J780">
        <v>90</v>
      </c>
      <c r="K780">
        <v>553.5</v>
      </c>
      <c r="L780">
        <v>10844</v>
      </c>
      <c r="M780">
        <v>10854</v>
      </c>
      <c r="N780">
        <v>10</v>
      </c>
      <c r="O780">
        <v>0.11111111111111099</v>
      </c>
    </row>
    <row r="781" spans="1:15" x14ac:dyDescent="0.25">
      <c r="A781">
        <v>5</v>
      </c>
      <c r="B781">
        <v>54</v>
      </c>
      <c r="C781" t="s">
        <v>520</v>
      </c>
      <c r="D781" t="s">
        <v>516</v>
      </c>
      <c r="E781" t="s">
        <v>310</v>
      </c>
      <c r="F781">
        <v>46216.497916666667</v>
      </c>
      <c r="G781">
        <v>264</v>
      </c>
      <c r="H781" t="s">
        <v>6152</v>
      </c>
      <c r="I781" t="s">
        <v>5358</v>
      </c>
      <c r="J781">
        <v>24</v>
      </c>
      <c r="K781">
        <v>147.6</v>
      </c>
      <c r="L781">
        <v>10854</v>
      </c>
      <c r="M781">
        <v>10859</v>
      </c>
      <c r="N781">
        <v>5</v>
      </c>
      <c r="O781">
        <v>0.20833333333333301</v>
      </c>
    </row>
    <row r="782" spans="1:15" x14ac:dyDescent="0.25">
      <c r="A782">
        <v>5</v>
      </c>
      <c r="B782">
        <v>54</v>
      </c>
      <c r="C782" t="s">
        <v>520</v>
      </c>
      <c r="D782" t="s">
        <v>516</v>
      </c>
      <c r="E782" t="s">
        <v>310</v>
      </c>
      <c r="F782">
        <v>46219.338194444441</v>
      </c>
      <c r="G782">
        <v>264</v>
      </c>
      <c r="H782" t="s">
        <v>6152</v>
      </c>
      <c r="I782" t="s">
        <v>5358</v>
      </c>
      <c r="J782">
        <v>87</v>
      </c>
      <c r="K782">
        <v>535.04999999999995</v>
      </c>
      <c r="L782">
        <v>10859</v>
      </c>
      <c r="M782">
        <v>10869</v>
      </c>
      <c r="N782">
        <v>10</v>
      </c>
      <c r="O782">
        <v>0.114942528735632</v>
      </c>
    </row>
    <row r="783" spans="1:15" x14ac:dyDescent="0.25">
      <c r="A783">
        <v>5</v>
      </c>
      <c r="B783">
        <v>54</v>
      </c>
      <c r="C783" t="s">
        <v>520</v>
      </c>
      <c r="D783" t="s">
        <v>516</v>
      </c>
      <c r="E783" t="s">
        <v>310</v>
      </c>
      <c r="F783">
        <v>46223.672222222223</v>
      </c>
      <c r="G783">
        <v>264</v>
      </c>
      <c r="H783" t="s">
        <v>6152</v>
      </c>
      <c r="I783" t="s">
        <v>5358</v>
      </c>
      <c r="J783">
        <v>37</v>
      </c>
      <c r="K783">
        <v>233.47</v>
      </c>
      <c r="L783">
        <v>10869</v>
      </c>
      <c r="M783">
        <v>10873</v>
      </c>
      <c r="N783">
        <v>4</v>
      </c>
      <c r="O783">
        <v>0.108108108108108</v>
      </c>
    </row>
    <row r="784" spans="1:15" x14ac:dyDescent="0.25">
      <c r="A784">
        <v>5</v>
      </c>
      <c r="B784">
        <v>54</v>
      </c>
      <c r="C784" t="s">
        <v>520</v>
      </c>
      <c r="D784" t="s">
        <v>516</v>
      </c>
      <c r="E784" t="s">
        <v>310</v>
      </c>
      <c r="F784">
        <v>46230.45416666667</v>
      </c>
      <c r="G784">
        <v>264</v>
      </c>
      <c r="H784" t="s">
        <v>6152</v>
      </c>
      <c r="I784" t="s">
        <v>5358</v>
      </c>
      <c r="J784">
        <v>42</v>
      </c>
      <c r="K784">
        <v>263.76</v>
      </c>
      <c r="L784">
        <v>10873</v>
      </c>
      <c r="M784">
        <v>10880</v>
      </c>
      <c r="N784">
        <v>7</v>
      </c>
      <c r="O784">
        <v>0.16666666666666699</v>
      </c>
    </row>
    <row r="785" spans="1:15" x14ac:dyDescent="0.25">
      <c r="A785">
        <v>5</v>
      </c>
      <c r="B785">
        <v>54</v>
      </c>
      <c r="C785" t="s">
        <v>520</v>
      </c>
      <c r="D785" t="s">
        <v>516</v>
      </c>
      <c r="E785" t="s">
        <v>310</v>
      </c>
      <c r="F785">
        <v>46234.438888888886</v>
      </c>
      <c r="G785">
        <v>264</v>
      </c>
      <c r="H785" t="s">
        <v>6152</v>
      </c>
      <c r="I785" t="s">
        <v>5358</v>
      </c>
      <c r="J785">
        <v>38</v>
      </c>
      <c r="K785">
        <v>238.64</v>
      </c>
      <c r="L785">
        <v>10880</v>
      </c>
      <c r="M785">
        <v>10882</v>
      </c>
      <c r="N785">
        <v>2</v>
      </c>
      <c r="O785">
        <v>5.2631578947368397E-2</v>
      </c>
    </row>
    <row r="786" spans="1:15" x14ac:dyDescent="0.25">
      <c r="A786">
        <v>5</v>
      </c>
      <c r="B786">
        <v>58</v>
      </c>
      <c r="C786" t="s">
        <v>5301</v>
      </c>
      <c r="D786" t="s">
        <v>693</v>
      </c>
      <c r="E786" t="s">
        <v>6192</v>
      </c>
      <c r="F786">
        <v>46205.46597222222</v>
      </c>
      <c r="G786">
        <v>232</v>
      </c>
      <c r="H786" t="s">
        <v>6155</v>
      </c>
      <c r="I786" t="s">
        <v>5358</v>
      </c>
      <c r="J786">
        <v>65</v>
      </c>
      <c r="K786">
        <v>399.75</v>
      </c>
      <c r="L786">
        <v>2973</v>
      </c>
      <c r="M786">
        <v>2979</v>
      </c>
      <c r="N786">
        <v>6</v>
      </c>
      <c r="O786">
        <v>10.8333333333333</v>
      </c>
    </row>
    <row r="787" spans="1:15" x14ac:dyDescent="0.25">
      <c r="A787">
        <v>5</v>
      </c>
      <c r="B787">
        <v>58</v>
      </c>
      <c r="C787" t="s">
        <v>5301</v>
      </c>
      <c r="D787" t="s">
        <v>693</v>
      </c>
      <c r="E787" t="s">
        <v>6192</v>
      </c>
      <c r="F787">
        <v>46212.415972222225</v>
      </c>
      <c r="G787">
        <v>232</v>
      </c>
      <c r="H787" t="s">
        <v>6155</v>
      </c>
      <c r="I787" t="s">
        <v>5358</v>
      </c>
      <c r="J787">
        <v>78</v>
      </c>
      <c r="K787">
        <v>479.7</v>
      </c>
      <c r="L787">
        <v>2979</v>
      </c>
      <c r="M787">
        <v>2989</v>
      </c>
      <c r="N787">
        <v>10</v>
      </c>
      <c r="O787">
        <v>7.8</v>
      </c>
    </row>
    <row r="788" spans="1:15" x14ac:dyDescent="0.25">
      <c r="A788">
        <v>5</v>
      </c>
      <c r="B788">
        <v>58</v>
      </c>
      <c r="C788" t="s">
        <v>5301</v>
      </c>
      <c r="D788" t="s">
        <v>693</v>
      </c>
      <c r="E788" t="s">
        <v>6192</v>
      </c>
      <c r="F788">
        <v>46217.53402777778</v>
      </c>
      <c r="G788">
        <v>232</v>
      </c>
      <c r="H788" t="s">
        <v>6155</v>
      </c>
      <c r="I788" t="s">
        <v>5358</v>
      </c>
      <c r="J788">
        <v>57</v>
      </c>
      <c r="K788">
        <v>350.55</v>
      </c>
      <c r="L788">
        <v>2989</v>
      </c>
      <c r="M788">
        <v>2994</v>
      </c>
      <c r="N788">
        <v>5</v>
      </c>
      <c r="O788">
        <v>11.4</v>
      </c>
    </row>
    <row r="789" spans="1:15" x14ac:dyDescent="0.25">
      <c r="A789">
        <v>5</v>
      </c>
      <c r="B789">
        <v>58</v>
      </c>
      <c r="C789" t="s">
        <v>5301</v>
      </c>
      <c r="D789" t="s">
        <v>693</v>
      </c>
      <c r="E789" t="s">
        <v>6192</v>
      </c>
      <c r="F789">
        <v>46221.90902777778</v>
      </c>
      <c r="G789">
        <v>264</v>
      </c>
      <c r="H789" t="s">
        <v>6152</v>
      </c>
      <c r="I789" t="s">
        <v>5358</v>
      </c>
      <c r="J789">
        <v>143</v>
      </c>
      <c r="K789">
        <v>886.6</v>
      </c>
      <c r="L789">
        <v>2994</v>
      </c>
      <c r="M789">
        <v>3004</v>
      </c>
      <c r="N789">
        <v>10</v>
      </c>
      <c r="O789">
        <v>14.3</v>
      </c>
    </row>
    <row r="790" spans="1:15" x14ac:dyDescent="0.25">
      <c r="A790">
        <v>5</v>
      </c>
      <c r="B790">
        <v>58</v>
      </c>
      <c r="C790" t="s">
        <v>5301</v>
      </c>
      <c r="D790" t="s">
        <v>693</v>
      </c>
      <c r="E790" t="s">
        <v>6192</v>
      </c>
      <c r="F790">
        <v>46230.890972222223</v>
      </c>
      <c r="G790">
        <v>264</v>
      </c>
      <c r="H790" t="s">
        <v>6152</v>
      </c>
      <c r="I790" t="s">
        <v>5358</v>
      </c>
      <c r="J790">
        <v>37</v>
      </c>
      <c r="K790">
        <v>232.36</v>
      </c>
      <c r="L790">
        <v>3004</v>
      </c>
      <c r="M790">
        <v>3011</v>
      </c>
      <c r="N790">
        <v>7</v>
      </c>
      <c r="O790">
        <v>5.28571428571429</v>
      </c>
    </row>
    <row r="791" spans="1:15" x14ac:dyDescent="0.25">
      <c r="A791">
        <v>5</v>
      </c>
      <c r="B791">
        <v>58</v>
      </c>
      <c r="C791" t="s">
        <v>5301</v>
      </c>
      <c r="D791" t="s">
        <v>693</v>
      </c>
      <c r="E791" t="s">
        <v>6192</v>
      </c>
      <c r="F791">
        <v>46232.763888888891</v>
      </c>
      <c r="G791">
        <v>264</v>
      </c>
      <c r="H791" t="s">
        <v>6152</v>
      </c>
      <c r="I791" t="s">
        <v>5358</v>
      </c>
      <c r="J791">
        <v>63</v>
      </c>
      <c r="K791">
        <v>395.64</v>
      </c>
      <c r="L791">
        <v>3011</v>
      </c>
      <c r="M791">
        <v>3018</v>
      </c>
      <c r="N791">
        <v>7</v>
      </c>
      <c r="O791">
        <v>9</v>
      </c>
    </row>
    <row r="792" spans="1:15" x14ac:dyDescent="0.25">
      <c r="A792">
        <v>5</v>
      </c>
      <c r="B792">
        <v>58</v>
      </c>
      <c r="C792" t="s">
        <v>5301</v>
      </c>
      <c r="D792" t="s">
        <v>697</v>
      </c>
      <c r="E792" t="s">
        <v>6193</v>
      </c>
      <c r="F792">
        <v>46204.773611111108</v>
      </c>
      <c r="G792">
        <v>264</v>
      </c>
      <c r="H792" t="s">
        <v>6152</v>
      </c>
      <c r="I792" t="s">
        <v>5358</v>
      </c>
      <c r="J792">
        <v>84</v>
      </c>
      <c r="K792">
        <v>516.6</v>
      </c>
      <c r="L792">
        <v>2848</v>
      </c>
      <c r="M792">
        <v>2855</v>
      </c>
      <c r="N792">
        <v>7</v>
      </c>
      <c r="O792">
        <v>12</v>
      </c>
    </row>
    <row r="793" spans="1:15" x14ac:dyDescent="0.25">
      <c r="A793">
        <v>5</v>
      </c>
      <c r="B793">
        <v>58</v>
      </c>
      <c r="C793" t="s">
        <v>5301</v>
      </c>
      <c r="D793" t="s">
        <v>697</v>
      </c>
      <c r="E793" t="s">
        <v>6193</v>
      </c>
      <c r="F793">
        <v>46207.895833333336</v>
      </c>
      <c r="G793">
        <v>264</v>
      </c>
      <c r="H793" t="s">
        <v>6152</v>
      </c>
      <c r="I793" t="s">
        <v>5358</v>
      </c>
      <c r="J793">
        <v>116</v>
      </c>
      <c r="K793">
        <v>713.4</v>
      </c>
      <c r="L793">
        <v>2855</v>
      </c>
      <c r="M793">
        <v>2864</v>
      </c>
      <c r="N793">
        <v>9</v>
      </c>
      <c r="O793">
        <v>12.8888888888889</v>
      </c>
    </row>
    <row r="794" spans="1:15" x14ac:dyDescent="0.25">
      <c r="A794">
        <v>5</v>
      </c>
      <c r="B794">
        <v>58</v>
      </c>
      <c r="C794" t="s">
        <v>5301</v>
      </c>
      <c r="D794" t="s">
        <v>697</v>
      </c>
      <c r="E794" t="s">
        <v>6193</v>
      </c>
      <c r="F794">
        <v>46209.829861111109</v>
      </c>
      <c r="G794">
        <v>264</v>
      </c>
      <c r="H794" t="s">
        <v>6152</v>
      </c>
      <c r="I794" t="s">
        <v>5358</v>
      </c>
      <c r="J794">
        <v>113</v>
      </c>
      <c r="K794">
        <v>694.95</v>
      </c>
      <c r="L794">
        <v>2864</v>
      </c>
      <c r="M794">
        <v>2873</v>
      </c>
      <c r="N794">
        <v>9</v>
      </c>
      <c r="O794">
        <v>12.5555555555556</v>
      </c>
    </row>
    <row r="795" spans="1:15" x14ac:dyDescent="0.25">
      <c r="A795">
        <v>5</v>
      </c>
      <c r="B795">
        <v>58</v>
      </c>
      <c r="C795" t="s">
        <v>5301</v>
      </c>
      <c r="D795" t="s">
        <v>697</v>
      </c>
      <c r="E795" t="s">
        <v>6193</v>
      </c>
      <c r="F795">
        <v>46210.780555555553</v>
      </c>
      <c r="G795">
        <v>264</v>
      </c>
      <c r="H795" t="s">
        <v>6152</v>
      </c>
      <c r="I795" t="s">
        <v>5358</v>
      </c>
      <c r="J795">
        <v>54</v>
      </c>
      <c r="K795">
        <v>332.1</v>
      </c>
      <c r="L795">
        <v>2873</v>
      </c>
      <c r="M795">
        <v>2877</v>
      </c>
      <c r="N795">
        <v>4</v>
      </c>
      <c r="O795">
        <v>13.5</v>
      </c>
    </row>
    <row r="796" spans="1:15" x14ac:dyDescent="0.25">
      <c r="A796">
        <v>5</v>
      </c>
      <c r="B796">
        <v>58</v>
      </c>
      <c r="C796" t="s">
        <v>5301</v>
      </c>
      <c r="D796" t="s">
        <v>697</v>
      </c>
      <c r="E796" t="s">
        <v>6193</v>
      </c>
      <c r="F796">
        <v>46213.823611111111</v>
      </c>
      <c r="G796">
        <v>264</v>
      </c>
      <c r="H796" t="s">
        <v>6152</v>
      </c>
      <c r="I796" t="s">
        <v>5358</v>
      </c>
      <c r="J796">
        <v>161</v>
      </c>
      <c r="K796">
        <v>990.15</v>
      </c>
      <c r="L796">
        <v>2877</v>
      </c>
      <c r="M796">
        <v>2888</v>
      </c>
      <c r="N796">
        <v>11</v>
      </c>
      <c r="O796">
        <v>14.636363636363599</v>
      </c>
    </row>
    <row r="797" spans="1:15" x14ac:dyDescent="0.25">
      <c r="A797">
        <v>5</v>
      </c>
      <c r="B797">
        <v>58</v>
      </c>
      <c r="C797" t="s">
        <v>5301</v>
      </c>
      <c r="D797" t="s">
        <v>697</v>
      </c>
      <c r="E797" t="s">
        <v>6193</v>
      </c>
      <c r="F797">
        <v>46216.853472222225</v>
      </c>
      <c r="G797">
        <v>264</v>
      </c>
      <c r="H797" t="s">
        <v>6152</v>
      </c>
      <c r="I797" t="s">
        <v>5358</v>
      </c>
      <c r="J797">
        <v>107</v>
      </c>
      <c r="K797">
        <v>658.05</v>
      </c>
      <c r="L797">
        <v>2888</v>
      </c>
      <c r="M797">
        <v>2897</v>
      </c>
      <c r="N797">
        <v>9</v>
      </c>
      <c r="O797">
        <v>11.8888888888889</v>
      </c>
    </row>
    <row r="798" spans="1:15" x14ac:dyDescent="0.25">
      <c r="A798">
        <v>5</v>
      </c>
      <c r="B798">
        <v>58</v>
      </c>
      <c r="C798" t="s">
        <v>5301</v>
      </c>
      <c r="D798" t="s">
        <v>697</v>
      </c>
      <c r="E798" t="s">
        <v>6193</v>
      </c>
      <c r="F798">
        <v>46216.868750000001</v>
      </c>
      <c r="G798">
        <v>264</v>
      </c>
      <c r="H798" t="s">
        <v>6152</v>
      </c>
      <c r="I798" t="s">
        <v>5358</v>
      </c>
      <c r="J798">
        <v>42</v>
      </c>
      <c r="K798">
        <v>258.3</v>
      </c>
      <c r="L798">
        <v>2897</v>
      </c>
      <c r="M798">
        <v>2900</v>
      </c>
      <c r="N798">
        <v>3</v>
      </c>
      <c r="O798">
        <v>14</v>
      </c>
    </row>
    <row r="799" spans="1:15" x14ac:dyDescent="0.25">
      <c r="A799">
        <v>5</v>
      </c>
      <c r="B799">
        <v>58</v>
      </c>
      <c r="C799" t="s">
        <v>5301</v>
      </c>
      <c r="D799" t="s">
        <v>697</v>
      </c>
      <c r="E799" t="s">
        <v>6193</v>
      </c>
      <c r="F799">
        <v>46218.850694444445</v>
      </c>
      <c r="G799">
        <v>264</v>
      </c>
      <c r="H799" t="s">
        <v>6152</v>
      </c>
      <c r="I799" t="s">
        <v>5358</v>
      </c>
      <c r="J799">
        <v>140</v>
      </c>
      <c r="K799">
        <v>861</v>
      </c>
      <c r="L799">
        <v>2900</v>
      </c>
      <c r="M799">
        <v>2913</v>
      </c>
      <c r="N799">
        <v>13</v>
      </c>
      <c r="O799">
        <v>10.7692307692308</v>
      </c>
    </row>
    <row r="800" spans="1:15" x14ac:dyDescent="0.25">
      <c r="A800">
        <v>5</v>
      </c>
      <c r="B800">
        <v>58</v>
      </c>
      <c r="C800" t="s">
        <v>5301</v>
      </c>
      <c r="D800" t="s">
        <v>697</v>
      </c>
      <c r="E800" t="s">
        <v>6193</v>
      </c>
      <c r="F800">
        <v>46219.861111111109</v>
      </c>
      <c r="G800">
        <v>264</v>
      </c>
      <c r="H800" t="s">
        <v>6152</v>
      </c>
      <c r="I800" t="s">
        <v>5358</v>
      </c>
      <c r="J800">
        <v>33</v>
      </c>
      <c r="K800">
        <v>202.95</v>
      </c>
      <c r="L800">
        <v>2913</v>
      </c>
      <c r="M800">
        <v>2917</v>
      </c>
      <c r="N800">
        <v>4</v>
      </c>
      <c r="O800">
        <v>8.25</v>
      </c>
    </row>
    <row r="801" spans="1:15" x14ac:dyDescent="0.25">
      <c r="A801">
        <v>5</v>
      </c>
      <c r="B801">
        <v>58</v>
      </c>
      <c r="C801" t="s">
        <v>5301</v>
      </c>
      <c r="D801" t="s">
        <v>697</v>
      </c>
      <c r="E801" t="s">
        <v>6193</v>
      </c>
      <c r="F801">
        <v>46220.84652777778</v>
      </c>
      <c r="G801">
        <v>264</v>
      </c>
      <c r="H801" t="s">
        <v>6152</v>
      </c>
      <c r="I801" t="s">
        <v>5358</v>
      </c>
      <c r="J801">
        <v>77</v>
      </c>
      <c r="K801">
        <v>477.4</v>
      </c>
      <c r="L801">
        <v>2917</v>
      </c>
      <c r="M801">
        <v>2921</v>
      </c>
      <c r="N801">
        <v>4</v>
      </c>
      <c r="O801">
        <v>19.25</v>
      </c>
    </row>
    <row r="802" spans="1:15" x14ac:dyDescent="0.25">
      <c r="A802">
        <v>5</v>
      </c>
      <c r="B802">
        <v>58</v>
      </c>
      <c r="C802" t="s">
        <v>5301</v>
      </c>
      <c r="D802" t="s">
        <v>697</v>
      </c>
      <c r="E802" t="s">
        <v>6193</v>
      </c>
      <c r="F802">
        <v>46223.869444444441</v>
      </c>
      <c r="G802">
        <v>264</v>
      </c>
      <c r="H802" t="s">
        <v>6152</v>
      </c>
      <c r="I802" t="s">
        <v>5358</v>
      </c>
      <c r="J802">
        <v>126</v>
      </c>
      <c r="K802">
        <v>795.06</v>
      </c>
      <c r="L802">
        <v>2921</v>
      </c>
      <c r="M802">
        <v>2933</v>
      </c>
      <c r="N802">
        <v>12</v>
      </c>
      <c r="O802">
        <v>10.5</v>
      </c>
    </row>
    <row r="803" spans="1:15" x14ac:dyDescent="0.25">
      <c r="A803">
        <v>5</v>
      </c>
      <c r="B803">
        <v>58</v>
      </c>
      <c r="C803" t="s">
        <v>5301</v>
      </c>
      <c r="D803" t="s">
        <v>697</v>
      </c>
      <c r="E803" t="s">
        <v>6193</v>
      </c>
      <c r="F803">
        <v>46224.806250000001</v>
      </c>
      <c r="G803">
        <v>264</v>
      </c>
      <c r="H803" t="s">
        <v>6152</v>
      </c>
      <c r="I803" t="s">
        <v>5358</v>
      </c>
      <c r="J803">
        <v>29</v>
      </c>
      <c r="K803">
        <v>182.99</v>
      </c>
      <c r="L803">
        <v>2933</v>
      </c>
      <c r="M803">
        <v>2934</v>
      </c>
      <c r="N803">
        <v>1</v>
      </c>
      <c r="O803">
        <v>29</v>
      </c>
    </row>
    <row r="804" spans="1:15" x14ac:dyDescent="0.25">
      <c r="A804">
        <v>5</v>
      </c>
      <c r="B804">
        <v>58</v>
      </c>
      <c r="C804" t="s">
        <v>5301</v>
      </c>
      <c r="D804" t="s">
        <v>697</v>
      </c>
      <c r="E804" t="s">
        <v>6193</v>
      </c>
      <c r="F804">
        <v>46230.890972222223</v>
      </c>
      <c r="G804">
        <v>264</v>
      </c>
      <c r="H804" t="s">
        <v>6152</v>
      </c>
      <c r="I804" t="s">
        <v>5358</v>
      </c>
      <c r="J804">
        <v>27</v>
      </c>
      <c r="K804">
        <v>169.56</v>
      </c>
      <c r="L804">
        <v>2934</v>
      </c>
      <c r="M804">
        <v>2937</v>
      </c>
      <c r="N804">
        <v>3</v>
      </c>
      <c r="O804">
        <v>9</v>
      </c>
    </row>
    <row r="805" spans="1:15" x14ac:dyDescent="0.25">
      <c r="A805">
        <v>5</v>
      </c>
      <c r="B805">
        <v>58</v>
      </c>
      <c r="C805" t="s">
        <v>5301</v>
      </c>
      <c r="D805" t="s">
        <v>697</v>
      </c>
      <c r="E805" t="s">
        <v>6193</v>
      </c>
      <c r="F805">
        <v>46231.927777777775</v>
      </c>
      <c r="G805">
        <v>264</v>
      </c>
      <c r="H805" t="s">
        <v>6152</v>
      </c>
      <c r="I805" t="s">
        <v>5358</v>
      </c>
      <c r="J805">
        <v>24</v>
      </c>
      <c r="K805">
        <v>150.72</v>
      </c>
      <c r="L805">
        <v>2937</v>
      </c>
      <c r="M805">
        <v>2941</v>
      </c>
      <c r="N805">
        <v>4</v>
      </c>
      <c r="O805">
        <v>6</v>
      </c>
    </row>
    <row r="806" spans="1:15" x14ac:dyDescent="0.25">
      <c r="A806">
        <v>5</v>
      </c>
      <c r="B806">
        <v>58</v>
      </c>
      <c r="C806" t="s">
        <v>5301</v>
      </c>
      <c r="D806" t="s">
        <v>697</v>
      </c>
      <c r="E806" t="s">
        <v>6193</v>
      </c>
      <c r="F806">
        <v>46232.890277777777</v>
      </c>
      <c r="G806">
        <v>264</v>
      </c>
      <c r="H806" t="s">
        <v>6152</v>
      </c>
      <c r="I806" t="s">
        <v>5358</v>
      </c>
      <c r="J806">
        <v>26</v>
      </c>
      <c r="K806">
        <v>163.28</v>
      </c>
      <c r="L806">
        <v>2941</v>
      </c>
      <c r="M806">
        <v>2943</v>
      </c>
      <c r="N806">
        <v>2</v>
      </c>
      <c r="O806">
        <v>13</v>
      </c>
    </row>
    <row r="807" spans="1:15" x14ac:dyDescent="0.25">
      <c r="A807">
        <v>5</v>
      </c>
      <c r="B807">
        <v>58</v>
      </c>
      <c r="C807" t="s">
        <v>5301</v>
      </c>
      <c r="D807" t="s">
        <v>697</v>
      </c>
      <c r="E807" t="s">
        <v>6193</v>
      </c>
      <c r="F807">
        <v>46233.849305555559</v>
      </c>
      <c r="G807">
        <v>264</v>
      </c>
      <c r="H807" t="s">
        <v>6152</v>
      </c>
      <c r="I807" t="s">
        <v>5358</v>
      </c>
      <c r="J807">
        <v>86</v>
      </c>
      <c r="K807">
        <v>540.08000000000004</v>
      </c>
      <c r="L807">
        <v>2943</v>
      </c>
      <c r="M807">
        <v>2949</v>
      </c>
      <c r="N807">
        <v>6</v>
      </c>
      <c r="O807">
        <v>14.3333333333333</v>
      </c>
    </row>
    <row r="808" spans="1:15" x14ac:dyDescent="0.25">
      <c r="A808">
        <v>5</v>
      </c>
      <c r="B808">
        <v>58</v>
      </c>
      <c r="C808" t="s">
        <v>5301</v>
      </c>
      <c r="D808" t="s">
        <v>697</v>
      </c>
      <c r="E808" t="s">
        <v>6193</v>
      </c>
      <c r="F808">
        <v>46234.890972222223</v>
      </c>
      <c r="G808">
        <v>264</v>
      </c>
      <c r="H808" t="s">
        <v>6152</v>
      </c>
      <c r="I808" t="s">
        <v>5358</v>
      </c>
      <c r="J808">
        <v>56</v>
      </c>
      <c r="K808">
        <v>351.68</v>
      </c>
      <c r="L808">
        <v>2949</v>
      </c>
      <c r="M808">
        <v>2951</v>
      </c>
      <c r="N808">
        <v>2</v>
      </c>
      <c r="O808">
        <v>28</v>
      </c>
    </row>
    <row r="809" spans="1:15" x14ac:dyDescent="0.25">
      <c r="A809">
        <v>5</v>
      </c>
      <c r="B809">
        <v>58</v>
      </c>
      <c r="C809" t="s">
        <v>5301</v>
      </c>
      <c r="D809" t="s">
        <v>379</v>
      </c>
      <c r="E809" t="s">
        <v>6194</v>
      </c>
      <c r="F809">
        <v>46204.65347222222</v>
      </c>
      <c r="G809">
        <v>232</v>
      </c>
      <c r="H809" t="s">
        <v>6155</v>
      </c>
      <c r="I809" t="s">
        <v>5358</v>
      </c>
      <c r="J809">
        <v>73</v>
      </c>
      <c r="K809">
        <v>448.95</v>
      </c>
      <c r="L809">
        <v>2969</v>
      </c>
      <c r="M809">
        <v>2979</v>
      </c>
      <c r="N809">
        <v>10</v>
      </c>
      <c r="O809">
        <v>7.3</v>
      </c>
    </row>
    <row r="810" spans="1:15" x14ac:dyDescent="0.25">
      <c r="A810">
        <v>5</v>
      </c>
      <c r="B810">
        <v>58</v>
      </c>
      <c r="C810" t="s">
        <v>5301</v>
      </c>
      <c r="D810" t="s">
        <v>379</v>
      </c>
      <c r="E810" t="s">
        <v>6194</v>
      </c>
      <c r="F810">
        <v>46208.534722222219</v>
      </c>
      <c r="G810">
        <v>232</v>
      </c>
      <c r="H810" t="s">
        <v>6155</v>
      </c>
      <c r="I810" t="s">
        <v>5358</v>
      </c>
      <c r="J810">
        <v>72</v>
      </c>
      <c r="K810">
        <v>462.24</v>
      </c>
      <c r="L810">
        <v>2979</v>
      </c>
      <c r="M810">
        <v>2999</v>
      </c>
      <c r="N810">
        <v>20</v>
      </c>
      <c r="O810">
        <v>3.6</v>
      </c>
    </row>
    <row r="811" spans="1:15" x14ac:dyDescent="0.25">
      <c r="A811">
        <v>5</v>
      </c>
      <c r="B811">
        <v>58</v>
      </c>
      <c r="C811" t="s">
        <v>5301</v>
      </c>
      <c r="D811" t="s">
        <v>379</v>
      </c>
      <c r="E811" t="s">
        <v>6194</v>
      </c>
      <c r="F811">
        <v>46212.425694444442</v>
      </c>
      <c r="G811">
        <v>232</v>
      </c>
      <c r="H811" t="s">
        <v>6155</v>
      </c>
      <c r="I811" t="s">
        <v>5358</v>
      </c>
      <c r="J811">
        <v>118</v>
      </c>
      <c r="K811">
        <v>725.7</v>
      </c>
      <c r="L811">
        <v>2999</v>
      </c>
      <c r="M811">
        <v>3015</v>
      </c>
      <c r="N811">
        <v>16</v>
      </c>
      <c r="O811">
        <v>7.375</v>
      </c>
    </row>
    <row r="812" spans="1:15" x14ac:dyDescent="0.25">
      <c r="A812">
        <v>5</v>
      </c>
      <c r="B812">
        <v>58</v>
      </c>
      <c r="C812" t="s">
        <v>5301</v>
      </c>
      <c r="D812" t="s">
        <v>379</v>
      </c>
      <c r="E812" t="s">
        <v>6194</v>
      </c>
      <c r="F812">
        <v>46216.467361111114</v>
      </c>
      <c r="G812">
        <v>232</v>
      </c>
      <c r="H812" t="s">
        <v>6155</v>
      </c>
      <c r="I812" t="s">
        <v>5358</v>
      </c>
      <c r="J812">
        <v>113</v>
      </c>
      <c r="K812">
        <v>694.95</v>
      </c>
      <c r="L812">
        <v>3015</v>
      </c>
      <c r="M812">
        <v>3041</v>
      </c>
      <c r="N812">
        <v>26</v>
      </c>
      <c r="O812">
        <v>4.3461538461538503</v>
      </c>
    </row>
    <row r="813" spans="1:15" x14ac:dyDescent="0.25">
      <c r="A813">
        <v>5</v>
      </c>
      <c r="B813">
        <v>58</v>
      </c>
      <c r="C813" t="s">
        <v>5301</v>
      </c>
      <c r="D813" t="s">
        <v>379</v>
      </c>
      <c r="E813" t="s">
        <v>6194</v>
      </c>
      <c r="F813">
        <v>46218.490277777775</v>
      </c>
      <c r="G813">
        <v>232</v>
      </c>
      <c r="H813" t="s">
        <v>6155</v>
      </c>
      <c r="I813" t="s">
        <v>5358</v>
      </c>
      <c r="J813">
        <v>67</v>
      </c>
      <c r="K813">
        <v>412.05</v>
      </c>
      <c r="L813">
        <v>3041</v>
      </c>
      <c r="M813">
        <v>3055</v>
      </c>
      <c r="N813">
        <v>14</v>
      </c>
      <c r="O813">
        <v>4.78571428571429</v>
      </c>
    </row>
    <row r="814" spans="1:15" x14ac:dyDescent="0.25">
      <c r="A814">
        <v>5</v>
      </c>
      <c r="B814">
        <v>58</v>
      </c>
      <c r="C814" t="s">
        <v>5301</v>
      </c>
      <c r="D814" t="s">
        <v>379</v>
      </c>
      <c r="E814" t="s">
        <v>6194</v>
      </c>
      <c r="F814">
        <v>46220.216666666667</v>
      </c>
      <c r="G814">
        <v>232</v>
      </c>
      <c r="H814" t="s">
        <v>6155</v>
      </c>
      <c r="I814" t="s">
        <v>5358</v>
      </c>
      <c r="J814">
        <v>56</v>
      </c>
      <c r="K814">
        <v>344.4</v>
      </c>
      <c r="L814">
        <v>3055</v>
      </c>
      <c r="M814">
        <v>3071</v>
      </c>
      <c r="N814">
        <v>16</v>
      </c>
      <c r="O814">
        <v>3.5</v>
      </c>
    </row>
    <row r="815" spans="1:15" x14ac:dyDescent="0.25">
      <c r="A815">
        <v>5</v>
      </c>
      <c r="B815">
        <v>58</v>
      </c>
      <c r="C815" t="s">
        <v>5301</v>
      </c>
      <c r="D815" t="s">
        <v>379</v>
      </c>
      <c r="E815" t="s">
        <v>6194</v>
      </c>
      <c r="F815">
        <v>46223.470833333333</v>
      </c>
      <c r="G815">
        <v>232</v>
      </c>
      <c r="H815" t="s">
        <v>6155</v>
      </c>
      <c r="I815" t="s">
        <v>5358</v>
      </c>
      <c r="J815">
        <v>96</v>
      </c>
      <c r="K815">
        <v>600</v>
      </c>
      <c r="L815">
        <v>3071</v>
      </c>
      <c r="M815">
        <v>3093</v>
      </c>
      <c r="N815">
        <v>22</v>
      </c>
      <c r="O815">
        <v>4.3636363636363598</v>
      </c>
    </row>
    <row r="816" spans="1:15" x14ac:dyDescent="0.25">
      <c r="A816">
        <v>5</v>
      </c>
      <c r="B816">
        <v>58</v>
      </c>
      <c r="C816" t="s">
        <v>5301</v>
      </c>
      <c r="D816" t="s">
        <v>379</v>
      </c>
      <c r="E816" t="s">
        <v>6194</v>
      </c>
      <c r="F816">
        <v>46228.667361111111</v>
      </c>
      <c r="G816">
        <v>232</v>
      </c>
      <c r="H816" t="s">
        <v>6155</v>
      </c>
      <c r="I816" t="s">
        <v>5358</v>
      </c>
      <c r="J816">
        <v>55</v>
      </c>
      <c r="K816">
        <v>343.75</v>
      </c>
      <c r="L816">
        <v>3093</v>
      </c>
      <c r="M816">
        <v>3110</v>
      </c>
      <c r="N816">
        <v>17</v>
      </c>
      <c r="O816">
        <v>3.2352941176470602</v>
      </c>
    </row>
    <row r="817" spans="1:15" x14ac:dyDescent="0.25">
      <c r="A817">
        <v>5</v>
      </c>
      <c r="B817">
        <v>58</v>
      </c>
      <c r="C817" t="s">
        <v>5301</v>
      </c>
      <c r="D817" t="s">
        <v>379</v>
      </c>
      <c r="E817" t="s">
        <v>6194</v>
      </c>
      <c r="F817">
        <v>46230.414583333331</v>
      </c>
      <c r="G817">
        <v>232</v>
      </c>
      <c r="H817" t="s">
        <v>6155</v>
      </c>
      <c r="I817" t="s">
        <v>5358</v>
      </c>
      <c r="J817">
        <v>66</v>
      </c>
      <c r="K817">
        <v>412.5</v>
      </c>
      <c r="L817">
        <v>3110</v>
      </c>
      <c r="M817">
        <v>3123</v>
      </c>
      <c r="N817">
        <v>13</v>
      </c>
      <c r="O817">
        <v>5.0769230769230802</v>
      </c>
    </row>
    <row r="818" spans="1:15" x14ac:dyDescent="0.25">
      <c r="A818">
        <v>5</v>
      </c>
      <c r="B818">
        <v>58</v>
      </c>
      <c r="C818" t="s">
        <v>5301</v>
      </c>
      <c r="D818" t="s">
        <v>379</v>
      </c>
      <c r="E818" t="s">
        <v>6194</v>
      </c>
      <c r="F818">
        <v>46232.716666666667</v>
      </c>
      <c r="G818">
        <v>232</v>
      </c>
      <c r="H818" t="s">
        <v>6155</v>
      </c>
      <c r="I818" t="s">
        <v>5358</v>
      </c>
      <c r="J818">
        <v>48</v>
      </c>
      <c r="K818">
        <v>300</v>
      </c>
      <c r="L818">
        <v>3123</v>
      </c>
      <c r="M818">
        <v>3132</v>
      </c>
      <c r="N818">
        <v>9</v>
      </c>
      <c r="O818">
        <v>5.3333333333333304</v>
      </c>
    </row>
    <row r="819" spans="1:15" x14ac:dyDescent="0.25">
      <c r="A819">
        <v>5</v>
      </c>
      <c r="B819">
        <v>58</v>
      </c>
      <c r="C819" t="s">
        <v>5301</v>
      </c>
      <c r="D819" t="s">
        <v>379</v>
      </c>
      <c r="E819" t="s">
        <v>6194</v>
      </c>
      <c r="F819">
        <v>46234.37777777778</v>
      </c>
      <c r="G819">
        <v>232</v>
      </c>
      <c r="H819" t="s">
        <v>6155</v>
      </c>
      <c r="I819" t="s">
        <v>5358</v>
      </c>
      <c r="J819">
        <v>82</v>
      </c>
      <c r="K819">
        <v>512.5</v>
      </c>
      <c r="L819">
        <v>3132</v>
      </c>
      <c r="M819">
        <v>3146</v>
      </c>
      <c r="N819">
        <v>14</v>
      </c>
      <c r="O819">
        <v>5.8571428571428603</v>
      </c>
    </row>
    <row r="820" spans="1:15" x14ac:dyDescent="0.25">
      <c r="A820">
        <v>5</v>
      </c>
      <c r="B820">
        <v>58</v>
      </c>
      <c r="C820" t="s">
        <v>5301</v>
      </c>
      <c r="D820" t="s">
        <v>385</v>
      </c>
      <c r="E820" t="s">
        <v>6195</v>
      </c>
      <c r="F820">
        <v>46204.652777777781</v>
      </c>
      <c r="G820">
        <v>232</v>
      </c>
      <c r="H820" t="s">
        <v>6155</v>
      </c>
      <c r="I820" t="s">
        <v>5358</v>
      </c>
      <c r="J820">
        <v>62</v>
      </c>
      <c r="K820">
        <v>381.3</v>
      </c>
      <c r="L820">
        <v>3442</v>
      </c>
      <c r="M820">
        <v>3455</v>
      </c>
      <c r="N820">
        <v>13</v>
      </c>
      <c r="O820">
        <v>4.7692307692307701</v>
      </c>
    </row>
    <row r="821" spans="1:15" x14ac:dyDescent="0.25">
      <c r="A821">
        <v>5</v>
      </c>
      <c r="B821">
        <v>58</v>
      </c>
      <c r="C821" t="s">
        <v>5301</v>
      </c>
      <c r="D821" t="s">
        <v>385</v>
      </c>
      <c r="E821" t="s">
        <v>6195</v>
      </c>
      <c r="F821">
        <v>46207.482638888891</v>
      </c>
      <c r="G821">
        <v>232</v>
      </c>
      <c r="H821" t="s">
        <v>6155</v>
      </c>
      <c r="I821" t="s">
        <v>5358</v>
      </c>
      <c r="J821">
        <v>61</v>
      </c>
      <c r="K821">
        <v>375.15</v>
      </c>
      <c r="L821">
        <v>3455</v>
      </c>
      <c r="M821">
        <v>3472</v>
      </c>
      <c r="N821">
        <v>17</v>
      </c>
      <c r="O821">
        <v>3.5882352941176499</v>
      </c>
    </row>
    <row r="822" spans="1:15" x14ac:dyDescent="0.25">
      <c r="A822">
        <v>5</v>
      </c>
      <c r="B822">
        <v>58</v>
      </c>
      <c r="C822" t="s">
        <v>5301</v>
      </c>
      <c r="D822" t="s">
        <v>385</v>
      </c>
      <c r="E822" t="s">
        <v>6195</v>
      </c>
      <c r="F822">
        <v>46208.536111111112</v>
      </c>
      <c r="G822">
        <v>232</v>
      </c>
      <c r="H822" t="s">
        <v>6155</v>
      </c>
      <c r="I822" t="s">
        <v>5358</v>
      </c>
      <c r="J822">
        <v>35</v>
      </c>
      <c r="K822">
        <v>224.7</v>
      </c>
      <c r="L822">
        <v>3472</v>
      </c>
      <c r="M822">
        <v>3477</v>
      </c>
      <c r="N822">
        <v>5</v>
      </c>
      <c r="O822">
        <v>7</v>
      </c>
    </row>
    <row r="823" spans="1:15" x14ac:dyDescent="0.25">
      <c r="A823">
        <v>5</v>
      </c>
      <c r="B823">
        <v>58</v>
      </c>
      <c r="C823" t="s">
        <v>5301</v>
      </c>
      <c r="D823" t="s">
        <v>385</v>
      </c>
      <c r="E823" t="s">
        <v>6195</v>
      </c>
      <c r="F823">
        <v>46211.472222222219</v>
      </c>
      <c r="G823">
        <v>232</v>
      </c>
      <c r="H823" t="s">
        <v>6155</v>
      </c>
      <c r="I823" t="s">
        <v>5358</v>
      </c>
      <c r="J823">
        <v>77</v>
      </c>
      <c r="K823">
        <v>473.55</v>
      </c>
      <c r="L823">
        <v>3477</v>
      </c>
      <c r="M823">
        <v>3494</v>
      </c>
      <c r="N823">
        <v>17</v>
      </c>
      <c r="O823">
        <v>4.5294117647058796</v>
      </c>
    </row>
    <row r="824" spans="1:15" x14ac:dyDescent="0.25">
      <c r="A824">
        <v>5</v>
      </c>
      <c r="B824">
        <v>58</v>
      </c>
      <c r="C824" t="s">
        <v>5301</v>
      </c>
      <c r="D824" t="s">
        <v>385</v>
      </c>
      <c r="E824" t="s">
        <v>6195</v>
      </c>
      <c r="F824">
        <v>46212.425000000003</v>
      </c>
      <c r="G824">
        <v>232</v>
      </c>
      <c r="H824" t="s">
        <v>6155</v>
      </c>
      <c r="I824" t="s">
        <v>5358</v>
      </c>
      <c r="J824">
        <v>50</v>
      </c>
      <c r="K824">
        <v>307.5</v>
      </c>
      <c r="L824">
        <v>3494</v>
      </c>
      <c r="M824">
        <v>3504</v>
      </c>
      <c r="N824">
        <v>10</v>
      </c>
      <c r="O824">
        <v>5</v>
      </c>
    </row>
    <row r="825" spans="1:15" x14ac:dyDescent="0.25">
      <c r="A825">
        <v>5</v>
      </c>
      <c r="B825">
        <v>58</v>
      </c>
      <c r="C825" t="s">
        <v>5301</v>
      </c>
      <c r="D825" t="s">
        <v>385</v>
      </c>
      <c r="E825" t="s">
        <v>6195</v>
      </c>
      <c r="F825">
        <v>46214.387499999997</v>
      </c>
      <c r="G825">
        <v>232</v>
      </c>
      <c r="H825" t="s">
        <v>6155</v>
      </c>
      <c r="I825" t="s">
        <v>5358</v>
      </c>
      <c r="J825">
        <v>76</v>
      </c>
      <c r="K825">
        <v>467.4</v>
      </c>
      <c r="L825">
        <v>3504</v>
      </c>
      <c r="M825">
        <v>3522</v>
      </c>
      <c r="N825">
        <v>18</v>
      </c>
      <c r="O825">
        <v>4.2222222222222197</v>
      </c>
    </row>
    <row r="826" spans="1:15" x14ac:dyDescent="0.25">
      <c r="A826">
        <v>5</v>
      </c>
      <c r="B826">
        <v>58</v>
      </c>
      <c r="C826" t="s">
        <v>5301</v>
      </c>
      <c r="D826" t="s">
        <v>385</v>
      </c>
      <c r="E826" t="s">
        <v>6195</v>
      </c>
      <c r="F826">
        <v>46216.472222222219</v>
      </c>
      <c r="G826">
        <v>232</v>
      </c>
      <c r="H826" t="s">
        <v>6155</v>
      </c>
      <c r="I826" t="s">
        <v>5358</v>
      </c>
      <c r="J826">
        <v>58</v>
      </c>
      <c r="K826">
        <v>356.7</v>
      </c>
      <c r="L826">
        <v>3522</v>
      </c>
      <c r="M826">
        <v>3528</v>
      </c>
      <c r="N826">
        <v>6</v>
      </c>
      <c r="O826">
        <v>9.6666666666666696</v>
      </c>
    </row>
    <row r="827" spans="1:15" x14ac:dyDescent="0.25">
      <c r="A827">
        <v>5</v>
      </c>
      <c r="B827">
        <v>58</v>
      </c>
      <c r="C827" t="s">
        <v>5301</v>
      </c>
      <c r="D827" t="s">
        <v>385</v>
      </c>
      <c r="E827" t="s">
        <v>6195</v>
      </c>
      <c r="F827">
        <v>46218.489583333336</v>
      </c>
      <c r="G827">
        <v>232</v>
      </c>
      <c r="H827" t="s">
        <v>6155</v>
      </c>
      <c r="I827" t="s">
        <v>5358</v>
      </c>
      <c r="J827">
        <v>86</v>
      </c>
      <c r="K827">
        <v>528.9</v>
      </c>
      <c r="L827">
        <v>3528</v>
      </c>
      <c r="M827">
        <v>3528</v>
      </c>
      <c r="N827">
        <v>0</v>
      </c>
      <c r="O827">
        <v>0</v>
      </c>
    </row>
    <row r="828" spans="1:15" x14ac:dyDescent="0.25">
      <c r="A828">
        <v>5</v>
      </c>
      <c r="B828">
        <v>58</v>
      </c>
      <c r="C828" t="s">
        <v>5301</v>
      </c>
      <c r="D828" t="s">
        <v>385</v>
      </c>
      <c r="E828" t="s">
        <v>6195</v>
      </c>
      <c r="F828">
        <v>46220.379861111112</v>
      </c>
      <c r="G828">
        <v>232</v>
      </c>
      <c r="H828" t="s">
        <v>6155</v>
      </c>
      <c r="I828" t="s">
        <v>5358</v>
      </c>
      <c r="J828">
        <v>72</v>
      </c>
      <c r="K828">
        <v>442.8</v>
      </c>
      <c r="L828">
        <v>3528</v>
      </c>
      <c r="M828">
        <v>3570</v>
      </c>
      <c r="N828">
        <v>42</v>
      </c>
      <c r="O828">
        <v>1.71428571428571</v>
      </c>
    </row>
    <row r="829" spans="1:15" x14ac:dyDescent="0.25">
      <c r="A829">
        <v>5</v>
      </c>
      <c r="B829">
        <v>58</v>
      </c>
      <c r="C829" t="s">
        <v>5301</v>
      </c>
      <c r="D829" t="s">
        <v>385</v>
      </c>
      <c r="E829" t="s">
        <v>6195</v>
      </c>
      <c r="F829">
        <v>46223.470138888886</v>
      </c>
      <c r="G829">
        <v>232</v>
      </c>
      <c r="H829" t="s">
        <v>6155</v>
      </c>
      <c r="I829" t="s">
        <v>5358</v>
      </c>
      <c r="J829">
        <v>107</v>
      </c>
      <c r="K829">
        <v>668.75</v>
      </c>
      <c r="L829">
        <v>3570</v>
      </c>
      <c r="M829">
        <v>3594</v>
      </c>
      <c r="N829">
        <v>24</v>
      </c>
      <c r="O829">
        <v>4.4583333333333304</v>
      </c>
    </row>
    <row r="830" spans="1:15" x14ac:dyDescent="0.25">
      <c r="A830">
        <v>5</v>
      </c>
      <c r="B830">
        <v>58</v>
      </c>
      <c r="C830" t="s">
        <v>5301</v>
      </c>
      <c r="D830" t="s">
        <v>385</v>
      </c>
      <c r="E830" t="s">
        <v>6195</v>
      </c>
      <c r="F830">
        <v>46228.668055555558</v>
      </c>
      <c r="G830">
        <v>232</v>
      </c>
      <c r="H830" t="s">
        <v>6155</v>
      </c>
      <c r="I830" t="s">
        <v>5358</v>
      </c>
      <c r="J830">
        <v>60</v>
      </c>
      <c r="K830">
        <v>375</v>
      </c>
      <c r="L830">
        <v>3594</v>
      </c>
      <c r="M830">
        <v>3609</v>
      </c>
      <c r="N830">
        <v>15</v>
      </c>
      <c r="O830">
        <v>4</v>
      </c>
    </row>
    <row r="831" spans="1:15" x14ac:dyDescent="0.25">
      <c r="A831">
        <v>5</v>
      </c>
      <c r="B831">
        <v>58</v>
      </c>
      <c r="C831" t="s">
        <v>5301</v>
      </c>
      <c r="D831" t="s">
        <v>385</v>
      </c>
      <c r="E831" t="s">
        <v>6195</v>
      </c>
      <c r="F831">
        <v>46230.416666666664</v>
      </c>
      <c r="G831">
        <v>232</v>
      </c>
      <c r="H831" t="s">
        <v>6155</v>
      </c>
      <c r="I831" t="s">
        <v>5358</v>
      </c>
      <c r="J831">
        <v>71</v>
      </c>
      <c r="K831">
        <v>443.75</v>
      </c>
      <c r="L831">
        <v>3609</v>
      </c>
      <c r="M831">
        <v>3624</v>
      </c>
      <c r="N831">
        <v>15</v>
      </c>
      <c r="O831">
        <v>4.7333333333333298</v>
      </c>
    </row>
    <row r="832" spans="1:15" x14ac:dyDescent="0.25">
      <c r="A832">
        <v>5</v>
      </c>
      <c r="B832">
        <v>58</v>
      </c>
      <c r="C832" t="s">
        <v>5301</v>
      </c>
      <c r="D832" t="s">
        <v>385</v>
      </c>
      <c r="E832" t="s">
        <v>6195</v>
      </c>
      <c r="F832">
        <v>46232.71597222222</v>
      </c>
      <c r="G832">
        <v>232</v>
      </c>
      <c r="H832" t="s">
        <v>6155</v>
      </c>
      <c r="I832" t="s">
        <v>5358</v>
      </c>
      <c r="J832">
        <v>56</v>
      </c>
      <c r="K832">
        <v>350</v>
      </c>
      <c r="L832">
        <v>3624</v>
      </c>
      <c r="M832">
        <v>3636</v>
      </c>
      <c r="N832">
        <v>12</v>
      </c>
      <c r="O832">
        <v>4.6666666666666696</v>
      </c>
    </row>
    <row r="833" spans="1:15" x14ac:dyDescent="0.25">
      <c r="A833">
        <v>5</v>
      </c>
      <c r="B833">
        <v>58</v>
      </c>
      <c r="C833" t="s">
        <v>5301</v>
      </c>
      <c r="D833" t="s">
        <v>385</v>
      </c>
      <c r="E833" t="s">
        <v>6195</v>
      </c>
      <c r="F833">
        <v>46234.379166666666</v>
      </c>
      <c r="G833">
        <v>232</v>
      </c>
      <c r="H833" t="s">
        <v>6155</v>
      </c>
      <c r="I833" t="s">
        <v>5358</v>
      </c>
      <c r="J833">
        <v>72</v>
      </c>
      <c r="K833">
        <v>450</v>
      </c>
      <c r="L833">
        <v>3636</v>
      </c>
      <c r="M833">
        <v>3651</v>
      </c>
      <c r="N833">
        <v>15</v>
      </c>
      <c r="O833">
        <v>4.8</v>
      </c>
    </row>
    <row r="834" spans="1:15" x14ac:dyDescent="0.25">
      <c r="A834">
        <v>5</v>
      </c>
      <c r="B834">
        <v>58</v>
      </c>
      <c r="C834" t="s">
        <v>5301</v>
      </c>
      <c r="D834" t="s">
        <v>483</v>
      </c>
      <c r="E834" t="s">
        <v>6196</v>
      </c>
      <c r="F834">
        <v>46204.654166666667</v>
      </c>
      <c r="G834">
        <v>232</v>
      </c>
      <c r="H834" t="s">
        <v>6155</v>
      </c>
      <c r="I834" t="s">
        <v>5358</v>
      </c>
      <c r="J834">
        <v>23</v>
      </c>
      <c r="K834">
        <v>141.44999999999999</v>
      </c>
      <c r="L834">
        <v>5205</v>
      </c>
      <c r="M834">
        <v>5211</v>
      </c>
      <c r="N834">
        <v>6</v>
      </c>
      <c r="O834">
        <v>3.8333333333333299</v>
      </c>
    </row>
    <row r="835" spans="1:15" x14ac:dyDescent="0.25">
      <c r="A835">
        <v>5</v>
      </c>
      <c r="B835">
        <v>58</v>
      </c>
      <c r="C835" t="s">
        <v>5301</v>
      </c>
      <c r="D835" t="s">
        <v>483</v>
      </c>
      <c r="E835" t="s">
        <v>6196</v>
      </c>
      <c r="F835">
        <v>46205.474999999999</v>
      </c>
      <c r="G835">
        <v>232</v>
      </c>
      <c r="H835" t="s">
        <v>6155</v>
      </c>
      <c r="I835" t="s">
        <v>5358</v>
      </c>
      <c r="J835">
        <v>51</v>
      </c>
      <c r="K835">
        <v>313.64999999999998</v>
      </c>
      <c r="L835">
        <v>5211</v>
      </c>
      <c r="M835">
        <v>5221</v>
      </c>
      <c r="N835">
        <v>10</v>
      </c>
      <c r="O835">
        <v>5.0999999999999996</v>
      </c>
    </row>
    <row r="836" spans="1:15" x14ac:dyDescent="0.25">
      <c r="A836">
        <v>5</v>
      </c>
      <c r="B836">
        <v>58</v>
      </c>
      <c r="C836" t="s">
        <v>5301</v>
      </c>
      <c r="D836" t="s">
        <v>483</v>
      </c>
      <c r="E836" t="s">
        <v>6196</v>
      </c>
      <c r="F836">
        <v>46207.481944444444</v>
      </c>
      <c r="G836">
        <v>232</v>
      </c>
      <c r="H836" t="s">
        <v>6155</v>
      </c>
      <c r="I836" t="s">
        <v>5358</v>
      </c>
      <c r="J836">
        <v>60</v>
      </c>
      <c r="K836">
        <v>369</v>
      </c>
      <c r="L836">
        <v>5221</v>
      </c>
      <c r="M836">
        <v>5230</v>
      </c>
      <c r="N836">
        <v>9</v>
      </c>
      <c r="O836">
        <v>6.6666666666666696</v>
      </c>
    </row>
    <row r="837" spans="1:15" x14ac:dyDescent="0.25">
      <c r="A837">
        <v>5</v>
      </c>
      <c r="B837">
        <v>58</v>
      </c>
      <c r="C837" t="s">
        <v>5301</v>
      </c>
      <c r="D837" t="s">
        <v>483</v>
      </c>
      <c r="E837" t="s">
        <v>6196</v>
      </c>
      <c r="F837">
        <v>46208.959722222222</v>
      </c>
      <c r="G837">
        <v>232</v>
      </c>
      <c r="H837" t="s">
        <v>6155</v>
      </c>
      <c r="I837" t="s">
        <v>5358</v>
      </c>
      <c r="J837">
        <v>47</v>
      </c>
      <c r="K837">
        <v>301.74</v>
      </c>
      <c r="L837">
        <v>5230</v>
      </c>
      <c r="M837">
        <v>5238</v>
      </c>
      <c r="N837">
        <v>8</v>
      </c>
      <c r="O837">
        <v>5.875</v>
      </c>
    </row>
    <row r="838" spans="1:15" x14ac:dyDescent="0.25">
      <c r="A838">
        <v>5</v>
      </c>
      <c r="B838">
        <v>58</v>
      </c>
      <c r="C838" t="s">
        <v>5301</v>
      </c>
      <c r="D838" t="s">
        <v>483</v>
      </c>
      <c r="E838" t="s">
        <v>6196</v>
      </c>
      <c r="F838">
        <v>46209.943055555559</v>
      </c>
      <c r="G838">
        <v>232</v>
      </c>
      <c r="H838" t="s">
        <v>6155</v>
      </c>
      <c r="I838" t="s">
        <v>5358</v>
      </c>
      <c r="J838">
        <v>63</v>
      </c>
      <c r="K838">
        <v>387.45</v>
      </c>
      <c r="L838">
        <v>5238</v>
      </c>
      <c r="M838">
        <v>5246</v>
      </c>
      <c r="N838">
        <v>8</v>
      </c>
      <c r="O838">
        <v>7.875</v>
      </c>
    </row>
    <row r="839" spans="1:15" x14ac:dyDescent="0.25">
      <c r="A839">
        <v>5</v>
      </c>
      <c r="B839">
        <v>58</v>
      </c>
      <c r="C839" t="s">
        <v>5301</v>
      </c>
      <c r="D839" t="s">
        <v>483</v>
      </c>
      <c r="E839" t="s">
        <v>6196</v>
      </c>
      <c r="F839">
        <v>46210.986111111109</v>
      </c>
      <c r="G839">
        <v>232</v>
      </c>
      <c r="H839" t="s">
        <v>6155</v>
      </c>
      <c r="I839" t="s">
        <v>5358</v>
      </c>
      <c r="J839">
        <v>41</v>
      </c>
      <c r="K839">
        <v>252.15</v>
      </c>
      <c r="L839">
        <v>5246</v>
      </c>
      <c r="M839">
        <v>5253</v>
      </c>
      <c r="N839">
        <v>7</v>
      </c>
      <c r="O839">
        <v>5.8571428571428603</v>
      </c>
    </row>
    <row r="840" spans="1:15" x14ac:dyDescent="0.25">
      <c r="A840">
        <v>5</v>
      </c>
      <c r="B840">
        <v>58</v>
      </c>
      <c r="C840" t="s">
        <v>5301</v>
      </c>
      <c r="D840" t="s">
        <v>483</v>
      </c>
      <c r="E840" t="s">
        <v>6196</v>
      </c>
      <c r="F840">
        <v>46211.007638888892</v>
      </c>
      <c r="G840">
        <v>232</v>
      </c>
      <c r="H840" t="s">
        <v>6155</v>
      </c>
      <c r="I840" t="s">
        <v>5358</v>
      </c>
      <c r="J840">
        <v>51</v>
      </c>
      <c r="K840">
        <v>313.64999999999998</v>
      </c>
      <c r="L840">
        <v>5253</v>
      </c>
      <c r="M840">
        <v>5262</v>
      </c>
      <c r="N840">
        <v>9</v>
      </c>
      <c r="O840">
        <v>5.6666666666666696</v>
      </c>
    </row>
    <row r="841" spans="1:15" x14ac:dyDescent="0.25">
      <c r="A841">
        <v>5</v>
      </c>
      <c r="B841">
        <v>58</v>
      </c>
      <c r="C841" t="s">
        <v>5301</v>
      </c>
      <c r="D841" t="s">
        <v>483</v>
      </c>
      <c r="E841" t="s">
        <v>6196</v>
      </c>
      <c r="F841">
        <v>46212.003472222219</v>
      </c>
      <c r="G841">
        <v>232</v>
      </c>
      <c r="H841" t="s">
        <v>6155</v>
      </c>
      <c r="I841" t="s">
        <v>5358</v>
      </c>
      <c r="J841">
        <v>67</v>
      </c>
      <c r="K841">
        <v>412.05</v>
      </c>
      <c r="L841">
        <v>5262</v>
      </c>
      <c r="M841">
        <v>5273</v>
      </c>
      <c r="N841">
        <v>11</v>
      </c>
      <c r="O841">
        <v>6.0909090909090899</v>
      </c>
    </row>
    <row r="842" spans="1:15" x14ac:dyDescent="0.25">
      <c r="A842">
        <v>5</v>
      </c>
      <c r="B842">
        <v>58</v>
      </c>
      <c r="C842" t="s">
        <v>5301</v>
      </c>
      <c r="D842" t="s">
        <v>483</v>
      </c>
      <c r="E842" t="s">
        <v>6196</v>
      </c>
      <c r="F842">
        <v>46213.079861111109</v>
      </c>
      <c r="G842">
        <v>232</v>
      </c>
      <c r="H842" t="s">
        <v>6155</v>
      </c>
      <c r="I842" t="s">
        <v>5358</v>
      </c>
      <c r="J842">
        <v>54</v>
      </c>
      <c r="K842">
        <v>332.1</v>
      </c>
      <c r="L842">
        <v>5273</v>
      </c>
      <c r="M842">
        <v>5281</v>
      </c>
      <c r="N842">
        <v>8</v>
      </c>
      <c r="O842">
        <v>6.75</v>
      </c>
    </row>
    <row r="843" spans="1:15" x14ac:dyDescent="0.25">
      <c r="A843">
        <v>5</v>
      </c>
      <c r="B843">
        <v>58</v>
      </c>
      <c r="C843" t="s">
        <v>5301</v>
      </c>
      <c r="D843" t="s">
        <v>483</v>
      </c>
      <c r="E843" t="s">
        <v>6196</v>
      </c>
      <c r="F843">
        <v>46214.018750000003</v>
      </c>
      <c r="G843">
        <v>232</v>
      </c>
      <c r="H843" t="s">
        <v>6155</v>
      </c>
      <c r="I843" t="s">
        <v>5358</v>
      </c>
      <c r="J843">
        <v>47</v>
      </c>
      <c r="K843">
        <v>289.05</v>
      </c>
      <c r="L843">
        <v>5281</v>
      </c>
      <c r="M843">
        <v>5289</v>
      </c>
      <c r="N843">
        <v>8</v>
      </c>
      <c r="O843">
        <v>5.875</v>
      </c>
    </row>
    <row r="844" spans="1:15" x14ac:dyDescent="0.25">
      <c r="A844">
        <v>5</v>
      </c>
      <c r="B844">
        <v>58</v>
      </c>
      <c r="C844" t="s">
        <v>5301</v>
      </c>
      <c r="D844" t="s">
        <v>483</v>
      </c>
      <c r="E844" t="s">
        <v>6196</v>
      </c>
      <c r="F844">
        <v>46216.977083333331</v>
      </c>
      <c r="G844">
        <v>232</v>
      </c>
      <c r="H844" t="s">
        <v>6155</v>
      </c>
      <c r="I844" t="s">
        <v>5358</v>
      </c>
      <c r="J844">
        <v>82</v>
      </c>
      <c r="K844">
        <v>504.3</v>
      </c>
      <c r="L844">
        <v>5289</v>
      </c>
      <c r="M844">
        <v>5302</v>
      </c>
      <c r="N844">
        <v>13</v>
      </c>
      <c r="O844">
        <v>6.3076923076923102</v>
      </c>
    </row>
    <row r="845" spans="1:15" x14ac:dyDescent="0.25">
      <c r="A845">
        <v>5</v>
      </c>
      <c r="B845">
        <v>58</v>
      </c>
      <c r="C845" t="s">
        <v>5301</v>
      </c>
      <c r="D845" t="s">
        <v>483</v>
      </c>
      <c r="E845" t="s">
        <v>6196</v>
      </c>
      <c r="F845">
        <v>46217.490972222222</v>
      </c>
      <c r="G845">
        <v>232</v>
      </c>
      <c r="H845" t="s">
        <v>6155</v>
      </c>
      <c r="I845" t="s">
        <v>5358</v>
      </c>
      <c r="J845">
        <v>66</v>
      </c>
      <c r="K845">
        <v>405.9</v>
      </c>
      <c r="L845">
        <v>5302</v>
      </c>
      <c r="M845">
        <v>5311</v>
      </c>
      <c r="N845">
        <v>9</v>
      </c>
      <c r="O845">
        <v>7.3333333333333304</v>
      </c>
    </row>
    <row r="846" spans="1:15" x14ac:dyDescent="0.25">
      <c r="A846">
        <v>5</v>
      </c>
      <c r="B846">
        <v>58</v>
      </c>
      <c r="C846" t="s">
        <v>5301</v>
      </c>
      <c r="D846" t="s">
        <v>483</v>
      </c>
      <c r="E846" t="s">
        <v>6196</v>
      </c>
      <c r="F846">
        <v>46218.115277777775</v>
      </c>
      <c r="G846">
        <v>232</v>
      </c>
      <c r="H846" t="s">
        <v>6155</v>
      </c>
      <c r="I846" t="s">
        <v>5358</v>
      </c>
      <c r="J846">
        <v>63</v>
      </c>
      <c r="K846">
        <v>387.45</v>
      </c>
      <c r="L846">
        <v>5311</v>
      </c>
      <c r="M846">
        <v>5320</v>
      </c>
      <c r="N846">
        <v>9</v>
      </c>
      <c r="O846">
        <v>7</v>
      </c>
    </row>
    <row r="847" spans="1:15" x14ac:dyDescent="0.25">
      <c r="A847">
        <v>5</v>
      </c>
      <c r="B847">
        <v>58</v>
      </c>
      <c r="C847" t="s">
        <v>5301</v>
      </c>
      <c r="D847" t="s">
        <v>483</v>
      </c>
      <c r="E847" t="s">
        <v>6196</v>
      </c>
      <c r="F847">
        <v>46219.119444444441</v>
      </c>
      <c r="G847">
        <v>232</v>
      </c>
      <c r="H847" t="s">
        <v>6155</v>
      </c>
      <c r="I847" t="s">
        <v>5358</v>
      </c>
      <c r="J847">
        <v>55</v>
      </c>
      <c r="K847">
        <v>338.25</v>
      </c>
      <c r="L847">
        <v>5320</v>
      </c>
      <c r="M847">
        <v>5329</v>
      </c>
      <c r="N847">
        <v>9</v>
      </c>
      <c r="O847">
        <v>6.1111111111111098</v>
      </c>
    </row>
    <row r="848" spans="1:15" x14ac:dyDescent="0.25">
      <c r="A848">
        <v>5</v>
      </c>
      <c r="B848">
        <v>58</v>
      </c>
      <c r="C848" t="s">
        <v>5301</v>
      </c>
      <c r="D848" t="s">
        <v>483</v>
      </c>
      <c r="E848" t="s">
        <v>6196</v>
      </c>
      <c r="F848">
        <v>46220.000694444447</v>
      </c>
      <c r="G848">
        <v>232</v>
      </c>
      <c r="H848" t="s">
        <v>6155</v>
      </c>
      <c r="I848" t="s">
        <v>5358</v>
      </c>
      <c r="J848">
        <v>52</v>
      </c>
      <c r="K848">
        <v>319.8</v>
      </c>
      <c r="L848">
        <v>5329</v>
      </c>
      <c r="M848">
        <v>5337</v>
      </c>
      <c r="N848">
        <v>8</v>
      </c>
      <c r="O848">
        <v>6.5</v>
      </c>
    </row>
    <row r="849" spans="1:15" x14ac:dyDescent="0.25">
      <c r="A849">
        <v>5</v>
      </c>
      <c r="B849">
        <v>58</v>
      </c>
      <c r="C849" t="s">
        <v>5301</v>
      </c>
      <c r="D849" t="s">
        <v>483</v>
      </c>
      <c r="E849" t="s">
        <v>6196</v>
      </c>
      <c r="F849">
        <v>46221.931944444441</v>
      </c>
      <c r="G849">
        <v>232</v>
      </c>
      <c r="H849" t="s">
        <v>6155</v>
      </c>
      <c r="I849" t="s">
        <v>5358</v>
      </c>
      <c r="J849">
        <v>37</v>
      </c>
      <c r="K849">
        <v>227.55</v>
      </c>
      <c r="L849">
        <v>5337</v>
      </c>
      <c r="M849">
        <v>5345</v>
      </c>
      <c r="N849">
        <v>8</v>
      </c>
      <c r="O849">
        <v>4.625</v>
      </c>
    </row>
    <row r="850" spans="1:15" x14ac:dyDescent="0.25">
      <c r="A850">
        <v>5</v>
      </c>
      <c r="B850">
        <v>58</v>
      </c>
      <c r="C850" t="s">
        <v>5301</v>
      </c>
      <c r="D850" t="s">
        <v>483</v>
      </c>
      <c r="E850" t="s">
        <v>6196</v>
      </c>
      <c r="F850">
        <v>46222.065972222219</v>
      </c>
      <c r="G850">
        <v>232</v>
      </c>
      <c r="H850" t="s">
        <v>6155</v>
      </c>
      <c r="I850" t="s">
        <v>5358</v>
      </c>
      <c r="J850">
        <v>57</v>
      </c>
      <c r="K850">
        <v>359.1</v>
      </c>
      <c r="L850">
        <v>5345</v>
      </c>
      <c r="M850">
        <v>5352</v>
      </c>
      <c r="N850">
        <v>7</v>
      </c>
      <c r="O850">
        <v>8.1428571428571406</v>
      </c>
    </row>
    <row r="851" spans="1:15" x14ac:dyDescent="0.25">
      <c r="A851">
        <v>5</v>
      </c>
      <c r="B851">
        <v>58</v>
      </c>
      <c r="C851" t="s">
        <v>5301</v>
      </c>
      <c r="D851" t="s">
        <v>5322</v>
      </c>
      <c r="E851" t="s">
        <v>6196</v>
      </c>
      <c r="F851">
        <v>46205.456250000003</v>
      </c>
      <c r="G851">
        <v>232</v>
      </c>
      <c r="H851" t="s">
        <v>6155</v>
      </c>
      <c r="I851" t="s">
        <v>5358</v>
      </c>
      <c r="J851">
        <v>40</v>
      </c>
      <c r="K851">
        <v>246</v>
      </c>
      <c r="L851">
        <v>2833</v>
      </c>
      <c r="M851">
        <v>2839</v>
      </c>
      <c r="N851">
        <v>6</v>
      </c>
      <c r="O851">
        <v>6.6666666666666696</v>
      </c>
    </row>
    <row r="852" spans="1:15" x14ac:dyDescent="0.25">
      <c r="A852">
        <v>5</v>
      </c>
      <c r="B852">
        <v>58</v>
      </c>
      <c r="C852" t="s">
        <v>5301</v>
      </c>
      <c r="D852" t="s">
        <v>5322</v>
      </c>
      <c r="E852" t="s">
        <v>6196</v>
      </c>
      <c r="F852">
        <v>46208.599305555559</v>
      </c>
      <c r="G852">
        <v>232</v>
      </c>
      <c r="H852" t="s">
        <v>6155</v>
      </c>
      <c r="I852" t="s">
        <v>5358</v>
      </c>
      <c r="J852">
        <v>51</v>
      </c>
      <c r="K852">
        <v>327.42</v>
      </c>
      <c r="L852">
        <v>2839</v>
      </c>
      <c r="M852">
        <v>2844</v>
      </c>
      <c r="N852">
        <v>5</v>
      </c>
      <c r="O852">
        <v>10.199999999999999</v>
      </c>
    </row>
    <row r="853" spans="1:15" x14ac:dyDescent="0.25">
      <c r="A853">
        <v>5</v>
      </c>
      <c r="B853">
        <v>58</v>
      </c>
      <c r="C853" t="s">
        <v>5301</v>
      </c>
      <c r="D853" t="s">
        <v>5322</v>
      </c>
      <c r="E853" t="s">
        <v>6196</v>
      </c>
      <c r="F853">
        <v>46214.380555555559</v>
      </c>
      <c r="G853">
        <v>232</v>
      </c>
      <c r="H853" t="s">
        <v>6155</v>
      </c>
      <c r="I853" t="s">
        <v>5358</v>
      </c>
      <c r="J853">
        <v>64</v>
      </c>
      <c r="K853">
        <v>393.6</v>
      </c>
      <c r="L853">
        <v>2844</v>
      </c>
      <c r="M853">
        <v>2858</v>
      </c>
      <c r="N853">
        <v>14</v>
      </c>
      <c r="O853">
        <v>4.5714285714285703</v>
      </c>
    </row>
    <row r="854" spans="1:15" x14ac:dyDescent="0.25">
      <c r="A854">
        <v>5</v>
      </c>
      <c r="B854">
        <v>58</v>
      </c>
      <c r="C854" t="s">
        <v>5301</v>
      </c>
      <c r="D854" t="s">
        <v>5322</v>
      </c>
      <c r="E854" t="s">
        <v>6196</v>
      </c>
      <c r="F854">
        <v>46215.43472222222</v>
      </c>
      <c r="G854">
        <v>232</v>
      </c>
      <c r="H854" t="s">
        <v>6155</v>
      </c>
      <c r="I854" t="s">
        <v>5358</v>
      </c>
      <c r="J854">
        <v>23</v>
      </c>
      <c r="K854">
        <v>141.44999999999999</v>
      </c>
      <c r="L854">
        <v>2858</v>
      </c>
      <c r="M854">
        <v>2862</v>
      </c>
      <c r="N854">
        <v>4</v>
      </c>
      <c r="O854">
        <v>5.75</v>
      </c>
    </row>
    <row r="855" spans="1:15" x14ac:dyDescent="0.25">
      <c r="A855">
        <v>5</v>
      </c>
      <c r="B855">
        <v>58</v>
      </c>
      <c r="C855" t="s">
        <v>5301</v>
      </c>
      <c r="D855" t="s">
        <v>5322</v>
      </c>
      <c r="E855" t="s">
        <v>6196</v>
      </c>
      <c r="F855">
        <v>46216.464583333334</v>
      </c>
      <c r="G855">
        <v>232</v>
      </c>
      <c r="H855" t="s">
        <v>6155</v>
      </c>
      <c r="I855" t="s">
        <v>5358</v>
      </c>
      <c r="J855">
        <v>44</v>
      </c>
      <c r="K855">
        <v>270.60000000000002</v>
      </c>
      <c r="L855">
        <v>2862</v>
      </c>
      <c r="M855">
        <v>2871</v>
      </c>
      <c r="N855">
        <v>9</v>
      </c>
      <c r="O855">
        <v>4.8888888888888902</v>
      </c>
    </row>
    <row r="856" spans="1:15" x14ac:dyDescent="0.25">
      <c r="A856">
        <v>5</v>
      </c>
      <c r="B856">
        <v>58</v>
      </c>
      <c r="C856" t="s">
        <v>5301</v>
      </c>
      <c r="D856" t="s">
        <v>5322</v>
      </c>
      <c r="E856" t="s">
        <v>6196</v>
      </c>
      <c r="F856">
        <v>46217.488194444442</v>
      </c>
      <c r="G856">
        <v>232</v>
      </c>
      <c r="H856" t="s">
        <v>6155</v>
      </c>
      <c r="I856" t="s">
        <v>5358</v>
      </c>
      <c r="J856">
        <v>62</v>
      </c>
      <c r="K856">
        <v>381.3</v>
      </c>
      <c r="L856">
        <v>2871</v>
      </c>
      <c r="M856">
        <v>2879</v>
      </c>
      <c r="N856">
        <v>8</v>
      </c>
      <c r="O856">
        <v>7.75</v>
      </c>
    </row>
    <row r="857" spans="1:15" x14ac:dyDescent="0.25">
      <c r="A857">
        <v>5</v>
      </c>
      <c r="B857">
        <v>58</v>
      </c>
      <c r="C857" t="s">
        <v>5301</v>
      </c>
      <c r="D857" t="s">
        <v>5322</v>
      </c>
      <c r="E857" t="s">
        <v>6196</v>
      </c>
      <c r="F857">
        <v>46218.111111111109</v>
      </c>
      <c r="G857">
        <v>232</v>
      </c>
      <c r="H857" t="s">
        <v>6155</v>
      </c>
      <c r="I857" t="s">
        <v>5358</v>
      </c>
      <c r="J857">
        <v>47</v>
      </c>
      <c r="K857">
        <v>289.05</v>
      </c>
      <c r="L857">
        <v>2879</v>
      </c>
      <c r="M857">
        <v>999999</v>
      </c>
      <c r="N857">
        <v>997120</v>
      </c>
      <c r="O857">
        <v>4.7135750962772803E-5</v>
      </c>
    </row>
    <row r="858" spans="1:15" x14ac:dyDescent="0.25">
      <c r="A858">
        <v>5</v>
      </c>
      <c r="B858">
        <v>58</v>
      </c>
      <c r="C858" t="s">
        <v>5301</v>
      </c>
      <c r="D858" t="s">
        <v>5322</v>
      </c>
      <c r="E858" t="s">
        <v>6196</v>
      </c>
      <c r="F858">
        <v>46219.112500000003</v>
      </c>
      <c r="G858">
        <v>232</v>
      </c>
      <c r="H858" t="s">
        <v>6155</v>
      </c>
      <c r="I858" t="s">
        <v>5358</v>
      </c>
      <c r="J858">
        <v>47</v>
      </c>
      <c r="K858">
        <v>289.05</v>
      </c>
      <c r="L858">
        <v>999999</v>
      </c>
      <c r="M858">
        <v>2894</v>
      </c>
      <c r="N858">
        <v>0</v>
      </c>
      <c r="O858">
        <v>0</v>
      </c>
    </row>
    <row r="859" spans="1:15" x14ac:dyDescent="0.25">
      <c r="A859">
        <v>5</v>
      </c>
      <c r="B859">
        <v>58</v>
      </c>
      <c r="C859" t="s">
        <v>5301</v>
      </c>
      <c r="D859" t="s">
        <v>5322</v>
      </c>
      <c r="E859" t="s">
        <v>6196</v>
      </c>
      <c r="F859">
        <v>46220.029861111114</v>
      </c>
      <c r="G859">
        <v>232</v>
      </c>
      <c r="H859" t="s">
        <v>6155</v>
      </c>
      <c r="I859" t="s">
        <v>5358</v>
      </c>
      <c r="J859">
        <v>44</v>
      </c>
      <c r="K859">
        <v>270.60000000000002</v>
      </c>
      <c r="L859">
        <v>2894</v>
      </c>
      <c r="M859">
        <v>2902</v>
      </c>
      <c r="N859">
        <v>8</v>
      </c>
      <c r="O859">
        <v>5.5</v>
      </c>
    </row>
    <row r="860" spans="1:15" x14ac:dyDescent="0.25">
      <c r="A860">
        <v>5</v>
      </c>
      <c r="B860">
        <v>58</v>
      </c>
      <c r="C860" t="s">
        <v>5301</v>
      </c>
      <c r="D860" t="s">
        <v>5322</v>
      </c>
      <c r="E860" t="s">
        <v>6196</v>
      </c>
      <c r="F860">
        <v>46221.927777777775</v>
      </c>
      <c r="G860">
        <v>232</v>
      </c>
      <c r="H860" t="s">
        <v>6155</v>
      </c>
      <c r="I860" t="s">
        <v>5358</v>
      </c>
      <c r="J860">
        <v>44</v>
      </c>
      <c r="K860">
        <v>270.60000000000002</v>
      </c>
      <c r="L860">
        <v>2902</v>
      </c>
      <c r="M860">
        <v>2910</v>
      </c>
      <c r="N860">
        <v>8</v>
      </c>
      <c r="O860">
        <v>5.5</v>
      </c>
    </row>
    <row r="861" spans="1:15" x14ac:dyDescent="0.25">
      <c r="A861">
        <v>5</v>
      </c>
      <c r="B861">
        <v>58</v>
      </c>
      <c r="C861" t="s">
        <v>5301</v>
      </c>
      <c r="D861" t="s">
        <v>5322</v>
      </c>
      <c r="E861" t="s">
        <v>6196</v>
      </c>
      <c r="F861">
        <v>46222.059027777781</v>
      </c>
      <c r="G861">
        <v>232</v>
      </c>
      <c r="H861" t="s">
        <v>6155</v>
      </c>
      <c r="I861" t="s">
        <v>5358</v>
      </c>
      <c r="J861">
        <v>47</v>
      </c>
      <c r="K861">
        <v>296.10000000000002</v>
      </c>
      <c r="L861">
        <v>2910</v>
      </c>
      <c r="M861">
        <v>2917</v>
      </c>
      <c r="N861">
        <v>7</v>
      </c>
      <c r="O861">
        <v>6.71428571428571</v>
      </c>
    </row>
    <row r="862" spans="1:15" x14ac:dyDescent="0.25">
      <c r="A862">
        <v>5</v>
      </c>
      <c r="B862">
        <v>58</v>
      </c>
      <c r="C862" t="s">
        <v>5301</v>
      </c>
      <c r="D862" t="s">
        <v>5322</v>
      </c>
      <c r="E862" t="s">
        <v>6196</v>
      </c>
      <c r="F862">
        <v>46225.021527777775</v>
      </c>
      <c r="G862">
        <v>232</v>
      </c>
      <c r="H862" t="s">
        <v>6155</v>
      </c>
      <c r="I862" t="s">
        <v>5358</v>
      </c>
      <c r="J862">
        <v>55</v>
      </c>
      <c r="K862">
        <v>343.75</v>
      </c>
      <c r="L862">
        <v>2917</v>
      </c>
      <c r="M862">
        <v>2924</v>
      </c>
      <c r="N862">
        <v>7</v>
      </c>
      <c r="O862">
        <v>7.8571428571428603</v>
      </c>
    </row>
    <row r="863" spans="1:15" x14ac:dyDescent="0.25">
      <c r="A863">
        <v>5</v>
      </c>
      <c r="B863">
        <v>58</v>
      </c>
      <c r="C863" t="s">
        <v>5301</v>
      </c>
      <c r="D863" t="s">
        <v>5322</v>
      </c>
      <c r="E863" t="s">
        <v>6196</v>
      </c>
      <c r="F863">
        <v>46227.076388888891</v>
      </c>
      <c r="G863">
        <v>232</v>
      </c>
      <c r="H863" t="s">
        <v>6155</v>
      </c>
      <c r="I863" t="s">
        <v>5358</v>
      </c>
      <c r="J863">
        <v>70</v>
      </c>
      <c r="K863">
        <v>437.5</v>
      </c>
      <c r="L863">
        <v>2924</v>
      </c>
      <c r="M863">
        <v>2939</v>
      </c>
      <c r="N863">
        <v>15</v>
      </c>
      <c r="O863">
        <v>4.6666666666666696</v>
      </c>
    </row>
    <row r="864" spans="1:15" x14ac:dyDescent="0.25">
      <c r="A864">
        <v>5</v>
      </c>
      <c r="B864">
        <v>58</v>
      </c>
      <c r="C864" t="s">
        <v>5301</v>
      </c>
      <c r="D864" t="s">
        <v>5322</v>
      </c>
      <c r="E864" t="s">
        <v>6196</v>
      </c>
      <c r="F864">
        <v>46228.974999999999</v>
      </c>
      <c r="G864">
        <v>232</v>
      </c>
      <c r="H864" t="s">
        <v>6155</v>
      </c>
      <c r="I864" t="s">
        <v>5358</v>
      </c>
      <c r="J864">
        <v>37</v>
      </c>
      <c r="K864">
        <v>231.25</v>
      </c>
      <c r="L864">
        <v>2939</v>
      </c>
      <c r="M864">
        <v>2946</v>
      </c>
      <c r="N864">
        <v>7</v>
      </c>
      <c r="O864">
        <v>5.28571428571429</v>
      </c>
    </row>
    <row r="865" spans="1:15" x14ac:dyDescent="0.25">
      <c r="A865">
        <v>5</v>
      </c>
      <c r="B865">
        <v>58</v>
      </c>
      <c r="C865" t="s">
        <v>5301</v>
      </c>
      <c r="D865" t="s">
        <v>5322</v>
      </c>
      <c r="E865" t="s">
        <v>6196</v>
      </c>
      <c r="F865">
        <v>46229.01458333333</v>
      </c>
      <c r="G865">
        <v>232</v>
      </c>
      <c r="H865" t="s">
        <v>6155</v>
      </c>
      <c r="I865" t="s">
        <v>5358</v>
      </c>
      <c r="J865">
        <v>27</v>
      </c>
      <c r="K865">
        <v>170.1</v>
      </c>
      <c r="L865">
        <v>2946</v>
      </c>
      <c r="M865">
        <v>2954</v>
      </c>
      <c r="N865">
        <v>8</v>
      </c>
      <c r="O865">
        <v>3.375</v>
      </c>
    </row>
    <row r="866" spans="1:15" x14ac:dyDescent="0.25">
      <c r="A866">
        <v>5</v>
      </c>
      <c r="B866">
        <v>58</v>
      </c>
      <c r="C866" t="s">
        <v>5301</v>
      </c>
      <c r="D866" t="s">
        <v>5322</v>
      </c>
      <c r="E866" t="s">
        <v>6196</v>
      </c>
      <c r="F866">
        <v>46230.992361111108</v>
      </c>
      <c r="G866">
        <v>232</v>
      </c>
      <c r="H866" t="s">
        <v>6155</v>
      </c>
      <c r="I866" t="s">
        <v>5358</v>
      </c>
      <c r="J866">
        <v>47</v>
      </c>
      <c r="K866">
        <v>293.75</v>
      </c>
      <c r="L866">
        <v>2954</v>
      </c>
      <c r="M866">
        <v>2959</v>
      </c>
      <c r="N866">
        <v>5</v>
      </c>
      <c r="O866">
        <v>9.4</v>
      </c>
    </row>
    <row r="867" spans="1:15" x14ac:dyDescent="0.25">
      <c r="A867">
        <v>5</v>
      </c>
      <c r="B867">
        <v>58</v>
      </c>
      <c r="C867" t="s">
        <v>5301</v>
      </c>
      <c r="D867" t="s">
        <v>5322</v>
      </c>
      <c r="E867" t="s">
        <v>6196</v>
      </c>
      <c r="F867">
        <v>46231.02847222222</v>
      </c>
      <c r="G867">
        <v>232</v>
      </c>
      <c r="H867" t="s">
        <v>6155</v>
      </c>
      <c r="I867" t="s">
        <v>5358</v>
      </c>
      <c r="J867">
        <v>39</v>
      </c>
      <c r="K867">
        <v>243.75</v>
      </c>
      <c r="L867">
        <v>2959</v>
      </c>
      <c r="M867">
        <v>2966</v>
      </c>
      <c r="N867">
        <v>7</v>
      </c>
      <c r="O867">
        <v>5.5714285714285703</v>
      </c>
    </row>
    <row r="868" spans="1:15" x14ac:dyDescent="0.25">
      <c r="A868">
        <v>5</v>
      </c>
      <c r="B868">
        <v>58</v>
      </c>
      <c r="C868" t="s">
        <v>5301</v>
      </c>
      <c r="D868" t="s">
        <v>5322</v>
      </c>
      <c r="E868" t="s">
        <v>6196</v>
      </c>
      <c r="F868">
        <v>46232.974999999999</v>
      </c>
      <c r="G868">
        <v>232</v>
      </c>
      <c r="H868" t="s">
        <v>6155</v>
      </c>
      <c r="I868" t="s">
        <v>5358</v>
      </c>
      <c r="J868">
        <v>54</v>
      </c>
      <c r="K868">
        <v>337.5</v>
      </c>
      <c r="L868">
        <v>2966</v>
      </c>
      <c r="M868">
        <v>2973</v>
      </c>
      <c r="N868">
        <v>7</v>
      </c>
      <c r="O868">
        <v>7.71428571428571</v>
      </c>
    </row>
    <row r="869" spans="1:15" x14ac:dyDescent="0.25">
      <c r="A869">
        <v>5</v>
      </c>
      <c r="B869">
        <v>58</v>
      </c>
      <c r="C869" t="s">
        <v>5301</v>
      </c>
      <c r="D869" t="s">
        <v>5322</v>
      </c>
      <c r="E869" t="s">
        <v>6196</v>
      </c>
      <c r="F869">
        <v>46234.071527777778</v>
      </c>
      <c r="G869">
        <v>232</v>
      </c>
      <c r="H869" t="s">
        <v>6155</v>
      </c>
      <c r="I869" t="s">
        <v>5358</v>
      </c>
      <c r="J869">
        <v>60</v>
      </c>
      <c r="K869">
        <v>375</v>
      </c>
      <c r="L869">
        <v>2973</v>
      </c>
      <c r="M869">
        <v>2984</v>
      </c>
      <c r="N869">
        <v>11</v>
      </c>
      <c r="O869">
        <v>5.4545454545454497</v>
      </c>
    </row>
    <row r="870" spans="1:15" x14ac:dyDescent="0.25">
      <c r="A870">
        <v>5</v>
      </c>
      <c r="B870">
        <v>58</v>
      </c>
      <c r="C870" t="s">
        <v>5301</v>
      </c>
      <c r="D870" t="s">
        <v>418</v>
      </c>
      <c r="E870" t="s">
        <v>6196</v>
      </c>
      <c r="F870">
        <v>46223.47152777778</v>
      </c>
      <c r="G870">
        <v>232</v>
      </c>
      <c r="H870" t="s">
        <v>6155</v>
      </c>
      <c r="I870" t="s">
        <v>5358</v>
      </c>
      <c r="J870">
        <v>64</v>
      </c>
      <c r="K870">
        <v>400</v>
      </c>
      <c r="L870">
        <v>3063</v>
      </c>
      <c r="M870">
        <v>3071</v>
      </c>
      <c r="N870">
        <v>8</v>
      </c>
      <c r="O870">
        <v>8</v>
      </c>
    </row>
    <row r="871" spans="1:15" x14ac:dyDescent="0.25">
      <c r="A871">
        <v>5</v>
      </c>
      <c r="B871">
        <v>58</v>
      </c>
      <c r="C871" t="s">
        <v>5301</v>
      </c>
      <c r="D871" t="s">
        <v>418</v>
      </c>
      <c r="E871" t="s">
        <v>6196</v>
      </c>
      <c r="F871">
        <v>46227.637499999997</v>
      </c>
      <c r="G871">
        <v>232</v>
      </c>
      <c r="H871" t="s">
        <v>6155</v>
      </c>
      <c r="I871" t="s">
        <v>5358</v>
      </c>
      <c r="J871">
        <v>70</v>
      </c>
      <c r="K871">
        <v>437.5</v>
      </c>
      <c r="L871">
        <v>3071</v>
      </c>
      <c r="M871">
        <v>3071</v>
      </c>
      <c r="N871">
        <v>0</v>
      </c>
      <c r="O871">
        <v>0</v>
      </c>
    </row>
    <row r="872" spans="1:15" x14ac:dyDescent="0.25">
      <c r="A872">
        <v>5</v>
      </c>
      <c r="B872">
        <v>58</v>
      </c>
      <c r="C872" t="s">
        <v>5301</v>
      </c>
      <c r="D872" t="s">
        <v>418</v>
      </c>
      <c r="E872" t="s">
        <v>6196</v>
      </c>
      <c r="F872">
        <v>46229.762499999997</v>
      </c>
      <c r="G872">
        <v>232</v>
      </c>
      <c r="H872" t="s">
        <v>6155</v>
      </c>
      <c r="I872" t="s">
        <v>5358</v>
      </c>
      <c r="J872">
        <v>59</v>
      </c>
      <c r="K872">
        <v>371.7</v>
      </c>
      <c r="L872">
        <v>3071</v>
      </c>
      <c r="M872">
        <v>3093</v>
      </c>
      <c r="N872">
        <v>22</v>
      </c>
      <c r="O872">
        <v>2.6818181818181799</v>
      </c>
    </row>
    <row r="873" spans="1:15" x14ac:dyDescent="0.25">
      <c r="A873">
        <v>5</v>
      </c>
      <c r="B873">
        <v>58</v>
      </c>
      <c r="C873" t="s">
        <v>5301</v>
      </c>
      <c r="D873" t="s">
        <v>418</v>
      </c>
      <c r="E873" t="s">
        <v>6196</v>
      </c>
      <c r="F873">
        <v>46230.419444444444</v>
      </c>
      <c r="G873">
        <v>232</v>
      </c>
      <c r="H873" t="s">
        <v>6155</v>
      </c>
      <c r="I873" t="s">
        <v>5358</v>
      </c>
      <c r="J873">
        <v>48</v>
      </c>
      <c r="K873">
        <v>300</v>
      </c>
      <c r="L873">
        <v>3093</v>
      </c>
      <c r="M873">
        <v>3099</v>
      </c>
      <c r="N873">
        <v>6</v>
      </c>
      <c r="O873">
        <v>8</v>
      </c>
    </row>
    <row r="874" spans="1:15" x14ac:dyDescent="0.25">
      <c r="A874">
        <v>5</v>
      </c>
      <c r="B874">
        <v>58</v>
      </c>
      <c r="C874" t="s">
        <v>5301</v>
      </c>
      <c r="D874" t="s">
        <v>418</v>
      </c>
      <c r="E874" t="s">
        <v>6196</v>
      </c>
      <c r="F874">
        <v>46232.715277777781</v>
      </c>
      <c r="G874">
        <v>232</v>
      </c>
      <c r="H874" t="s">
        <v>6155</v>
      </c>
      <c r="I874" t="s">
        <v>5358</v>
      </c>
      <c r="J874">
        <v>56</v>
      </c>
      <c r="K874">
        <v>350</v>
      </c>
      <c r="L874">
        <v>3099</v>
      </c>
      <c r="M874">
        <v>3110</v>
      </c>
      <c r="N874">
        <v>11</v>
      </c>
      <c r="O874">
        <v>5.0909090909090899</v>
      </c>
    </row>
    <row r="875" spans="1:15" x14ac:dyDescent="0.25">
      <c r="A875">
        <v>5</v>
      </c>
      <c r="B875">
        <v>58</v>
      </c>
      <c r="C875" t="s">
        <v>5301</v>
      </c>
      <c r="D875" t="s">
        <v>418</v>
      </c>
      <c r="E875" t="s">
        <v>6196</v>
      </c>
      <c r="F875">
        <v>46233.599305555559</v>
      </c>
      <c r="G875">
        <v>232</v>
      </c>
      <c r="H875" t="s">
        <v>6155</v>
      </c>
      <c r="I875" t="s">
        <v>5358</v>
      </c>
      <c r="J875">
        <v>58</v>
      </c>
      <c r="K875">
        <v>362.5</v>
      </c>
      <c r="L875">
        <v>3110</v>
      </c>
      <c r="M875">
        <v>3117</v>
      </c>
      <c r="N875">
        <v>7</v>
      </c>
      <c r="O875">
        <v>8.28571428571429</v>
      </c>
    </row>
    <row r="876" spans="1:15" x14ac:dyDescent="0.25">
      <c r="A876">
        <v>5</v>
      </c>
      <c r="B876">
        <v>58</v>
      </c>
      <c r="C876" t="s">
        <v>5301</v>
      </c>
      <c r="D876" t="s">
        <v>418</v>
      </c>
      <c r="E876" t="s">
        <v>6196</v>
      </c>
      <c r="F876">
        <v>46234.380555555559</v>
      </c>
      <c r="G876">
        <v>232</v>
      </c>
      <c r="H876" t="s">
        <v>6155</v>
      </c>
      <c r="I876" t="s">
        <v>5358</v>
      </c>
      <c r="J876">
        <v>35</v>
      </c>
      <c r="K876">
        <v>218.75</v>
      </c>
      <c r="L876">
        <v>3117</v>
      </c>
      <c r="M876">
        <v>3124</v>
      </c>
      <c r="N876">
        <v>7</v>
      </c>
      <c r="O876">
        <v>5</v>
      </c>
    </row>
    <row r="877" spans="1:15" x14ac:dyDescent="0.25">
      <c r="A877">
        <v>5</v>
      </c>
      <c r="B877">
        <v>58</v>
      </c>
      <c r="C877" t="s">
        <v>5301</v>
      </c>
      <c r="D877" t="s">
        <v>396</v>
      </c>
      <c r="E877" t="s">
        <v>6197</v>
      </c>
      <c r="F877">
        <v>46204.650694444441</v>
      </c>
      <c r="G877">
        <v>232</v>
      </c>
      <c r="H877" t="s">
        <v>6155</v>
      </c>
      <c r="I877" t="s">
        <v>5358</v>
      </c>
      <c r="J877">
        <v>17</v>
      </c>
      <c r="K877">
        <v>104.55</v>
      </c>
      <c r="L877">
        <v>2518</v>
      </c>
      <c r="M877">
        <v>2520</v>
      </c>
      <c r="N877">
        <v>2</v>
      </c>
      <c r="O877">
        <v>8.5</v>
      </c>
    </row>
    <row r="878" spans="1:15" x14ac:dyDescent="0.25">
      <c r="A878">
        <v>5</v>
      </c>
      <c r="B878">
        <v>58</v>
      </c>
      <c r="C878" t="s">
        <v>5301</v>
      </c>
      <c r="D878" t="s">
        <v>396</v>
      </c>
      <c r="E878" t="s">
        <v>6197</v>
      </c>
      <c r="F878">
        <v>46205.477083333331</v>
      </c>
      <c r="G878">
        <v>232</v>
      </c>
      <c r="H878" t="s">
        <v>6155</v>
      </c>
      <c r="I878" t="s">
        <v>5358</v>
      </c>
      <c r="J878">
        <v>35</v>
      </c>
      <c r="K878">
        <v>215.25</v>
      </c>
      <c r="L878">
        <v>2520</v>
      </c>
      <c r="M878">
        <v>2525</v>
      </c>
      <c r="N878">
        <v>5</v>
      </c>
      <c r="O878">
        <v>7</v>
      </c>
    </row>
    <row r="879" spans="1:15" x14ac:dyDescent="0.25">
      <c r="A879">
        <v>5</v>
      </c>
      <c r="B879">
        <v>58</v>
      </c>
      <c r="C879" t="s">
        <v>5301</v>
      </c>
      <c r="D879" t="s">
        <v>396</v>
      </c>
      <c r="E879" t="s">
        <v>6197</v>
      </c>
      <c r="F879">
        <v>46207.481249999997</v>
      </c>
      <c r="G879">
        <v>232</v>
      </c>
      <c r="H879" t="s">
        <v>6155</v>
      </c>
      <c r="I879" t="s">
        <v>5358</v>
      </c>
      <c r="J879">
        <v>35</v>
      </c>
      <c r="K879">
        <v>215.25</v>
      </c>
      <c r="L879">
        <v>2525</v>
      </c>
      <c r="M879">
        <v>2530</v>
      </c>
      <c r="N879">
        <v>5</v>
      </c>
      <c r="O879">
        <v>7</v>
      </c>
    </row>
    <row r="880" spans="1:15" x14ac:dyDescent="0.25">
      <c r="A880">
        <v>5</v>
      </c>
      <c r="B880">
        <v>58</v>
      </c>
      <c r="C880" t="s">
        <v>5301</v>
      </c>
      <c r="D880" t="s">
        <v>396</v>
      </c>
      <c r="E880" t="s">
        <v>6197</v>
      </c>
      <c r="F880">
        <v>46208.533333333333</v>
      </c>
      <c r="G880">
        <v>232</v>
      </c>
      <c r="H880" t="s">
        <v>6155</v>
      </c>
      <c r="I880" t="s">
        <v>5358</v>
      </c>
      <c r="J880">
        <v>32</v>
      </c>
      <c r="K880">
        <v>205.44</v>
      </c>
      <c r="L880">
        <v>2530</v>
      </c>
      <c r="M880">
        <v>2534</v>
      </c>
      <c r="N880">
        <v>4</v>
      </c>
      <c r="O880">
        <v>8</v>
      </c>
    </row>
    <row r="881" spans="1:15" x14ac:dyDescent="0.25">
      <c r="A881">
        <v>5</v>
      </c>
      <c r="B881">
        <v>58</v>
      </c>
      <c r="C881" t="s">
        <v>5301</v>
      </c>
      <c r="D881" t="s">
        <v>396</v>
      </c>
      <c r="E881" t="s">
        <v>6197</v>
      </c>
      <c r="F881">
        <v>46209.458333333336</v>
      </c>
      <c r="G881">
        <v>232</v>
      </c>
      <c r="H881" t="s">
        <v>6155</v>
      </c>
      <c r="I881" t="s">
        <v>5358</v>
      </c>
      <c r="J881">
        <v>38</v>
      </c>
      <c r="K881">
        <v>233.7</v>
      </c>
      <c r="L881">
        <v>2534</v>
      </c>
      <c r="M881">
        <v>2539</v>
      </c>
      <c r="N881">
        <v>5</v>
      </c>
      <c r="O881">
        <v>7.6</v>
      </c>
    </row>
    <row r="882" spans="1:15" x14ac:dyDescent="0.25">
      <c r="A882">
        <v>5</v>
      </c>
      <c r="B882">
        <v>58</v>
      </c>
      <c r="C882" t="s">
        <v>5301</v>
      </c>
      <c r="D882" t="s">
        <v>396</v>
      </c>
      <c r="E882" t="s">
        <v>6197</v>
      </c>
      <c r="F882">
        <v>46210.373611111114</v>
      </c>
      <c r="G882">
        <v>232</v>
      </c>
      <c r="H882" t="s">
        <v>6155</v>
      </c>
      <c r="I882" t="s">
        <v>5358</v>
      </c>
      <c r="J882">
        <v>30</v>
      </c>
      <c r="K882">
        <v>184.5</v>
      </c>
      <c r="L882">
        <v>2539</v>
      </c>
      <c r="M882">
        <v>2543</v>
      </c>
      <c r="N882">
        <v>4</v>
      </c>
      <c r="O882">
        <v>7.5</v>
      </c>
    </row>
    <row r="883" spans="1:15" x14ac:dyDescent="0.25">
      <c r="A883">
        <v>5</v>
      </c>
      <c r="B883">
        <v>58</v>
      </c>
      <c r="C883" t="s">
        <v>5301</v>
      </c>
      <c r="D883" t="s">
        <v>396</v>
      </c>
      <c r="E883" t="s">
        <v>6197</v>
      </c>
      <c r="F883">
        <v>46212.427083333336</v>
      </c>
      <c r="G883">
        <v>232</v>
      </c>
      <c r="H883" t="s">
        <v>6155</v>
      </c>
      <c r="I883" t="s">
        <v>5358</v>
      </c>
      <c r="J883">
        <v>41</v>
      </c>
      <c r="K883">
        <v>252.15</v>
      </c>
      <c r="L883">
        <v>2543</v>
      </c>
      <c r="M883">
        <v>2550</v>
      </c>
      <c r="N883">
        <v>7</v>
      </c>
      <c r="O883">
        <v>5.8571428571428603</v>
      </c>
    </row>
    <row r="884" spans="1:15" x14ac:dyDescent="0.25">
      <c r="A884">
        <v>5</v>
      </c>
      <c r="B884">
        <v>58</v>
      </c>
      <c r="C884" t="s">
        <v>5301</v>
      </c>
      <c r="D884" t="s">
        <v>396</v>
      </c>
      <c r="E884" t="s">
        <v>6197</v>
      </c>
      <c r="F884">
        <v>46213.435416666667</v>
      </c>
      <c r="G884">
        <v>232</v>
      </c>
      <c r="H884" t="s">
        <v>6155</v>
      </c>
      <c r="I884" t="s">
        <v>5358</v>
      </c>
      <c r="J884">
        <v>34</v>
      </c>
      <c r="K884">
        <v>209.1</v>
      </c>
      <c r="L884">
        <v>2550</v>
      </c>
      <c r="M884">
        <v>2554</v>
      </c>
      <c r="N884">
        <v>4</v>
      </c>
      <c r="O884">
        <v>8.5</v>
      </c>
    </row>
    <row r="885" spans="1:15" x14ac:dyDescent="0.25">
      <c r="A885">
        <v>5</v>
      </c>
      <c r="B885">
        <v>58</v>
      </c>
      <c r="C885" t="s">
        <v>5301</v>
      </c>
      <c r="D885" t="s">
        <v>396</v>
      </c>
      <c r="E885" t="s">
        <v>6197</v>
      </c>
      <c r="F885">
        <v>46214.388888888891</v>
      </c>
      <c r="G885">
        <v>232</v>
      </c>
      <c r="H885" t="s">
        <v>6155</v>
      </c>
      <c r="I885" t="s">
        <v>5358</v>
      </c>
      <c r="J885">
        <v>30</v>
      </c>
      <c r="K885">
        <v>184.5</v>
      </c>
      <c r="L885">
        <v>2554</v>
      </c>
      <c r="M885">
        <v>2559</v>
      </c>
      <c r="N885">
        <v>5</v>
      </c>
      <c r="O885">
        <v>6</v>
      </c>
    </row>
    <row r="886" spans="1:15" x14ac:dyDescent="0.25">
      <c r="A886">
        <v>5</v>
      </c>
      <c r="B886">
        <v>58</v>
      </c>
      <c r="C886" t="s">
        <v>5301</v>
      </c>
      <c r="D886" t="s">
        <v>396</v>
      </c>
      <c r="E886" t="s">
        <v>6197</v>
      </c>
      <c r="F886">
        <v>46216.466666666667</v>
      </c>
      <c r="G886">
        <v>232</v>
      </c>
      <c r="H886" t="s">
        <v>6155</v>
      </c>
      <c r="I886" t="s">
        <v>5358</v>
      </c>
      <c r="J886">
        <v>57</v>
      </c>
      <c r="K886">
        <v>350.55</v>
      </c>
      <c r="L886">
        <v>2559</v>
      </c>
      <c r="M886">
        <v>2567</v>
      </c>
      <c r="N886">
        <v>8</v>
      </c>
      <c r="O886">
        <v>7.125</v>
      </c>
    </row>
    <row r="887" spans="1:15" x14ac:dyDescent="0.25">
      <c r="A887">
        <v>5</v>
      </c>
      <c r="B887">
        <v>58</v>
      </c>
      <c r="C887" t="s">
        <v>5301</v>
      </c>
      <c r="D887" t="s">
        <v>396</v>
      </c>
      <c r="E887" t="s">
        <v>6197</v>
      </c>
      <c r="F887">
        <v>46223.46875</v>
      </c>
      <c r="G887">
        <v>232</v>
      </c>
      <c r="H887" t="s">
        <v>6155</v>
      </c>
      <c r="I887" t="s">
        <v>5358</v>
      </c>
      <c r="J887">
        <v>51</v>
      </c>
      <c r="K887">
        <v>318.75</v>
      </c>
      <c r="L887">
        <v>2567</v>
      </c>
      <c r="M887">
        <v>2574</v>
      </c>
      <c r="N887">
        <v>7</v>
      </c>
      <c r="O887">
        <v>7.28571428571429</v>
      </c>
    </row>
    <row r="888" spans="1:15" x14ac:dyDescent="0.25">
      <c r="A888">
        <v>5</v>
      </c>
      <c r="B888">
        <v>58</v>
      </c>
      <c r="C888" t="s">
        <v>5301</v>
      </c>
      <c r="D888" t="s">
        <v>396</v>
      </c>
      <c r="E888" t="s">
        <v>6197</v>
      </c>
      <c r="F888">
        <v>46227.638194444444</v>
      </c>
      <c r="G888">
        <v>232</v>
      </c>
      <c r="H888" t="s">
        <v>6155</v>
      </c>
      <c r="I888" t="s">
        <v>5358</v>
      </c>
      <c r="J888">
        <v>44</v>
      </c>
      <c r="K888">
        <v>275</v>
      </c>
      <c r="L888">
        <v>2574</v>
      </c>
      <c r="M888">
        <v>2574</v>
      </c>
      <c r="N888">
        <v>0</v>
      </c>
      <c r="O888">
        <v>0</v>
      </c>
    </row>
    <row r="889" spans="1:15" x14ac:dyDescent="0.25">
      <c r="A889">
        <v>5</v>
      </c>
      <c r="B889">
        <v>58</v>
      </c>
      <c r="C889" t="s">
        <v>5301</v>
      </c>
      <c r="D889" t="s">
        <v>396</v>
      </c>
      <c r="E889" t="s">
        <v>6197</v>
      </c>
      <c r="F889">
        <v>46228.669444444444</v>
      </c>
      <c r="G889">
        <v>232</v>
      </c>
      <c r="H889" t="s">
        <v>6155</v>
      </c>
      <c r="I889" t="s">
        <v>5358</v>
      </c>
      <c r="J889">
        <v>25</v>
      </c>
      <c r="K889">
        <v>156.25</v>
      </c>
      <c r="L889">
        <v>2574</v>
      </c>
      <c r="M889">
        <v>2584</v>
      </c>
      <c r="N889">
        <v>10</v>
      </c>
      <c r="O889">
        <v>2.5</v>
      </c>
    </row>
    <row r="890" spans="1:15" x14ac:dyDescent="0.25">
      <c r="A890">
        <v>5</v>
      </c>
      <c r="B890">
        <v>58</v>
      </c>
      <c r="C890" t="s">
        <v>5301</v>
      </c>
      <c r="D890" t="s">
        <v>396</v>
      </c>
      <c r="E890" t="s">
        <v>6197</v>
      </c>
      <c r="F890">
        <v>46229.763194444444</v>
      </c>
      <c r="G890">
        <v>232</v>
      </c>
      <c r="H890" t="s">
        <v>6155</v>
      </c>
      <c r="I890" t="s">
        <v>5358</v>
      </c>
      <c r="J890">
        <v>30</v>
      </c>
      <c r="K890">
        <v>189</v>
      </c>
      <c r="L890">
        <v>2584</v>
      </c>
      <c r="M890">
        <v>2588</v>
      </c>
      <c r="N890">
        <v>4</v>
      </c>
      <c r="O890">
        <v>7.5</v>
      </c>
    </row>
    <row r="891" spans="1:15" x14ac:dyDescent="0.25">
      <c r="A891">
        <v>5</v>
      </c>
      <c r="B891">
        <v>58</v>
      </c>
      <c r="C891" t="s">
        <v>5301</v>
      </c>
      <c r="D891" t="s">
        <v>396</v>
      </c>
      <c r="E891" t="s">
        <v>6197</v>
      </c>
      <c r="F891">
        <v>46230.418749999997</v>
      </c>
      <c r="G891">
        <v>232</v>
      </c>
      <c r="H891" t="s">
        <v>6155</v>
      </c>
      <c r="I891" t="s">
        <v>5358</v>
      </c>
      <c r="J891">
        <v>26</v>
      </c>
      <c r="K891">
        <v>162.5</v>
      </c>
      <c r="L891">
        <v>2588</v>
      </c>
      <c r="M891">
        <v>2592</v>
      </c>
      <c r="N891">
        <v>4</v>
      </c>
      <c r="O891">
        <v>6.5</v>
      </c>
    </row>
    <row r="892" spans="1:15" x14ac:dyDescent="0.25">
      <c r="A892">
        <v>5</v>
      </c>
      <c r="B892">
        <v>58</v>
      </c>
      <c r="C892" t="s">
        <v>5301</v>
      </c>
      <c r="D892" t="s">
        <v>396</v>
      </c>
      <c r="E892" t="s">
        <v>6197</v>
      </c>
      <c r="F892">
        <v>46231.620833333334</v>
      </c>
      <c r="G892">
        <v>232</v>
      </c>
      <c r="H892" t="s">
        <v>6155</v>
      </c>
      <c r="I892" t="s">
        <v>5358</v>
      </c>
      <c r="J892">
        <v>22</v>
      </c>
      <c r="K892">
        <v>137.5</v>
      </c>
      <c r="L892">
        <v>2592</v>
      </c>
      <c r="M892">
        <v>2595</v>
      </c>
      <c r="N892">
        <v>3</v>
      </c>
      <c r="O892">
        <v>7.3333333333333304</v>
      </c>
    </row>
    <row r="893" spans="1:15" x14ac:dyDescent="0.25">
      <c r="A893">
        <v>5</v>
      </c>
      <c r="B893">
        <v>58</v>
      </c>
      <c r="C893" t="s">
        <v>5301</v>
      </c>
      <c r="D893" t="s">
        <v>396</v>
      </c>
      <c r="E893" t="s">
        <v>6197</v>
      </c>
      <c r="F893">
        <v>46232.730555555558</v>
      </c>
      <c r="G893">
        <v>232</v>
      </c>
      <c r="H893" t="s">
        <v>6155</v>
      </c>
      <c r="I893" t="s">
        <v>5358</v>
      </c>
      <c r="J893">
        <v>12</v>
      </c>
      <c r="K893">
        <v>75</v>
      </c>
      <c r="L893">
        <v>2595</v>
      </c>
      <c r="M893">
        <v>2598</v>
      </c>
      <c r="N893">
        <v>3</v>
      </c>
      <c r="O893">
        <v>4</v>
      </c>
    </row>
    <row r="894" spans="1:15" x14ac:dyDescent="0.25">
      <c r="A894">
        <v>5</v>
      </c>
      <c r="B894">
        <v>58</v>
      </c>
      <c r="C894" t="s">
        <v>5301</v>
      </c>
      <c r="D894" t="s">
        <v>396</v>
      </c>
      <c r="E894" t="s">
        <v>6197</v>
      </c>
      <c r="F894">
        <v>46233.599999999999</v>
      </c>
      <c r="G894">
        <v>232</v>
      </c>
      <c r="H894" t="s">
        <v>6155</v>
      </c>
      <c r="I894" t="s">
        <v>5358</v>
      </c>
      <c r="J894">
        <v>44</v>
      </c>
      <c r="K894">
        <v>275</v>
      </c>
      <c r="L894">
        <v>2598</v>
      </c>
      <c r="M894">
        <v>2603</v>
      </c>
      <c r="N894">
        <v>5</v>
      </c>
      <c r="O894">
        <v>8.8000000000000007</v>
      </c>
    </row>
    <row r="895" spans="1:15" x14ac:dyDescent="0.25">
      <c r="A895">
        <v>5</v>
      </c>
      <c r="B895">
        <v>58</v>
      </c>
      <c r="C895" t="s">
        <v>5301</v>
      </c>
      <c r="D895" t="s">
        <v>396</v>
      </c>
      <c r="E895" t="s">
        <v>6197</v>
      </c>
      <c r="F895">
        <v>46234.379861111112</v>
      </c>
      <c r="G895">
        <v>232</v>
      </c>
      <c r="H895" t="s">
        <v>6155</v>
      </c>
      <c r="I895" t="s">
        <v>5358</v>
      </c>
      <c r="J895">
        <v>30</v>
      </c>
      <c r="K895">
        <v>187.5</v>
      </c>
      <c r="L895">
        <v>2603</v>
      </c>
      <c r="M895">
        <v>2608</v>
      </c>
      <c r="N895">
        <v>5</v>
      </c>
      <c r="O895">
        <v>6</v>
      </c>
    </row>
    <row r="896" spans="1:15" x14ac:dyDescent="0.25">
      <c r="A896">
        <v>5</v>
      </c>
      <c r="B896">
        <v>70</v>
      </c>
      <c r="C896" t="s">
        <v>5300</v>
      </c>
      <c r="D896" t="s">
        <v>171</v>
      </c>
      <c r="E896" t="s">
        <v>6198</v>
      </c>
      <c r="F896">
        <v>46204.525694444441</v>
      </c>
      <c r="G896">
        <v>129</v>
      </c>
      <c r="H896" t="s">
        <v>6164</v>
      </c>
      <c r="I896" t="s">
        <v>5358</v>
      </c>
      <c r="J896">
        <v>33</v>
      </c>
      <c r="K896">
        <v>203.94</v>
      </c>
      <c r="L896">
        <v>1968</v>
      </c>
      <c r="M896">
        <v>1973</v>
      </c>
      <c r="N896">
        <v>5</v>
      </c>
      <c r="O896">
        <v>6.6</v>
      </c>
    </row>
    <row r="897" spans="1:15" x14ac:dyDescent="0.25">
      <c r="A897">
        <v>5</v>
      </c>
      <c r="B897">
        <v>70</v>
      </c>
      <c r="C897" t="s">
        <v>5300</v>
      </c>
      <c r="D897" t="s">
        <v>171</v>
      </c>
      <c r="E897" t="s">
        <v>6198</v>
      </c>
      <c r="F897">
        <v>46204.526388888888</v>
      </c>
      <c r="G897">
        <v>129</v>
      </c>
      <c r="H897" t="s">
        <v>6164</v>
      </c>
      <c r="I897" t="s">
        <v>5358</v>
      </c>
      <c r="J897">
        <v>17</v>
      </c>
      <c r="K897">
        <v>105.06</v>
      </c>
      <c r="L897">
        <v>1973</v>
      </c>
      <c r="M897">
        <v>1975</v>
      </c>
      <c r="N897">
        <v>2</v>
      </c>
      <c r="O897">
        <v>8.5</v>
      </c>
    </row>
    <row r="898" spans="1:15" x14ac:dyDescent="0.25">
      <c r="A898">
        <v>5</v>
      </c>
      <c r="B898">
        <v>70</v>
      </c>
      <c r="C898" t="s">
        <v>5300</v>
      </c>
      <c r="D898" t="s">
        <v>171</v>
      </c>
      <c r="E898" t="s">
        <v>6198</v>
      </c>
      <c r="F898">
        <v>46204.5625</v>
      </c>
      <c r="G898">
        <v>188</v>
      </c>
      <c r="H898" t="s">
        <v>6173</v>
      </c>
      <c r="I898" t="s">
        <v>5358</v>
      </c>
      <c r="J898">
        <v>33</v>
      </c>
      <c r="K898">
        <v>0.01</v>
      </c>
      <c r="L898">
        <v>1975</v>
      </c>
      <c r="M898">
        <v>1973</v>
      </c>
      <c r="N898">
        <v>0</v>
      </c>
      <c r="O898">
        <v>0</v>
      </c>
    </row>
    <row r="899" spans="1:15" x14ac:dyDescent="0.25">
      <c r="A899">
        <v>5</v>
      </c>
      <c r="B899">
        <v>70</v>
      </c>
      <c r="C899" t="s">
        <v>5300</v>
      </c>
      <c r="D899" t="s">
        <v>171</v>
      </c>
      <c r="E899" t="s">
        <v>6198</v>
      </c>
      <c r="F899">
        <v>46205.518750000003</v>
      </c>
      <c r="G899">
        <v>129</v>
      </c>
      <c r="H899" t="s">
        <v>6164</v>
      </c>
      <c r="I899" t="s">
        <v>5358</v>
      </c>
      <c r="J899">
        <v>44</v>
      </c>
      <c r="K899">
        <v>271.92</v>
      </c>
      <c r="L899">
        <v>1973</v>
      </c>
      <c r="M899">
        <v>1980</v>
      </c>
      <c r="N899">
        <v>7</v>
      </c>
      <c r="O899">
        <v>6.28571428571429</v>
      </c>
    </row>
    <row r="900" spans="1:15" x14ac:dyDescent="0.25">
      <c r="A900">
        <v>5</v>
      </c>
      <c r="B900">
        <v>70</v>
      </c>
      <c r="C900" t="s">
        <v>5300</v>
      </c>
      <c r="D900" t="s">
        <v>171</v>
      </c>
      <c r="E900" t="s">
        <v>6198</v>
      </c>
      <c r="F900">
        <v>46205.521527777775</v>
      </c>
      <c r="G900">
        <v>129</v>
      </c>
      <c r="H900" t="s">
        <v>6164</v>
      </c>
      <c r="I900" t="s">
        <v>5358</v>
      </c>
      <c r="J900">
        <v>38</v>
      </c>
      <c r="K900">
        <v>234.84</v>
      </c>
      <c r="L900">
        <v>1980</v>
      </c>
      <c r="M900">
        <v>1984</v>
      </c>
      <c r="N900">
        <v>4</v>
      </c>
      <c r="O900">
        <v>9.5</v>
      </c>
    </row>
    <row r="901" spans="1:15" x14ac:dyDescent="0.25">
      <c r="A901">
        <v>5</v>
      </c>
      <c r="B901">
        <v>70</v>
      </c>
      <c r="C901" t="s">
        <v>5300</v>
      </c>
      <c r="D901" t="s">
        <v>171</v>
      </c>
      <c r="E901" t="s">
        <v>6198</v>
      </c>
      <c r="F901">
        <v>46205.64166666667</v>
      </c>
      <c r="G901">
        <v>188</v>
      </c>
      <c r="H901" t="s">
        <v>6173</v>
      </c>
      <c r="I901" t="s">
        <v>5358</v>
      </c>
      <c r="J901">
        <v>44</v>
      </c>
      <c r="K901">
        <v>0.01</v>
      </c>
      <c r="L901">
        <v>1984</v>
      </c>
      <c r="M901">
        <v>1980</v>
      </c>
      <c r="N901">
        <v>0</v>
      </c>
      <c r="O901">
        <v>0</v>
      </c>
    </row>
    <row r="902" spans="1:15" x14ac:dyDescent="0.25">
      <c r="A902">
        <v>5</v>
      </c>
      <c r="B902">
        <v>70</v>
      </c>
      <c r="C902" t="s">
        <v>5300</v>
      </c>
      <c r="D902" t="s">
        <v>171</v>
      </c>
      <c r="E902" t="s">
        <v>6198</v>
      </c>
      <c r="F902">
        <v>46205.737500000003</v>
      </c>
      <c r="G902">
        <v>188</v>
      </c>
      <c r="H902" t="s">
        <v>6173</v>
      </c>
      <c r="I902" t="s">
        <v>5358</v>
      </c>
      <c r="J902">
        <v>38</v>
      </c>
      <c r="K902">
        <v>0.01</v>
      </c>
      <c r="L902">
        <v>1980</v>
      </c>
      <c r="M902">
        <v>1984</v>
      </c>
      <c r="N902">
        <v>4</v>
      </c>
      <c r="O902">
        <v>9.5</v>
      </c>
    </row>
    <row r="903" spans="1:15" x14ac:dyDescent="0.25">
      <c r="A903">
        <v>5</v>
      </c>
      <c r="B903">
        <v>70</v>
      </c>
      <c r="C903" t="s">
        <v>5300</v>
      </c>
      <c r="D903" t="s">
        <v>171</v>
      </c>
      <c r="E903" t="s">
        <v>6198</v>
      </c>
      <c r="F903">
        <v>46207.43472222222</v>
      </c>
      <c r="G903">
        <v>129</v>
      </c>
      <c r="H903" t="s">
        <v>6164</v>
      </c>
      <c r="I903" t="s">
        <v>5358</v>
      </c>
      <c r="J903">
        <v>50</v>
      </c>
      <c r="K903">
        <v>307.5</v>
      </c>
      <c r="L903">
        <v>1984</v>
      </c>
      <c r="M903">
        <v>1989</v>
      </c>
      <c r="N903">
        <v>5</v>
      </c>
      <c r="O903">
        <v>10</v>
      </c>
    </row>
    <row r="904" spans="1:15" x14ac:dyDescent="0.25">
      <c r="A904">
        <v>5</v>
      </c>
      <c r="B904">
        <v>70</v>
      </c>
      <c r="C904" t="s">
        <v>5300</v>
      </c>
      <c r="D904" t="s">
        <v>171</v>
      </c>
      <c r="E904" t="s">
        <v>6198</v>
      </c>
      <c r="F904">
        <v>46207.654166666667</v>
      </c>
      <c r="G904">
        <v>188</v>
      </c>
      <c r="H904" t="s">
        <v>6173</v>
      </c>
      <c r="I904" t="s">
        <v>5358</v>
      </c>
      <c r="J904">
        <v>50</v>
      </c>
      <c r="K904">
        <v>0.01</v>
      </c>
      <c r="L904">
        <v>1989</v>
      </c>
      <c r="M904">
        <v>1989</v>
      </c>
      <c r="N904">
        <v>0</v>
      </c>
      <c r="O904">
        <v>0</v>
      </c>
    </row>
    <row r="905" spans="1:15" x14ac:dyDescent="0.25">
      <c r="A905">
        <v>5</v>
      </c>
      <c r="B905">
        <v>70</v>
      </c>
      <c r="C905" t="s">
        <v>5300</v>
      </c>
      <c r="D905" t="s">
        <v>171</v>
      </c>
      <c r="E905" t="s">
        <v>6198</v>
      </c>
      <c r="F905">
        <v>46210.85833333333</v>
      </c>
      <c r="G905">
        <v>129</v>
      </c>
      <c r="H905" t="s">
        <v>6164</v>
      </c>
      <c r="I905" t="s">
        <v>5358</v>
      </c>
      <c r="J905">
        <v>19</v>
      </c>
      <c r="K905">
        <v>116.85</v>
      </c>
      <c r="L905">
        <v>1989</v>
      </c>
      <c r="M905">
        <v>1996</v>
      </c>
      <c r="N905">
        <v>7</v>
      </c>
      <c r="O905">
        <v>2.71428571428571</v>
      </c>
    </row>
    <row r="906" spans="1:15" x14ac:dyDescent="0.25">
      <c r="A906">
        <v>5</v>
      </c>
      <c r="B906">
        <v>70</v>
      </c>
      <c r="C906" t="s">
        <v>5300</v>
      </c>
      <c r="D906" t="s">
        <v>171</v>
      </c>
      <c r="E906" t="s">
        <v>6198</v>
      </c>
      <c r="F906">
        <v>46210.859722222223</v>
      </c>
      <c r="G906">
        <v>129</v>
      </c>
      <c r="H906" t="s">
        <v>6164</v>
      </c>
      <c r="I906" t="s">
        <v>5358</v>
      </c>
      <c r="J906">
        <v>28</v>
      </c>
      <c r="K906">
        <v>172.2</v>
      </c>
      <c r="L906">
        <v>1996</v>
      </c>
      <c r="M906">
        <v>1999</v>
      </c>
      <c r="N906">
        <v>3</v>
      </c>
      <c r="O906">
        <v>9.3333333333333304</v>
      </c>
    </row>
    <row r="907" spans="1:15" x14ac:dyDescent="0.25">
      <c r="A907">
        <v>5</v>
      </c>
      <c r="B907">
        <v>70</v>
      </c>
      <c r="C907" t="s">
        <v>5300</v>
      </c>
      <c r="D907" t="s">
        <v>171</v>
      </c>
      <c r="E907" t="s">
        <v>6198</v>
      </c>
      <c r="F907">
        <v>46211.845138888886</v>
      </c>
      <c r="G907">
        <v>129</v>
      </c>
      <c r="H907" t="s">
        <v>6164</v>
      </c>
      <c r="I907" t="s">
        <v>5358</v>
      </c>
      <c r="J907">
        <v>35</v>
      </c>
      <c r="K907">
        <v>215.25</v>
      </c>
      <c r="L907">
        <v>1999</v>
      </c>
      <c r="M907">
        <v>2003</v>
      </c>
      <c r="N907">
        <v>4</v>
      </c>
      <c r="O907">
        <v>8.75</v>
      </c>
    </row>
    <row r="908" spans="1:15" x14ac:dyDescent="0.25">
      <c r="A908">
        <v>5</v>
      </c>
      <c r="B908">
        <v>70</v>
      </c>
      <c r="C908" t="s">
        <v>5300</v>
      </c>
      <c r="D908" t="s">
        <v>171</v>
      </c>
      <c r="E908" t="s">
        <v>6198</v>
      </c>
      <c r="F908">
        <v>46213.506249999999</v>
      </c>
      <c r="G908">
        <v>129</v>
      </c>
      <c r="H908" t="s">
        <v>6164</v>
      </c>
      <c r="I908" t="s">
        <v>5358</v>
      </c>
      <c r="J908">
        <v>41</v>
      </c>
      <c r="K908">
        <v>252.15</v>
      </c>
      <c r="L908">
        <v>2003</v>
      </c>
      <c r="M908">
        <v>2007</v>
      </c>
      <c r="N908">
        <v>4</v>
      </c>
      <c r="O908">
        <v>10.25</v>
      </c>
    </row>
    <row r="909" spans="1:15" x14ac:dyDescent="0.25">
      <c r="A909">
        <v>5</v>
      </c>
      <c r="B909">
        <v>70</v>
      </c>
      <c r="C909" t="s">
        <v>5300</v>
      </c>
      <c r="D909" t="s">
        <v>171</v>
      </c>
      <c r="E909" t="s">
        <v>6198</v>
      </c>
      <c r="F909">
        <v>46213.680555555555</v>
      </c>
      <c r="G909">
        <v>129</v>
      </c>
      <c r="H909" t="s">
        <v>6164</v>
      </c>
      <c r="I909" t="s">
        <v>5358</v>
      </c>
      <c r="J909">
        <v>29</v>
      </c>
      <c r="K909">
        <v>178.35</v>
      </c>
      <c r="L909">
        <v>2007</v>
      </c>
      <c r="M909">
        <v>2011</v>
      </c>
      <c r="N909">
        <v>4</v>
      </c>
      <c r="O909">
        <v>7.25</v>
      </c>
    </row>
    <row r="910" spans="1:15" x14ac:dyDescent="0.25">
      <c r="A910">
        <v>5</v>
      </c>
      <c r="B910">
        <v>70</v>
      </c>
      <c r="C910" t="s">
        <v>5300</v>
      </c>
      <c r="D910" t="s">
        <v>171</v>
      </c>
      <c r="E910" t="s">
        <v>6198</v>
      </c>
      <c r="F910">
        <v>46214.601388888892</v>
      </c>
      <c r="G910">
        <v>129</v>
      </c>
      <c r="H910" t="s">
        <v>6164</v>
      </c>
      <c r="I910" t="s">
        <v>5358</v>
      </c>
      <c r="J910">
        <v>31</v>
      </c>
      <c r="K910">
        <v>190.65</v>
      </c>
      <c r="L910">
        <v>2011</v>
      </c>
      <c r="M910">
        <v>2016</v>
      </c>
      <c r="N910">
        <v>5</v>
      </c>
      <c r="O910">
        <v>6.2</v>
      </c>
    </row>
    <row r="911" spans="1:15" x14ac:dyDescent="0.25">
      <c r="A911">
        <v>5</v>
      </c>
      <c r="B911">
        <v>70</v>
      </c>
      <c r="C911" t="s">
        <v>5300</v>
      </c>
      <c r="D911" t="s">
        <v>171</v>
      </c>
      <c r="E911" t="s">
        <v>6198</v>
      </c>
      <c r="F911">
        <v>46215.429166666669</v>
      </c>
      <c r="G911">
        <v>232</v>
      </c>
      <c r="H911" t="s">
        <v>6155</v>
      </c>
      <c r="I911" t="s">
        <v>5358</v>
      </c>
      <c r="J911">
        <v>38</v>
      </c>
      <c r="K911">
        <v>233.7</v>
      </c>
      <c r="L911">
        <v>2016</v>
      </c>
      <c r="M911">
        <v>2020</v>
      </c>
      <c r="N911">
        <v>4</v>
      </c>
      <c r="O911">
        <v>9.5</v>
      </c>
    </row>
    <row r="912" spans="1:15" x14ac:dyDescent="0.25">
      <c r="A912">
        <v>5</v>
      </c>
      <c r="B912">
        <v>70</v>
      </c>
      <c r="C912" t="s">
        <v>5300</v>
      </c>
      <c r="D912" t="s">
        <v>171</v>
      </c>
      <c r="E912" t="s">
        <v>6198</v>
      </c>
      <c r="F912">
        <v>46217.894444444442</v>
      </c>
      <c r="G912">
        <v>129</v>
      </c>
      <c r="H912" t="s">
        <v>6164</v>
      </c>
      <c r="I912" t="s">
        <v>5358</v>
      </c>
      <c r="J912">
        <v>20</v>
      </c>
      <c r="K912">
        <v>123</v>
      </c>
      <c r="L912">
        <v>2020</v>
      </c>
      <c r="M912">
        <v>2022</v>
      </c>
      <c r="N912">
        <v>2</v>
      </c>
      <c r="O912">
        <v>10</v>
      </c>
    </row>
    <row r="913" spans="1:15" x14ac:dyDescent="0.25">
      <c r="A913">
        <v>5</v>
      </c>
      <c r="B913">
        <v>70</v>
      </c>
      <c r="C913" t="s">
        <v>5300</v>
      </c>
      <c r="D913" t="s">
        <v>171</v>
      </c>
      <c r="E913" t="s">
        <v>6198</v>
      </c>
      <c r="F913">
        <v>46223.415972222225</v>
      </c>
      <c r="G913">
        <v>129</v>
      </c>
      <c r="H913" t="s">
        <v>6164</v>
      </c>
      <c r="I913" t="s">
        <v>5358</v>
      </c>
      <c r="J913">
        <v>27</v>
      </c>
      <c r="K913">
        <v>188.73</v>
      </c>
      <c r="L913">
        <v>2022</v>
      </c>
      <c r="M913">
        <v>2027</v>
      </c>
      <c r="N913">
        <v>5</v>
      </c>
      <c r="O913">
        <v>5.4</v>
      </c>
    </row>
    <row r="914" spans="1:15" x14ac:dyDescent="0.25">
      <c r="A914">
        <v>5</v>
      </c>
      <c r="B914">
        <v>70</v>
      </c>
      <c r="C914" t="s">
        <v>5300</v>
      </c>
      <c r="D914" t="s">
        <v>171</v>
      </c>
      <c r="E914" t="s">
        <v>6198</v>
      </c>
      <c r="F914">
        <v>46225.385416666664</v>
      </c>
      <c r="G914">
        <v>232</v>
      </c>
      <c r="H914" t="s">
        <v>6155</v>
      </c>
      <c r="I914" t="s">
        <v>5358</v>
      </c>
      <c r="J914">
        <v>45</v>
      </c>
      <c r="K914">
        <v>281.25</v>
      </c>
      <c r="L914">
        <v>2027</v>
      </c>
      <c r="M914">
        <v>2032</v>
      </c>
      <c r="N914">
        <v>5</v>
      </c>
      <c r="O914">
        <v>9</v>
      </c>
    </row>
    <row r="915" spans="1:15" x14ac:dyDescent="0.25">
      <c r="A915">
        <v>5</v>
      </c>
      <c r="B915">
        <v>70</v>
      </c>
      <c r="C915" t="s">
        <v>5300</v>
      </c>
      <c r="D915" t="s">
        <v>171</v>
      </c>
      <c r="E915" t="s">
        <v>6198</v>
      </c>
      <c r="F915">
        <v>46229.757638888892</v>
      </c>
      <c r="G915">
        <v>129</v>
      </c>
      <c r="H915" t="s">
        <v>6164</v>
      </c>
      <c r="I915" t="s">
        <v>5358</v>
      </c>
      <c r="J915">
        <v>34</v>
      </c>
      <c r="K915">
        <v>212.5</v>
      </c>
      <c r="L915">
        <v>2032</v>
      </c>
      <c r="M915">
        <v>2036</v>
      </c>
      <c r="N915">
        <v>4</v>
      </c>
      <c r="O915">
        <v>8.5</v>
      </c>
    </row>
    <row r="916" spans="1:15" x14ac:dyDescent="0.25">
      <c r="A916">
        <v>5</v>
      </c>
      <c r="B916">
        <v>70</v>
      </c>
      <c r="C916" t="s">
        <v>5300</v>
      </c>
      <c r="D916" t="s">
        <v>199</v>
      </c>
      <c r="E916" t="s">
        <v>6198</v>
      </c>
      <c r="F916">
        <v>46204.524305555555</v>
      </c>
      <c r="G916">
        <v>129</v>
      </c>
      <c r="H916" t="s">
        <v>6164</v>
      </c>
      <c r="I916" t="s">
        <v>5358</v>
      </c>
      <c r="J916">
        <v>35</v>
      </c>
      <c r="K916">
        <v>216.3</v>
      </c>
      <c r="L916">
        <v>791</v>
      </c>
      <c r="M916">
        <v>795</v>
      </c>
      <c r="N916">
        <v>4</v>
      </c>
      <c r="O916">
        <v>8.75</v>
      </c>
    </row>
    <row r="917" spans="1:15" x14ac:dyDescent="0.25">
      <c r="A917">
        <v>5</v>
      </c>
      <c r="B917">
        <v>70</v>
      </c>
      <c r="C917" t="s">
        <v>5300</v>
      </c>
      <c r="D917" t="s">
        <v>199</v>
      </c>
      <c r="E917" t="s">
        <v>6198</v>
      </c>
      <c r="F917">
        <v>46204.53125</v>
      </c>
      <c r="G917">
        <v>129</v>
      </c>
      <c r="H917" t="s">
        <v>6164</v>
      </c>
      <c r="I917" t="s">
        <v>5358</v>
      </c>
      <c r="J917">
        <v>36</v>
      </c>
      <c r="K917">
        <v>222.48</v>
      </c>
      <c r="L917">
        <v>795</v>
      </c>
      <c r="M917">
        <v>799</v>
      </c>
      <c r="N917">
        <v>4</v>
      </c>
      <c r="O917">
        <v>9</v>
      </c>
    </row>
    <row r="918" spans="1:15" x14ac:dyDescent="0.25">
      <c r="A918">
        <v>5</v>
      </c>
      <c r="B918">
        <v>70</v>
      </c>
      <c r="C918" t="s">
        <v>5300</v>
      </c>
      <c r="D918" t="s">
        <v>199</v>
      </c>
      <c r="E918" t="s">
        <v>6198</v>
      </c>
      <c r="F918">
        <v>46204.561805555553</v>
      </c>
      <c r="G918">
        <v>188</v>
      </c>
      <c r="H918" t="s">
        <v>6173</v>
      </c>
      <c r="I918" t="s">
        <v>5358</v>
      </c>
      <c r="J918">
        <v>35</v>
      </c>
      <c r="K918">
        <v>0.01</v>
      </c>
      <c r="L918">
        <v>799</v>
      </c>
      <c r="M918">
        <v>795</v>
      </c>
      <c r="N918">
        <v>0</v>
      </c>
      <c r="O918">
        <v>0</v>
      </c>
    </row>
    <row r="919" spans="1:15" x14ac:dyDescent="0.25">
      <c r="A919">
        <v>5</v>
      </c>
      <c r="B919">
        <v>70</v>
      </c>
      <c r="C919" t="s">
        <v>5300</v>
      </c>
      <c r="D919" t="s">
        <v>199</v>
      </c>
      <c r="E919" t="s">
        <v>6198</v>
      </c>
      <c r="F919">
        <v>46205.518055555556</v>
      </c>
      <c r="G919">
        <v>129</v>
      </c>
      <c r="H919" t="s">
        <v>6164</v>
      </c>
      <c r="I919" t="s">
        <v>5358</v>
      </c>
      <c r="J919">
        <v>47</v>
      </c>
      <c r="K919">
        <v>290.45999999999998</v>
      </c>
      <c r="L919">
        <v>795</v>
      </c>
      <c r="M919">
        <v>804</v>
      </c>
      <c r="N919">
        <v>9</v>
      </c>
      <c r="O919">
        <v>5.2222222222222197</v>
      </c>
    </row>
    <row r="920" spans="1:15" x14ac:dyDescent="0.25">
      <c r="A920">
        <v>5</v>
      </c>
      <c r="B920">
        <v>70</v>
      </c>
      <c r="C920" t="s">
        <v>5300</v>
      </c>
      <c r="D920" t="s">
        <v>199</v>
      </c>
      <c r="E920" t="s">
        <v>6198</v>
      </c>
      <c r="F920">
        <v>46205.520833333336</v>
      </c>
      <c r="G920">
        <v>129</v>
      </c>
      <c r="H920" t="s">
        <v>6164</v>
      </c>
      <c r="I920" t="s">
        <v>5358</v>
      </c>
      <c r="J920">
        <v>35</v>
      </c>
      <c r="K920">
        <v>216.3</v>
      </c>
      <c r="L920">
        <v>804</v>
      </c>
      <c r="M920">
        <v>808</v>
      </c>
      <c r="N920">
        <v>4</v>
      </c>
      <c r="O920">
        <v>8.75</v>
      </c>
    </row>
    <row r="921" spans="1:15" x14ac:dyDescent="0.25">
      <c r="A921">
        <v>5</v>
      </c>
      <c r="B921">
        <v>70</v>
      </c>
      <c r="C921" t="s">
        <v>5300</v>
      </c>
      <c r="D921" t="s">
        <v>199</v>
      </c>
      <c r="E921" t="s">
        <v>6198</v>
      </c>
      <c r="F921">
        <v>46205.640972222223</v>
      </c>
      <c r="G921">
        <v>188</v>
      </c>
      <c r="H921" t="s">
        <v>6173</v>
      </c>
      <c r="I921" t="s">
        <v>5358</v>
      </c>
      <c r="J921">
        <v>47</v>
      </c>
      <c r="K921">
        <v>0.01</v>
      </c>
      <c r="L921">
        <v>808</v>
      </c>
      <c r="M921">
        <v>804</v>
      </c>
      <c r="N921">
        <v>0</v>
      </c>
      <c r="O921">
        <v>0</v>
      </c>
    </row>
    <row r="922" spans="1:15" x14ac:dyDescent="0.25">
      <c r="A922">
        <v>5</v>
      </c>
      <c r="B922">
        <v>70</v>
      </c>
      <c r="C922" t="s">
        <v>5300</v>
      </c>
      <c r="D922" t="s">
        <v>199</v>
      </c>
      <c r="E922" t="s">
        <v>6198</v>
      </c>
      <c r="F922">
        <v>46205.737500000003</v>
      </c>
      <c r="G922">
        <v>188</v>
      </c>
      <c r="H922" t="s">
        <v>6173</v>
      </c>
      <c r="I922" t="s">
        <v>5358</v>
      </c>
      <c r="J922">
        <v>35</v>
      </c>
      <c r="K922">
        <v>0.01</v>
      </c>
      <c r="L922">
        <v>804</v>
      </c>
      <c r="M922">
        <v>808</v>
      </c>
      <c r="N922">
        <v>4</v>
      </c>
      <c r="O922">
        <v>8.75</v>
      </c>
    </row>
    <row r="923" spans="1:15" x14ac:dyDescent="0.25">
      <c r="A923">
        <v>5</v>
      </c>
      <c r="B923">
        <v>70</v>
      </c>
      <c r="C923" t="s">
        <v>5300</v>
      </c>
      <c r="D923" t="s">
        <v>199</v>
      </c>
      <c r="E923" t="s">
        <v>6198</v>
      </c>
      <c r="F923">
        <v>46207.436111111114</v>
      </c>
      <c r="G923">
        <v>129</v>
      </c>
      <c r="H923" t="s">
        <v>6164</v>
      </c>
      <c r="I923" t="s">
        <v>5358</v>
      </c>
      <c r="J923">
        <v>50</v>
      </c>
      <c r="K923">
        <v>307.5</v>
      </c>
      <c r="L923">
        <v>808</v>
      </c>
      <c r="M923">
        <v>812</v>
      </c>
      <c r="N923">
        <v>4</v>
      </c>
      <c r="O923">
        <v>12.5</v>
      </c>
    </row>
    <row r="924" spans="1:15" x14ac:dyDescent="0.25">
      <c r="A924">
        <v>5</v>
      </c>
      <c r="B924">
        <v>70</v>
      </c>
      <c r="C924" t="s">
        <v>5300</v>
      </c>
      <c r="D924" t="s">
        <v>199</v>
      </c>
      <c r="E924" t="s">
        <v>6198</v>
      </c>
      <c r="F924">
        <v>46207.654861111114</v>
      </c>
      <c r="G924">
        <v>188</v>
      </c>
      <c r="H924" t="s">
        <v>6173</v>
      </c>
      <c r="I924" t="s">
        <v>5358</v>
      </c>
      <c r="J924">
        <v>50</v>
      </c>
      <c r="K924">
        <v>0.01</v>
      </c>
      <c r="L924">
        <v>812</v>
      </c>
      <c r="M924">
        <v>812</v>
      </c>
      <c r="N924">
        <v>0</v>
      </c>
      <c r="O924">
        <v>0</v>
      </c>
    </row>
    <row r="925" spans="1:15" x14ac:dyDescent="0.25">
      <c r="A925">
        <v>5</v>
      </c>
      <c r="B925">
        <v>70</v>
      </c>
      <c r="C925" t="s">
        <v>5300</v>
      </c>
      <c r="D925" t="s">
        <v>199</v>
      </c>
      <c r="E925" t="s">
        <v>6198</v>
      </c>
      <c r="F925">
        <v>46210.85833333333</v>
      </c>
      <c r="G925">
        <v>129</v>
      </c>
      <c r="H925" t="s">
        <v>6164</v>
      </c>
      <c r="I925" t="s">
        <v>5358</v>
      </c>
      <c r="J925">
        <v>25</v>
      </c>
      <c r="K925">
        <v>153.75</v>
      </c>
      <c r="L925">
        <v>812</v>
      </c>
      <c r="M925">
        <v>818</v>
      </c>
      <c r="N925">
        <v>6</v>
      </c>
      <c r="O925">
        <v>4.1666666666666696</v>
      </c>
    </row>
    <row r="926" spans="1:15" x14ac:dyDescent="0.25">
      <c r="A926">
        <v>5</v>
      </c>
      <c r="B926">
        <v>70</v>
      </c>
      <c r="C926" t="s">
        <v>5300</v>
      </c>
      <c r="D926" t="s">
        <v>199</v>
      </c>
      <c r="E926" t="s">
        <v>6198</v>
      </c>
      <c r="F926">
        <v>46210.859722222223</v>
      </c>
      <c r="G926">
        <v>129</v>
      </c>
      <c r="H926" t="s">
        <v>6164</v>
      </c>
      <c r="I926" t="s">
        <v>5358</v>
      </c>
      <c r="J926">
        <v>39</v>
      </c>
      <c r="K926">
        <v>239.85</v>
      </c>
      <c r="L926">
        <v>818</v>
      </c>
      <c r="M926">
        <v>822</v>
      </c>
      <c r="N926">
        <v>4</v>
      </c>
      <c r="O926">
        <v>9.75</v>
      </c>
    </row>
    <row r="927" spans="1:15" x14ac:dyDescent="0.25">
      <c r="A927">
        <v>5</v>
      </c>
      <c r="B927">
        <v>70</v>
      </c>
      <c r="C927" t="s">
        <v>5300</v>
      </c>
      <c r="D927" t="s">
        <v>199</v>
      </c>
      <c r="E927" t="s">
        <v>6198</v>
      </c>
      <c r="F927">
        <v>46211.84375</v>
      </c>
      <c r="G927">
        <v>129</v>
      </c>
      <c r="H927" t="s">
        <v>6164</v>
      </c>
      <c r="I927" t="s">
        <v>5358</v>
      </c>
      <c r="J927">
        <v>28</v>
      </c>
      <c r="K927">
        <v>172.2</v>
      </c>
      <c r="L927">
        <v>822</v>
      </c>
      <c r="M927">
        <v>825</v>
      </c>
      <c r="N927">
        <v>3</v>
      </c>
      <c r="O927">
        <v>9.3333333333333304</v>
      </c>
    </row>
    <row r="928" spans="1:15" x14ac:dyDescent="0.25">
      <c r="A928">
        <v>5</v>
      </c>
      <c r="B928">
        <v>70</v>
      </c>
      <c r="C928" t="s">
        <v>5300</v>
      </c>
      <c r="D928" t="s">
        <v>199</v>
      </c>
      <c r="E928" t="s">
        <v>6198</v>
      </c>
      <c r="F928">
        <v>46213.506249999999</v>
      </c>
      <c r="G928">
        <v>129</v>
      </c>
      <c r="H928" t="s">
        <v>6164</v>
      </c>
      <c r="I928" t="s">
        <v>5358</v>
      </c>
      <c r="J928">
        <v>61</v>
      </c>
      <c r="K928">
        <v>375.15</v>
      </c>
      <c r="L928">
        <v>825</v>
      </c>
      <c r="M928">
        <v>831</v>
      </c>
      <c r="N928">
        <v>6</v>
      </c>
      <c r="O928">
        <v>10.1666666666667</v>
      </c>
    </row>
    <row r="929" spans="1:15" x14ac:dyDescent="0.25">
      <c r="A929">
        <v>5</v>
      </c>
      <c r="B929">
        <v>70</v>
      </c>
      <c r="C929" t="s">
        <v>5300</v>
      </c>
      <c r="D929" t="s">
        <v>199</v>
      </c>
      <c r="E929" t="s">
        <v>6198</v>
      </c>
      <c r="F929">
        <v>46213.680555555555</v>
      </c>
      <c r="G929">
        <v>129</v>
      </c>
      <c r="H929" t="s">
        <v>6164</v>
      </c>
      <c r="I929" t="s">
        <v>5358</v>
      </c>
      <c r="J929">
        <v>27</v>
      </c>
      <c r="K929">
        <v>166.05</v>
      </c>
      <c r="L929">
        <v>831</v>
      </c>
      <c r="M929">
        <v>835</v>
      </c>
      <c r="N929">
        <v>4</v>
      </c>
      <c r="O929">
        <v>6.75</v>
      </c>
    </row>
    <row r="930" spans="1:15" x14ac:dyDescent="0.25">
      <c r="A930">
        <v>5</v>
      </c>
      <c r="B930">
        <v>70</v>
      </c>
      <c r="C930" t="s">
        <v>5300</v>
      </c>
      <c r="D930" t="s">
        <v>199</v>
      </c>
      <c r="E930" t="s">
        <v>6198</v>
      </c>
      <c r="F930">
        <v>46214.602083333331</v>
      </c>
      <c r="G930">
        <v>129</v>
      </c>
      <c r="H930" t="s">
        <v>6164</v>
      </c>
      <c r="I930" t="s">
        <v>5358</v>
      </c>
      <c r="J930">
        <v>37</v>
      </c>
      <c r="K930">
        <v>227.55</v>
      </c>
      <c r="L930">
        <v>835</v>
      </c>
      <c r="M930">
        <v>839</v>
      </c>
      <c r="N930">
        <v>4</v>
      </c>
      <c r="O930">
        <v>9.25</v>
      </c>
    </row>
    <row r="931" spans="1:15" x14ac:dyDescent="0.25">
      <c r="A931">
        <v>5</v>
      </c>
      <c r="B931">
        <v>70</v>
      </c>
      <c r="C931" t="s">
        <v>5300</v>
      </c>
      <c r="D931" t="s">
        <v>199</v>
      </c>
      <c r="E931" t="s">
        <v>6198</v>
      </c>
      <c r="F931">
        <v>46215.431944444441</v>
      </c>
      <c r="G931">
        <v>232</v>
      </c>
      <c r="H931" t="s">
        <v>6155</v>
      </c>
      <c r="I931" t="s">
        <v>5358</v>
      </c>
      <c r="J931">
        <v>32</v>
      </c>
      <c r="K931">
        <v>196.8</v>
      </c>
      <c r="L931">
        <v>839</v>
      </c>
      <c r="M931">
        <v>843</v>
      </c>
      <c r="N931">
        <v>4</v>
      </c>
      <c r="O931">
        <v>8</v>
      </c>
    </row>
    <row r="932" spans="1:15" x14ac:dyDescent="0.25">
      <c r="A932">
        <v>5</v>
      </c>
      <c r="B932">
        <v>70</v>
      </c>
      <c r="C932" t="s">
        <v>5300</v>
      </c>
      <c r="D932" t="s">
        <v>199</v>
      </c>
      <c r="E932" t="s">
        <v>6198</v>
      </c>
      <c r="F932">
        <v>46217.894444444442</v>
      </c>
      <c r="G932">
        <v>129</v>
      </c>
      <c r="H932" t="s">
        <v>6164</v>
      </c>
      <c r="I932" t="s">
        <v>5358</v>
      </c>
      <c r="J932">
        <v>23</v>
      </c>
      <c r="K932">
        <v>141.44999999999999</v>
      </c>
      <c r="L932">
        <v>843</v>
      </c>
      <c r="M932">
        <v>845</v>
      </c>
      <c r="N932">
        <v>2</v>
      </c>
      <c r="O932">
        <v>11.5</v>
      </c>
    </row>
    <row r="933" spans="1:15" x14ac:dyDescent="0.25">
      <c r="A933">
        <v>5</v>
      </c>
      <c r="B933">
        <v>70</v>
      </c>
      <c r="C933" t="s">
        <v>5300</v>
      </c>
      <c r="D933" t="s">
        <v>199</v>
      </c>
      <c r="E933" t="s">
        <v>6198</v>
      </c>
      <c r="F933">
        <v>46223.412499999999</v>
      </c>
      <c r="G933">
        <v>129</v>
      </c>
      <c r="H933" t="s">
        <v>6164</v>
      </c>
      <c r="I933" t="s">
        <v>5358</v>
      </c>
      <c r="J933">
        <v>34</v>
      </c>
      <c r="K933">
        <v>237.66</v>
      </c>
      <c r="L933">
        <v>845</v>
      </c>
      <c r="M933">
        <v>848</v>
      </c>
      <c r="N933">
        <v>3</v>
      </c>
      <c r="O933">
        <v>11.3333333333333</v>
      </c>
    </row>
    <row r="934" spans="1:15" x14ac:dyDescent="0.25">
      <c r="A934">
        <v>5</v>
      </c>
      <c r="B934">
        <v>70</v>
      </c>
      <c r="C934" t="s">
        <v>5300</v>
      </c>
      <c r="D934" t="s">
        <v>199</v>
      </c>
      <c r="E934" t="s">
        <v>6198</v>
      </c>
      <c r="F934">
        <v>46225.384722222225</v>
      </c>
      <c r="G934">
        <v>232</v>
      </c>
      <c r="H934" t="s">
        <v>6155</v>
      </c>
      <c r="I934" t="s">
        <v>5358</v>
      </c>
      <c r="J934">
        <v>24</v>
      </c>
      <c r="K934">
        <v>150</v>
      </c>
      <c r="L934">
        <v>848</v>
      </c>
      <c r="M934">
        <v>853</v>
      </c>
      <c r="N934">
        <v>5</v>
      </c>
      <c r="O934">
        <v>4.8</v>
      </c>
    </row>
    <row r="935" spans="1:15" x14ac:dyDescent="0.25">
      <c r="A935">
        <v>5</v>
      </c>
      <c r="B935">
        <v>70</v>
      </c>
      <c r="C935" t="s">
        <v>5300</v>
      </c>
      <c r="D935" t="s">
        <v>199</v>
      </c>
      <c r="E935" t="s">
        <v>6198</v>
      </c>
      <c r="F935">
        <v>46229.75277777778</v>
      </c>
      <c r="G935">
        <v>129</v>
      </c>
      <c r="H935" t="s">
        <v>6164</v>
      </c>
      <c r="I935" t="s">
        <v>5358</v>
      </c>
      <c r="J935">
        <v>29</v>
      </c>
      <c r="K935">
        <v>181.25</v>
      </c>
      <c r="L935">
        <v>853</v>
      </c>
      <c r="M935">
        <v>856</v>
      </c>
      <c r="N935">
        <v>3</v>
      </c>
      <c r="O935">
        <v>9.6666666666666696</v>
      </c>
    </row>
    <row r="936" spans="1:15" x14ac:dyDescent="0.25">
      <c r="A936">
        <v>5</v>
      </c>
      <c r="B936">
        <v>73</v>
      </c>
      <c r="C936" t="s">
        <v>5324</v>
      </c>
      <c r="D936" t="s">
        <v>445</v>
      </c>
      <c r="E936" t="s">
        <v>6199</v>
      </c>
      <c r="F936">
        <v>46205.461111111108</v>
      </c>
      <c r="G936">
        <v>232</v>
      </c>
      <c r="H936" t="s">
        <v>6155</v>
      </c>
      <c r="I936" t="s">
        <v>5358</v>
      </c>
      <c r="J936">
        <v>100</v>
      </c>
      <c r="K936">
        <v>615</v>
      </c>
      <c r="L936">
        <v>6608</v>
      </c>
      <c r="M936">
        <v>6616</v>
      </c>
      <c r="N936">
        <v>8</v>
      </c>
      <c r="O936">
        <v>12.5</v>
      </c>
    </row>
    <row r="937" spans="1:15" x14ac:dyDescent="0.25">
      <c r="A937">
        <v>5</v>
      </c>
      <c r="B937">
        <v>73</v>
      </c>
      <c r="C937" t="s">
        <v>5324</v>
      </c>
      <c r="D937" t="s">
        <v>445</v>
      </c>
      <c r="E937" t="s">
        <v>6199</v>
      </c>
      <c r="F937">
        <v>46214.011111111111</v>
      </c>
      <c r="G937">
        <v>232</v>
      </c>
      <c r="H937" t="s">
        <v>6155</v>
      </c>
      <c r="I937" t="s">
        <v>5358</v>
      </c>
      <c r="J937">
        <v>48</v>
      </c>
      <c r="K937">
        <v>295.2</v>
      </c>
      <c r="L937">
        <v>6616</v>
      </c>
      <c r="M937">
        <v>6622</v>
      </c>
      <c r="N937">
        <v>6</v>
      </c>
      <c r="O937">
        <v>8</v>
      </c>
    </row>
    <row r="938" spans="1:15" x14ac:dyDescent="0.25">
      <c r="A938">
        <v>5</v>
      </c>
      <c r="B938">
        <v>73</v>
      </c>
      <c r="C938" t="s">
        <v>5324</v>
      </c>
      <c r="D938" t="s">
        <v>445</v>
      </c>
      <c r="E938" t="s">
        <v>6199</v>
      </c>
      <c r="F938">
        <v>46216.975694444445</v>
      </c>
      <c r="G938">
        <v>232</v>
      </c>
      <c r="H938" t="s">
        <v>6155</v>
      </c>
      <c r="I938" t="s">
        <v>5358</v>
      </c>
      <c r="J938">
        <v>45</v>
      </c>
      <c r="K938">
        <v>276.75</v>
      </c>
      <c r="L938">
        <v>6622</v>
      </c>
      <c r="M938">
        <v>6629</v>
      </c>
      <c r="N938">
        <v>7</v>
      </c>
      <c r="O938">
        <v>6.4285714285714297</v>
      </c>
    </row>
    <row r="939" spans="1:15" x14ac:dyDescent="0.25">
      <c r="A939">
        <v>5</v>
      </c>
      <c r="B939">
        <v>73</v>
      </c>
      <c r="C939" t="s">
        <v>5324</v>
      </c>
      <c r="D939" t="s">
        <v>445</v>
      </c>
      <c r="E939" t="s">
        <v>6199</v>
      </c>
      <c r="F939">
        <v>46217.489583333336</v>
      </c>
      <c r="G939">
        <v>232</v>
      </c>
      <c r="H939" t="s">
        <v>6155</v>
      </c>
      <c r="I939" t="s">
        <v>5358</v>
      </c>
      <c r="J939">
        <v>38</v>
      </c>
      <c r="K939">
        <v>233.7</v>
      </c>
      <c r="L939">
        <v>6629</v>
      </c>
      <c r="M939">
        <v>6633</v>
      </c>
      <c r="N939">
        <v>4</v>
      </c>
      <c r="O939">
        <v>9.5</v>
      </c>
    </row>
    <row r="940" spans="1:15" x14ac:dyDescent="0.25">
      <c r="A940">
        <v>5</v>
      </c>
      <c r="B940">
        <v>73</v>
      </c>
      <c r="C940" t="s">
        <v>5324</v>
      </c>
      <c r="D940" t="s">
        <v>445</v>
      </c>
      <c r="E940" t="s">
        <v>6199</v>
      </c>
      <c r="F940">
        <v>46218.111805555556</v>
      </c>
      <c r="G940">
        <v>232</v>
      </c>
      <c r="H940" t="s">
        <v>6155</v>
      </c>
      <c r="I940" t="s">
        <v>5358</v>
      </c>
      <c r="J940">
        <v>30</v>
      </c>
      <c r="K940">
        <v>184.5</v>
      </c>
      <c r="L940">
        <v>6633</v>
      </c>
      <c r="M940">
        <v>6636</v>
      </c>
      <c r="N940">
        <v>3</v>
      </c>
      <c r="O940">
        <v>10</v>
      </c>
    </row>
    <row r="941" spans="1:15" x14ac:dyDescent="0.25">
      <c r="A941">
        <v>5</v>
      </c>
      <c r="B941">
        <v>73</v>
      </c>
      <c r="C941" t="s">
        <v>5324</v>
      </c>
      <c r="D941" t="s">
        <v>445</v>
      </c>
      <c r="E941" t="s">
        <v>6199</v>
      </c>
      <c r="F941">
        <v>46219.113194444442</v>
      </c>
      <c r="G941">
        <v>232</v>
      </c>
      <c r="H941" t="s">
        <v>6155</v>
      </c>
      <c r="I941" t="s">
        <v>5358</v>
      </c>
      <c r="J941">
        <v>40</v>
      </c>
      <c r="K941">
        <v>246</v>
      </c>
      <c r="L941">
        <v>6636</v>
      </c>
      <c r="M941">
        <v>6641</v>
      </c>
      <c r="N941">
        <v>5</v>
      </c>
      <c r="O941">
        <v>8</v>
      </c>
    </row>
    <row r="942" spans="1:15" x14ac:dyDescent="0.25">
      <c r="A942">
        <v>5</v>
      </c>
      <c r="B942">
        <v>73</v>
      </c>
      <c r="C942" t="s">
        <v>5324</v>
      </c>
      <c r="D942" t="s">
        <v>445</v>
      </c>
      <c r="E942" t="s">
        <v>6199</v>
      </c>
      <c r="F942">
        <v>46220.00277777778</v>
      </c>
      <c r="G942">
        <v>232</v>
      </c>
      <c r="H942" t="s">
        <v>6155</v>
      </c>
      <c r="I942" t="s">
        <v>5358</v>
      </c>
      <c r="J942">
        <v>34</v>
      </c>
      <c r="K942">
        <v>209.1</v>
      </c>
      <c r="L942">
        <v>6641</v>
      </c>
      <c r="M942">
        <v>6644</v>
      </c>
      <c r="N942">
        <v>3</v>
      </c>
      <c r="O942">
        <v>11.3333333333333</v>
      </c>
    </row>
    <row r="943" spans="1:15" x14ac:dyDescent="0.25">
      <c r="A943">
        <v>5</v>
      </c>
      <c r="B943">
        <v>73</v>
      </c>
      <c r="C943" t="s">
        <v>5324</v>
      </c>
      <c r="D943" t="s">
        <v>445</v>
      </c>
      <c r="E943" t="s">
        <v>6199</v>
      </c>
      <c r="F943">
        <v>46222.058333333334</v>
      </c>
      <c r="G943">
        <v>232</v>
      </c>
      <c r="H943" t="s">
        <v>6155</v>
      </c>
      <c r="I943" t="s">
        <v>5358</v>
      </c>
      <c r="J943">
        <v>91</v>
      </c>
      <c r="K943">
        <v>573.29999999999995</v>
      </c>
      <c r="L943">
        <v>6644</v>
      </c>
      <c r="M943">
        <v>6653</v>
      </c>
      <c r="N943">
        <v>9</v>
      </c>
      <c r="O943">
        <v>10.1111111111111</v>
      </c>
    </row>
    <row r="944" spans="1:15" x14ac:dyDescent="0.25">
      <c r="A944">
        <v>5</v>
      </c>
      <c r="B944">
        <v>73</v>
      </c>
      <c r="C944" t="s">
        <v>5324</v>
      </c>
      <c r="D944" t="s">
        <v>445</v>
      </c>
      <c r="E944" t="s">
        <v>6199</v>
      </c>
      <c r="F944">
        <v>46225.023611111108</v>
      </c>
      <c r="G944">
        <v>232</v>
      </c>
      <c r="H944" t="s">
        <v>6155</v>
      </c>
      <c r="I944" t="s">
        <v>5358</v>
      </c>
      <c r="J944">
        <v>50</v>
      </c>
      <c r="K944">
        <v>312.5</v>
      </c>
      <c r="L944">
        <v>6653</v>
      </c>
      <c r="M944">
        <v>6659</v>
      </c>
      <c r="N944">
        <v>6</v>
      </c>
      <c r="O944">
        <v>8.3333333333333304</v>
      </c>
    </row>
    <row r="945" spans="1:15" x14ac:dyDescent="0.25">
      <c r="A945">
        <v>5</v>
      </c>
      <c r="B945">
        <v>73</v>
      </c>
      <c r="C945" t="s">
        <v>5324</v>
      </c>
      <c r="D945" t="s">
        <v>445</v>
      </c>
      <c r="E945" t="s">
        <v>6199</v>
      </c>
      <c r="F945">
        <v>46227.07916666667</v>
      </c>
      <c r="G945">
        <v>232</v>
      </c>
      <c r="H945" t="s">
        <v>6155</v>
      </c>
      <c r="I945" t="s">
        <v>5358</v>
      </c>
      <c r="J945">
        <v>42</v>
      </c>
      <c r="K945">
        <v>262.5</v>
      </c>
      <c r="L945">
        <v>6659</v>
      </c>
      <c r="M945">
        <v>6660</v>
      </c>
      <c r="N945">
        <v>1</v>
      </c>
      <c r="O945">
        <v>42</v>
      </c>
    </row>
    <row r="946" spans="1:15" x14ac:dyDescent="0.25">
      <c r="A946">
        <v>5</v>
      </c>
      <c r="B946">
        <v>73</v>
      </c>
      <c r="C946" t="s">
        <v>5324</v>
      </c>
      <c r="D946" t="s">
        <v>445</v>
      </c>
      <c r="E946" t="s">
        <v>6199</v>
      </c>
      <c r="F946">
        <v>46229.013194444444</v>
      </c>
      <c r="G946">
        <v>232</v>
      </c>
      <c r="H946" t="s">
        <v>6155</v>
      </c>
      <c r="I946" t="s">
        <v>5358</v>
      </c>
      <c r="J946">
        <v>61</v>
      </c>
      <c r="K946">
        <v>384.3</v>
      </c>
      <c r="L946">
        <v>6660</v>
      </c>
      <c r="M946">
        <v>6673</v>
      </c>
      <c r="N946">
        <v>13</v>
      </c>
      <c r="O946">
        <v>4.6923076923076898</v>
      </c>
    </row>
    <row r="947" spans="1:15" x14ac:dyDescent="0.25">
      <c r="A947">
        <v>5</v>
      </c>
      <c r="B947">
        <v>73</v>
      </c>
      <c r="C947" t="s">
        <v>5324</v>
      </c>
      <c r="D947" t="s">
        <v>445</v>
      </c>
      <c r="E947" t="s">
        <v>6199</v>
      </c>
      <c r="F947">
        <v>46231.023611111108</v>
      </c>
      <c r="G947">
        <v>232</v>
      </c>
      <c r="H947" t="s">
        <v>6155</v>
      </c>
      <c r="I947" t="s">
        <v>5358</v>
      </c>
      <c r="J947">
        <v>44</v>
      </c>
      <c r="K947">
        <v>275</v>
      </c>
      <c r="L947">
        <v>6673</v>
      </c>
      <c r="M947">
        <v>6679</v>
      </c>
      <c r="N947">
        <v>6</v>
      </c>
      <c r="O947">
        <v>7.3333333333333304</v>
      </c>
    </row>
    <row r="948" spans="1:15" x14ac:dyDescent="0.25">
      <c r="A948">
        <v>5</v>
      </c>
      <c r="B948">
        <v>73</v>
      </c>
      <c r="C948" t="s">
        <v>5324</v>
      </c>
      <c r="D948" t="s">
        <v>445</v>
      </c>
      <c r="E948" t="s">
        <v>6199</v>
      </c>
      <c r="F948">
        <v>46232.973611111112</v>
      </c>
      <c r="G948">
        <v>232</v>
      </c>
      <c r="H948" t="s">
        <v>6155</v>
      </c>
      <c r="I948" t="s">
        <v>5358</v>
      </c>
      <c r="J948">
        <v>42</v>
      </c>
      <c r="K948">
        <v>262.5</v>
      </c>
      <c r="L948">
        <v>6679</v>
      </c>
      <c r="M948">
        <v>6683</v>
      </c>
      <c r="N948">
        <v>4</v>
      </c>
      <c r="O948">
        <v>10.5</v>
      </c>
    </row>
    <row r="949" spans="1:15" x14ac:dyDescent="0.25">
      <c r="A949">
        <v>5</v>
      </c>
      <c r="B949">
        <v>73</v>
      </c>
      <c r="C949" t="s">
        <v>5324</v>
      </c>
      <c r="D949" t="s">
        <v>445</v>
      </c>
      <c r="E949" t="s">
        <v>6199</v>
      </c>
      <c r="F949">
        <v>46234.070833333331</v>
      </c>
      <c r="G949">
        <v>232</v>
      </c>
      <c r="H949" t="s">
        <v>6155</v>
      </c>
      <c r="I949" t="s">
        <v>5358</v>
      </c>
      <c r="J949">
        <v>50</v>
      </c>
      <c r="K949">
        <v>312.5</v>
      </c>
      <c r="L949">
        <v>6683</v>
      </c>
      <c r="M949">
        <v>6689</v>
      </c>
      <c r="N949">
        <v>6</v>
      </c>
      <c r="O949">
        <v>8.3333333333333304</v>
      </c>
    </row>
    <row r="950" spans="1:15" x14ac:dyDescent="0.25">
      <c r="A950">
        <v>5</v>
      </c>
      <c r="B950">
        <v>73</v>
      </c>
      <c r="C950" t="s">
        <v>5324</v>
      </c>
      <c r="D950" t="s">
        <v>5332</v>
      </c>
      <c r="E950" t="s">
        <v>6200</v>
      </c>
      <c r="F950">
        <v>46205.472222222219</v>
      </c>
      <c r="G950">
        <v>232</v>
      </c>
      <c r="H950" t="s">
        <v>6155</v>
      </c>
      <c r="I950" t="s">
        <v>5358</v>
      </c>
      <c r="J950">
        <v>57</v>
      </c>
      <c r="K950">
        <v>350.55</v>
      </c>
      <c r="L950">
        <v>3035</v>
      </c>
      <c r="M950">
        <v>3043</v>
      </c>
      <c r="N950">
        <v>8</v>
      </c>
      <c r="O950">
        <v>7.125</v>
      </c>
    </row>
    <row r="951" spans="1:15" x14ac:dyDescent="0.25">
      <c r="A951">
        <v>5</v>
      </c>
      <c r="B951">
        <v>73</v>
      </c>
      <c r="C951" t="s">
        <v>5324</v>
      </c>
      <c r="D951" t="s">
        <v>5332</v>
      </c>
      <c r="E951" t="s">
        <v>6200</v>
      </c>
      <c r="F951">
        <v>46207.479166666664</v>
      </c>
      <c r="G951">
        <v>232</v>
      </c>
      <c r="H951" t="s">
        <v>6155</v>
      </c>
      <c r="I951" t="s">
        <v>5358</v>
      </c>
      <c r="J951">
        <v>41</v>
      </c>
      <c r="K951">
        <v>252.15</v>
      </c>
      <c r="L951">
        <v>3043</v>
      </c>
      <c r="M951">
        <v>3047</v>
      </c>
      <c r="N951">
        <v>4</v>
      </c>
      <c r="O951">
        <v>10.25</v>
      </c>
    </row>
    <row r="952" spans="1:15" x14ac:dyDescent="0.25">
      <c r="A952">
        <v>5</v>
      </c>
      <c r="B952">
        <v>73</v>
      </c>
      <c r="C952" t="s">
        <v>5324</v>
      </c>
      <c r="D952" t="s">
        <v>5332</v>
      </c>
      <c r="E952" t="s">
        <v>6200</v>
      </c>
      <c r="F952">
        <v>46208.52847222222</v>
      </c>
      <c r="G952">
        <v>232</v>
      </c>
      <c r="H952" t="s">
        <v>6155</v>
      </c>
      <c r="I952" t="s">
        <v>5358</v>
      </c>
      <c r="J952">
        <v>87</v>
      </c>
      <c r="K952">
        <v>558.54</v>
      </c>
      <c r="L952">
        <v>3047</v>
      </c>
      <c r="M952">
        <v>3051</v>
      </c>
      <c r="N952">
        <v>4</v>
      </c>
      <c r="O952">
        <v>21.75</v>
      </c>
    </row>
    <row r="953" spans="1:15" x14ac:dyDescent="0.25">
      <c r="A953">
        <v>5</v>
      </c>
      <c r="B953">
        <v>73</v>
      </c>
      <c r="C953" t="s">
        <v>5324</v>
      </c>
      <c r="D953" t="s">
        <v>5332</v>
      </c>
      <c r="E953" t="s">
        <v>6200</v>
      </c>
      <c r="F953">
        <v>46209.439583333333</v>
      </c>
      <c r="G953">
        <v>232</v>
      </c>
      <c r="H953" t="s">
        <v>6155</v>
      </c>
      <c r="I953" t="s">
        <v>5358</v>
      </c>
      <c r="J953">
        <v>45</v>
      </c>
      <c r="K953">
        <v>276.75</v>
      </c>
      <c r="L953">
        <v>3051</v>
      </c>
      <c r="M953">
        <v>3056</v>
      </c>
      <c r="N953">
        <v>5</v>
      </c>
      <c r="O953">
        <v>9</v>
      </c>
    </row>
    <row r="954" spans="1:15" x14ac:dyDescent="0.25">
      <c r="A954">
        <v>5</v>
      </c>
      <c r="B954">
        <v>73</v>
      </c>
      <c r="C954" t="s">
        <v>5324</v>
      </c>
      <c r="D954" t="s">
        <v>5332</v>
      </c>
      <c r="E954" t="s">
        <v>6200</v>
      </c>
      <c r="F954">
        <v>46212.418749999997</v>
      </c>
      <c r="G954">
        <v>232</v>
      </c>
      <c r="H954" t="s">
        <v>6155</v>
      </c>
      <c r="I954" t="s">
        <v>5358</v>
      </c>
      <c r="J954">
        <v>68</v>
      </c>
      <c r="K954">
        <v>418.2</v>
      </c>
      <c r="L954">
        <v>3056</v>
      </c>
      <c r="M954">
        <v>3070</v>
      </c>
      <c r="N954">
        <v>14</v>
      </c>
      <c r="O954">
        <v>4.8571428571428603</v>
      </c>
    </row>
    <row r="955" spans="1:15" x14ac:dyDescent="0.25">
      <c r="A955">
        <v>5</v>
      </c>
      <c r="B955">
        <v>73</v>
      </c>
      <c r="C955" t="s">
        <v>5324</v>
      </c>
      <c r="D955" t="s">
        <v>5332</v>
      </c>
      <c r="E955" t="s">
        <v>6200</v>
      </c>
      <c r="F955">
        <v>46213.433333333334</v>
      </c>
      <c r="G955">
        <v>232</v>
      </c>
      <c r="H955" t="s">
        <v>6155</v>
      </c>
      <c r="I955" t="s">
        <v>5358</v>
      </c>
      <c r="J955">
        <v>83</v>
      </c>
      <c r="K955">
        <v>510.45</v>
      </c>
      <c r="L955">
        <v>3070</v>
      </c>
      <c r="M955">
        <v>3074</v>
      </c>
      <c r="N955">
        <v>4</v>
      </c>
      <c r="O955">
        <v>20.75</v>
      </c>
    </row>
    <row r="956" spans="1:15" x14ac:dyDescent="0.25">
      <c r="A956">
        <v>5</v>
      </c>
      <c r="B956">
        <v>73</v>
      </c>
      <c r="C956" t="s">
        <v>5324</v>
      </c>
      <c r="D956" t="s">
        <v>5332</v>
      </c>
      <c r="E956" t="s">
        <v>6200</v>
      </c>
      <c r="F956">
        <v>46214.390277777777</v>
      </c>
      <c r="G956">
        <v>232</v>
      </c>
      <c r="H956" t="s">
        <v>6155</v>
      </c>
      <c r="I956" t="s">
        <v>5358</v>
      </c>
      <c r="J956">
        <v>36</v>
      </c>
      <c r="K956">
        <v>221.4</v>
      </c>
      <c r="L956">
        <v>3074</v>
      </c>
      <c r="M956">
        <v>3079</v>
      </c>
      <c r="N956">
        <v>5</v>
      </c>
      <c r="O956">
        <v>7.2</v>
      </c>
    </row>
    <row r="957" spans="1:15" x14ac:dyDescent="0.25">
      <c r="A957">
        <v>5</v>
      </c>
      <c r="B957">
        <v>73</v>
      </c>
      <c r="C957" t="s">
        <v>5324</v>
      </c>
      <c r="D957" t="s">
        <v>5332</v>
      </c>
      <c r="E957" t="s">
        <v>6200</v>
      </c>
      <c r="F957">
        <v>46216.468055555553</v>
      </c>
      <c r="G957">
        <v>232</v>
      </c>
      <c r="H957" t="s">
        <v>6155</v>
      </c>
      <c r="I957" t="s">
        <v>5358</v>
      </c>
      <c r="J957">
        <v>90</v>
      </c>
      <c r="K957">
        <v>553.5</v>
      </c>
      <c r="L957">
        <v>3079</v>
      </c>
      <c r="M957">
        <v>3085</v>
      </c>
      <c r="N957">
        <v>6</v>
      </c>
      <c r="O957">
        <v>15</v>
      </c>
    </row>
    <row r="958" spans="1:15" x14ac:dyDescent="0.25">
      <c r="A958">
        <v>5</v>
      </c>
      <c r="B958">
        <v>73</v>
      </c>
      <c r="C958" t="s">
        <v>5324</v>
      </c>
      <c r="D958" t="s">
        <v>5332</v>
      </c>
      <c r="E958" t="s">
        <v>6200</v>
      </c>
      <c r="F958">
        <v>46217.49722222222</v>
      </c>
      <c r="G958">
        <v>232</v>
      </c>
      <c r="H958" t="s">
        <v>6155</v>
      </c>
      <c r="I958" t="s">
        <v>5358</v>
      </c>
      <c r="J958">
        <v>46</v>
      </c>
      <c r="K958">
        <v>282.89999999999998</v>
      </c>
      <c r="L958">
        <v>3085</v>
      </c>
      <c r="M958">
        <v>3089</v>
      </c>
      <c r="N958">
        <v>4</v>
      </c>
      <c r="O958">
        <v>11.5</v>
      </c>
    </row>
    <row r="959" spans="1:15" x14ac:dyDescent="0.25">
      <c r="A959">
        <v>5</v>
      </c>
      <c r="B959">
        <v>73</v>
      </c>
      <c r="C959" t="s">
        <v>5324</v>
      </c>
      <c r="D959" t="s">
        <v>5332</v>
      </c>
      <c r="E959" t="s">
        <v>6200</v>
      </c>
      <c r="F959">
        <v>46218.493055555555</v>
      </c>
      <c r="G959">
        <v>232</v>
      </c>
      <c r="H959" t="s">
        <v>6155</v>
      </c>
      <c r="I959" t="s">
        <v>5358</v>
      </c>
      <c r="J959">
        <v>33</v>
      </c>
      <c r="K959">
        <v>202.95</v>
      </c>
      <c r="L959">
        <v>3089</v>
      </c>
      <c r="M959">
        <v>3093</v>
      </c>
      <c r="N959">
        <v>4</v>
      </c>
      <c r="O959">
        <v>8.25</v>
      </c>
    </row>
    <row r="960" spans="1:15" x14ac:dyDescent="0.25">
      <c r="A960">
        <v>5</v>
      </c>
      <c r="B960">
        <v>73</v>
      </c>
      <c r="C960" t="s">
        <v>5324</v>
      </c>
      <c r="D960" t="s">
        <v>5332</v>
      </c>
      <c r="E960" t="s">
        <v>6200</v>
      </c>
      <c r="F960">
        <v>46219.400694444441</v>
      </c>
      <c r="G960">
        <v>232</v>
      </c>
      <c r="H960" t="s">
        <v>6155</v>
      </c>
      <c r="I960" t="s">
        <v>5358</v>
      </c>
      <c r="J960">
        <v>50</v>
      </c>
      <c r="K960">
        <v>307.5</v>
      </c>
      <c r="L960">
        <v>3093</v>
      </c>
      <c r="M960">
        <v>3098</v>
      </c>
      <c r="N960">
        <v>5</v>
      </c>
      <c r="O960">
        <v>10</v>
      </c>
    </row>
    <row r="961" spans="1:15" x14ac:dyDescent="0.25">
      <c r="A961">
        <v>5</v>
      </c>
      <c r="B961">
        <v>73</v>
      </c>
      <c r="C961" t="s">
        <v>5324</v>
      </c>
      <c r="D961" t="s">
        <v>5332</v>
      </c>
      <c r="E961" t="s">
        <v>6200</v>
      </c>
      <c r="F961">
        <v>46220.419444444444</v>
      </c>
      <c r="G961">
        <v>232</v>
      </c>
      <c r="H961" t="s">
        <v>6155</v>
      </c>
      <c r="I961" t="s">
        <v>5358</v>
      </c>
      <c r="J961">
        <v>33</v>
      </c>
      <c r="K961">
        <v>202.95</v>
      </c>
      <c r="L961">
        <v>3098</v>
      </c>
      <c r="M961">
        <v>3103</v>
      </c>
      <c r="N961">
        <v>5</v>
      </c>
      <c r="O961">
        <v>6.6</v>
      </c>
    </row>
    <row r="962" spans="1:15" x14ac:dyDescent="0.25">
      <c r="A962">
        <v>5</v>
      </c>
      <c r="B962">
        <v>73</v>
      </c>
      <c r="C962" t="s">
        <v>5324</v>
      </c>
      <c r="D962" t="s">
        <v>5332</v>
      </c>
      <c r="E962" t="s">
        <v>6200</v>
      </c>
      <c r="F962">
        <v>46222.472222222219</v>
      </c>
      <c r="G962">
        <v>232</v>
      </c>
      <c r="H962" t="s">
        <v>6155</v>
      </c>
      <c r="I962" t="s">
        <v>5358</v>
      </c>
      <c r="J962">
        <v>50</v>
      </c>
      <c r="K962">
        <v>315</v>
      </c>
      <c r="L962">
        <v>3103</v>
      </c>
      <c r="M962">
        <v>3109</v>
      </c>
      <c r="N962">
        <v>6</v>
      </c>
      <c r="O962">
        <v>8.3333333333333304</v>
      </c>
    </row>
    <row r="963" spans="1:15" x14ac:dyDescent="0.25">
      <c r="A963">
        <v>5</v>
      </c>
      <c r="B963">
        <v>73</v>
      </c>
      <c r="C963" t="s">
        <v>5324</v>
      </c>
      <c r="D963" t="s">
        <v>5332</v>
      </c>
      <c r="E963" t="s">
        <v>6200</v>
      </c>
      <c r="F963">
        <v>46227.638888888891</v>
      </c>
      <c r="G963">
        <v>232</v>
      </c>
      <c r="H963" t="s">
        <v>6155</v>
      </c>
      <c r="I963" t="s">
        <v>5358</v>
      </c>
      <c r="J963">
        <v>74</v>
      </c>
      <c r="K963">
        <v>462.5</v>
      </c>
      <c r="L963">
        <v>3109</v>
      </c>
      <c r="M963">
        <v>3115</v>
      </c>
      <c r="N963">
        <v>6</v>
      </c>
      <c r="O963">
        <v>12.3333333333333</v>
      </c>
    </row>
    <row r="964" spans="1:15" x14ac:dyDescent="0.25">
      <c r="A964">
        <v>5</v>
      </c>
      <c r="B964">
        <v>73</v>
      </c>
      <c r="C964" t="s">
        <v>5324</v>
      </c>
      <c r="D964" t="s">
        <v>5332</v>
      </c>
      <c r="E964" t="s">
        <v>6200</v>
      </c>
      <c r="F964">
        <v>46228.665972222225</v>
      </c>
      <c r="G964">
        <v>232</v>
      </c>
      <c r="H964" t="s">
        <v>6155</v>
      </c>
      <c r="I964" t="s">
        <v>5358</v>
      </c>
      <c r="J964">
        <v>37</v>
      </c>
      <c r="K964">
        <v>231.25</v>
      </c>
      <c r="L964">
        <v>3115</v>
      </c>
      <c r="M964">
        <v>3117</v>
      </c>
      <c r="N964">
        <v>2</v>
      </c>
      <c r="O964">
        <v>18.5</v>
      </c>
    </row>
    <row r="965" spans="1:15" x14ac:dyDescent="0.25">
      <c r="A965">
        <v>5</v>
      </c>
      <c r="B965">
        <v>73</v>
      </c>
      <c r="C965" t="s">
        <v>5324</v>
      </c>
      <c r="D965" t="s">
        <v>5332</v>
      </c>
      <c r="E965" t="s">
        <v>6200</v>
      </c>
      <c r="F965">
        <v>46230.417361111111</v>
      </c>
      <c r="G965">
        <v>232</v>
      </c>
      <c r="H965" t="s">
        <v>6155</v>
      </c>
      <c r="I965" t="s">
        <v>5358</v>
      </c>
      <c r="J965">
        <v>46</v>
      </c>
      <c r="K965">
        <v>287.5</v>
      </c>
      <c r="L965">
        <v>3117</v>
      </c>
      <c r="M965">
        <v>3119</v>
      </c>
      <c r="N965">
        <v>2</v>
      </c>
      <c r="O965">
        <v>23</v>
      </c>
    </row>
    <row r="966" spans="1:15" x14ac:dyDescent="0.25">
      <c r="A966">
        <v>5</v>
      </c>
      <c r="B966">
        <v>73</v>
      </c>
      <c r="C966" t="s">
        <v>5324</v>
      </c>
      <c r="D966" t="s">
        <v>5332</v>
      </c>
      <c r="E966" t="s">
        <v>6200</v>
      </c>
      <c r="F966">
        <v>46232.714583333334</v>
      </c>
      <c r="G966">
        <v>232</v>
      </c>
      <c r="H966" t="s">
        <v>6155</v>
      </c>
      <c r="I966" t="s">
        <v>5358</v>
      </c>
      <c r="J966">
        <v>26</v>
      </c>
      <c r="K966">
        <v>162.5</v>
      </c>
      <c r="L966">
        <v>3119</v>
      </c>
      <c r="M966">
        <v>3122</v>
      </c>
      <c r="N966">
        <v>3</v>
      </c>
      <c r="O966">
        <v>8.6666666666666696</v>
      </c>
    </row>
    <row r="967" spans="1:15" x14ac:dyDescent="0.25">
      <c r="A967">
        <v>5</v>
      </c>
      <c r="B967">
        <v>73</v>
      </c>
      <c r="C967" t="s">
        <v>5324</v>
      </c>
      <c r="D967" t="s">
        <v>5332</v>
      </c>
      <c r="E967" t="s">
        <v>6200</v>
      </c>
      <c r="F967">
        <v>46234.388888888891</v>
      </c>
      <c r="G967">
        <v>232</v>
      </c>
      <c r="H967" t="s">
        <v>6155</v>
      </c>
      <c r="I967" t="s">
        <v>5358</v>
      </c>
      <c r="J967">
        <v>59</v>
      </c>
      <c r="K967">
        <v>368.75</v>
      </c>
      <c r="L967">
        <v>3122</v>
      </c>
      <c r="M967">
        <v>3128</v>
      </c>
      <c r="N967">
        <v>6</v>
      </c>
      <c r="O967">
        <v>9.8333333333333304</v>
      </c>
    </row>
    <row r="968" spans="1:15" x14ac:dyDescent="0.25">
      <c r="A968">
        <v>5</v>
      </c>
      <c r="B968">
        <v>80</v>
      </c>
      <c r="C968" t="s">
        <v>5302</v>
      </c>
      <c r="D968" t="s">
        <v>375</v>
      </c>
      <c r="E968" t="s">
        <v>6201</v>
      </c>
      <c r="F968">
        <v>46204.652083333334</v>
      </c>
      <c r="G968">
        <v>232</v>
      </c>
      <c r="H968" t="s">
        <v>6155</v>
      </c>
      <c r="I968" t="s">
        <v>5358</v>
      </c>
      <c r="J968">
        <v>11</v>
      </c>
      <c r="K968">
        <v>67.650000000000006</v>
      </c>
      <c r="L968">
        <v>1597</v>
      </c>
      <c r="M968">
        <v>1600</v>
      </c>
      <c r="N968">
        <v>3</v>
      </c>
      <c r="O968">
        <v>3.6666666666666701</v>
      </c>
    </row>
    <row r="969" spans="1:15" x14ac:dyDescent="0.25">
      <c r="A969">
        <v>5</v>
      </c>
      <c r="B969">
        <v>80</v>
      </c>
      <c r="C969" t="s">
        <v>5302</v>
      </c>
      <c r="D969" t="s">
        <v>375</v>
      </c>
      <c r="E969" t="s">
        <v>6201</v>
      </c>
      <c r="F969">
        <v>46205.476388888892</v>
      </c>
      <c r="G969">
        <v>232</v>
      </c>
      <c r="H969" t="s">
        <v>6155</v>
      </c>
      <c r="I969" t="s">
        <v>5358</v>
      </c>
      <c r="J969">
        <v>37</v>
      </c>
      <c r="K969">
        <v>227.55</v>
      </c>
      <c r="L969">
        <v>1600</v>
      </c>
      <c r="M969">
        <v>1605</v>
      </c>
      <c r="N969">
        <v>5</v>
      </c>
      <c r="O969">
        <v>7.4</v>
      </c>
    </row>
    <row r="970" spans="1:15" x14ac:dyDescent="0.25">
      <c r="A970">
        <v>5</v>
      </c>
      <c r="B970">
        <v>80</v>
      </c>
      <c r="C970" t="s">
        <v>5302</v>
      </c>
      <c r="D970" t="s">
        <v>375</v>
      </c>
      <c r="E970" t="s">
        <v>6201</v>
      </c>
      <c r="F970">
        <v>46207.997916666667</v>
      </c>
      <c r="G970">
        <v>232</v>
      </c>
      <c r="H970" t="s">
        <v>6155</v>
      </c>
      <c r="I970" t="s">
        <v>5358</v>
      </c>
      <c r="J970">
        <v>25</v>
      </c>
      <c r="K970">
        <v>153.75</v>
      </c>
      <c r="L970">
        <v>1605</v>
      </c>
      <c r="M970">
        <v>1610</v>
      </c>
      <c r="N970">
        <v>5</v>
      </c>
      <c r="O970">
        <v>5</v>
      </c>
    </row>
    <row r="971" spans="1:15" x14ac:dyDescent="0.25">
      <c r="A971">
        <v>5</v>
      </c>
      <c r="B971">
        <v>80</v>
      </c>
      <c r="C971" t="s">
        <v>5302</v>
      </c>
      <c r="D971" t="s">
        <v>375</v>
      </c>
      <c r="E971" t="s">
        <v>6201</v>
      </c>
      <c r="F971">
        <v>46208.959027777775</v>
      </c>
      <c r="G971">
        <v>232</v>
      </c>
      <c r="H971" t="s">
        <v>6155</v>
      </c>
      <c r="I971" t="s">
        <v>5358</v>
      </c>
      <c r="J971">
        <v>44</v>
      </c>
      <c r="K971">
        <v>282.48</v>
      </c>
      <c r="L971">
        <v>1610</v>
      </c>
      <c r="M971">
        <v>1616</v>
      </c>
      <c r="N971">
        <v>6</v>
      </c>
      <c r="O971">
        <v>7.3333333333333304</v>
      </c>
    </row>
    <row r="972" spans="1:15" x14ac:dyDescent="0.25">
      <c r="A972">
        <v>5</v>
      </c>
      <c r="B972">
        <v>80</v>
      </c>
      <c r="C972" t="s">
        <v>5302</v>
      </c>
      <c r="D972" t="s">
        <v>375</v>
      </c>
      <c r="E972" t="s">
        <v>6201</v>
      </c>
      <c r="F972">
        <v>46209.943055555559</v>
      </c>
      <c r="G972">
        <v>232</v>
      </c>
      <c r="H972" t="s">
        <v>6155</v>
      </c>
      <c r="I972" t="s">
        <v>5358</v>
      </c>
      <c r="J972">
        <v>55</v>
      </c>
      <c r="K972">
        <v>338.25</v>
      </c>
      <c r="L972">
        <v>1616</v>
      </c>
      <c r="M972">
        <v>1623</v>
      </c>
      <c r="N972">
        <v>7</v>
      </c>
      <c r="O972">
        <v>7.8571428571428603</v>
      </c>
    </row>
    <row r="973" spans="1:15" x14ac:dyDescent="0.25">
      <c r="A973">
        <v>5</v>
      </c>
      <c r="B973">
        <v>80</v>
      </c>
      <c r="C973" t="s">
        <v>5302</v>
      </c>
      <c r="D973" t="s">
        <v>375</v>
      </c>
      <c r="E973" t="s">
        <v>6201</v>
      </c>
      <c r="F973">
        <v>46210.986805555556</v>
      </c>
      <c r="G973">
        <v>232</v>
      </c>
      <c r="H973" t="s">
        <v>6155</v>
      </c>
      <c r="I973" t="s">
        <v>5358</v>
      </c>
      <c r="J973">
        <v>41</v>
      </c>
      <c r="K973">
        <v>252.15</v>
      </c>
      <c r="L973">
        <v>1623</v>
      </c>
      <c r="M973">
        <v>1629</v>
      </c>
      <c r="N973">
        <v>6</v>
      </c>
      <c r="O973">
        <v>6.8333333333333304</v>
      </c>
    </row>
    <row r="974" spans="1:15" x14ac:dyDescent="0.25">
      <c r="A974">
        <v>5</v>
      </c>
      <c r="B974">
        <v>80</v>
      </c>
      <c r="C974" t="s">
        <v>5302</v>
      </c>
      <c r="D974" t="s">
        <v>375</v>
      </c>
      <c r="E974" t="s">
        <v>6201</v>
      </c>
      <c r="F974">
        <v>46211.009027777778</v>
      </c>
      <c r="G974">
        <v>232</v>
      </c>
      <c r="H974" t="s">
        <v>6155</v>
      </c>
      <c r="I974" t="s">
        <v>5358</v>
      </c>
      <c r="J974">
        <v>37</v>
      </c>
      <c r="K974">
        <v>227.55</v>
      </c>
      <c r="L974">
        <v>1629</v>
      </c>
      <c r="M974">
        <v>1635</v>
      </c>
      <c r="N974">
        <v>6</v>
      </c>
      <c r="O974">
        <v>6.1666666666666696</v>
      </c>
    </row>
    <row r="975" spans="1:15" x14ac:dyDescent="0.25">
      <c r="A975">
        <v>5</v>
      </c>
      <c r="B975">
        <v>80</v>
      </c>
      <c r="C975" t="s">
        <v>5302</v>
      </c>
      <c r="D975" t="s">
        <v>375</v>
      </c>
      <c r="E975" t="s">
        <v>6201</v>
      </c>
      <c r="F975">
        <v>46212.004166666666</v>
      </c>
      <c r="G975">
        <v>232</v>
      </c>
      <c r="H975" t="s">
        <v>6155</v>
      </c>
      <c r="I975" t="s">
        <v>5358</v>
      </c>
      <c r="J975">
        <v>43</v>
      </c>
      <c r="K975">
        <v>264.45</v>
      </c>
      <c r="L975">
        <v>1635</v>
      </c>
      <c r="M975">
        <v>1640</v>
      </c>
      <c r="N975">
        <v>5</v>
      </c>
      <c r="O975">
        <v>8.6</v>
      </c>
    </row>
    <row r="976" spans="1:15" x14ac:dyDescent="0.25">
      <c r="A976">
        <v>5</v>
      </c>
      <c r="B976">
        <v>80</v>
      </c>
      <c r="C976" t="s">
        <v>5302</v>
      </c>
      <c r="D976" t="s">
        <v>375</v>
      </c>
      <c r="E976" t="s">
        <v>6201</v>
      </c>
      <c r="F976">
        <v>46213.076388888891</v>
      </c>
      <c r="G976">
        <v>232</v>
      </c>
      <c r="H976" t="s">
        <v>6155</v>
      </c>
      <c r="I976" t="s">
        <v>5358</v>
      </c>
      <c r="J976">
        <v>18</v>
      </c>
      <c r="K976">
        <v>110.7</v>
      </c>
      <c r="L976">
        <v>1640</v>
      </c>
      <c r="M976">
        <v>1645</v>
      </c>
      <c r="N976">
        <v>5</v>
      </c>
      <c r="O976">
        <v>3.6</v>
      </c>
    </row>
    <row r="977" spans="1:15" x14ac:dyDescent="0.25">
      <c r="A977">
        <v>5</v>
      </c>
      <c r="B977">
        <v>80</v>
      </c>
      <c r="C977" t="s">
        <v>5302</v>
      </c>
      <c r="D977" t="s">
        <v>375</v>
      </c>
      <c r="E977" t="s">
        <v>6201</v>
      </c>
      <c r="F977">
        <v>46214.017361111109</v>
      </c>
      <c r="G977">
        <v>232</v>
      </c>
      <c r="H977" t="s">
        <v>6155</v>
      </c>
      <c r="I977" t="s">
        <v>5358</v>
      </c>
      <c r="J977">
        <v>31</v>
      </c>
      <c r="K977">
        <v>190.65</v>
      </c>
      <c r="L977">
        <v>1645</v>
      </c>
      <c r="M977">
        <v>1649</v>
      </c>
      <c r="N977">
        <v>4</v>
      </c>
      <c r="O977">
        <v>7.75</v>
      </c>
    </row>
    <row r="978" spans="1:15" x14ac:dyDescent="0.25">
      <c r="A978">
        <v>5</v>
      </c>
      <c r="B978">
        <v>80</v>
      </c>
      <c r="C978" t="s">
        <v>5302</v>
      </c>
      <c r="D978" t="s">
        <v>375</v>
      </c>
      <c r="E978" t="s">
        <v>6201</v>
      </c>
      <c r="F978">
        <v>46216.978472222225</v>
      </c>
      <c r="G978">
        <v>232</v>
      </c>
      <c r="H978" t="s">
        <v>6155</v>
      </c>
      <c r="I978" t="s">
        <v>5358</v>
      </c>
      <c r="J978">
        <v>31</v>
      </c>
      <c r="K978">
        <v>190.65</v>
      </c>
      <c r="L978">
        <v>1649</v>
      </c>
      <c r="M978">
        <v>1654</v>
      </c>
      <c r="N978">
        <v>5</v>
      </c>
      <c r="O978">
        <v>6.2</v>
      </c>
    </row>
    <row r="979" spans="1:15" x14ac:dyDescent="0.25">
      <c r="A979">
        <v>5</v>
      </c>
      <c r="B979">
        <v>80</v>
      </c>
      <c r="C979" t="s">
        <v>5302</v>
      </c>
      <c r="D979" t="s">
        <v>375</v>
      </c>
      <c r="E979" t="s">
        <v>6201</v>
      </c>
      <c r="F979">
        <v>46217.495833333334</v>
      </c>
      <c r="G979">
        <v>232</v>
      </c>
      <c r="H979" t="s">
        <v>6155</v>
      </c>
      <c r="I979" t="s">
        <v>5358</v>
      </c>
      <c r="J979">
        <v>32</v>
      </c>
      <c r="K979">
        <v>196.8</v>
      </c>
      <c r="L979">
        <v>1654</v>
      </c>
      <c r="M979">
        <v>1661</v>
      </c>
      <c r="N979">
        <v>7</v>
      </c>
      <c r="O979">
        <v>4.5714285714285703</v>
      </c>
    </row>
    <row r="980" spans="1:15" x14ac:dyDescent="0.25">
      <c r="A980">
        <v>5</v>
      </c>
      <c r="B980">
        <v>80</v>
      </c>
      <c r="C980" t="s">
        <v>5302</v>
      </c>
      <c r="D980" t="s">
        <v>375</v>
      </c>
      <c r="E980" t="s">
        <v>6201</v>
      </c>
      <c r="F980">
        <v>46218.116666666669</v>
      </c>
      <c r="G980">
        <v>232</v>
      </c>
      <c r="H980" t="s">
        <v>6155</v>
      </c>
      <c r="I980" t="s">
        <v>5358</v>
      </c>
      <c r="J980">
        <v>23</v>
      </c>
      <c r="K980">
        <v>141.44999999999999</v>
      </c>
      <c r="L980">
        <v>1661</v>
      </c>
      <c r="M980">
        <v>1668</v>
      </c>
      <c r="N980">
        <v>7</v>
      </c>
      <c r="O980">
        <v>3.28571428571429</v>
      </c>
    </row>
    <row r="981" spans="1:15" x14ac:dyDescent="0.25">
      <c r="A981">
        <v>5</v>
      </c>
      <c r="B981">
        <v>80</v>
      </c>
      <c r="C981" t="s">
        <v>5302</v>
      </c>
      <c r="D981" t="s">
        <v>375</v>
      </c>
      <c r="E981" t="s">
        <v>6201</v>
      </c>
      <c r="F981">
        <v>46219.118055555555</v>
      </c>
      <c r="G981">
        <v>232</v>
      </c>
      <c r="H981" t="s">
        <v>6155</v>
      </c>
      <c r="I981" t="s">
        <v>5358</v>
      </c>
      <c r="J981">
        <v>27</v>
      </c>
      <c r="K981">
        <v>166.05</v>
      </c>
      <c r="L981">
        <v>1668</v>
      </c>
      <c r="M981">
        <v>1675</v>
      </c>
      <c r="N981">
        <v>7</v>
      </c>
      <c r="O981">
        <v>3.8571428571428599</v>
      </c>
    </row>
    <row r="982" spans="1:15" x14ac:dyDescent="0.25">
      <c r="A982">
        <v>5</v>
      </c>
      <c r="B982">
        <v>80</v>
      </c>
      <c r="C982" t="s">
        <v>5302</v>
      </c>
      <c r="D982" t="s">
        <v>375</v>
      </c>
      <c r="E982" t="s">
        <v>6201</v>
      </c>
      <c r="F982">
        <v>46220.039583333331</v>
      </c>
      <c r="G982">
        <v>232</v>
      </c>
      <c r="H982" t="s">
        <v>6155</v>
      </c>
      <c r="I982" t="s">
        <v>5358</v>
      </c>
      <c r="J982">
        <v>31</v>
      </c>
      <c r="K982">
        <v>190.65</v>
      </c>
      <c r="L982">
        <v>1675</v>
      </c>
      <c r="M982">
        <v>1682</v>
      </c>
      <c r="N982">
        <v>7</v>
      </c>
      <c r="O982">
        <v>4.4285714285714297</v>
      </c>
    </row>
    <row r="983" spans="1:15" x14ac:dyDescent="0.25">
      <c r="A983">
        <v>5</v>
      </c>
      <c r="B983">
        <v>80</v>
      </c>
      <c r="C983" t="s">
        <v>5302</v>
      </c>
      <c r="D983" t="s">
        <v>375</v>
      </c>
      <c r="E983" t="s">
        <v>6201</v>
      </c>
      <c r="F983">
        <v>46222.066666666666</v>
      </c>
      <c r="G983">
        <v>232</v>
      </c>
      <c r="H983" t="s">
        <v>6155</v>
      </c>
      <c r="I983" t="s">
        <v>5358</v>
      </c>
      <c r="J983">
        <v>24</v>
      </c>
      <c r="K983">
        <v>151.19999999999999</v>
      </c>
      <c r="L983">
        <v>1682</v>
      </c>
      <c r="M983">
        <v>1690</v>
      </c>
      <c r="N983">
        <v>8</v>
      </c>
      <c r="O983">
        <v>3</v>
      </c>
    </row>
    <row r="984" spans="1:15" x14ac:dyDescent="0.25">
      <c r="A984">
        <v>5</v>
      </c>
      <c r="B984">
        <v>80</v>
      </c>
      <c r="C984" t="s">
        <v>5302</v>
      </c>
      <c r="D984" t="s">
        <v>375</v>
      </c>
      <c r="E984" t="s">
        <v>6201</v>
      </c>
      <c r="F984">
        <v>46223.095833333333</v>
      </c>
      <c r="G984">
        <v>232</v>
      </c>
      <c r="H984" t="s">
        <v>6155</v>
      </c>
      <c r="I984" t="s">
        <v>5358</v>
      </c>
      <c r="J984">
        <v>23</v>
      </c>
      <c r="K984">
        <v>143.75</v>
      </c>
      <c r="L984">
        <v>1690</v>
      </c>
      <c r="M984">
        <v>1694</v>
      </c>
      <c r="N984">
        <v>4</v>
      </c>
      <c r="O984">
        <v>5.75</v>
      </c>
    </row>
    <row r="985" spans="1:15" x14ac:dyDescent="0.25">
      <c r="A985">
        <v>5</v>
      </c>
      <c r="B985">
        <v>80</v>
      </c>
      <c r="C985" t="s">
        <v>5302</v>
      </c>
      <c r="D985" t="s">
        <v>375</v>
      </c>
      <c r="E985" t="s">
        <v>6201</v>
      </c>
      <c r="F985">
        <v>46227.086111111108</v>
      </c>
      <c r="G985">
        <v>232</v>
      </c>
      <c r="H985" t="s">
        <v>6155</v>
      </c>
      <c r="I985" t="s">
        <v>5358</v>
      </c>
      <c r="J985">
        <v>17</v>
      </c>
      <c r="K985">
        <v>106.25</v>
      </c>
      <c r="L985">
        <v>1694</v>
      </c>
      <c r="M985">
        <v>1698</v>
      </c>
      <c r="N985">
        <v>4</v>
      </c>
      <c r="O985">
        <v>4.25</v>
      </c>
    </row>
    <row r="986" spans="1:15" x14ac:dyDescent="0.25">
      <c r="A986">
        <v>5</v>
      </c>
      <c r="B986">
        <v>80</v>
      </c>
      <c r="C986" t="s">
        <v>5302</v>
      </c>
      <c r="D986" t="s">
        <v>375</v>
      </c>
      <c r="E986" t="s">
        <v>6201</v>
      </c>
      <c r="F986">
        <v>46229.022222222222</v>
      </c>
      <c r="G986">
        <v>232</v>
      </c>
      <c r="H986" t="s">
        <v>6155</v>
      </c>
      <c r="I986" t="s">
        <v>5358</v>
      </c>
      <c r="J986">
        <v>35</v>
      </c>
      <c r="K986">
        <v>220.5</v>
      </c>
      <c r="L986">
        <v>1698</v>
      </c>
      <c r="M986">
        <v>1705</v>
      </c>
      <c r="N986">
        <v>7</v>
      </c>
      <c r="O986">
        <v>5</v>
      </c>
    </row>
    <row r="987" spans="1:15" x14ac:dyDescent="0.25">
      <c r="A987">
        <v>5</v>
      </c>
      <c r="B987">
        <v>80</v>
      </c>
      <c r="C987" t="s">
        <v>5302</v>
      </c>
      <c r="D987" t="s">
        <v>375</v>
      </c>
      <c r="E987" t="s">
        <v>6201</v>
      </c>
      <c r="F987">
        <v>46230.995138888888</v>
      </c>
      <c r="G987">
        <v>232</v>
      </c>
      <c r="H987" t="s">
        <v>6155</v>
      </c>
      <c r="I987" t="s">
        <v>5358</v>
      </c>
      <c r="J987">
        <v>32</v>
      </c>
      <c r="K987">
        <v>200</v>
      </c>
      <c r="L987">
        <v>1705</v>
      </c>
      <c r="M987">
        <v>1708</v>
      </c>
      <c r="N987">
        <v>3</v>
      </c>
      <c r="O987">
        <v>10.6666666666667</v>
      </c>
    </row>
    <row r="988" spans="1:15" x14ac:dyDescent="0.25">
      <c r="A988">
        <v>5</v>
      </c>
      <c r="B988">
        <v>80</v>
      </c>
      <c r="C988" t="s">
        <v>5302</v>
      </c>
      <c r="D988" t="s">
        <v>375</v>
      </c>
      <c r="E988" t="s">
        <v>6201</v>
      </c>
      <c r="F988">
        <v>46232.978472222225</v>
      </c>
      <c r="G988">
        <v>232</v>
      </c>
      <c r="H988" t="s">
        <v>6155</v>
      </c>
      <c r="I988" t="s">
        <v>5358</v>
      </c>
      <c r="J988">
        <v>18</v>
      </c>
      <c r="K988">
        <v>112.5</v>
      </c>
      <c r="L988">
        <v>1708</v>
      </c>
      <c r="M988">
        <v>1713</v>
      </c>
      <c r="N988">
        <v>5</v>
      </c>
      <c r="O988">
        <v>3.6</v>
      </c>
    </row>
    <row r="989" spans="1:15" x14ac:dyDescent="0.25">
      <c r="A989">
        <v>5</v>
      </c>
      <c r="B989">
        <v>80</v>
      </c>
      <c r="C989" t="s">
        <v>5302</v>
      </c>
      <c r="D989" t="s">
        <v>375</v>
      </c>
      <c r="E989" t="s">
        <v>6201</v>
      </c>
      <c r="F989">
        <v>46233.017361111109</v>
      </c>
      <c r="G989">
        <v>232</v>
      </c>
      <c r="H989" t="s">
        <v>6155</v>
      </c>
      <c r="I989" t="s">
        <v>5358</v>
      </c>
      <c r="J989">
        <v>30</v>
      </c>
      <c r="K989">
        <v>187.5</v>
      </c>
      <c r="L989">
        <v>1713</v>
      </c>
      <c r="M989">
        <v>1719</v>
      </c>
      <c r="N989">
        <v>6</v>
      </c>
      <c r="O989">
        <v>5</v>
      </c>
    </row>
    <row r="990" spans="1:15" x14ac:dyDescent="0.25">
      <c r="A990">
        <v>5</v>
      </c>
      <c r="B990">
        <v>80</v>
      </c>
      <c r="C990" t="s">
        <v>5302</v>
      </c>
      <c r="D990" t="s">
        <v>375</v>
      </c>
      <c r="E990" t="s">
        <v>6201</v>
      </c>
      <c r="F990">
        <v>46234.075694444444</v>
      </c>
      <c r="G990">
        <v>232</v>
      </c>
      <c r="H990" t="s">
        <v>6155</v>
      </c>
      <c r="I990" t="s">
        <v>5358</v>
      </c>
      <c r="J990">
        <v>18</v>
      </c>
      <c r="K990">
        <v>112.5</v>
      </c>
      <c r="L990">
        <v>1719</v>
      </c>
      <c r="M990">
        <v>1722</v>
      </c>
      <c r="N990">
        <v>3</v>
      </c>
      <c r="O990">
        <v>6</v>
      </c>
    </row>
    <row r="991" spans="1:15" x14ac:dyDescent="0.25">
      <c r="A991">
        <v>5</v>
      </c>
      <c r="B991">
        <v>80</v>
      </c>
      <c r="C991" t="s">
        <v>5302</v>
      </c>
      <c r="D991" t="s">
        <v>453</v>
      </c>
      <c r="E991" t="s">
        <v>6202</v>
      </c>
      <c r="F991">
        <v>46205.459027777775</v>
      </c>
      <c r="G991">
        <v>232</v>
      </c>
      <c r="H991" t="s">
        <v>6155</v>
      </c>
      <c r="I991" t="s">
        <v>5358</v>
      </c>
      <c r="J991">
        <v>62</v>
      </c>
      <c r="K991">
        <v>381.3</v>
      </c>
      <c r="L991">
        <v>2558</v>
      </c>
      <c r="M991">
        <v>2565</v>
      </c>
      <c r="N991">
        <v>7</v>
      </c>
      <c r="O991">
        <v>8.8571428571428594</v>
      </c>
    </row>
    <row r="992" spans="1:15" x14ac:dyDescent="0.25">
      <c r="A992">
        <v>5</v>
      </c>
      <c r="B992">
        <v>80</v>
      </c>
      <c r="C992" t="s">
        <v>5302</v>
      </c>
      <c r="D992" t="s">
        <v>453</v>
      </c>
      <c r="E992" t="s">
        <v>6202</v>
      </c>
      <c r="F992">
        <v>46208.969444444447</v>
      </c>
      <c r="G992">
        <v>232</v>
      </c>
      <c r="H992" t="s">
        <v>6155</v>
      </c>
      <c r="I992" t="s">
        <v>5358</v>
      </c>
      <c r="J992">
        <v>60</v>
      </c>
      <c r="K992">
        <v>385.2</v>
      </c>
      <c r="L992">
        <v>2565</v>
      </c>
      <c r="M992">
        <v>2574</v>
      </c>
      <c r="N992">
        <v>9</v>
      </c>
      <c r="O992">
        <v>6.6666666666666696</v>
      </c>
    </row>
    <row r="993" spans="1:15" x14ac:dyDescent="0.25">
      <c r="A993">
        <v>5</v>
      </c>
      <c r="B993">
        <v>80</v>
      </c>
      <c r="C993" t="s">
        <v>5302</v>
      </c>
      <c r="D993" t="s">
        <v>453</v>
      </c>
      <c r="E993" t="s">
        <v>6202</v>
      </c>
      <c r="F993">
        <v>46214.01666666667</v>
      </c>
      <c r="G993">
        <v>232</v>
      </c>
      <c r="H993" t="s">
        <v>6155</v>
      </c>
      <c r="I993" t="s">
        <v>5358</v>
      </c>
      <c r="J993">
        <v>37</v>
      </c>
      <c r="K993">
        <v>227.55</v>
      </c>
      <c r="L993">
        <v>2574</v>
      </c>
      <c r="M993">
        <v>2579</v>
      </c>
      <c r="N993">
        <v>5</v>
      </c>
      <c r="O993">
        <v>7.4</v>
      </c>
    </row>
    <row r="994" spans="1:15" x14ac:dyDescent="0.25">
      <c r="A994">
        <v>5</v>
      </c>
      <c r="B994">
        <v>80</v>
      </c>
      <c r="C994" t="s">
        <v>5302</v>
      </c>
      <c r="D994" t="s">
        <v>453</v>
      </c>
      <c r="E994" t="s">
        <v>6202</v>
      </c>
      <c r="F994">
        <v>46215.93472222222</v>
      </c>
      <c r="G994">
        <v>232</v>
      </c>
      <c r="H994" t="s">
        <v>6155</v>
      </c>
      <c r="I994" t="s">
        <v>5358</v>
      </c>
      <c r="J994">
        <v>21</v>
      </c>
      <c r="K994">
        <v>129.15</v>
      </c>
      <c r="L994">
        <v>2579</v>
      </c>
      <c r="M994">
        <v>2583</v>
      </c>
      <c r="N994">
        <v>4</v>
      </c>
      <c r="O994">
        <v>5.25</v>
      </c>
    </row>
    <row r="995" spans="1:15" x14ac:dyDescent="0.25">
      <c r="A995">
        <v>5</v>
      </c>
      <c r="B995">
        <v>80</v>
      </c>
      <c r="C995" t="s">
        <v>5302</v>
      </c>
      <c r="D995" t="s">
        <v>453</v>
      </c>
      <c r="E995" t="s">
        <v>6202</v>
      </c>
      <c r="F995">
        <v>46216.970138888886</v>
      </c>
      <c r="G995">
        <v>232</v>
      </c>
      <c r="H995" t="s">
        <v>6155</v>
      </c>
      <c r="I995" t="s">
        <v>5358</v>
      </c>
      <c r="J995">
        <v>41</v>
      </c>
      <c r="K995">
        <v>252.15</v>
      </c>
      <c r="L995">
        <v>2583</v>
      </c>
      <c r="M995">
        <v>2587</v>
      </c>
      <c r="N995">
        <v>4</v>
      </c>
      <c r="O995">
        <v>10.25</v>
      </c>
    </row>
    <row r="996" spans="1:15" x14ac:dyDescent="0.25">
      <c r="A996">
        <v>5</v>
      </c>
      <c r="B996">
        <v>80</v>
      </c>
      <c r="C996" t="s">
        <v>5302</v>
      </c>
      <c r="D996" t="s">
        <v>453</v>
      </c>
      <c r="E996" t="s">
        <v>6202</v>
      </c>
      <c r="F996">
        <v>46217.490277777775</v>
      </c>
      <c r="G996">
        <v>232</v>
      </c>
      <c r="H996" t="s">
        <v>6155</v>
      </c>
      <c r="I996" t="s">
        <v>5358</v>
      </c>
      <c r="J996">
        <v>48</v>
      </c>
      <c r="K996">
        <v>295.2</v>
      </c>
      <c r="L996">
        <v>2587</v>
      </c>
      <c r="M996">
        <v>2595</v>
      </c>
      <c r="N996">
        <v>8</v>
      </c>
      <c r="O996">
        <v>6</v>
      </c>
    </row>
    <row r="997" spans="1:15" x14ac:dyDescent="0.25">
      <c r="A997">
        <v>5</v>
      </c>
      <c r="B997">
        <v>80</v>
      </c>
      <c r="C997" t="s">
        <v>5302</v>
      </c>
      <c r="D997" t="s">
        <v>453</v>
      </c>
      <c r="E997" t="s">
        <v>6202</v>
      </c>
      <c r="F997">
        <v>46218.112500000003</v>
      </c>
      <c r="G997">
        <v>232</v>
      </c>
      <c r="H997" t="s">
        <v>6155</v>
      </c>
      <c r="I997" t="s">
        <v>5358</v>
      </c>
      <c r="J997">
        <v>43</v>
      </c>
      <c r="K997">
        <v>264.45</v>
      </c>
      <c r="L997">
        <v>2595</v>
      </c>
      <c r="M997">
        <v>2601</v>
      </c>
      <c r="N997">
        <v>6</v>
      </c>
      <c r="O997">
        <v>7.1666666666666696</v>
      </c>
    </row>
    <row r="998" spans="1:15" x14ac:dyDescent="0.25">
      <c r="A998">
        <v>5</v>
      </c>
      <c r="B998">
        <v>80</v>
      </c>
      <c r="C998" t="s">
        <v>5302</v>
      </c>
      <c r="D998" t="s">
        <v>453</v>
      </c>
      <c r="E998" t="s">
        <v>6202</v>
      </c>
      <c r="F998">
        <v>46219.115972222222</v>
      </c>
      <c r="G998">
        <v>232</v>
      </c>
      <c r="H998" t="s">
        <v>6155</v>
      </c>
      <c r="I998" t="s">
        <v>5358</v>
      </c>
      <c r="J998">
        <v>49</v>
      </c>
      <c r="K998">
        <v>301.35000000000002</v>
      </c>
      <c r="L998">
        <v>2601</v>
      </c>
      <c r="M998">
        <v>2608</v>
      </c>
      <c r="N998">
        <v>7</v>
      </c>
      <c r="O998">
        <v>7</v>
      </c>
    </row>
    <row r="999" spans="1:15" x14ac:dyDescent="0.25">
      <c r="A999">
        <v>5</v>
      </c>
      <c r="B999">
        <v>80</v>
      </c>
      <c r="C999" t="s">
        <v>5302</v>
      </c>
      <c r="D999" t="s">
        <v>453</v>
      </c>
      <c r="E999" t="s">
        <v>6202</v>
      </c>
      <c r="F999">
        <v>46220.03125</v>
      </c>
      <c r="G999">
        <v>232</v>
      </c>
      <c r="H999" t="s">
        <v>6155</v>
      </c>
      <c r="I999" t="s">
        <v>5358</v>
      </c>
      <c r="J999">
        <v>50</v>
      </c>
      <c r="K999">
        <v>307.5</v>
      </c>
      <c r="L999">
        <v>2608</v>
      </c>
      <c r="M999">
        <v>2615</v>
      </c>
      <c r="N999">
        <v>7</v>
      </c>
      <c r="O999">
        <v>7.1428571428571397</v>
      </c>
    </row>
    <row r="1000" spans="1:15" x14ac:dyDescent="0.25">
      <c r="A1000">
        <v>5</v>
      </c>
      <c r="B1000">
        <v>80</v>
      </c>
      <c r="C1000" t="s">
        <v>5302</v>
      </c>
      <c r="D1000" t="s">
        <v>453</v>
      </c>
      <c r="E1000" t="s">
        <v>6202</v>
      </c>
      <c r="F1000">
        <v>46221.929166666669</v>
      </c>
      <c r="G1000">
        <v>232</v>
      </c>
      <c r="H1000" t="s">
        <v>6155</v>
      </c>
      <c r="I1000" t="s">
        <v>5358</v>
      </c>
      <c r="J1000">
        <v>47</v>
      </c>
      <c r="K1000">
        <v>289.05</v>
      </c>
      <c r="L1000">
        <v>2615</v>
      </c>
      <c r="M1000">
        <v>2621</v>
      </c>
      <c r="N1000">
        <v>6</v>
      </c>
      <c r="O1000">
        <v>7.8333333333333304</v>
      </c>
    </row>
    <row r="1001" spans="1:15" x14ac:dyDescent="0.25">
      <c r="A1001">
        <v>5</v>
      </c>
      <c r="B1001">
        <v>80</v>
      </c>
      <c r="C1001" t="s">
        <v>5302</v>
      </c>
      <c r="D1001" t="s">
        <v>453</v>
      </c>
      <c r="E1001" t="s">
        <v>6202</v>
      </c>
      <c r="F1001">
        <v>46222.057638888888</v>
      </c>
      <c r="G1001">
        <v>232</v>
      </c>
      <c r="H1001" t="s">
        <v>6155</v>
      </c>
      <c r="I1001" t="s">
        <v>5358</v>
      </c>
      <c r="J1001">
        <v>22</v>
      </c>
      <c r="K1001">
        <v>138.6</v>
      </c>
      <c r="L1001">
        <v>2621</v>
      </c>
      <c r="M1001">
        <v>2626</v>
      </c>
      <c r="N1001">
        <v>5</v>
      </c>
      <c r="O1001">
        <v>4.4000000000000004</v>
      </c>
    </row>
    <row r="1002" spans="1:15" x14ac:dyDescent="0.25">
      <c r="A1002">
        <v>5</v>
      </c>
      <c r="B1002">
        <v>80</v>
      </c>
      <c r="C1002" t="s">
        <v>5302</v>
      </c>
      <c r="D1002" t="s">
        <v>453</v>
      </c>
      <c r="E1002" t="s">
        <v>6202</v>
      </c>
      <c r="F1002">
        <v>46223.091666666667</v>
      </c>
      <c r="G1002">
        <v>232</v>
      </c>
      <c r="H1002" t="s">
        <v>6155</v>
      </c>
      <c r="I1002" t="s">
        <v>5358</v>
      </c>
      <c r="J1002">
        <v>44</v>
      </c>
      <c r="K1002">
        <v>275</v>
      </c>
      <c r="L1002">
        <v>2626</v>
      </c>
      <c r="M1002">
        <v>2632</v>
      </c>
      <c r="N1002">
        <v>6</v>
      </c>
      <c r="O1002">
        <v>7.3333333333333304</v>
      </c>
    </row>
    <row r="1003" spans="1:15" x14ac:dyDescent="0.25">
      <c r="A1003">
        <v>5</v>
      </c>
      <c r="B1003">
        <v>80</v>
      </c>
      <c r="C1003" t="s">
        <v>5302</v>
      </c>
      <c r="D1003" t="s">
        <v>453</v>
      </c>
      <c r="E1003" t="s">
        <v>6202</v>
      </c>
      <c r="F1003">
        <v>46225.019444444442</v>
      </c>
      <c r="G1003">
        <v>232</v>
      </c>
      <c r="H1003" t="s">
        <v>6155</v>
      </c>
      <c r="I1003" t="s">
        <v>5358</v>
      </c>
      <c r="J1003">
        <v>20</v>
      </c>
      <c r="K1003">
        <v>125</v>
      </c>
      <c r="L1003">
        <v>2632</v>
      </c>
      <c r="M1003">
        <v>2636</v>
      </c>
      <c r="N1003">
        <v>4</v>
      </c>
      <c r="O1003">
        <v>5</v>
      </c>
    </row>
    <row r="1004" spans="1:15" x14ac:dyDescent="0.25">
      <c r="A1004">
        <v>5</v>
      </c>
      <c r="B1004">
        <v>80</v>
      </c>
      <c r="C1004" t="s">
        <v>5302</v>
      </c>
      <c r="D1004" t="s">
        <v>453</v>
      </c>
      <c r="E1004" t="s">
        <v>6202</v>
      </c>
      <c r="F1004">
        <v>46227.07708333333</v>
      </c>
      <c r="G1004">
        <v>232</v>
      </c>
      <c r="H1004" t="s">
        <v>6155</v>
      </c>
      <c r="I1004" t="s">
        <v>5358</v>
      </c>
      <c r="J1004">
        <v>58</v>
      </c>
      <c r="K1004">
        <v>362.5</v>
      </c>
      <c r="L1004">
        <v>2636</v>
      </c>
      <c r="M1004">
        <v>2643</v>
      </c>
      <c r="N1004">
        <v>7</v>
      </c>
      <c r="O1004">
        <v>8.28571428571429</v>
      </c>
    </row>
    <row r="1005" spans="1:15" x14ac:dyDescent="0.25">
      <c r="A1005">
        <v>5</v>
      </c>
      <c r="B1005">
        <v>80</v>
      </c>
      <c r="C1005" t="s">
        <v>5302</v>
      </c>
      <c r="D1005" t="s">
        <v>453</v>
      </c>
      <c r="E1005" t="s">
        <v>6202</v>
      </c>
      <c r="F1005">
        <v>46228.976388888892</v>
      </c>
      <c r="G1005">
        <v>232</v>
      </c>
      <c r="H1005" t="s">
        <v>6155</v>
      </c>
      <c r="I1005" t="s">
        <v>5358</v>
      </c>
      <c r="J1005">
        <v>23</v>
      </c>
      <c r="K1005">
        <v>143.75</v>
      </c>
      <c r="L1005">
        <v>2643</v>
      </c>
      <c r="M1005">
        <v>2650</v>
      </c>
      <c r="N1005">
        <v>7</v>
      </c>
      <c r="O1005">
        <v>3.28571428571429</v>
      </c>
    </row>
    <row r="1006" spans="1:15" x14ac:dyDescent="0.25">
      <c r="A1006">
        <v>5</v>
      </c>
      <c r="B1006">
        <v>80</v>
      </c>
      <c r="C1006" t="s">
        <v>5302</v>
      </c>
      <c r="D1006" t="s">
        <v>453</v>
      </c>
      <c r="E1006" t="s">
        <v>6202</v>
      </c>
      <c r="F1006">
        <v>46229.017361111109</v>
      </c>
      <c r="G1006">
        <v>232</v>
      </c>
      <c r="H1006" t="s">
        <v>6155</v>
      </c>
      <c r="I1006" t="s">
        <v>5358</v>
      </c>
      <c r="J1006">
        <v>27</v>
      </c>
      <c r="K1006">
        <v>170.1</v>
      </c>
      <c r="L1006">
        <v>2650</v>
      </c>
      <c r="M1006">
        <v>2656</v>
      </c>
      <c r="N1006">
        <v>6</v>
      </c>
      <c r="O1006">
        <v>4.5</v>
      </c>
    </row>
    <row r="1007" spans="1:15" x14ac:dyDescent="0.25">
      <c r="A1007">
        <v>5</v>
      </c>
      <c r="B1007">
        <v>80</v>
      </c>
      <c r="C1007" t="s">
        <v>5302</v>
      </c>
      <c r="D1007" t="s">
        <v>453</v>
      </c>
      <c r="E1007" t="s">
        <v>6202</v>
      </c>
      <c r="F1007">
        <v>46230.990972222222</v>
      </c>
      <c r="G1007">
        <v>232</v>
      </c>
      <c r="H1007" t="s">
        <v>6155</v>
      </c>
      <c r="I1007" t="s">
        <v>5358</v>
      </c>
      <c r="J1007">
        <v>25</v>
      </c>
      <c r="K1007">
        <v>156.25</v>
      </c>
      <c r="L1007">
        <v>2656</v>
      </c>
      <c r="M1007">
        <v>2660</v>
      </c>
      <c r="N1007">
        <v>4</v>
      </c>
      <c r="O1007">
        <v>6.25</v>
      </c>
    </row>
    <row r="1008" spans="1:15" x14ac:dyDescent="0.25">
      <c r="A1008">
        <v>5</v>
      </c>
      <c r="B1008">
        <v>80</v>
      </c>
      <c r="C1008" t="s">
        <v>5302</v>
      </c>
      <c r="D1008" t="s">
        <v>453</v>
      </c>
      <c r="E1008" t="s">
        <v>6202</v>
      </c>
      <c r="F1008">
        <v>46231.027083333334</v>
      </c>
      <c r="G1008">
        <v>232</v>
      </c>
      <c r="H1008" t="s">
        <v>6155</v>
      </c>
      <c r="I1008" t="s">
        <v>5358</v>
      </c>
      <c r="J1008">
        <v>58</v>
      </c>
      <c r="K1008">
        <v>362.5</v>
      </c>
      <c r="L1008">
        <v>2660</v>
      </c>
      <c r="M1008">
        <v>2666</v>
      </c>
      <c r="N1008">
        <v>6</v>
      </c>
      <c r="O1008">
        <v>9.6666666666666696</v>
      </c>
    </row>
    <row r="1009" spans="1:15" x14ac:dyDescent="0.25">
      <c r="A1009">
        <v>5</v>
      </c>
      <c r="B1009">
        <v>80</v>
      </c>
      <c r="C1009" t="s">
        <v>5302</v>
      </c>
      <c r="D1009" t="s">
        <v>453</v>
      </c>
      <c r="E1009" t="s">
        <v>6202</v>
      </c>
      <c r="F1009">
        <v>46232.975694444445</v>
      </c>
      <c r="G1009">
        <v>232</v>
      </c>
      <c r="H1009" t="s">
        <v>6155</v>
      </c>
      <c r="I1009" t="s">
        <v>5358</v>
      </c>
      <c r="J1009">
        <v>39</v>
      </c>
      <c r="K1009">
        <v>243.75</v>
      </c>
      <c r="L1009">
        <v>2666</v>
      </c>
      <c r="M1009">
        <v>2673</v>
      </c>
      <c r="N1009">
        <v>7</v>
      </c>
      <c r="O1009">
        <v>5.5714285714285703</v>
      </c>
    </row>
    <row r="1010" spans="1:15" x14ac:dyDescent="0.25">
      <c r="A1010">
        <v>5</v>
      </c>
      <c r="B1010">
        <v>80</v>
      </c>
      <c r="C1010" t="s">
        <v>5302</v>
      </c>
      <c r="D1010" t="s">
        <v>453</v>
      </c>
      <c r="E1010" t="s">
        <v>6202</v>
      </c>
      <c r="F1010">
        <v>46234.068749999999</v>
      </c>
      <c r="G1010">
        <v>232</v>
      </c>
      <c r="H1010" t="s">
        <v>6155</v>
      </c>
      <c r="I1010" t="s">
        <v>5358</v>
      </c>
      <c r="J1010">
        <v>48</v>
      </c>
      <c r="K1010">
        <v>300</v>
      </c>
      <c r="L1010">
        <v>2673</v>
      </c>
      <c r="M1010">
        <v>2679</v>
      </c>
      <c r="N1010">
        <v>6</v>
      </c>
      <c r="O1010">
        <v>8</v>
      </c>
    </row>
    <row r="1011" spans="1:15" x14ac:dyDescent="0.25">
      <c r="A1011">
        <v>5</v>
      </c>
      <c r="B1011">
        <v>100</v>
      </c>
      <c r="C1011" t="s">
        <v>5347</v>
      </c>
      <c r="D1011" t="s">
        <v>121</v>
      </c>
      <c r="E1011" t="s">
        <v>6203</v>
      </c>
      <c r="F1011">
        <v>46210.333333333336</v>
      </c>
      <c r="G1011">
        <v>129</v>
      </c>
      <c r="H1011" t="s">
        <v>6164</v>
      </c>
      <c r="I1011" t="s">
        <v>5358</v>
      </c>
      <c r="J1011">
        <v>128</v>
      </c>
      <c r="K1011">
        <v>787.2</v>
      </c>
      <c r="L1011">
        <v>1636</v>
      </c>
      <c r="M1011">
        <v>1673</v>
      </c>
      <c r="N1011">
        <v>37</v>
      </c>
      <c r="O1011">
        <v>0.2890625</v>
      </c>
    </row>
    <row r="1012" spans="1:15" x14ac:dyDescent="0.25">
      <c r="A1012">
        <v>5</v>
      </c>
      <c r="B1012">
        <v>100</v>
      </c>
      <c r="C1012" t="s">
        <v>5347</v>
      </c>
      <c r="D1012" t="s">
        <v>121</v>
      </c>
      <c r="E1012" t="s">
        <v>6203</v>
      </c>
      <c r="F1012">
        <v>46212.362500000003</v>
      </c>
      <c r="G1012">
        <v>129</v>
      </c>
      <c r="H1012" t="s">
        <v>6164</v>
      </c>
      <c r="I1012" t="s">
        <v>5358</v>
      </c>
      <c r="J1012">
        <v>107</v>
      </c>
      <c r="K1012">
        <v>658.05</v>
      </c>
      <c r="L1012">
        <v>1673</v>
      </c>
      <c r="M1012">
        <v>1691</v>
      </c>
      <c r="N1012">
        <v>18</v>
      </c>
      <c r="O1012">
        <v>0.168224299065421</v>
      </c>
    </row>
    <row r="1013" spans="1:15" x14ac:dyDescent="0.25">
      <c r="A1013">
        <v>5</v>
      </c>
      <c r="B1013">
        <v>100</v>
      </c>
      <c r="C1013" t="s">
        <v>5347</v>
      </c>
      <c r="D1013" t="s">
        <v>121</v>
      </c>
      <c r="E1013" t="s">
        <v>6203</v>
      </c>
      <c r="F1013">
        <v>46215.429861111108</v>
      </c>
      <c r="G1013">
        <v>232</v>
      </c>
      <c r="H1013" t="s">
        <v>6155</v>
      </c>
      <c r="I1013" t="s">
        <v>5358</v>
      </c>
      <c r="J1013">
        <v>102</v>
      </c>
      <c r="K1013">
        <v>627.29999999999995</v>
      </c>
      <c r="L1013">
        <v>1691</v>
      </c>
      <c r="M1013">
        <v>1716</v>
      </c>
      <c r="N1013">
        <v>25</v>
      </c>
      <c r="O1013">
        <v>0.24509803921568599</v>
      </c>
    </row>
    <row r="1014" spans="1:15" x14ac:dyDescent="0.25">
      <c r="A1014">
        <v>5</v>
      </c>
      <c r="B1014">
        <v>100</v>
      </c>
      <c r="C1014" t="s">
        <v>5347</v>
      </c>
      <c r="D1014" t="s">
        <v>121</v>
      </c>
      <c r="E1014" t="s">
        <v>6203</v>
      </c>
      <c r="F1014">
        <v>46220.506249999999</v>
      </c>
      <c r="G1014">
        <v>129</v>
      </c>
      <c r="H1014" t="s">
        <v>6164</v>
      </c>
      <c r="I1014" t="s">
        <v>5358</v>
      </c>
      <c r="J1014">
        <v>80</v>
      </c>
      <c r="K1014">
        <v>492</v>
      </c>
      <c r="L1014">
        <v>1716</v>
      </c>
      <c r="M1014">
        <v>1736</v>
      </c>
      <c r="N1014">
        <v>20</v>
      </c>
      <c r="O1014">
        <v>0.25</v>
      </c>
    </row>
    <row r="1015" spans="1:15" x14ac:dyDescent="0.25">
      <c r="A1015">
        <v>5</v>
      </c>
      <c r="B1015">
        <v>100</v>
      </c>
      <c r="C1015" t="s">
        <v>5347</v>
      </c>
      <c r="D1015" t="s">
        <v>121</v>
      </c>
      <c r="E1015" t="s">
        <v>6203</v>
      </c>
      <c r="F1015">
        <v>46222.399305555555</v>
      </c>
      <c r="G1015">
        <v>129</v>
      </c>
      <c r="H1015" t="s">
        <v>6164</v>
      </c>
      <c r="I1015" t="s">
        <v>5358</v>
      </c>
      <c r="J1015">
        <v>96</v>
      </c>
      <c r="K1015">
        <v>671.04</v>
      </c>
      <c r="L1015">
        <v>1736</v>
      </c>
      <c r="M1015">
        <v>1750</v>
      </c>
      <c r="N1015">
        <v>14</v>
      </c>
      <c r="O1015">
        <v>0.14583333333333301</v>
      </c>
    </row>
    <row r="1016" spans="1:15" x14ac:dyDescent="0.25">
      <c r="A1016">
        <v>5</v>
      </c>
      <c r="B1016">
        <v>100</v>
      </c>
      <c r="C1016" t="s">
        <v>5347</v>
      </c>
      <c r="D1016" t="s">
        <v>121</v>
      </c>
      <c r="E1016" t="s">
        <v>6203</v>
      </c>
      <c r="F1016">
        <v>46229.751388888886</v>
      </c>
      <c r="G1016">
        <v>129</v>
      </c>
      <c r="H1016" t="s">
        <v>6164</v>
      </c>
      <c r="I1016" t="s">
        <v>5358</v>
      </c>
      <c r="J1016">
        <v>115</v>
      </c>
      <c r="K1016">
        <v>718.75</v>
      </c>
      <c r="L1016">
        <v>1750</v>
      </c>
      <c r="M1016">
        <v>1784</v>
      </c>
      <c r="N1016">
        <v>34</v>
      </c>
      <c r="O1016">
        <v>0.29565217391304299</v>
      </c>
    </row>
    <row r="1017" spans="1:15" x14ac:dyDescent="0.25">
      <c r="A1017">
        <v>5</v>
      </c>
      <c r="B1017">
        <v>100</v>
      </c>
      <c r="C1017" t="s">
        <v>5347</v>
      </c>
      <c r="D1017" t="s">
        <v>121</v>
      </c>
      <c r="E1017" t="s">
        <v>6203</v>
      </c>
      <c r="F1017">
        <v>46229.770138888889</v>
      </c>
      <c r="G1017">
        <v>129</v>
      </c>
      <c r="H1017" t="s">
        <v>6164</v>
      </c>
      <c r="I1017" t="s">
        <v>5358</v>
      </c>
      <c r="J1017">
        <v>108</v>
      </c>
      <c r="K1017">
        <v>675</v>
      </c>
      <c r="L1017">
        <v>1784</v>
      </c>
      <c r="M1017">
        <v>1775</v>
      </c>
      <c r="N1017">
        <v>0</v>
      </c>
      <c r="O1017">
        <v>0</v>
      </c>
    </row>
    <row r="1018" spans="1:15" x14ac:dyDescent="0.25">
      <c r="A1018">
        <v>5</v>
      </c>
      <c r="B1018">
        <v>100</v>
      </c>
      <c r="C1018" t="s">
        <v>5347</v>
      </c>
      <c r="D1018" t="s">
        <v>121</v>
      </c>
      <c r="E1018" t="s">
        <v>6203</v>
      </c>
      <c r="F1018">
        <v>46234.412499999999</v>
      </c>
      <c r="G1018">
        <v>129</v>
      </c>
      <c r="H1018" t="s">
        <v>6164</v>
      </c>
      <c r="I1018" t="s">
        <v>5358</v>
      </c>
      <c r="J1018">
        <v>94</v>
      </c>
      <c r="K1018">
        <v>657.06</v>
      </c>
      <c r="L1018">
        <v>1775</v>
      </c>
      <c r="M1018">
        <v>1808</v>
      </c>
      <c r="N1018">
        <v>33</v>
      </c>
      <c r="O1018">
        <v>0.35106382978723399</v>
      </c>
    </row>
    <row r="1019" spans="1:15" x14ac:dyDescent="0.25">
      <c r="A1019">
        <v>5</v>
      </c>
      <c r="B1019">
        <v>101</v>
      </c>
      <c r="C1019" t="s">
        <v>5315</v>
      </c>
      <c r="D1019" t="s">
        <v>5316</v>
      </c>
      <c r="E1019" t="s">
        <v>6189</v>
      </c>
      <c r="F1019">
        <v>46204.776388888888</v>
      </c>
      <c r="G1019">
        <v>264</v>
      </c>
      <c r="H1019" t="s">
        <v>6152</v>
      </c>
      <c r="I1019" t="s">
        <v>5358</v>
      </c>
      <c r="J1019">
        <v>78</v>
      </c>
      <c r="K1019">
        <v>479.7</v>
      </c>
      <c r="L1019">
        <v>20596</v>
      </c>
      <c r="M1019">
        <v>20607</v>
      </c>
      <c r="N1019">
        <v>11</v>
      </c>
      <c r="O1019">
        <v>0.141025641025641</v>
      </c>
    </row>
    <row r="1020" spans="1:15" x14ac:dyDescent="0.25">
      <c r="A1020">
        <v>5</v>
      </c>
      <c r="B1020">
        <v>101</v>
      </c>
      <c r="C1020" t="s">
        <v>5315</v>
      </c>
      <c r="D1020" t="s">
        <v>5316</v>
      </c>
      <c r="E1020" t="s">
        <v>6189</v>
      </c>
      <c r="F1020">
        <v>46210.630555555559</v>
      </c>
      <c r="G1020">
        <v>264</v>
      </c>
      <c r="H1020" t="s">
        <v>6152</v>
      </c>
      <c r="I1020" t="s">
        <v>5358</v>
      </c>
      <c r="J1020">
        <v>40</v>
      </c>
      <c r="K1020">
        <v>246</v>
      </c>
      <c r="L1020">
        <v>20607</v>
      </c>
      <c r="M1020">
        <v>20615</v>
      </c>
      <c r="N1020">
        <v>8</v>
      </c>
      <c r="O1020">
        <v>0.2</v>
      </c>
    </row>
    <row r="1021" spans="1:15" x14ac:dyDescent="0.25">
      <c r="A1021">
        <v>5</v>
      </c>
      <c r="B1021">
        <v>101</v>
      </c>
      <c r="C1021" t="s">
        <v>5315</v>
      </c>
      <c r="D1021" t="s">
        <v>5316</v>
      </c>
      <c r="E1021" t="s">
        <v>6189</v>
      </c>
      <c r="F1021">
        <v>46212.772222222222</v>
      </c>
      <c r="G1021">
        <v>264</v>
      </c>
      <c r="H1021" t="s">
        <v>6152</v>
      </c>
      <c r="I1021" t="s">
        <v>5358</v>
      </c>
      <c r="J1021">
        <v>27</v>
      </c>
      <c r="K1021">
        <v>166.05</v>
      </c>
      <c r="L1021">
        <v>20615</v>
      </c>
      <c r="M1021">
        <v>20619</v>
      </c>
      <c r="N1021">
        <v>4</v>
      </c>
      <c r="O1021">
        <v>0.148148148148148</v>
      </c>
    </row>
    <row r="1022" spans="1:15" x14ac:dyDescent="0.25">
      <c r="A1022">
        <v>5</v>
      </c>
      <c r="B1022">
        <v>101</v>
      </c>
      <c r="C1022" t="s">
        <v>5315</v>
      </c>
      <c r="D1022" t="s">
        <v>5316</v>
      </c>
      <c r="E1022" t="s">
        <v>6189</v>
      </c>
      <c r="F1022">
        <v>46218.845833333333</v>
      </c>
      <c r="G1022">
        <v>264</v>
      </c>
      <c r="H1022" t="s">
        <v>6152</v>
      </c>
      <c r="I1022" t="s">
        <v>5358</v>
      </c>
      <c r="J1022">
        <v>68</v>
      </c>
      <c r="K1022">
        <v>418.2</v>
      </c>
      <c r="L1022">
        <v>20619</v>
      </c>
      <c r="M1022">
        <v>20626</v>
      </c>
      <c r="N1022">
        <v>7</v>
      </c>
      <c r="O1022">
        <v>0.10294117647058799</v>
      </c>
    </row>
    <row r="1023" spans="1:15" x14ac:dyDescent="0.25">
      <c r="A1023">
        <v>5</v>
      </c>
      <c r="B1023">
        <v>101</v>
      </c>
      <c r="C1023" t="s">
        <v>5315</v>
      </c>
      <c r="D1023" t="s">
        <v>5316</v>
      </c>
      <c r="E1023" t="s">
        <v>6189</v>
      </c>
      <c r="F1023">
        <v>46220.847222222219</v>
      </c>
      <c r="G1023">
        <v>264</v>
      </c>
      <c r="H1023" t="s">
        <v>6152</v>
      </c>
      <c r="I1023" t="s">
        <v>5358</v>
      </c>
      <c r="J1023">
        <v>16</v>
      </c>
      <c r="K1023">
        <v>99.2</v>
      </c>
      <c r="L1023">
        <v>20626</v>
      </c>
      <c r="M1023">
        <v>20628</v>
      </c>
      <c r="N1023">
        <v>2</v>
      </c>
      <c r="O1023">
        <v>0.125</v>
      </c>
    </row>
    <row r="1024" spans="1:15" x14ac:dyDescent="0.25">
      <c r="A1024">
        <v>5</v>
      </c>
      <c r="B1024">
        <v>101</v>
      </c>
      <c r="C1024" t="s">
        <v>5315</v>
      </c>
      <c r="D1024" t="s">
        <v>5316</v>
      </c>
      <c r="E1024" t="s">
        <v>6189</v>
      </c>
      <c r="F1024">
        <v>46226.711805555555</v>
      </c>
      <c r="G1024">
        <v>264</v>
      </c>
      <c r="H1024" t="s">
        <v>6152</v>
      </c>
      <c r="I1024" t="s">
        <v>5358</v>
      </c>
      <c r="J1024">
        <v>94</v>
      </c>
      <c r="K1024">
        <v>593.14</v>
      </c>
      <c r="L1024">
        <v>20628</v>
      </c>
      <c r="M1024">
        <v>20641</v>
      </c>
      <c r="N1024">
        <v>13</v>
      </c>
      <c r="O1024">
        <v>0.13829787234042601</v>
      </c>
    </row>
    <row r="1025" spans="1:15" x14ac:dyDescent="0.25">
      <c r="A1025">
        <v>5</v>
      </c>
      <c r="B1025">
        <v>101</v>
      </c>
      <c r="C1025" t="s">
        <v>5315</v>
      </c>
      <c r="D1025" t="s">
        <v>5316</v>
      </c>
      <c r="E1025" t="s">
        <v>6189</v>
      </c>
      <c r="F1025">
        <v>46231.925000000003</v>
      </c>
      <c r="G1025">
        <v>264</v>
      </c>
      <c r="H1025" t="s">
        <v>6152</v>
      </c>
      <c r="I1025" t="s">
        <v>5358</v>
      </c>
      <c r="J1025">
        <v>48</v>
      </c>
      <c r="K1025">
        <v>301.44</v>
      </c>
      <c r="L1025">
        <v>20641</v>
      </c>
      <c r="M1025">
        <v>20648</v>
      </c>
      <c r="N1025">
        <v>7</v>
      </c>
      <c r="O1025">
        <v>0.14583333333333301</v>
      </c>
    </row>
    <row r="1026" spans="1:15" x14ac:dyDescent="0.25">
      <c r="A1026">
        <v>5</v>
      </c>
      <c r="B1026">
        <v>101</v>
      </c>
      <c r="C1026" t="s">
        <v>5315</v>
      </c>
      <c r="D1026" t="s">
        <v>314</v>
      </c>
      <c r="E1026" t="s">
        <v>6191</v>
      </c>
      <c r="F1026">
        <v>46207.479861111111</v>
      </c>
      <c r="G1026">
        <v>232</v>
      </c>
      <c r="H1026" t="s">
        <v>6155</v>
      </c>
      <c r="I1026" t="s">
        <v>5358</v>
      </c>
      <c r="J1026">
        <v>40</v>
      </c>
      <c r="K1026">
        <v>246</v>
      </c>
      <c r="L1026">
        <v>268809</v>
      </c>
      <c r="M1026">
        <v>268889</v>
      </c>
      <c r="N1026">
        <v>80</v>
      </c>
      <c r="O1026">
        <v>2</v>
      </c>
    </row>
    <row r="1027" spans="1:15" x14ac:dyDescent="0.25">
      <c r="A1027">
        <v>5</v>
      </c>
      <c r="B1027">
        <v>101</v>
      </c>
      <c r="C1027" t="s">
        <v>5315</v>
      </c>
      <c r="D1027" t="s">
        <v>314</v>
      </c>
      <c r="E1027" t="s">
        <v>6191</v>
      </c>
      <c r="F1027">
        <v>46208.529861111114</v>
      </c>
      <c r="G1027">
        <v>232</v>
      </c>
      <c r="H1027" t="s">
        <v>6155</v>
      </c>
      <c r="I1027" t="s">
        <v>5358</v>
      </c>
      <c r="J1027">
        <v>36</v>
      </c>
      <c r="K1027">
        <v>231.12</v>
      </c>
      <c r="L1027">
        <v>268889</v>
      </c>
      <c r="M1027">
        <v>268961</v>
      </c>
      <c r="N1027">
        <v>72</v>
      </c>
      <c r="O1027">
        <v>2</v>
      </c>
    </row>
    <row r="1028" spans="1:15" x14ac:dyDescent="0.25">
      <c r="A1028">
        <v>5</v>
      </c>
      <c r="B1028">
        <v>101</v>
      </c>
      <c r="C1028" t="s">
        <v>5315</v>
      </c>
      <c r="D1028" t="s">
        <v>314</v>
      </c>
      <c r="E1028" t="s">
        <v>6191</v>
      </c>
      <c r="F1028">
        <v>46212.420138888891</v>
      </c>
      <c r="G1028">
        <v>232</v>
      </c>
      <c r="H1028" t="s">
        <v>6155</v>
      </c>
      <c r="I1028" t="s">
        <v>5358</v>
      </c>
      <c r="J1028">
        <v>57</v>
      </c>
      <c r="K1028">
        <v>350.55</v>
      </c>
      <c r="L1028">
        <v>268961</v>
      </c>
      <c r="M1028">
        <v>269075</v>
      </c>
      <c r="N1028">
        <v>114</v>
      </c>
      <c r="O1028">
        <v>2</v>
      </c>
    </row>
    <row r="1029" spans="1:15" x14ac:dyDescent="0.25">
      <c r="A1029">
        <v>5</v>
      </c>
      <c r="B1029">
        <v>101</v>
      </c>
      <c r="C1029" t="s">
        <v>5315</v>
      </c>
      <c r="D1029" t="s">
        <v>314</v>
      </c>
      <c r="E1029" t="s">
        <v>6191</v>
      </c>
      <c r="F1029">
        <v>46216.981249999997</v>
      </c>
      <c r="G1029">
        <v>232</v>
      </c>
      <c r="H1029" t="s">
        <v>6155</v>
      </c>
      <c r="I1029" t="s">
        <v>5358</v>
      </c>
      <c r="J1029">
        <v>73</v>
      </c>
      <c r="K1029">
        <v>448.95</v>
      </c>
      <c r="L1029">
        <v>269075</v>
      </c>
      <c r="M1029">
        <v>999999</v>
      </c>
      <c r="N1029">
        <v>730924</v>
      </c>
      <c r="O1029">
        <v>10012.6575342466</v>
      </c>
    </row>
    <row r="1030" spans="1:15" x14ac:dyDescent="0.25">
      <c r="A1030">
        <v>5</v>
      </c>
      <c r="B1030">
        <v>101</v>
      </c>
      <c r="C1030" t="s">
        <v>5315</v>
      </c>
      <c r="D1030" t="s">
        <v>314</v>
      </c>
      <c r="E1030" t="s">
        <v>6191</v>
      </c>
      <c r="F1030">
        <v>46220.036805555559</v>
      </c>
      <c r="G1030">
        <v>232</v>
      </c>
      <c r="H1030" t="s">
        <v>6155</v>
      </c>
      <c r="I1030" t="s">
        <v>5358</v>
      </c>
      <c r="J1030">
        <v>52</v>
      </c>
      <c r="K1030">
        <v>319.8</v>
      </c>
      <c r="L1030">
        <v>999999</v>
      </c>
      <c r="M1030">
        <v>16396</v>
      </c>
      <c r="N1030">
        <v>0</v>
      </c>
      <c r="O1030">
        <v>0</v>
      </c>
    </row>
    <row r="1031" spans="1:15" x14ac:dyDescent="0.25">
      <c r="A1031">
        <v>5</v>
      </c>
      <c r="B1031">
        <v>101</v>
      </c>
      <c r="C1031" t="s">
        <v>5315</v>
      </c>
      <c r="D1031" t="s">
        <v>314</v>
      </c>
      <c r="E1031" t="s">
        <v>6191</v>
      </c>
      <c r="F1031">
        <v>46227.084722222222</v>
      </c>
      <c r="G1031">
        <v>232</v>
      </c>
      <c r="H1031" t="s">
        <v>6155</v>
      </c>
      <c r="I1031" t="s">
        <v>5358</v>
      </c>
      <c r="J1031">
        <v>122</v>
      </c>
      <c r="K1031">
        <v>762.5</v>
      </c>
      <c r="L1031">
        <v>16396</v>
      </c>
      <c r="M1031">
        <v>16434</v>
      </c>
      <c r="N1031">
        <v>38</v>
      </c>
      <c r="O1031">
        <v>0.31147540983606598</v>
      </c>
    </row>
    <row r="1032" spans="1:15" x14ac:dyDescent="0.25">
      <c r="A1032">
        <v>5</v>
      </c>
      <c r="B1032">
        <v>101</v>
      </c>
      <c r="C1032" t="s">
        <v>5315</v>
      </c>
      <c r="D1032" t="s">
        <v>314</v>
      </c>
      <c r="E1032" t="s">
        <v>6191</v>
      </c>
      <c r="F1032">
        <v>46232.977777777778</v>
      </c>
      <c r="G1032">
        <v>232</v>
      </c>
      <c r="H1032" t="s">
        <v>6155</v>
      </c>
      <c r="I1032" t="s">
        <v>5358</v>
      </c>
      <c r="J1032">
        <v>50</v>
      </c>
      <c r="K1032">
        <v>312.5</v>
      </c>
      <c r="L1032">
        <v>16434</v>
      </c>
      <c r="M1032">
        <v>16463</v>
      </c>
      <c r="N1032">
        <v>29</v>
      </c>
      <c r="O1032">
        <v>0.57999999999999996</v>
      </c>
    </row>
    <row r="1033" spans="1:15" x14ac:dyDescent="0.25">
      <c r="A1033">
        <v>5</v>
      </c>
      <c r="B1033">
        <v>119</v>
      </c>
      <c r="C1033" t="s">
        <v>5318</v>
      </c>
      <c r="D1033" t="s">
        <v>679</v>
      </c>
      <c r="E1033" t="s">
        <v>6204</v>
      </c>
      <c r="F1033">
        <v>46204.779166666667</v>
      </c>
      <c r="G1033">
        <v>264</v>
      </c>
      <c r="H1033" t="s">
        <v>6152</v>
      </c>
      <c r="I1033" t="s">
        <v>5358</v>
      </c>
      <c r="J1033">
        <v>220</v>
      </c>
      <c r="K1033">
        <v>1353</v>
      </c>
      <c r="L1033">
        <v>219</v>
      </c>
      <c r="M1033">
        <v>232</v>
      </c>
      <c r="N1033">
        <v>13</v>
      </c>
      <c r="O1033">
        <v>16.923076923076898</v>
      </c>
    </row>
    <row r="1034" spans="1:15" x14ac:dyDescent="0.25">
      <c r="A1034">
        <v>5</v>
      </c>
      <c r="B1034">
        <v>119</v>
      </c>
      <c r="C1034" t="s">
        <v>5318</v>
      </c>
      <c r="D1034" t="s">
        <v>679</v>
      </c>
      <c r="E1034" t="s">
        <v>6204</v>
      </c>
      <c r="F1034">
        <v>46205.84097222222</v>
      </c>
      <c r="G1034">
        <v>264</v>
      </c>
      <c r="H1034" t="s">
        <v>6152</v>
      </c>
      <c r="I1034" t="s">
        <v>5358</v>
      </c>
      <c r="J1034">
        <v>150</v>
      </c>
      <c r="K1034">
        <v>922.5</v>
      </c>
      <c r="L1034">
        <v>232</v>
      </c>
      <c r="M1034">
        <v>241</v>
      </c>
      <c r="N1034">
        <v>9</v>
      </c>
      <c r="O1034">
        <v>16.6666666666667</v>
      </c>
    </row>
    <row r="1035" spans="1:15" x14ac:dyDescent="0.25">
      <c r="A1035">
        <v>5</v>
      </c>
      <c r="B1035">
        <v>119</v>
      </c>
      <c r="C1035" t="s">
        <v>5318</v>
      </c>
      <c r="D1035" t="s">
        <v>679</v>
      </c>
      <c r="E1035" t="s">
        <v>6204</v>
      </c>
      <c r="F1035">
        <v>46207.89166666667</v>
      </c>
      <c r="G1035">
        <v>264</v>
      </c>
      <c r="H1035" t="s">
        <v>6152</v>
      </c>
      <c r="I1035" t="s">
        <v>5358</v>
      </c>
      <c r="J1035">
        <v>138</v>
      </c>
      <c r="K1035">
        <v>848.7</v>
      </c>
      <c r="L1035">
        <v>241</v>
      </c>
      <c r="M1035">
        <v>249</v>
      </c>
      <c r="N1035">
        <v>8</v>
      </c>
      <c r="O1035">
        <v>17.25</v>
      </c>
    </row>
    <row r="1036" spans="1:15" x14ac:dyDescent="0.25">
      <c r="A1036">
        <v>5</v>
      </c>
      <c r="B1036">
        <v>119</v>
      </c>
      <c r="C1036" t="s">
        <v>5318</v>
      </c>
      <c r="D1036" t="s">
        <v>679</v>
      </c>
      <c r="E1036" t="s">
        <v>6204</v>
      </c>
      <c r="F1036">
        <v>46208.655555555553</v>
      </c>
      <c r="G1036">
        <v>264</v>
      </c>
      <c r="H1036" t="s">
        <v>6152</v>
      </c>
      <c r="I1036" t="s">
        <v>5358</v>
      </c>
      <c r="J1036">
        <v>120</v>
      </c>
      <c r="K1036">
        <v>738</v>
      </c>
      <c r="L1036">
        <v>249</v>
      </c>
      <c r="M1036">
        <v>256</v>
      </c>
      <c r="N1036">
        <v>7</v>
      </c>
      <c r="O1036">
        <v>17.1428571428571</v>
      </c>
    </row>
    <row r="1037" spans="1:15" x14ac:dyDescent="0.25">
      <c r="A1037">
        <v>5</v>
      </c>
      <c r="B1037">
        <v>119</v>
      </c>
      <c r="C1037" t="s">
        <v>5318</v>
      </c>
      <c r="D1037" t="s">
        <v>679</v>
      </c>
      <c r="E1037" t="s">
        <v>6204</v>
      </c>
      <c r="F1037">
        <v>46209.834027777775</v>
      </c>
      <c r="G1037">
        <v>264</v>
      </c>
      <c r="H1037" t="s">
        <v>6152</v>
      </c>
      <c r="I1037" t="s">
        <v>5358</v>
      </c>
      <c r="J1037">
        <v>172</v>
      </c>
      <c r="K1037">
        <v>1057.8</v>
      </c>
      <c r="L1037">
        <v>256</v>
      </c>
      <c r="M1037">
        <v>265</v>
      </c>
      <c r="N1037">
        <v>9</v>
      </c>
      <c r="O1037">
        <v>19.1111111111111</v>
      </c>
    </row>
    <row r="1038" spans="1:15" x14ac:dyDescent="0.25">
      <c r="A1038">
        <v>5</v>
      </c>
      <c r="B1038">
        <v>119</v>
      </c>
      <c r="C1038" t="s">
        <v>5318</v>
      </c>
      <c r="D1038" t="s">
        <v>679</v>
      </c>
      <c r="E1038" t="s">
        <v>6204</v>
      </c>
      <c r="F1038">
        <v>46210.495833333334</v>
      </c>
      <c r="G1038">
        <v>264</v>
      </c>
      <c r="H1038" t="s">
        <v>6152</v>
      </c>
      <c r="I1038" t="s">
        <v>5358</v>
      </c>
      <c r="J1038">
        <v>159</v>
      </c>
      <c r="K1038">
        <v>977.85</v>
      </c>
      <c r="L1038">
        <v>265</v>
      </c>
      <c r="M1038">
        <v>274</v>
      </c>
      <c r="N1038">
        <v>9</v>
      </c>
      <c r="O1038">
        <v>17.6666666666667</v>
      </c>
    </row>
    <row r="1039" spans="1:15" x14ac:dyDescent="0.25">
      <c r="A1039">
        <v>5</v>
      </c>
      <c r="B1039">
        <v>119</v>
      </c>
      <c r="C1039" t="s">
        <v>5318</v>
      </c>
      <c r="D1039" t="s">
        <v>679</v>
      </c>
      <c r="E1039" t="s">
        <v>6204</v>
      </c>
      <c r="F1039">
        <v>46211.834722222222</v>
      </c>
      <c r="G1039">
        <v>264</v>
      </c>
      <c r="H1039" t="s">
        <v>6152</v>
      </c>
      <c r="I1039" t="s">
        <v>5358</v>
      </c>
      <c r="J1039">
        <v>159</v>
      </c>
      <c r="K1039">
        <v>977.85</v>
      </c>
      <c r="L1039">
        <v>274</v>
      </c>
      <c r="M1039">
        <v>283</v>
      </c>
      <c r="N1039">
        <v>9</v>
      </c>
      <c r="O1039">
        <v>17.6666666666667</v>
      </c>
    </row>
    <row r="1040" spans="1:15" x14ac:dyDescent="0.25">
      <c r="A1040">
        <v>5</v>
      </c>
      <c r="B1040">
        <v>119</v>
      </c>
      <c r="C1040" t="s">
        <v>5318</v>
      </c>
      <c r="D1040" t="s">
        <v>679</v>
      </c>
      <c r="E1040" t="s">
        <v>6204</v>
      </c>
      <c r="F1040">
        <v>46212.78125</v>
      </c>
      <c r="G1040">
        <v>264</v>
      </c>
      <c r="H1040" t="s">
        <v>6152</v>
      </c>
      <c r="I1040" t="s">
        <v>5358</v>
      </c>
      <c r="J1040">
        <v>180</v>
      </c>
      <c r="K1040">
        <v>1107</v>
      </c>
      <c r="L1040">
        <v>283</v>
      </c>
      <c r="M1040">
        <v>293</v>
      </c>
      <c r="N1040">
        <v>10</v>
      </c>
      <c r="O1040">
        <v>18</v>
      </c>
    </row>
    <row r="1041" spans="1:15" x14ac:dyDescent="0.25">
      <c r="A1041">
        <v>5</v>
      </c>
      <c r="B1041">
        <v>119</v>
      </c>
      <c r="C1041" t="s">
        <v>5318</v>
      </c>
      <c r="D1041" t="s">
        <v>679</v>
      </c>
      <c r="E1041" t="s">
        <v>6204</v>
      </c>
      <c r="F1041">
        <v>46213.830555555556</v>
      </c>
      <c r="G1041">
        <v>264</v>
      </c>
      <c r="H1041" t="s">
        <v>6152</v>
      </c>
      <c r="I1041" t="s">
        <v>5358</v>
      </c>
      <c r="J1041">
        <v>138</v>
      </c>
      <c r="K1041">
        <v>848.7</v>
      </c>
      <c r="L1041">
        <v>293</v>
      </c>
      <c r="M1041">
        <v>302</v>
      </c>
      <c r="N1041">
        <v>9</v>
      </c>
      <c r="O1041">
        <v>15.3333333333333</v>
      </c>
    </row>
    <row r="1042" spans="1:15" x14ac:dyDescent="0.25">
      <c r="A1042">
        <v>5</v>
      </c>
      <c r="B1042">
        <v>119</v>
      </c>
      <c r="C1042" t="s">
        <v>5318</v>
      </c>
      <c r="D1042" t="s">
        <v>679</v>
      </c>
      <c r="E1042" t="s">
        <v>6204</v>
      </c>
      <c r="F1042">
        <v>46214.752083333333</v>
      </c>
      <c r="G1042">
        <v>264</v>
      </c>
      <c r="H1042" t="s">
        <v>6152</v>
      </c>
      <c r="I1042" t="s">
        <v>5358</v>
      </c>
      <c r="J1042">
        <v>98</v>
      </c>
      <c r="K1042">
        <v>602.70000000000005</v>
      </c>
      <c r="L1042">
        <v>302</v>
      </c>
      <c r="M1042">
        <v>308</v>
      </c>
      <c r="N1042">
        <v>6</v>
      </c>
      <c r="O1042">
        <v>16.3333333333333</v>
      </c>
    </row>
    <row r="1043" spans="1:15" x14ac:dyDescent="0.25">
      <c r="A1043">
        <v>5</v>
      </c>
      <c r="B1043">
        <v>119</v>
      </c>
      <c r="C1043" t="s">
        <v>5318</v>
      </c>
      <c r="D1043" t="s">
        <v>679</v>
      </c>
      <c r="E1043" t="s">
        <v>6204</v>
      </c>
      <c r="F1043">
        <v>46216.862500000003</v>
      </c>
      <c r="G1043">
        <v>264</v>
      </c>
      <c r="H1043" t="s">
        <v>6152</v>
      </c>
      <c r="I1043" t="s">
        <v>5358</v>
      </c>
      <c r="J1043">
        <v>72</v>
      </c>
      <c r="K1043">
        <v>442.8</v>
      </c>
      <c r="L1043">
        <v>308</v>
      </c>
      <c r="M1043">
        <v>314</v>
      </c>
      <c r="N1043">
        <v>6</v>
      </c>
      <c r="O1043">
        <v>12</v>
      </c>
    </row>
    <row r="1044" spans="1:15" x14ac:dyDescent="0.25">
      <c r="A1044">
        <v>5</v>
      </c>
      <c r="B1044">
        <v>119</v>
      </c>
      <c r="C1044" t="s">
        <v>5318</v>
      </c>
      <c r="D1044" t="s">
        <v>679</v>
      </c>
      <c r="E1044" t="s">
        <v>6204</v>
      </c>
      <c r="F1044">
        <v>46217.79791666667</v>
      </c>
      <c r="G1044">
        <v>264</v>
      </c>
      <c r="H1044" t="s">
        <v>6152</v>
      </c>
      <c r="I1044" t="s">
        <v>5358</v>
      </c>
      <c r="J1044">
        <v>138</v>
      </c>
      <c r="K1044">
        <v>848.7</v>
      </c>
      <c r="L1044">
        <v>314</v>
      </c>
      <c r="M1044">
        <v>323</v>
      </c>
      <c r="N1044">
        <v>9</v>
      </c>
      <c r="O1044">
        <v>15.3333333333333</v>
      </c>
    </row>
    <row r="1045" spans="1:15" x14ac:dyDescent="0.25">
      <c r="A1045">
        <v>5</v>
      </c>
      <c r="B1045">
        <v>119</v>
      </c>
      <c r="C1045" t="s">
        <v>5318</v>
      </c>
      <c r="D1045" t="s">
        <v>679</v>
      </c>
      <c r="E1045" t="s">
        <v>6204</v>
      </c>
      <c r="F1045">
        <v>46218.859722222223</v>
      </c>
      <c r="G1045">
        <v>264</v>
      </c>
      <c r="H1045" t="s">
        <v>6152</v>
      </c>
      <c r="I1045" t="s">
        <v>5358</v>
      </c>
      <c r="J1045">
        <v>156</v>
      </c>
      <c r="K1045">
        <v>959.4</v>
      </c>
      <c r="L1045">
        <v>323</v>
      </c>
      <c r="M1045">
        <v>333</v>
      </c>
      <c r="N1045">
        <v>10</v>
      </c>
      <c r="O1045">
        <v>15.6</v>
      </c>
    </row>
    <row r="1046" spans="1:15" x14ac:dyDescent="0.25">
      <c r="A1046">
        <v>5</v>
      </c>
      <c r="B1046">
        <v>119</v>
      </c>
      <c r="C1046" t="s">
        <v>5318</v>
      </c>
      <c r="D1046" t="s">
        <v>679</v>
      </c>
      <c r="E1046" t="s">
        <v>6204</v>
      </c>
      <c r="F1046">
        <v>46219.871527777781</v>
      </c>
      <c r="G1046">
        <v>264</v>
      </c>
      <c r="H1046" t="s">
        <v>6152</v>
      </c>
      <c r="I1046" t="s">
        <v>5358</v>
      </c>
      <c r="J1046">
        <v>188</v>
      </c>
      <c r="K1046">
        <v>1156.2</v>
      </c>
      <c r="L1046">
        <v>333</v>
      </c>
      <c r="M1046">
        <v>343</v>
      </c>
      <c r="N1046">
        <v>10</v>
      </c>
      <c r="O1046">
        <v>18.8</v>
      </c>
    </row>
    <row r="1047" spans="1:15" x14ac:dyDescent="0.25">
      <c r="A1047">
        <v>5</v>
      </c>
      <c r="B1047">
        <v>119</v>
      </c>
      <c r="C1047" t="s">
        <v>5318</v>
      </c>
      <c r="D1047" t="s">
        <v>679</v>
      </c>
      <c r="E1047" t="s">
        <v>6204</v>
      </c>
      <c r="F1047">
        <v>46220.850694444445</v>
      </c>
      <c r="G1047">
        <v>264</v>
      </c>
      <c r="H1047" t="s">
        <v>6152</v>
      </c>
      <c r="I1047" t="s">
        <v>5358</v>
      </c>
      <c r="J1047">
        <v>178</v>
      </c>
      <c r="K1047">
        <v>1103.5999999999999</v>
      </c>
      <c r="L1047">
        <v>343</v>
      </c>
      <c r="M1047">
        <v>352</v>
      </c>
      <c r="N1047">
        <v>9</v>
      </c>
      <c r="O1047">
        <v>19.7777777777778</v>
      </c>
    </row>
    <row r="1048" spans="1:15" x14ac:dyDescent="0.25">
      <c r="A1048">
        <v>5</v>
      </c>
      <c r="B1048">
        <v>119</v>
      </c>
      <c r="C1048" t="s">
        <v>5318</v>
      </c>
      <c r="D1048" t="s">
        <v>679</v>
      </c>
      <c r="E1048" t="s">
        <v>6204</v>
      </c>
      <c r="F1048">
        <v>46221.902777777781</v>
      </c>
      <c r="G1048">
        <v>264</v>
      </c>
      <c r="H1048" t="s">
        <v>6152</v>
      </c>
      <c r="I1048" t="s">
        <v>5358</v>
      </c>
      <c r="J1048">
        <v>174</v>
      </c>
      <c r="K1048">
        <v>1078.8</v>
      </c>
      <c r="L1048">
        <v>352</v>
      </c>
      <c r="M1048">
        <v>362</v>
      </c>
      <c r="N1048">
        <v>10</v>
      </c>
      <c r="O1048">
        <v>17.399999999999999</v>
      </c>
    </row>
    <row r="1049" spans="1:15" x14ac:dyDescent="0.25">
      <c r="A1049">
        <v>5</v>
      </c>
      <c r="B1049">
        <v>119</v>
      </c>
      <c r="C1049" t="s">
        <v>5318</v>
      </c>
      <c r="D1049" t="s">
        <v>679</v>
      </c>
      <c r="E1049" t="s">
        <v>6204</v>
      </c>
      <c r="F1049">
        <v>46222.727083333331</v>
      </c>
      <c r="G1049">
        <v>264</v>
      </c>
      <c r="H1049" t="s">
        <v>6152</v>
      </c>
      <c r="I1049" t="s">
        <v>5358</v>
      </c>
      <c r="J1049">
        <v>156</v>
      </c>
      <c r="K1049">
        <v>967.2</v>
      </c>
      <c r="L1049">
        <v>362</v>
      </c>
      <c r="M1049">
        <v>370</v>
      </c>
      <c r="N1049">
        <v>8</v>
      </c>
      <c r="O1049">
        <v>19.5</v>
      </c>
    </row>
    <row r="1050" spans="1:15" x14ac:dyDescent="0.25">
      <c r="A1050">
        <v>5</v>
      </c>
      <c r="B1050">
        <v>119</v>
      </c>
      <c r="C1050" t="s">
        <v>5318</v>
      </c>
      <c r="D1050" t="s">
        <v>679</v>
      </c>
      <c r="E1050" t="s">
        <v>6204</v>
      </c>
      <c r="F1050">
        <v>46223.872916666667</v>
      </c>
      <c r="G1050">
        <v>264</v>
      </c>
      <c r="H1050" t="s">
        <v>6152</v>
      </c>
      <c r="I1050" t="s">
        <v>5358</v>
      </c>
      <c r="J1050">
        <v>177</v>
      </c>
      <c r="K1050">
        <v>1116.8699999999999</v>
      </c>
      <c r="L1050">
        <v>370</v>
      </c>
      <c r="M1050">
        <v>379</v>
      </c>
      <c r="N1050">
        <v>9</v>
      </c>
      <c r="O1050">
        <v>19.6666666666667</v>
      </c>
    </row>
    <row r="1051" spans="1:15" x14ac:dyDescent="0.25">
      <c r="A1051">
        <v>5</v>
      </c>
      <c r="B1051">
        <v>119</v>
      </c>
      <c r="C1051" t="s">
        <v>5318</v>
      </c>
      <c r="D1051" t="s">
        <v>679</v>
      </c>
      <c r="E1051" t="s">
        <v>6204</v>
      </c>
      <c r="F1051">
        <v>46224.818749999999</v>
      </c>
      <c r="G1051">
        <v>264</v>
      </c>
      <c r="H1051" t="s">
        <v>6152</v>
      </c>
      <c r="I1051" t="s">
        <v>5358</v>
      </c>
      <c r="J1051">
        <v>166</v>
      </c>
      <c r="K1051">
        <v>1047.46</v>
      </c>
      <c r="L1051">
        <v>379</v>
      </c>
      <c r="M1051">
        <v>389</v>
      </c>
      <c r="N1051">
        <v>10</v>
      </c>
      <c r="O1051">
        <v>16.600000000000001</v>
      </c>
    </row>
    <row r="1052" spans="1:15" x14ac:dyDescent="0.25">
      <c r="A1052">
        <v>5</v>
      </c>
      <c r="B1052">
        <v>119</v>
      </c>
      <c r="C1052" t="s">
        <v>5318</v>
      </c>
      <c r="D1052" t="s">
        <v>679</v>
      </c>
      <c r="E1052" t="s">
        <v>6204</v>
      </c>
      <c r="F1052">
        <v>46230.892361111109</v>
      </c>
      <c r="G1052">
        <v>264</v>
      </c>
      <c r="H1052" t="s">
        <v>6152</v>
      </c>
      <c r="I1052" t="s">
        <v>5358</v>
      </c>
      <c r="J1052">
        <v>221</v>
      </c>
      <c r="K1052">
        <v>1387.88</v>
      </c>
      <c r="L1052">
        <v>389</v>
      </c>
      <c r="M1052">
        <v>403</v>
      </c>
      <c r="N1052">
        <v>14</v>
      </c>
      <c r="O1052">
        <v>15.785714285714301</v>
      </c>
    </row>
    <row r="1053" spans="1:15" x14ac:dyDescent="0.25">
      <c r="A1053">
        <v>5</v>
      </c>
      <c r="B1053">
        <v>119</v>
      </c>
      <c r="C1053" t="s">
        <v>5318</v>
      </c>
      <c r="D1053" t="s">
        <v>679</v>
      </c>
      <c r="E1053" t="s">
        <v>6204</v>
      </c>
      <c r="F1053">
        <v>46231.928472222222</v>
      </c>
      <c r="G1053">
        <v>264</v>
      </c>
      <c r="H1053" t="s">
        <v>6152</v>
      </c>
      <c r="I1053" t="s">
        <v>5358</v>
      </c>
      <c r="J1053">
        <v>156</v>
      </c>
      <c r="K1053">
        <v>979.68</v>
      </c>
      <c r="L1053">
        <v>403</v>
      </c>
      <c r="M1053">
        <v>412</v>
      </c>
      <c r="N1053">
        <v>9</v>
      </c>
      <c r="O1053">
        <v>17.3333333333333</v>
      </c>
    </row>
    <row r="1054" spans="1:15" x14ac:dyDescent="0.25">
      <c r="A1054">
        <v>5</v>
      </c>
      <c r="B1054">
        <v>119</v>
      </c>
      <c r="C1054" t="s">
        <v>5318</v>
      </c>
      <c r="D1054" t="s">
        <v>679</v>
      </c>
      <c r="E1054" t="s">
        <v>6204</v>
      </c>
      <c r="F1054">
        <v>46232.886805555558</v>
      </c>
      <c r="G1054">
        <v>264</v>
      </c>
      <c r="H1054" t="s">
        <v>6152</v>
      </c>
      <c r="I1054" t="s">
        <v>5358</v>
      </c>
      <c r="J1054">
        <v>146</v>
      </c>
      <c r="K1054">
        <v>916.88</v>
      </c>
      <c r="L1054">
        <v>412</v>
      </c>
      <c r="M1054">
        <v>422</v>
      </c>
      <c r="N1054">
        <v>10</v>
      </c>
      <c r="O1054">
        <v>14.6</v>
      </c>
    </row>
    <row r="1055" spans="1:15" x14ac:dyDescent="0.25">
      <c r="A1055">
        <v>5</v>
      </c>
      <c r="B1055">
        <v>119</v>
      </c>
      <c r="C1055" t="s">
        <v>5318</v>
      </c>
      <c r="D1055" t="s">
        <v>679</v>
      </c>
      <c r="E1055" t="s">
        <v>6204</v>
      </c>
      <c r="F1055">
        <v>46234.894444444442</v>
      </c>
      <c r="G1055">
        <v>264</v>
      </c>
      <c r="H1055" t="s">
        <v>6152</v>
      </c>
      <c r="I1055" t="s">
        <v>5358</v>
      </c>
      <c r="J1055">
        <v>278</v>
      </c>
      <c r="K1055">
        <v>1745.84</v>
      </c>
      <c r="L1055">
        <v>422</v>
      </c>
      <c r="M1055">
        <v>438</v>
      </c>
      <c r="N1055">
        <v>16</v>
      </c>
      <c r="O1055">
        <v>17.375</v>
      </c>
    </row>
    <row r="1056" spans="1:15" x14ac:dyDescent="0.25">
      <c r="A1056">
        <v>5</v>
      </c>
      <c r="B1056">
        <v>142</v>
      </c>
      <c r="C1056" t="s">
        <v>5313</v>
      </c>
      <c r="D1056" t="s">
        <v>95</v>
      </c>
      <c r="E1056" t="s">
        <v>6205</v>
      </c>
      <c r="F1056">
        <v>46204.772916666669</v>
      </c>
      <c r="G1056">
        <v>264</v>
      </c>
      <c r="H1056" t="s">
        <v>6152</v>
      </c>
      <c r="I1056" t="s">
        <v>5358</v>
      </c>
      <c r="J1056">
        <v>97</v>
      </c>
      <c r="K1056">
        <v>596.54999999999995</v>
      </c>
      <c r="L1056">
        <v>4442</v>
      </c>
      <c r="M1056">
        <v>4458</v>
      </c>
      <c r="N1056">
        <v>16</v>
      </c>
      <c r="O1056">
        <v>6.0625</v>
      </c>
    </row>
    <row r="1057" spans="1:15" x14ac:dyDescent="0.25">
      <c r="A1057">
        <v>5</v>
      </c>
      <c r="B1057">
        <v>142</v>
      </c>
      <c r="C1057" t="s">
        <v>5313</v>
      </c>
      <c r="D1057" t="s">
        <v>95</v>
      </c>
      <c r="E1057" t="s">
        <v>6205</v>
      </c>
      <c r="F1057">
        <v>46205.837500000001</v>
      </c>
      <c r="G1057">
        <v>264</v>
      </c>
      <c r="H1057" t="s">
        <v>6152</v>
      </c>
      <c r="I1057" t="s">
        <v>5358</v>
      </c>
      <c r="J1057">
        <v>57</v>
      </c>
      <c r="K1057">
        <v>350.55</v>
      </c>
      <c r="L1057">
        <v>4458</v>
      </c>
      <c r="M1057">
        <v>4467</v>
      </c>
      <c r="N1057">
        <v>9</v>
      </c>
      <c r="O1057">
        <v>6.3333333333333304</v>
      </c>
    </row>
    <row r="1058" spans="1:15" x14ac:dyDescent="0.25">
      <c r="A1058">
        <v>5</v>
      </c>
      <c r="B1058">
        <v>142</v>
      </c>
      <c r="C1058" t="s">
        <v>5313</v>
      </c>
      <c r="D1058" t="s">
        <v>95</v>
      </c>
      <c r="E1058" t="s">
        <v>6205</v>
      </c>
      <c r="F1058">
        <v>46210.634722222225</v>
      </c>
      <c r="G1058">
        <v>264</v>
      </c>
      <c r="H1058" t="s">
        <v>6152</v>
      </c>
      <c r="I1058" t="s">
        <v>5358</v>
      </c>
      <c r="J1058">
        <v>95</v>
      </c>
      <c r="K1058">
        <v>584.25</v>
      </c>
      <c r="L1058">
        <v>4467</v>
      </c>
      <c r="M1058">
        <v>4487</v>
      </c>
      <c r="N1058">
        <v>20</v>
      </c>
      <c r="O1058">
        <v>4.75</v>
      </c>
    </row>
    <row r="1059" spans="1:15" x14ac:dyDescent="0.25">
      <c r="A1059">
        <v>5</v>
      </c>
      <c r="B1059">
        <v>142</v>
      </c>
      <c r="C1059" t="s">
        <v>5313</v>
      </c>
      <c r="D1059" t="s">
        <v>95</v>
      </c>
      <c r="E1059" t="s">
        <v>6205</v>
      </c>
      <c r="F1059">
        <v>46212.77847222222</v>
      </c>
      <c r="G1059">
        <v>264</v>
      </c>
      <c r="H1059" t="s">
        <v>6152</v>
      </c>
      <c r="I1059" t="s">
        <v>5358</v>
      </c>
      <c r="J1059">
        <v>39</v>
      </c>
      <c r="K1059">
        <v>239.85</v>
      </c>
      <c r="L1059">
        <v>4487</v>
      </c>
      <c r="M1059">
        <v>4498</v>
      </c>
      <c r="N1059">
        <v>11</v>
      </c>
      <c r="O1059">
        <v>3.5454545454545499</v>
      </c>
    </row>
    <row r="1060" spans="1:15" x14ac:dyDescent="0.25">
      <c r="A1060">
        <v>5</v>
      </c>
      <c r="B1060">
        <v>142</v>
      </c>
      <c r="C1060" t="s">
        <v>5313</v>
      </c>
      <c r="D1060" t="s">
        <v>95</v>
      </c>
      <c r="E1060" t="s">
        <v>6205</v>
      </c>
      <c r="F1060">
        <v>46220.84375</v>
      </c>
      <c r="G1060">
        <v>264</v>
      </c>
      <c r="H1060" t="s">
        <v>6152</v>
      </c>
      <c r="I1060" t="s">
        <v>5358</v>
      </c>
      <c r="J1060">
        <v>91</v>
      </c>
      <c r="K1060">
        <v>564.20000000000005</v>
      </c>
      <c r="L1060">
        <v>4498</v>
      </c>
      <c r="M1060">
        <v>4521</v>
      </c>
      <c r="N1060">
        <v>23</v>
      </c>
      <c r="O1060">
        <v>3.9565217391304301</v>
      </c>
    </row>
    <row r="1061" spans="1:15" x14ac:dyDescent="0.25">
      <c r="A1061">
        <v>5</v>
      </c>
      <c r="B1061">
        <v>142</v>
      </c>
      <c r="C1061" t="s">
        <v>5313</v>
      </c>
      <c r="D1061" t="s">
        <v>95</v>
      </c>
      <c r="E1061" t="s">
        <v>6205</v>
      </c>
      <c r="F1061">
        <v>46230.89166666667</v>
      </c>
      <c r="G1061">
        <v>264</v>
      </c>
      <c r="H1061" t="s">
        <v>6152</v>
      </c>
      <c r="I1061" t="s">
        <v>5358</v>
      </c>
      <c r="J1061">
        <v>93</v>
      </c>
      <c r="K1061">
        <v>584.04</v>
      </c>
      <c r="L1061">
        <v>4521</v>
      </c>
      <c r="M1061">
        <v>4542</v>
      </c>
      <c r="N1061">
        <v>21</v>
      </c>
      <c r="O1061">
        <v>4.4285714285714297</v>
      </c>
    </row>
    <row r="1062" spans="1:15" x14ac:dyDescent="0.25">
      <c r="A1062">
        <v>5</v>
      </c>
      <c r="B1062">
        <v>142</v>
      </c>
      <c r="C1062" t="s">
        <v>5313</v>
      </c>
      <c r="D1062" t="s">
        <v>639</v>
      </c>
      <c r="E1062" t="s">
        <v>6191</v>
      </c>
      <c r="F1062">
        <v>46205.844444444447</v>
      </c>
      <c r="G1062">
        <v>264</v>
      </c>
      <c r="H1062" t="s">
        <v>6152</v>
      </c>
      <c r="I1062" t="s">
        <v>5358</v>
      </c>
      <c r="J1062">
        <v>35</v>
      </c>
      <c r="K1062">
        <v>215.25</v>
      </c>
      <c r="L1062">
        <v>5903</v>
      </c>
      <c r="M1062">
        <v>5915</v>
      </c>
      <c r="N1062">
        <v>12</v>
      </c>
      <c r="O1062">
        <v>0.34285714285714303</v>
      </c>
    </row>
    <row r="1063" spans="1:15" x14ac:dyDescent="0.25">
      <c r="A1063">
        <v>5</v>
      </c>
      <c r="B1063">
        <v>142</v>
      </c>
      <c r="C1063" t="s">
        <v>5313</v>
      </c>
      <c r="D1063" t="s">
        <v>639</v>
      </c>
      <c r="E1063" t="s">
        <v>6191</v>
      </c>
      <c r="F1063">
        <v>46209.842361111114</v>
      </c>
      <c r="G1063">
        <v>264</v>
      </c>
      <c r="H1063" t="s">
        <v>6152</v>
      </c>
      <c r="I1063" t="s">
        <v>5358</v>
      </c>
      <c r="J1063">
        <v>40</v>
      </c>
      <c r="K1063">
        <v>246</v>
      </c>
      <c r="L1063">
        <v>5915</v>
      </c>
      <c r="M1063">
        <v>5923</v>
      </c>
      <c r="N1063">
        <v>8</v>
      </c>
      <c r="O1063">
        <v>0.2</v>
      </c>
    </row>
    <row r="1064" spans="1:15" x14ac:dyDescent="0.25">
      <c r="A1064">
        <v>5</v>
      </c>
      <c r="B1064">
        <v>142</v>
      </c>
      <c r="C1064" t="s">
        <v>5313</v>
      </c>
      <c r="D1064" t="s">
        <v>639</v>
      </c>
      <c r="E1064" t="s">
        <v>6191</v>
      </c>
      <c r="F1064">
        <v>46210.85833333333</v>
      </c>
      <c r="G1064">
        <v>264</v>
      </c>
      <c r="H1064" t="s">
        <v>6152</v>
      </c>
      <c r="I1064" t="s">
        <v>5358</v>
      </c>
      <c r="J1064">
        <v>25</v>
      </c>
      <c r="K1064">
        <v>153.75</v>
      </c>
      <c r="L1064">
        <v>5923</v>
      </c>
      <c r="M1064">
        <v>5928</v>
      </c>
      <c r="N1064">
        <v>5</v>
      </c>
      <c r="O1064">
        <v>0.2</v>
      </c>
    </row>
    <row r="1065" spans="1:15" x14ac:dyDescent="0.25">
      <c r="A1065">
        <v>5</v>
      </c>
      <c r="B1065">
        <v>142</v>
      </c>
      <c r="C1065" t="s">
        <v>5313</v>
      </c>
      <c r="D1065" t="s">
        <v>639</v>
      </c>
      <c r="E1065" t="s">
        <v>6191</v>
      </c>
      <c r="F1065">
        <v>46211.84097222222</v>
      </c>
      <c r="G1065">
        <v>264</v>
      </c>
      <c r="H1065" t="s">
        <v>6152</v>
      </c>
      <c r="I1065" t="s">
        <v>5358</v>
      </c>
      <c r="J1065">
        <v>17</v>
      </c>
      <c r="K1065">
        <v>104.55</v>
      </c>
      <c r="L1065">
        <v>5928</v>
      </c>
      <c r="M1065">
        <v>5934</v>
      </c>
      <c r="N1065">
        <v>6</v>
      </c>
      <c r="O1065">
        <v>0.35294117647058798</v>
      </c>
    </row>
    <row r="1066" spans="1:15" x14ac:dyDescent="0.25">
      <c r="A1066">
        <v>5</v>
      </c>
      <c r="B1066">
        <v>142</v>
      </c>
      <c r="C1066" t="s">
        <v>5313</v>
      </c>
      <c r="D1066" t="s">
        <v>639</v>
      </c>
      <c r="E1066" t="s">
        <v>6191</v>
      </c>
      <c r="F1066">
        <v>46213.837500000001</v>
      </c>
      <c r="G1066">
        <v>264</v>
      </c>
      <c r="H1066" t="s">
        <v>6152</v>
      </c>
      <c r="I1066" t="s">
        <v>5358</v>
      </c>
      <c r="J1066">
        <v>34</v>
      </c>
      <c r="K1066">
        <v>209.1</v>
      </c>
      <c r="L1066">
        <v>5934</v>
      </c>
      <c r="M1066">
        <v>5943</v>
      </c>
      <c r="N1066">
        <v>9</v>
      </c>
      <c r="O1066">
        <v>0.26470588235294101</v>
      </c>
    </row>
    <row r="1067" spans="1:15" x14ac:dyDescent="0.25">
      <c r="A1067">
        <v>5</v>
      </c>
      <c r="B1067">
        <v>142</v>
      </c>
      <c r="C1067" t="s">
        <v>5313</v>
      </c>
      <c r="D1067" t="s">
        <v>639</v>
      </c>
      <c r="E1067" t="s">
        <v>6191</v>
      </c>
      <c r="F1067">
        <v>46217.8</v>
      </c>
      <c r="G1067">
        <v>264</v>
      </c>
      <c r="H1067" t="s">
        <v>6152</v>
      </c>
      <c r="I1067" t="s">
        <v>5358</v>
      </c>
      <c r="J1067">
        <v>36</v>
      </c>
      <c r="K1067">
        <v>221.4</v>
      </c>
      <c r="L1067">
        <v>5943</v>
      </c>
      <c r="M1067">
        <v>5953</v>
      </c>
      <c r="N1067">
        <v>10</v>
      </c>
      <c r="O1067">
        <v>0.27777777777777801</v>
      </c>
    </row>
    <row r="1068" spans="1:15" x14ac:dyDescent="0.25">
      <c r="A1068">
        <v>5</v>
      </c>
      <c r="B1068">
        <v>142</v>
      </c>
      <c r="C1068" t="s">
        <v>5313</v>
      </c>
      <c r="D1068" t="s">
        <v>639</v>
      </c>
      <c r="E1068" t="s">
        <v>6191</v>
      </c>
      <c r="F1068">
        <v>46220.854166666664</v>
      </c>
      <c r="G1068">
        <v>264</v>
      </c>
      <c r="H1068" t="s">
        <v>6152</v>
      </c>
      <c r="I1068" t="s">
        <v>5358</v>
      </c>
      <c r="J1068">
        <v>37</v>
      </c>
      <c r="K1068">
        <v>229.4</v>
      </c>
      <c r="L1068">
        <v>5953</v>
      </c>
      <c r="M1068">
        <v>5961</v>
      </c>
      <c r="N1068">
        <v>8</v>
      </c>
      <c r="O1068">
        <v>0.21621621621621601</v>
      </c>
    </row>
    <row r="1069" spans="1:15" x14ac:dyDescent="0.25">
      <c r="A1069">
        <v>5</v>
      </c>
      <c r="B1069">
        <v>142</v>
      </c>
      <c r="C1069" t="s">
        <v>5313</v>
      </c>
      <c r="D1069" t="s">
        <v>639</v>
      </c>
      <c r="E1069" t="s">
        <v>6191</v>
      </c>
      <c r="F1069">
        <v>46223.882638888892</v>
      </c>
      <c r="G1069">
        <v>264</v>
      </c>
      <c r="H1069" t="s">
        <v>6152</v>
      </c>
      <c r="I1069" t="s">
        <v>5358</v>
      </c>
      <c r="J1069">
        <v>42</v>
      </c>
      <c r="K1069">
        <v>265.02</v>
      </c>
      <c r="L1069">
        <v>5961</v>
      </c>
      <c r="M1069">
        <v>5973</v>
      </c>
      <c r="N1069">
        <v>12</v>
      </c>
      <c r="O1069">
        <v>0.28571428571428598</v>
      </c>
    </row>
    <row r="1070" spans="1:15" x14ac:dyDescent="0.25">
      <c r="A1070">
        <v>5</v>
      </c>
      <c r="B1070">
        <v>142</v>
      </c>
      <c r="C1070" t="s">
        <v>5313</v>
      </c>
      <c r="D1070" t="s">
        <v>639</v>
      </c>
      <c r="E1070" t="s">
        <v>6191</v>
      </c>
      <c r="F1070">
        <v>46227.827777777777</v>
      </c>
      <c r="G1070">
        <v>264</v>
      </c>
      <c r="H1070" t="s">
        <v>6152</v>
      </c>
      <c r="I1070" t="s">
        <v>5358</v>
      </c>
      <c r="J1070">
        <v>41</v>
      </c>
      <c r="K1070">
        <v>258.70999999999998</v>
      </c>
      <c r="L1070">
        <v>5973</v>
      </c>
      <c r="M1070">
        <v>5983</v>
      </c>
      <c r="N1070">
        <v>10</v>
      </c>
      <c r="O1070">
        <v>0.24390243902438999</v>
      </c>
    </row>
    <row r="1071" spans="1:15" x14ac:dyDescent="0.25">
      <c r="A1071">
        <v>5</v>
      </c>
      <c r="B1071">
        <v>142</v>
      </c>
      <c r="C1071" t="s">
        <v>5313</v>
      </c>
      <c r="D1071" t="s">
        <v>639</v>
      </c>
      <c r="E1071" t="s">
        <v>6191</v>
      </c>
      <c r="F1071">
        <v>46230.888194444444</v>
      </c>
      <c r="G1071">
        <v>264</v>
      </c>
      <c r="H1071" t="s">
        <v>6152</v>
      </c>
      <c r="I1071" t="s">
        <v>5358</v>
      </c>
      <c r="J1071">
        <v>51</v>
      </c>
      <c r="K1071">
        <v>320.27999999999997</v>
      </c>
      <c r="L1071">
        <v>5983</v>
      </c>
      <c r="M1071">
        <v>5993</v>
      </c>
      <c r="N1071">
        <v>10</v>
      </c>
      <c r="O1071">
        <v>0.19607843137254899</v>
      </c>
    </row>
    <row r="1072" spans="1:15" x14ac:dyDescent="0.25">
      <c r="A1072">
        <v>5</v>
      </c>
      <c r="B1072">
        <v>142</v>
      </c>
      <c r="C1072" t="s">
        <v>5313</v>
      </c>
      <c r="D1072" t="s">
        <v>639</v>
      </c>
      <c r="E1072" t="s">
        <v>6191</v>
      </c>
      <c r="F1072">
        <v>46232.899305555555</v>
      </c>
      <c r="G1072">
        <v>264</v>
      </c>
      <c r="H1072" t="s">
        <v>6152</v>
      </c>
      <c r="I1072" t="s">
        <v>5358</v>
      </c>
      <c r="J1072">
        <v>34</v>
      </c>
      <c r="K1072">
        <v>213.52</v>
      </c>
      <c r="L1072">
        <v>5993</v>
      </c>
      <c r="M1072">
        <v>6001</v>
      </c>
      <c r="N1072">
        <v>8</v>
      </c>
      <c r="O1072">
        <v>0.23529411764705899</v>
      </c>
    </row>
    <row r="1073" spans="1:15" x14ac:dyDescent="0.25">
      <c r="A1073">
        <v>5</v>
      </c>
      <c r="B1073">
        <v>142</v>
      </c>
      <c r="C1073" t="s">
        <v>5313</v>
      </c>
      <c r="D1073" t="s">
        <v>419</v>
      </c>
      <c r="E1073" t="s">
        <v>6206</v>
      </c>
      <c r="F1073">
        <v>46205.462500000001</v>
      </c>
      <c r="G1073">
        <v>232</v>
      </c>
      <c r="H1073" t="s">
        <v>6155</v>
      </c>
      <c r="I1073" t="s">
        <v>5358</v>
      </c>
      <c r="J1073">
        <v>46</v>
      </c>
      <c r="K1073">
        <v>282.89999999999998</v>
      </c>
      <c r="L1073">
        <v>62626</v>
      </c>
      <c r="M1073">
        <v>62672</v>
      </c>
      <c r="N1073">
        <v>46</v>
      </c>
      <c r="O1073">
        <v>1</v>
      </c>
    </row>
    <row r="1074" spans="1:15" x14ac:dyDescent="0.25">
      <c r="A1074">
        <v>5</v>
      </c>
      <c r="B1074">
        <v>142</v>
      </c>
      <c r="C1074" t="s">
        <v>5313</v>
      </c>
      <c r="D1074" t="s">
        <v>419</v>
      </c>
      <c r="E1074" t="s">
        <v>6206</v>
      </c>
      <c r="F1074">
        <v>46208.600694444445</v>
      </c>
      <c r="G1074">
        <v>232</v>
      </c>
      <c r="H1074" t="s">
        <v>6155</v>
      </c>
      <c r="I1074" t="s">
        <v>5358</v>
      </c>
      <c r="J1074">
        <v>59</v>
      </c>
      <c r="K1074">
        <v>378.78</v>
      </c>
      <c r="L1074">
        <v>62672</v>
      </c>
      <c r="M1074">
        <v>62790</v>
      </c>
      <c r="N1074">
        <v>118</v>
      </c>
      <c r="O1074">
        <v>2</v>
      </c>
    </row>
    <row r="1075" spans="1:15" x14ac:dyDescent="0.25">
      <c r="A1075">
        <v>5</v>
      </c>
      <c r="B1075">
        <v>142</v>
      </c>
      <c r="C1075" t="s">
        <v>5313</v>
      </c>
      <c r="D1075" t="s">
        <v>419</v>
      </c>
      <c r="E1075" t="s">
        <v>6206</v>
      </c>
      <c r="F1075">
        <v>46215.432638888888</v>
      </c>
      <c r="G1075">
        <v>232</v>
      </c>
      <c r="H1075" t="s">
        <v>6155</v>
      </c>
      <c r="I1075" t="s">
        <v>5358</v>
      </c>
      <c r="J1075">
        <v>128</v>
      </c>
      <c r="K1075">
        <v>787.2</v>
      </c>
      <c r="L1075">
        <v>62790</v>
      </c>
      <c r="M1075">
        <v>62918</v>
      </c>
      <c r="N1075">
        <v>128</v>
      </c>
      <c r="O1075">
        <v>1</v>
      </c>
    </row>
    <row r="1076" spans="1:15" x14ac:dyDescent="0.25">
      <c r="A1076">
        <v>5</v>
      </c>
      <c r="B1076">
        <v>142</v>
      </c>
      <c r="C1076" t="s">
        <v>5313</v>
      </c>
      <c r="D1076" t="s">
        <v>419</v>
      </c>
      <c r="E1076" t="s">
        <v>6206</v>
      </c>
      <c r="F1076">
        <v>46216.46597222222</v>
      </c>
      <c r="G1076">
        <v>232</v>
      </c>
      <c r="H1076" t="s">
        <v>6155</v>
      </c>
      <c r="I1076" t="s">
        <v>5358</v>
      </c>
      <c r="J1076">
        <v>87</v>
      </c>
      <c r="K1076">
        <v>535.04999999999995</v>
      </c>
      <c r="L1076">
        <v>62918</v>
      </c>
      <c r="M1076">
        <v>62962</v>
      </c>
      <c r="N1076">
        <v>44</v>
      </c>
      <c r="O1076">
        <v>0.50574712643678199</v>
      </c>
    </row>
    <row r="1077" spans="1:15" x14ac:dyDescent="0.25">
      <c r="A1077">
        <v>5</v>
      </c>
      <c r="B1077">
        <v>142</v>
      </c>
      <c r="C1077" t="s">
        <v>5313</v>
      </c>
      <c r="D1077" t="s">
        <v>419</v>
      </c>
      <c r="E1077" t="s">
        <v>6206</v>
      </c>
      <c r="F1077">
        <v>46217.486111111109</v>
      </c>
      <c r="G1077">
        <v>232</v>
      </c>
      <c r="H1077" t="s">
        <v>6155</v>
      </c>
      <c r="I1077" t="s">
        <v>5358</v>
      </c>
      <c r="J1077">
        <v>136</v>
      </c>
      <c r="K1077">
        <v>836.4</v>
      </c>
      <c r="L1077">
        <v>62962</v>
      </c>
      <c r="M1077">
        <v>63098</v>
      </c>
      <c r="N1077">
        <v>136</v>
      </c>
      <c r="O1077">
        <v>1</v>
      </c>
    </row>
    <row r="1078" spans="1:15" x14ac:dyDescent="0.25">
      <c r="A1078">
        <v>5</v>
      </c>
      <c r="B1078">
        <v>142</v>
      </c>
      <c r="C1078" t="s">
        <v>5313</v>
      </c>
      <c r="D1078" t="s">
        <v>419</v>
      </c>
      <c r="E1078" t="s">
        <v>6206</v>
      </c>
      <c r="F1078">
        <v>46218.109722222223</v>
      </c>
      <c r="G1078">
        <v>232</v>
      </c>
      <c r="H1078" t="s">
        <v>6155</v>
      </c>
      <c r="I1078" t="s">
        <v>5358</v>
      </c>
      <c r="J1078">
        <v>96</v>
      </c>
      <c r="K1078">
        <v>590.4</v>
      </c>
      <c r="L1078">
        <v>63098</v>
      </c>
      <c r="M1078">
        <v>3407</v>
      </c>
      <c r="N1078">
        <v>0</v>
      </c>
      <c r="O1078">
        <v>0</v>
      </c>
    </row>
    <row r="1079" spans="1:15" x14ac:dyDescent="0.25">
      <c r="A1079">
        <v>5</v>
      </c>
      <c r="B1079">
        <v>142</v>
      </c>
      <c r="C1079" t="s">
        <v>5313</v>
      </c>
      <c r="D1079" t="s">
        <v>419</v>
      </c>
      <c r="E1079" t="s">
        <v>6206</v>
      </c>
      <c r="F1079">
        <v>46219.462500000001</v>
      </c>
      <c r="G1079">
        <v>232</v>
      </c>
      <c r="H1079" t="s">
        <v>6155</v>
      </c>
      <c r="I1079" t="s">
        <v>5358</v>
      </c>
      <c r="J1079">
        <v>111</v>
      </c>
      <c r="K1079">
        <v>682.65</v>
      </c>
      <c r="L1079">
        <v>3407</v>
      </c>
      <c r="M1079">
        <v>3422</v>
      </c>
      <c r="N1079">
        <v>15</v>
      </c>
      <c r="O1079">
        <v>0.135135135135135</v>
      </c>
    </row>
    <row r="1080" spans="1:15" x14ac:dyDescent="0.25">
      <c r="A1080">
        <v>5</v>
      </c>
      <c r="B1080">
        <v>142</v>
      </c>
      <c r="C1080" t="s">
        <v>5313</v>
      </c>
      <c r="D1080" t="s">
        <v>419</v>
      </c>
      <c r="E1080" t="s">
        <v>6206</v>
      </c>
      <c r="F1080">
        <v>46220.377083333333</v>
      </c>
      <c r="G1080">
        <v>232</v>
      </c>
      <c r="H1080" t="s">
        <v>6155</v>
      </c>
      <c r="I1080" t="s">
        <v>5358</v>
      </c>
      <c r="J1080">
        <v>79</v>
      </c>
      <c r="K1080">
        <v>485.85</v>
      </c>
      <c r="L1080">
        <v>3422</v>
      </c>
      <c r="M1080">
        <v>3437</v>
      </c>
      <c r="N1080">
        <v>15</v>
      </c>
      <c r="O1080">
        <v>0.189873417721519</v>
      </c>
    </row>
    <row r="1081" spans="1:15" x14ac:dyDescent="0.25">
      <c r="A1081">
        <v>5</v>
      </c>
      <c r="B1081">
        <v>142</v>
      </c>
      <c r="C1081" t="s">
        <v>5313</v>
      </c>
      <c r="D1081" t="s">
        <v>419</v>
      </c>
      <c r="E1081" t="s">
        <v>6206</v>
      </c>
      <c r="F1081">
        <v>46221.44027777778</v>
      </c>
      <c r="G1081">
        <v>232</v>
      </c>
      <c r="H1081" t="s">
        <v>6155</v>
      </c>
      <c r="I1081" t="s">
        <v>5358</v>
      </c>
      <c r="J1081">
        <v>67</v>
      </c>
      <c r="K1081">
        <v>412.05</v>
      </c>
      <c r="L1081">
        <v>3437</v>
      </c>
      <c r="M1081">
        <v>3450</v>
      </c>
      <c r="N1081">
        <v>13</v>
      </c>
      <c r="O1081">
        <v>0.19402985074626899</v>
      </c>
    </row>
    <row r="1082" spans="1:15" x14ac:dyDescent="0.25">
      <c r="A1082">
        <v>5</v>
      </c>
      <c r="B1082">
        <v>142</v>
      </c>
      <c r="C1082" t="s">
        <v>5313</v>
      </c>
      <c r="D1082" t="s">
        <v>419</v>
      </c>
      <c r="E1082" t="s">
        <v>6206</v>
      </c>
      <c r="F1082">
        <v>46222.469444444447</v>
      </c>
      <c r="G1082">
        <v>232</v>
      </c>
      <c r="H1082" t="s">
        <v>6155</v>
      </c>
      <c r="I1082" t="s">
        <v>5358</v>
      </c>
      <c r="J1082">
        <v>90</v>
      </c>
      <c r="K1082">
        <v>567</v>
      </c>
      <c r="L1082">
        <v>3450</v>
      </c>
      <c r="M1082">
        <v>3564</v>
      </c>
      <c r="N1082">
        <v>114</v>
      </c>
      <c r="O1082">
        <v>1.2666666666666699</v>
      </c>
    </row>
    <row r="1083" spans="1:15" x14ac:dyDescent="0.25">
      <c r="A1083">
        <v>5</v>
      </c>
      <c r="B1083">
        <v>142</v>
      </c>
      <c r="C1083" t="s">
        <v>5313</v>
      </c>
      <c r="D1083" t="s">
        <v>419</v>
      </c>
      <c r="E1083" t="s">
        <v>6206</v>
      </c>
      <c r="F1083">
        <v>46223.094444444447</v>
      </c>
      <c r="G1083">
        <v>232</v>
      </c>
      <c r="H1083" t="s">
        <v>6155</v>
      </c>
      <c r="I1083" t="s">
        <v>5358</v>
      </c>
      <c r="J1083">
        <v>103</v>
      </c>
      <c r="K1083">
        <v>643.75</v>
      </c>
      <c r="L1083">
        <v>3564</v>
      </c>
      <c r="M1083">
        <v>3478</v>
      </c>
      <c r="N1083">
        <v>0</v>
      </c>
      <c r="O1083">
        <v>0</v>
      </c>
    </row>
    <row r="1084" spans="1:15" x14ac:dyDescent="0.25">
      <c r="A1084">
        <v>5</v>
      </c>
      <c r="B1084">
        <v>142</v>
      </c>
      <c r="C1084" t="s">
        <v>5313</v>
      </c>
      <c r="D1084" t="s">
        <v>419</v>
      </c>
      <c r="E1084" t="s">
        <v>6206</v>
      </c>
      <c r="F1084">
        <v>46225.024305555555</v>
      </c>
      <c r="G1084">
        <v>232</v>
      </c>
      <c r="H1084" t="s">
        <v>6155</v>
      </c>
      <c r="I1084" t="s">
        <v>5358</v>
      </c>
      <c r="J1084">
        <v>141</v>
      </c>
      <c r="K1084">
        <v>881.25</v>
      </c>
      <c r="L1084">
        <v>3478</v>
      </c>
      <c r="M1084">
        <v>3494</v>
      </c>
      <c r="N1084">
        <v>16</v>
      </c>
      <c r="O1084">
        <v>0.11347517730496499</v>
      </c>
    </row>
    <row r="1085" spans="1:15" x14ac:dyDescent="0.25">
      <c r="A1085">
        <v>5</v>
      </c>
      <c r="B1085">
        <v>142</v>
      </c>
      <c r="C1085" t="s">
        <v>5313</v>
      </c>
      <c r="D1085" t="s">
        <v>419</v>
      </c>
      <c r="E1085" t="s">
        <v>6206</v>
      </c>
      <c r="F1085">
        <v>46228.974999999999</v>
      </c>
      <c r="G1085">
        <v>232</v>
      </c>
      <c r="H1085" t="s">
        <v>6155</v>
      </c>
      <c r="I1085" t="s">
        <v>5358</v>
      </c>
      <c r="J1085">
        <v>80</v>
      </c>
      <c r="K1085">
        <v>500</v>
      </c>
      <c r="L1085">
        <v>3494</v>
      </c>
      <c r="M1085">
        <v>3525</v>
      </c>
      <c r="N1085">
        <v>31</v>
      </c>
      <c r="O1085">
        <v>0.38750000000000001</v>
      </c>
    </row>
    <row r="1086" spans="1:15" x14ac:dyDescent="0.25">
      <c r="A1086">
        <v>5</v>
      </c>
      <c r="B1086">
        <v>142</v>
      </c>
      <c r="C1086" t="s">
        <v>5313</v>
      </c>
      <c r="D1086" t="s">
        <v>419</v>
      </c>
      <c r="E1086" t="s">
        <v>6206</v>
      </c>
      <c r="F1086">
        <v>46229.020138888889</v>
      </c>
      <c r="G1086">
        <v>232</v>
      </c>
      <c r="H1086" t="s">
        <v>6155</v>
      </c>
      <c r="I1086" t="s">
        <v>5358</v>
      </c>
      <c r="J1086">
        <v>70</v>
      </c>
      <c r="K1086">
        <v>441</v>
      </c>
      <c r="L1086">
        <v>3525</v>
      </c>
      <c r="M1086">
        <v>3539</v>
      </c>
      <c r="N1086">
        <v>14</v>
      </c>
      <c r="O1086">
        <v>0.2</v>
      </c>
    </row>
    <row r="1087" spans="1:15" x14ac:dyDescent="0.25">
      <c r="A1087">
        <v>5</v>
      </c>
      <c r="B1087">
        <v>142</v>
      </c>
      <c r="C1087" t="s">
        <v>5313</v>
      </c>
      <c r="D1087" t="s">
        <v>419</v>
      </c>
      <c r="E1087" t="s">
        <v>6206</v>
      </c>
      <c r="F1087">
        <v>46230.990277777775</v>
      </c>
      <c r="G1087">
        <v>232</v>
      </c>
      <c r="H1087" t="s">
        <v>6155</v>
      </c>
      <c r="I1087" t="s">
        <v>5358</v>
      </c>
      <c r="J1087">
        <v>94</v>
      </c>
      <c r="K1087">
        <v>587.5</v>
      </c>
      <c r="L1087">
        <v>3539</v>
      </c>
      <c r="M1087">
        <v>3554</v>
      </c>
      <c r="N1087">
        <v>15</v>
      </c>
      <c r="O1087">
        <v>0.159574468085106</v>
      </c>
    </row>
    <row r="1088" spans="1:15" x14ac:dyDescent="0.25">
      <c r="A1088">
        <v>5</v>
      </c>
      <c r="B1088">
        <v>142</v>
      </c>
      <c r="C1088" t="s">
        <v>5313</v>
      </c>
      <c r="D1088" t="s">
        <v>419</v>
      </c>
      <c r="E1088" t="s">
        <v>6206</v>
      </c>
      <c r="F1088">
        <v>46231.026388888888</v>
      </c>
      <c r="G1088">
        <v>232</v>
      </c>
      <c r="H1088" t="s">
        <v>6155</v>
      </c>
      <c r="I1088" t="s">
        <v>5358</v>
      </c>
      <c r="J1088">
        <v>56</v>
      </c>
      <c r="K1088">
        <v>350</v>
      </c>
      <c r="L1088">
        <v>3554</v>
      </c>
      <c r="M1088">
        <v>3563</v>
      </c>
      <c r="N1088">
        <v>9</v>
      </c>
      <c r="O1088">
        <v>0.160714285714286</v>
      </c>
    </row>
    <row r="1089" spans="1:15" x14ac:dyDescent="0.25">
      <c r="A1089">
        <v>5</v>
      </c>
      <c r="B1089">
        <v>142</v>
      </c>
      <c r="C1089" t="s">
        <v>5313</v>
      </c>
      <c r="D1089" t="s">
        <v>419</v>
      </c>
      <c r="E1089" t="s">
        <v>6206</v>
      </c>
      <c r="F1089">
        <v>46232.974305555559</v>
      </c>
      <c r="G1089">
        <v>232</v>
      </c>
      <c r="H1089" t="s">
        <v>6155</v>
      </c>
      <c r="I1089" t="s">
        <v>5358</v>
      </c>
      <c r="J1089">
        <v>84</v>
      </c>
      <c r="K1089">
        <v>525</v>
      </c>
      <c r="L1089">
        <v>3563</v>
      </c>
      <c r="M1089">
        <v>3576</v>
      </c>
      <c r="N1089">
        <v>13</v>
      </c>
      <c r="O1089">
        <v>0.15476190476190499</v>
      </c>
    </row>
    <row r="1090" spans="1:15" x14ac:dyDescent="0.25">
      <c r="A1090">
        <v>5</v>
      </c>
      <c r="B1090">
        <v>142</v>
      </c>
      <c r="C1090" t="s">
        <v>5313</v>
      </c>
      <c r="D1090" t="s">
        <v>419</v>
      </c>
      <c r="E1090" t="s">
        <v>6206</v>
      </c>
      <c r="F1090">
        <v>46234.072916666664</v>
      </c>
      <c r="G1090">
        <v>232</v>
      </c>
      <c r="H1090" t="s">
        <v>6155</v>
      </c>
      <c r="I1090" t="s">
        <v>5358</v>
      </c>
      <c r="J1090">
        <v>135</v>
      </c>
      <c r="K1090">
        <v>843.75</v>
      </c>
      <c r="L1090">
        <v>3576</v>
      </c>
      <c r="M1090">
        <v>3601</v>
      </c>
      <c r="N1090">
        <v>25</v>
      </c>
      <c r="O1090">
        <v>0.18518518518518501</v>
      </c>
    </row>
    <row r="1091" spans="1:15" x14ac:dyDescent="0.25">
      <c r="A1091">
        <v>5</v>
      </c>
      <c r="B1091">
        <v>142</v>
      </c>
      <c r="C1091" t="s">
        <v>5313</v>
      </c>
      <c r="D1091" t="s">
        <v>513</v>
      </c>
      <c r="E1091" t="s">
        <v>6207</v>
      </c>
      <c r="F1091">
        <v>46205.463888888888</v>
      </c>
      <c r="G1091">
        <v>232</v>
      </c>
      <c r="H1091" t="s">
        <v>6155</v>
      </c>
      <c r="I1091" t="s">
        <v>5358</v>
      </c>
      <c r="J1091">
        <v>88</v>
      </c>
      <c r="K1091">
        <v>541.20000000000005</v>
      </c>
      <c r="L1091">
        <v>882</v>
      </c>
      <c r="M1091">
        <v>1022</v>
      </c>
      <c r="N1091">
        <v>140</v>
      </c>
      <c r="O1091">
        <v>0.628571428571429</v>
      </c>
    </row>
    <row r="1092" spans="1:15" x14ac:dyDescent="0.25">
      <c r="A1092">
        <v>5</v>
      </c>
      <c r="B1092">
        <v>142</v>
      </c>
      <c r="C1092" t="s">
        <v>5313</v>
      </c>
      <c r="D1092" t="s">
        <v>513</v>
      </c>
      <c r="E1092" t="s">
        <v>6207</v>
      </c>
      <c r="F1092">
        <v>46216.49722222222</v>
      </c>
      <c r="G1092">
        <v>264</v>
      </c>
      <c r="H1092" t="s">
        <v>6152</v>
      </c>
      <c r="I1092" t="s">
        <v>5358</v>
      </c>
      <c r="J1092">
        <v>97</v>
      </c>
      <c r="K1092">
        <v>596.54999999999995</v>
      </c>
      <c r="L1092">
        <v>1022</v>
      </c>
      <c r="M1092">
        <v>1123</v>
      </c>
      <c r="N1092">
        <v>101</v>
      </c>
      <c r="O1092">
        <v>0.96039603960396003</v>
      </c>
    </row>
    <row r="1093" spans="1:15" x14ac:dyDescent="0.25">
      <c r="A1093">
        <v>5</v>
      </c>
      <c r="B1093">
        <v>142</v>
      </c>
      <c r="C1093" t="s">
        <v>5313</v>
      </c>
      <c r="D1093" t="s">
        <v>513</v>
      </c>
      <c r="E1093" t="s">
        <v>6207</v>
      </c>
      <c r="F1093">
        <v>46228.973611111112</v>
      </c>
      <c r="G1093">
        <v>232</v>
      </c>
      <c r="H1093" t="s">
        <v>6155</v>
      </c>
      <c r="I1093" t="s">
        <v>5358</v>
      </c>
      <c r="J1093">
        <v>95</v>
      </c>
      <c r="K1093">
        <v>593.75</v>
      </c>
      <c r="L1093">
        <v>1123</v>
      </c>
      <c r="M1093">
        <v>1229</v>
      </c>
      <c r="N1093">
        <v>106</v>
      </c>
      <c r="O1093">
        <v>0.89622641509433998</v>
      </c>
    </row>
    <row r="1094" spans="1:15" x14ac:dyDescent="0.25">
      <c r="A1094">
        <v>5</v>
      </c>
      <c r="B1094">
        <v>142</v>
      </c>
      <c r="C1094" t="s">
        <v>5313</v>
      </c>
      <c r="D1094" t="s">
        <v>5326</v>
      </c>
      <c r="E1094" t="s">
        <v>6207</v>
      </c>
      <c r="F1094">
        <v>46205.463194444441</v>
      </c>
      <c r="G1094">
        <v>232</v>
      </c>
      <c r="H1094" t="s">
        <v>6155</v>
      </c>
      <c r="I1094" t="s">
        <v>5358</v>
      </c>
      <c r="J1094">
        <v>90</v>
      </c>
      <c r="K1094">
        <v>553.5</v>
      </c>
      <c r="L1094">
        <v>885</v>
      </c>
      <c r="M1094">
        <v>908</v>
      </c>
      <c r="N1094">
        <v>23</v>
      </c>
      <c r="O1094">
        <v>0.25555555555555598</v>
      </c>
    </row>
    <row r="1095" spans="1:15" x14ac:dyDescent="0.25">
      <c r="A1095">
        <v>5</v>
      </c>
      <c r="B1095">
        <v>142</v>
      </c>
      <c r="C1095" t="s">
        <v>5313</v>
      </c>
      <c r="D1095" t="s">
        <v>5326</v>
      </c>
      <c r="E1095" t="s">
        <v>6207</v>
      </c>
      <c r="F1095">
        <v>46208.526388888888</v>
      </c>
      <c r="G1095">
        <v>232</v>
      </c>
      <c r="H1095" t="s">
        <v>6155</v>
      </c>
      <c r="I1095" t="s">
        <v>5358</v>
      </c>
      <c r="J1095">
        <v>55</v>
      </c>
      <c r="K1095">
        <v>353.1</v>
      </c>
      <c r="L1095">
        <v>908</v>
      </c>
      <c r="M1095">
        <v>923</v>
      </c>
      <c r="N1095">
        <v>15</v>
      </c>
      <c r="O1095">
        <v>0.27272727272727298</v>
      </c>
    </row>
    <row r="1096" spans="1:15" x14ac:dyDescent="0.25">
      <c r="A1096">
        <v>5</v>
      </c>
      <c r="B1096">
        <v>142</v>
      </c>
      <c r="C1096" t="s">
        <v>5313</v>
      </c>
      <c r="D1096" t="s">
        <v>5326</v>
      </c>
      <c r="E1096" t="s">
        <v>6207</v>
      </c>
      <c r="F1096">
        <v>46209.444444444445</v>
      </c>
      <c r="G1096">
        <v>232</v>
      </c>
      <c r="H1096" t="s">
        <v>6155</v>
      </c>
      <c r="I1096" t="s">
        <v>5358</v>
      </c>
      <c r="J1096">
        <v>37</v>
      </c>
      <c r="K1096">
        <v>227.55</v>
      </c>
      <c r="L1096">
        <v>923</v>
      </c>
      <c r="M1096">
        <v>932</v>
      </c>
      <c r="N1096">
        <v>9</v>
      </c>
      <c r="O1096">
        <v>0.24324324324324301</v>
      </c>
    </row>
    <row r="1097" spans="1:15" x14ac:dyDescent="0.25">
      <c r="A1097">
        <v>5</v>
      </c>
      <c r="B1097">
        <v>142</v>
      </c>
      <c r="C1097" t="s">
        <v>5313</v>
      </c>
      <c r="D1097" t="s">
        <v>5326</v>
      </c>
      <c r="E1097" t="s">
        <v>6207</v>
      </c>
      <c r="F1097">
        <v>46224.90625</v>
      </c>
      <c r="G1097">
        <v>232</v>
      </c>
      <c r="H1097" t="s">
        <v>6155</v>
      </c>
      <c r="I1097" t="s">
        <v>5358</v>
      </c>
      <c r="J1097">
        <v>99</v>
      </c>
      <c r="K1097">
        <v>618.75</v>
      </c>
      <c r="L1097">
        <v>932</v>
      </c>
      <c r="M1097">
        <v>1081</v>
      </c>
      <c r="N1097">
        <v>149</v>
      </c>
      <c r="O1097">
        <v>1.5050505050505001</v>
      </c>
    </row>
    <row r="1098" spans="1:15" x14ac:dyDescent="0.25">
      <c r="A1098">
        <v>5</v>
      </c>
      <c r="B1098">
        <v>150</v>
      </c>
      <c r="C1098" t="s">
        <v>5327</v>
      </c>
      <c r="D1098" t="s">
        <v>741</v>
      </c>
      <c r="E1098" t="s">
        <v>6208</v>
      </c>
      <c r="F1098">
        <v>46205.465277777781</v>
      </c>
      <c r="G1098">
        <v>232</v>
      </c>
      <c r="H1098" t="s">
        <v>6155</v>
      </c>
      <c r="I1098" t="s">
        <v>5358</v>
      </c>
      <c r="J1098">
        <v>200</v>
      </c>
      <c r="K1098">
        <v>1258</v>
      </c>
      <c r="L1098">
        <v>748</v>
      </c>
      <c r="M1098">
        <v>763</v>
      </c>
      <c r="N1098">
        <v>15</v>
      </c>
      <c r="O1098">
        <v>13.3333333333333</v>
      </c>
    </row>
    <row r="1099" spans="1:15" x14ac:dyDescent="0.25">
      <c r="A1099">
        <v>5</v>
      </c>
      <c r="B1099">
        <v>150</v>
      </c>
      <c r="C1099" t="s">
        <v>5327</v>
      </c>
      <c r="D1099" t="s">
        <v>741</v>
      </c>
      <c r="E1099" t="s">
        <v>6208</v>
      </c>
      <c r="F1099">
        <v>46207.478472222225</v>
      </c>
      <c r="G1099">
        <v>232</v>
      </c>
      <c r="H1099" t="s">
        <v>6155</v>
      </c>
      <c r="I1099" t="s">
        <v>5358</v>
      </c>
      <c r="J1099">
        <v>45</v>
      </c>
      <c r="K1099">
        <v>283.05</v>
      </c>
      <c r="L1099">
        <v>763</v>
      </c>
      <c r="M1099">
        <v>769</v>
      </c>
      <c r="N1099">
        <v>6</v>
      </c>
      <c r="O1099">
        <v>7.5</v>
      </c>
    </row>
    <row r="1100" spans="1:15" x14ac:dyDescent="0.25">
      <c r="A1100">
        <v>5</v>
      </c>
      <c r="B1100">
        <v>150</v>
      </c>
      <c r="C1100" t="s">
        <v>5327</v>
      </c>
      <c r="D1100" t="s">
        <v>741</v>
      </c>
      <c r="E1100" t="s">
        <v>6208</v>
      </c>
      <c r="F1100">
        <v>46210.367361111108</v>
      </c>
      <c r="G1100">
        <v>232</v>
      </c>
      <c r="H1100" t="s">
        <v>6155</v>
      </c>
      <c r="I1100" t="s">
        <v>5358</v>
      </c>
      <c r="J1100">
        <v>115</v>
      </c>
      <c r="K1100">
        <v>723.35</v>
      </c>
      <c r="L1100">
        <v>769</v>
      </c>
      <c r="M1100">
        <v>778</v>
      </c>
      <c r="N1100">
        <v>9</v>
      </c>
      <c r="O1100">
        <v>12.7777777777778</v>
      </c>
    </row>
    <row r="1101" spans="1:15" x14ac:dyDescent="0.25">
      <c r="A1101">
        <v>5</v>
      </c>
      <c r="B1101">
        <v>150</v>
      </c>
      <c r="C1101" t="s">
        <v>5327</v>
      </c>
      <c r="D1101" t="s">
        <v>741</v>
      </c>
      <c r="E1101" t="s">
        <v>6208</v>
      </c>
      <c r="F1101">
        <v>46212.414583333331</v>
      </c>
      <c r="G1101">
        <v>232</v>
      </c>
      <c r="H1101" t="s">
        <v>6155</v>
      </c>
      <c r="I1101" t="s">
        <v>5358</v>
      </c>
      <c r="J1101">
        <v>98</v>
      </c>
      <c r="K1101">
        <v>616.41999999999996</v>
      </c>
      <c r="L1101">
        <v>778</v>
      </c>
      <c r="M1101">
        <v>784</v>
      </c>
      <c r="N1101">
        <v>6</v>
      </c>
      <c r="O1101">
        <v>16.3333333333333</v>
      </c>
    </row>
    <row r="1102" spans="1:15" x14ac:dyDescent="0.25">
      <c r="A1102">
        <v>5</v>
      </c>
      <c r="B1102">
        <v>150</v>
      </c>
      <c r="C1102" t="s">
        <v>5327</v>
      </c>
      <c r="D1102" t="s">
        <v>741</v>
      </c>
      <c r="E1102" t="s">
        <v>6208</v>
      </c>
      <c r="F1102">
        <v>46214.675694444442</v>
      </c>
      <c r="G1102">
        <v>129</v>
      </c>
      <c r="H1102" t="s">
        <v>6164</v>
      </c>
      <c r="I1102" t="s">
        <v>5358</v>
      </c>
      <c r="J1102">
        <v>58</v>
      </c>
      <c r="K1102">
        <v>364.82</v>
      </c>
      <c r="L1102">
        <v>784</v>
      </c>
      <c r="M1102">
        <v>788</v>
      </c>
      <c r="N1102">
        <v>4</v>
      </c>
      <c r="O1102">
        <v>14.5</v>
      </c>
    </row>
    <row r="1103" spans="1:15" x14ac:dyDescent="0.25">
      <c r="A1103">
        <v>5</v>
      </c>
      <c r="B1103">
        <v>150</v>
      </c>
      <c r="C1103" t="s">
        <v>5327</v>
      </c>
      <c r="D1103" t="s">
        <v>741</v>
      </c>
      <c r="E1103" t="s">
        <v>6208</v>
      </c>
      <c r="F1103">
        <v>46219.40902777778</v>
      </c>
      <c r="G1103">
        <v>232</v>
      </c>
      <c r="H1103" t="s">
        <v>6155</v>
      </c>
      <c r="I1103" t="s">
        <v>5358</v>
      </c>
      <c r="J1103">
        <v>166</v>
      </c>
      <c r="K1103">
        <v>1044.1400000000001</v>
      </c>
      <c r="L1103">
        <v>788</v>
      </c>
      <c r="M1103">
        <v>804</v>
      </c>
      <c r="N1103">
        <v>16</v>
      </c>
      <c r="O1103">
        <v>10.375</v>
      </c>
    </row>
    <row r="1104" spans="1:15" x14ac:dyDescent="0.25">
      <c r="A1104">
        <v>5</v>
      </c>
      <c r="B1104">
        <v>150</v>
      </c>
      <c r="C1104" t="s">
        <v>5327</v>
      </c>
      <c r="D1104" t="s">
        <v>741</v>
      </c>
      <c r="E1104" t="s">
        <v>6208</v>
      </c>
      <c r="F1104">
        <v>46224.817361111112</v>
      </c>
      <c r="G1104">
        <v>264</v>
      </c>
      <c r="H1104" t="s">
        <v>6152</v>
      </c>
      <c r="I1104" t="s">
        <v>5358</v>
      </c>
      <c r="J1104">
        <v>62</v>
      </c>
      <c r="K1104">
        <v>389.98</v>
      </c>
      <c r="L1104">
        <v>804</v>
      </c>
      <c r="M1104">
        <v>808</v>
      </c>
      <c r="N1104">
        <v>4</v>
      </c>
      <c r="O1104">
        <v>15.5</v>
      </c>
    </row>
    <row r="1105" spans="1:15" x14ac:dyDescent="0.25">
      <c r="A1105">
        <v>5</v>
      </c>
      <c r="B1105">
        <v>150</v>
      </c>
      <c r="C1105" t="s">
        <v>5327</v>
      </c>
      <c r="D1105" t="s">
        <v>741</v>
      </c>
      <c r="E1105" t="s">
        <v>6208</v>
      </c>
      <c r="F1105">
        <v>46231.924305555556</v>
      </c>
      <c r="G1105">
        <v>264</v>
      </c>
      <c r="H1105" t="s">
        <v>6152</v>
      </c>
      <c r="I1105" t="s">
        <v>5358</v>
      </c>
      <c r="J1105">
        <v>223</v>
      </c>
      <c r="K1105">
        <v>1402.67</v>
      </c>
      <c r="L1105">
        <v>808</v>
      </c>
      <c r="M1105">
        <v>826</v>
      </c>
      <c r="N1105">
        <v>18</v>
      </c>
      <c r="O1105">
        <v>12.3888888888889</v>
      </c>
    </row>
    <row r="1106" spans="1:15" x14ac:dyDescent="0.25">
      <c r="A1106">
        <v>5</v>
      </c>
      <c r="B1106">
        <v>150</v>
      </c>
      <c r="C1106" t="s">
        <v>5327</v>
      </c>
      <c r="D1106" t="s">
        <v>741</v>
      </c>
      <c r="E1106" t="s">
        <v>6208</v>
      </c>
      <c r="F1106">
        <v>46232.882638888892</v>
      </c>
      <c r="G1106">
        <v>264</v>
      </c>
      <c r="H1106" t="s">
        <v>6152</v>
      </c>
      <c r="I1106" t="s">
        <v>5358</v>
      </c>
      <c r="J1106">
        <v>139</v>
      </c>
      <c r="K1106">
        <v>874.31</v>
      </c>
      <c r="L1106">
        <v>826</v>
      </c>
      <c r="M1106">
        <v>837</v>
      </c>
      <c r="N1106">
        <v>11</v>
      </c>
      <c r="O1106">
        <v>12.636363636363599</v>
      </c>
    </row>
    <row r="1107" spans="1:15" x14ac:dyDescent="0.25">
      <c r="A1107">
        <v>5</v>
      </c>
      <c r="B1107">
        <v>150</v>
      </c>
      <c r="C1107" t="s">
        <v>5327</v>
      </c>
      <c r="D1107" t="s">
        <v>741</v>
      </c>
      <c r="E1107" t="s">
        <v>6208</v>
      </c>
      <c r="F1107">
        <v>46233.847222222219</v>
      </c>
      <c r="G1107">
        <v>264</v>
      </c>
      <c r="H1107" t="s">
        <v>6152</v>
      </c>
      <c r="I1107" t="s">
        <v>5358</v>
      </c>
      <c r="J1107">
        <v>93</v>
      </c>
      <c r="K1107">
        <v>584.97</v>
      </c>
      <c r="L1107">
        <v>837</v>
      </c>
      <c r="M1107">
        <v>844</v>
      </c>
      <c r="N1107">
        <v>7</v>
      </c>
      <c r="O1107">
        <v>13.285714285714301</v>
      </c>
    </row>
    <row r="1108" spans="1:15" x14ac:dyDescent="0.25">
      <c r="A1108">
        <v>5</v>
      </c>
      <c r="B1108">
        <v>150</v>
      </c>
      <c r="C1108" t="s">
        <v>5327</v>
      </c>
      <c r="D1108" t="s">
        <v>741</v>
      </c>
      <c r="E1108" t="s">
        <v>6208</v>
      </c>
      <c r="F1108">
        <v>46234.893055555556</v>
      </c>
      <c r="G1108">
        <v>264</v>
      </c>
      <c r="H1108" t="s">
        <v>6152</v>
      </c>
      <c r="I1108" t="s">
        <v>5358</v>
      </c>
      <c r="J1108">
        <v>138</v>
      </c>
      <c r="K1108">
        <v>868.02</v>
      </c>
      <c r="L1108">
        <v>844</v>
      </c>
      <c r="M1108">
        <v>854</v>
      </c>
      <c r="N1108">
        <v>10</v>
      </c>
      <c r="O1108">
        <v>13.8</v>
      </c>
    </row>
    <row r="1109" spans="1:15" x14ac:dyDescent="0.25">
      <c r="A1109">
        <v>5</v>
      </c>
      <c r="B1109">
        <v>150</v>
      </c>
      <c r="C1109" t="s">
        <v>5327</v>
      </c>
      <c r="D1109" t="s">
        <v>738</v>
      </c>
      <c r="E1109" t="s">
        <v>6209</v>
      </c>
      <c r="F1109">
        <v>46210.85</v>
      </c>
      <c r="G1109">
        <v>264</v>
      </c>
      <c r="H1109" t="s">
        <v>6152</v>
      </c>
      <c r="I1109" t="s">
        <v>5358</v>
      </c>
      <c r="J1109">
        <v>162</v>
      </c>
      <c r="K1109">
        <v>1018.98</v>
      </c>
      <c r="L1109">
        <v>3943</v>
      </c>
      <c r="M1109">
        <v>3956</v>
      </c>
      <c r="N1109">
        <v>13</v>
      </c>
      <c r="O1109">
        <v>12.461538461538501</v>
      </c>
    </row>
    <row r="1110" spans="1:15" x14ac:dyDescent="0.25">
      <c r="A1110">
        <v>5</v>
      </c>
      <c r="B1110">
        <v>150</v>
      </c>
      <c r="C1110" t="s">
        <v>5327</v>
      </c>
      <c r="D1110" t="s">
        <v>738</v>
      </c>
      <c r="E1110" t="s">
        <v>6209</v>
      </c>
      <c r="F1110">
        <v>46212.777777777781</v>
      </c>
      <c r="G1110">
        <v>264</v>
      </c>
      <c r="H1110" t="s">
        <v>6152</v>
      </c>
      <c r="I1110" t="s">
        <v>5358</v>
      </c>
      <c r="J1110">
        <v>107</v>
      </c>
      <c r="K1110">
        <v>673.03</v>
      </c>
      <c r="L1110">
        <v>3956</v>
      </c>
      <c r="M1110">
        <v>3964</v>
      </c>
      <c r="N1110">
        <v>8</v>
      </c>
      <c r="O1110">
        <v>13.375</v>
      </c>
    </row>
    <row r="1111" spans="1:15" x14ac:dyDescent="0.25">
      <c r="A1111">
        <v>5</v>
      </c>
      <c r="B1111">
        <v>150</v>
      </c>
      <c r="C1111" t="s">
        <v>5327</v>
      </c>
      <c r="D1111" t="s">
        <v>738</v>
      </c>
      <c r="E1111" t="s">
        <v>6209</v>
      </c>
      <c r="F1111">
        <v>46213.82708333333</v>
      </c>
      <c r="G1111">
        <v>264</v>
      </c>
      <c r="H1111" t="s">
        <v>6152</v>
      </c>
      <c r="I1111" t="s">
        <v>5358</v>
      </c>
      <c r="J1111">
        <v>152</v>
      </c>
      <c r="K1111">
        <v>956.08</v>
      </c>
      <c r="L1111">
        <v>3964</v>
      </c>
      <c r="M1111">
        <v>3977</v>
      </c>
      <c r="N1111">
        <v>13</v>
      </c>
      <c r="O1111">
        <v>11.692307692307701</v>
      </c>
    </row>
    <row r="1112" spans="1:15" x14ac:dyDescent="0.25">
      <c r="A1112">
        <v>5</v>
      </c>
      <c r="B1112">
        <v>150</v>
      </c>
      <c r="C1112" t="s">
        <v>5327</v>
      </c>
      <c r="D1112" t="s">
        <v>738</v>
      </c>
      <c r="E1112" t="s">
        <v>6209</v>
      </c>
      <c r="F1112">
        <v>46214.745138888888</v>
      </c>
      <c r="G1112">
        <v>264</v>
      </c>
      <c r="H1112" t="s">
        <v>6152</v>
      </c>
      <c r="I1112" t="s">
        <v>5358</v>
      </c>
      <c r="J1112">
        <v>69</v>
      </c>
      <c r="K1112">
        <v>434.01</v>
      </c>
      <c r="L1112">
        <v>3977</v>
      </c>
      <c r="M1112">
        <v>3982</v>
      </c>
      <c r="N1112">
        <v>5</v>
      </c>
      <c r="O1112">
        <v>13.8</v>
      </c>
    </row>
    <row r="1113" spans="1:15" x14ac:dyDescent="0.25">
      <c r="A1113">
        <v>5</v>
      </c>
      <c r="B1113">
        <v>150</v>
      </c>
      <c r="C1113" t="s">
        <v>5327</v>
      </c>
      <c r="D1113" t="s">
        <v>738</v>
      </c>
      <c r="E1113" t="s">
        <v>6209</v>
      </c>
      <c r="F1113">
        <v>46216.870138888888</v>
      </c>
      <c r="G1113">
        <v>264</v>
      </c>
      <c r="H1113" t="s">
        <v>6152</v>
      </c>
      <c r="I1113" t="s">
        <v>5358</v>
      </c>
      <c r="J1113">
        <v>71</v>
      </c>
      <c r="K1113">
        <v>446.59</v>
      </c>
      <c r="L1113">
        <v>3982</v>
      </c>
      <c r="M1113">
        <v>3988</v>
      </c>
      <c r="N1113">
        <v>6</v>
      </c>
      <c r="O1113">
        <v>11.8333333333333</v>
      </c>
    </row>
    <row r="1114" spans="1:15" x14ac:dyDescent="0.25">
      <c r="A1114">
        <v>5</v>
      </c>
      <c r="B1114">
        <v>150</v>
      </c>
      <c r="C1114" t="s">
        <v>5327</v>
      </c>
      <c r="D1114" t="s">
        <v>738</v>
      </c>
      <c r="E1114" t="s">
        <v>6209</v>
      </c>
      <c r="F1114">
        <v>46218.86041666667</v>
      </c>
      <c r="G1114">
        <v>264</v>
      </c>
      <c r="H1114" t="s">
        <v>6152</v>
      </c>
      <c r="I1114" t="s">
        <v>5358</v>
      </c>
      <c r="J1114">
        <v>113</v>
      </c>
      <c r="K1114">
        <v>710.77</v>
      </c>
      <c r="L1114">
        <v>3988</v>
      </c>
      <c r="M1114">
        <v>3996</v>
      </c>
      <c r="N1114">
        <v>8</v>
      </c>
      <c r="O1114">
        <v>14.125</v>
      </c>
    </row>
    <row r="1115" spans="1:15" x14ac:dyDescent="0.25">
      <c r="A1115">
        <v>5</v>
      </c>
      <c r="B1115">
        <v>150</v>
      </c>
      <c r="C1115" t="s">
        <v>5327</v>
      </c>
      <c r="D1115" t="s">
        <v>738</v>
      </c>
      <c r="E1115" t="s">
        <v>6209</v>
      </c>
      <c r="F1115">
        <v>46220.84652777778</v>
      </c>
      <c r="G1115">
        <v>264</v>
      </c>
      <c r="H1115" t="s">
        <v>6152</v>
      </c>
      <c r="I1115" t="s">
        <v>5358</v>
      </c>
      <c r="J1115">
        <v>124</v>
      </c>
      <c r="K1115">
        <v>779.96</v>
      </c>
      <c r="L1115">
        <v>3996</v>
      </c>
      <c r="M1115">
        <v>4005</v>
      </c>
      <c r="N1115">
        <v>9</v>
      </c>
      <c r="O1115">
        <v>13.7777777777778</v>
      </c>
    </row>
    <row r="1116" spans="1:15" x14ac:dyDescent="0.25">
      <c r="A1116">
        <v>5</v>
      </c>
      <c r="B1116">
        <v>150</v>
      </c>
      <c r="C1116" t="s">
        <v>5327</v>
      </c>
      <c r="D1116" t="s">
        <v>738</v>
      </c>
      <c r="E1116" t="s">
        <v>6209</v>
      </c>
      <c r="F1116">
        <v>46223.862500000003</v>
      </c>
      <c r="G1116">
        <v>264</v>
      </c>
      <c r="H1116" t="s">
        <v>6152</v>
      </c>
      <c r="I1116" t="s">
        <v>5358</v>
      </c>
      <c r="J1116">
        <v>137</v>
      </c>
      <c r="K1116">
        <v>861.73</v>
      </c>
      <c r="L1116">
        <v>4005</v>
      </c>
      <c r="M1116">
        <v>4016</v>
      </c>
      <c r="N1116">
        <v>11</v>
      </c>
      <c r="O1116">
        <v>12.454545454545499</v>
      </c>
    </row>
    <row r="1117" spans="1:15" x14ac:dyDescent="0.25">
      <c r="A1117">
        <v>5</v>
      </c>
      <c r="B1117">
        <v>150</v>
      </c>
      <c r="C1117" t="s">
        <v>5327</v>
      </c>
      <c r="D1117" t="s">
        <v>738</v>
      </c>
      <c r="E1117" t="s">
        <v>6209</v>
      </c>
      <c r="F1117">
        <v>46224.80972222222</v>
      </c>
      <c r="G1117">
        <v>264</v>
      </c>
      <c r="H1117" t="s">
        <v>6152</v>
      </c>
      <c r="I1117" t="s">
        <v>5358</v>
      </c>
      <c r="J1117">
        <v>76</v>
      </c>
      <c r="K1117">
        <v>478.04</v>
      </c>
      <c r="L1117">
        <v>4016</v>
      </c>
      <c r="M1117">
        <v>4022</v>
      </c>
      <c r="N1117">
        <v>6</v>
      </c>
      <c r="O1117">
        <v>12.6666666666667</v>
      </c>
    </row>
    <row r="1118" spans="1:15" x14ac:dyDescent="0.25">
      <c r="A1118">
        <v>5</v>
      </c>
      <c r="B1118">
        <v>150</v>
      </c>
      <c r="C1118" t="s">
        <v>5327</v>
      </c>
      <c r="D1118" t="s">
        <v>738</v>
      </c>
      <c r="E1118" t="s">
        <v>6209</v>
      </c>
      <c r="F1118">
        <v>46226.711111111108</v>
      </c>
      <c r="G1118">
        <v>264</v>
      </c>
      <c r="H1118" t="s">
        <v>6152</v>
      </c>
      <c r="I1118" t="s">
        <v>5358</v>
      </c>
      <c r="J1118">
        <v>99</v>
      </c>
      <c r="K1118">
        <v>622.71</v>
      </c>
      <c r="L1118">
        <v>4022</v>
      </c>
      <c r="M1118">
        <v>4031</v>
      </c>
      <c r="N1118">
        <v>9</v>
      </c>
      <c r="O1118">
        <v>11</v>
      </c>
    </row>
    <row r="1119" spans="1:15" x14ac:dyDescent="0.25">
      <c r="A1119">
        <v>5</v>
      </c>
      <c r="B1119">
        <v>150</v>
      </c>
      <c r="C1119" t="s">
        <v>5327</v>
      </c>
      <c r="D1119" t="s">
        <v>226</v>
      </c>
      <c r="E1119" t="s">
        <v>6205</v>
      </c>
      <c r="F1119">
        <v>46210.497916666667</v>
      </c>
      <c r="G1119">
        <v>264</v>
      </c>
      <c r="H1119" t="s">
        <v>6152</v>
      </c>
      <c r="I1119" t="s">
        <v>5358</v>
      </c>
      <c r="J1119">
        <v>46</v>
      </c>
      <c r="K1119">
        <v>289.33999999999997</v>
      </c>
      <c r="L1119">
        <v>391</v>
      </c>
      <c r="M1119">
        <v>401</v>
      </c>
      <c r="N1119">
        <v>10</v>
      </c>
      <c r="O1119">
        <v>4.5999999999999996</v>
      </c>
    </row>
    <row r="1120" spans="1:15" x14ac:dyDescent="0.25">
      <c r="A1120">
        <v>5</v>
      </c>
      <c r="B1120">
        <v>150</v>
      </c>
      <c r="C1120" t="s">
        <v>5327</v>
      </c>
      <c r="D1120" t="s">
        <v>226</v>
      </c>
      <c r="E1120" t="s">
        <v>6205</v>
      </c>
      <c r="F1120">
        <v>46216.498611111114</v>
      </c>
      <c r="G1120">
        <v>264</v>
      </c>
      <c r="H1120" t="s">
        <v>6152</v>
      </c>
      <c r="I1120" t="s">
        <v>5358</v>
      </c>
      <c r="J1120">
        <v>54</v>
      </c>
      <c r="K1120">
        <v>339.66</v>
      </c>
      <c r="L1120">
        <v>401</v>
      </c>
      <c r="M1120">
        <v>411</v>
      </c>
      <c r="N1120">
        <v>10</v>
      </c>
      <c r="O1120">
        <v>5.4</v>
      </c>
    </row>
    <row r="1121" spans="1:15" x14ac:dyDescent="0.25">
      <c r="A1121">
        <v>5</v>
      </c>
      <c r="B1121">
        <v>150</v>
      </c>
      <c r="C1121" t="s">
        <v>5327</v>
      </c>
      <c r="D1121" t="s">
        <v>226</v>
      </c>
      <c r="E1121" t="s">
        <v>6205</v>
      </c>
      <c r="F1121">
        <v>46218.46597222222</v>
      </c>
      <c r="G1121">
        <v>129</v>
      </c>
      <c r="H1121" t="s">
        <v>6164</v>
      </c>
      <c r="I1121" t="s">
        <v>5358</v>
      </c>
      <c r="J1121">
        <v>78</v>
      </c>
      <c r="K1121">
        <v>490.62</v>
      </c>
      <c r="L1121">
        <v>411</v>
      </c>
      <c r="M1121">
        <v>426</v>
      </c>
      <c r="N1121">
        <v>15</v>
      </c>
      <c r="O1121">
        <v>5.2</v>
      </c>
    </row>
    <row r="1122" spans="1:15" x14ac:dyDescent="0.25">
      <c r="A1122">
        <v>5</v>
      </c>
      <c r="B1122">
        <v>150</v>
      </c>
      <c r="C1122" t="s">
        <v>5327</v>
      </c>
      <c r="D1122" t="s">
        <v>226</v>
      </c>
      <c r="E1122" t="s">
        <v>6205</v>
      </c>
      <c r="F1122">
        <v>46220.509027777778</v>
      </c>
      <c r="G1122">
        <v>129</v>
      </c>
      <c r="H1122" t="s">
        <v>6164</v>
      </c>
      <c r="I1122" t="s">
        <v>5358</v>
      </c>
      <c r="J1122">
        <v>72</v>
      </c>
      <c r="K1122">
        <v>452.88</v>
      </c>
      <c r="L1122">
        <v>426</v>
      </c>
      <c r="M1122">
        <v>426</v>
      </c>
      <c r="N1122">
        <v>0</v>
      </c>
      <c r="O1122">
        <v>0</v>
      </c>
    </row>
    <row r="1123" spans="1:15" x14ac:dyDescent="0.25">
      <c r="A1123">
        <v>5</v>
      </c>
      <c r="B1123">
        <v>150</v>
      </c>
      <c r="C1123" t="s">
        <v>5327</v>
      </c>
      <c r="D1123" t="s">
        <v>226</v>
      </c>
      <c r="E1123" t="s">
        <v>6205</v>
      </c>
      <c r="F1123">
        <v>46223.411805555559</v>
      </c>
      <c r="G1123">
        <v>129</v>
      </c>
      <c r="H1123" t="s">
        <v>6164</v>
      </c>
      <c r="I1123" t="s">
        <v>5358</v>
      </c>
      <c r="J1123">
        <v>70</v>
      </c>
      <c r="K1123">
        <v>440.3</v>
      </c>
      <c r="L1123">
        <v>426</v>
      </c>
      <c r="M1123">
        <v>455</v>
      </c>
      <c r="N1123">
        <v>29</v>
      </c>
      <c r="O1123">
        <v>2.4137931034482798</v>
      </c>
    </row>
    <row r="1124" spans="1:15" x14ac:dyDescent="0.25">
      <c r="A1124">
        <v>5</v>
      </c>
      <c r="B1124">
        <v>150</v>
      </c>
      <c r="C1124" t="s">
        <v>5327</v>
      </c>
      <c r="D1124" t="s">
        <v>226</v>
      </c>
      <c r="E1124" t="s">
        <v>6205</v>
      </c>
      <c r="F1124">
        <v>46231.604861111111</v>
      </c>
      <c r="G1124">
        <v>129</v>
      </c>
      <c r="H1124" t="s">
        <v>6164</v>
      </c>
      <c r="I1124" t="s">
        <v>5358</v>
      </c>
      <c r="J1124">
        <v>70</v>
      </c>
      <c r="K1124">
        <v>440.3</v>
      </c>
      <c r="L1124">
        <v>455</v>
      </c>
      <c r="M1124">
        <v>468</v>
      </c>
      <c r="N1124">
        <v>13</v>
      </c>
      <c r="O1124">
        <v>5.3846153846153904</v>
      </c>
    </row>
    <row r="1125" spans="1:15" x14ac:dyDescent="0.25">
      <c r="A1125">
        <v>5</v>
      </c>
      <c r="B1125">
        <v>150</v>
      </c>
      <c r="C1125" t="s">
        <v>5327</v>
      </c>
      <c r="D1125" t="s">
        <v>226</v>
      </c>
      <c r="E1125" t="s">
        <v>6205</v>
      </c>
      <c r="F1125">
        <v>46233.598611111112</v>
      </c>
      <c r="G1125">
        <v>232</v>
      </c>
      <c r="H1125" t="s">
        <v>6155</v>
      </c>
      <c r="I1125" t="s">
        <v>5358</v>
      </c>
      <c r="J1125">
        <v>87</v>
      </c>
      <c r="K1125">
        <v>547.23</v>
      </c>
      <c r="L1125">
        <v>468</v>
      </c>
      <c r="M1125">
        <v>487</v>
      </c>
      <c r="N1125">
        <v>19</v>
      </c>
      <c r="O1125">
        <v>4.5789473684210504</v>
      </c>
    </row>
    <row r="1126" spans="1:15" x14ac:dyDescent="0.25">
      <c r="A1126">
        <v>5</v>
      </c>
      <c r="B1126">
        <v>150</v>
      </c>
      <c r="C1126" t="s">
        <v>5327</v>
      </c>
      <c r="D1126" t="s">
        <v>226</v>
      </c>
      <c r="E1126" t="s">
        <v>6205</v>
      </c>
      <c r="F1126">
        <v>46233.62777777778</v>
      </c>
      <c r="G1126">
        <v>129</v>
      </c>
      <c r="H1126" t="s">
        <v>6164</v>
      </c>
      <c r="I1126" t="s">
        <v>5358</v>
      </c>
      <c r="J1126">
        <v>60</v>
      </c>
      <c r="K1126">
        <v>377.4</v>
      </c>
      <c r="L1126">
        <v>487</v>
      </c>
      <c r="M1126">
        <v>496</v>
      </c>
      <c r="N1126">
        <v>9</v>
      </c>
      <c r="O1126">
        <v>6.6666666666666696</v>
      </c>
    </row>
    <row r="1127" spans="1:15" x14ac:dyDescent="0.25">
      <c r="A1127">
        <v>5</v>
      </c>
      <c r="B1127">
        <v>192</v>
      </c>
      <c r="C1127" t="s">
        <v>5338</v>
      </c>
      <c r="D1127" t="s">
        <v>259</v>
      </c>
      <c r="E1127" t="s">
        <v>6210</v>
      </c>
      <c r="F1127">
        <v>46205.831250000003</v>
      </c>
      <c r="G1127">
        <v>264</v>
      </c>
      <c r="H1127" t="s">
        <v>6152</v>
      </c>
      <c r="I1127" t="s">
        <v>5358</v>
      </c>
      <c r="J1127">
        <v>144</v>
      </c>
      <c r="K1127">
        <v>885.6</v>
      </c>
      <c r="L1127">
        <v>10333</v>
      </c>
      <c r="M1127">
        <v>10348</v>
      </c>
      <c r="N1127">
        <v>15</v>
      </c>
      <c r="O1127">
        <v>9.6</v>
      </c>
    </row>
    <row r="1128" spans="1:15" x14ac:dyDescent="0.25">
      <c r="A1128">
        <v>5</v>
      </c>
      <c r="B1128">
        <v>192</v>
      </c>
      <c r="C1128" t="s">
        <v>5338</v>
      </c>
      <c r="D1128" t="s">
        <v>259</v>
      </c>
      <c r="E1128" t="s">
        <v>6210</v>
      </c>
      <c r="F1128">
        <v>46205.842361111114</v>
      </c>
      <c r="G1128">
        <v>264</v>
      </c>
      <c r="H1128" t="s">
        <v>6152</v>
      </c>
      <c r="I1128" t="s">
        <v>5358</v>
      </c>
      <c r="J1128">
        <v>145</v>
      </c>
      <c r="K1128">
        <v>891.75</v>
      </c>
      <c r="L1128">
        <v>10348</v>
      </c>
      <c r="M1128">
        <v>10357</v>
      </c>
      <c r="N1128">
        <v>9</v>
      </c>
      <c r="O1128">
        <v>16.1111111111111</v>
      </c>
    </row>
    <row r="1129" spans="1:15" x14ac:dyDescent="0.25">
      <c r="A1129">
        <v>5</v>
      </c>
      <c r="B1129">
        <v>192</v>
      </c>
      <c r="C1129" t="s">
        <v>5338</v>
      </c>
      <c r="D1129" t="s">
        <v>259</v>
      </c>
      <c r="E1129" t="s">
        <v>6210</v>
      </c>
      <c r="F1129">
        <v>46207.887499999997</v>
      </c>
      <c r="G1129">
        <v>264</v>
      </c>
      <c r="H1129" t="s">
        <v>6152</v>
      </c>
      <c r="I1129" t="s">
        <v>5358</v>
      </c>
      <c r="J1129">
        <v>60</v>
      </c>
      <c r="K1129">
        <v>369</v>
      </c>
      <c r="L1129">
        <v>10357</v>
      </c>
      <c r="M1129">
        <v>10361</v>
      </c>
      <c r="N1129">
        <v>4</v>
      </c>
      <c r="O1129">
        <v>15</v>
      </c>
    </row>
    <row r="1130" spans="1:15" x14ac:dyDescent="0.25">
      <c r="A1130">
        <v>5</v>
      </c>
      <c r="B1130">
        <v>192</v>
      </c>
      <c r="C1130" t="s">
        <v>5338</v>
      </c>
      <c r="D1130" t="s">
        <v>259</v>
      </c>
      <c r="E1130" t="s">
        <v>6210</v>
      </c>
      <c r="F1130">
        <v>46209.834722222222</v>
      </c>
      <c r="G1130">
        <v>264</v>
      </c>
      <c r="H1130" t="s">
        <v>6152</v>
      </c>
      <c r="I1130" t="s">
        <v>5358</v>
      </c>
      <c r="J1130">
        <v>130</v>
      </c>
      <c r="K1130">
        <v>799.5</v>
      </c>
      <c r="L1130">
        <v>10361</v>
      </c>
      <c r="M1130">
        <v>10377</v>
      </c>
      <c r="N1130">
        <v>16</v>
      </c>
      <c r="O1130">
        <v>8.125</v>
      </c>
    </row>
    <row r="1131" spans="1:15" x14ac:dyDescent="0.25">
      <c r="A1131">
        <v>5</v>
      </c>
      <c r="B1131">
        <v>192</v>
      </c>
      <c r="C1131" t="s">
        <v>5338</v>
      </c>
      <c r="D1131" t="s">
        <v>259</v>
      </c>
      <c r="E1131" t="s">
        <v>6210</v>
      </c>
      <c r="F1131">
        <v>46210.787499999999</v>
      </c>
      <c r="G1131">
        <v>264</v>
      </c>
      <c r="H1131" t="s">
        <v>6152</v>
      </c>
      <c r="I1131" t="s">
        <v>5358</v>
      </c>
      <c r="J1131">
        <v>82</v>
      </c>
      <c r="K1131">
        <v>504.3</v>
      </c>
      <c r="L1131">
        <v>10377</v>
      </c>
      <c r="M1131">
        <v>10386</v>
      </c>
      <c r="N1131">
        <v>9</v>
      </c>
      <c r="O1131">
        <v>9.1111111111111107</v>
      </c>
    </row>
    <row r="1132" spans="1:15" x14ac:dyDescent="0.25">
      <c r="A1132">
        <v>5</v>
      </c>
      <c r="B1132">
        <v>192</v>
      </c>
      <c r="C1132" t="s">
        <v>5338</v>
      </c>
      <c r="D1132" t="s">
        <v>259</v>
      </c>
      <c r="E1132" t="s">
        <v>6210</v>
      </c>
      <c r="F1132">
        <v>46211.833333333336</v>
      </c>
      <c r="G1132">
        <v>264</v>
      </c>
      <c r="H1132" t="s">
        <v>6152</v>
      </c>
      <c r="I1132" t="s">
        <v>5358</v>
      </c>
      <c r="J1132">
        <v>86</v>
      </c>
      <c r="K1132">
        <v>528.9</v>
      </c>
      <c r="L1132">
        <v>10386</v>
      </c>
      <c r="M1132">
        <v>10393</v>
      </c>
      <c r="N1132">
        <v>7</v>
      </c>
      <c r="O1132">
        <v>12.285714285714301</v>
      </c>
    </row>
    <row r="1133" spans="1:15" x14ac:dyDescent="0.25">
      <c r="A1133">
        <v>5</v>
      </c>
      <c r="B1133">
        <v>192</v>
      </c>
      <c r="C1133" t="s">
        <v>5338</v>
      </c>
      <c r="D1133" t="s">
        <v>259</v>
      </c>
      <c r="E1133" t="s">
        <v>6210</v>
      </c>
      <c r="F1133">
        <v>46213.82916666667</v>
      </c>
      <c r="G1133">
        <v>264</v>
      </c>
      <c r="H1133" t="s">
        <v>6152</v>
      </c>
      <c r="I1133" t="s">
        <v>5358</v>
      </c>
      <c r="J1133">
        <v>134</v>
      </c>
      <c r="K1133">
        <v>824.1</v>
      </c>
      <c r="L1133">
        <v>10393</v>
      </c>
      <c r="M1133">
        <v>10411</v>
      </c>
      <c r="N1133">
        <v>18</v>
      </c>
      <c r="O1133">
        <v>7.4444444444444402</v>
      </c>
    </row>
    <row r="1134" spans="1:15" x14ac:dyDescent="0.25">
      <c r="A1134">
        <v>5</v>
      </c>
      <c r="B1134">
        <v>192</v>
      </c>
      <c r="C1134" t="s">
        <v>5338</v>
      </c>
      <c r="D1134" t="s">
        <v>259</v>
      </c>
      <c r="E1134" t="s">
        <v>6210</v>
      </c>
      <c r="F1134">
        <v>46216.863888888889</v>
      </c>
      <c r="G1134">
        <v>264</v>
      </c>
      <c r="H1134" t="s">
        <v>6152</v>
      </c>
      <c r="I1134" t="s">
        <v>5358</v>
      </c>
      <c r="J1134">
        <v>135</v>
      </c>
      <c r="K1134">
        <v>830.25</v>
      </c>
      <c r="L1134">
        <v>10411</v>
      </c>
      <c r="M1134">
        <v>10425</v>
      </c>
      <c r="N1134">
        <v>14</v>
      </c>
      <c r="O1134">
        <v>9.6428571428571406</v>
      </c>
    </row>
    <row r="1135" spans="1:15" x14ac:dyDescent="0.25">
      <c r="A1135">
        <v>5</v>
      </c>
      <c r="B1135">
        <v>192</v>
      </c>
      <c r="C1135" t="s">
        <v>5338</v>
      </c>
      <c r="D1135" t="s">
        <v>259</v>
      </c>
      <c r="E1135" t="s">
        <v>6210</v>
      </c>
      <c r="F1135">
        <v>46218.856944444444</v>
      </c>
      <c r="G1135">
        <v>264</v>
      </c>
      <c r="H1135" t="s">
        <v>6152</v>
      </c>
      <c r="I1135" t="s">
        <v>5358</v>
      </c>
      <c r="J1135">
        <v>158</v>
      </c>
      <c r="K1135">
        <v>971.7</v>
      </c>
      <c r="L1135">
        <v>10425</v>
      </c>
      <c r="M1135">
        <v>10443</v>
      </c>
      <c r="N1135">
        <v>18</v>
      </c>
      <c r="O1135">
        <v>8.7777777777777803</v>
      </c>
    </row>
    <row r="1136" spans="1:15" x14ac:dyDescent="0.25">
      <c r="A1136">
        <v>5</v>
      </c>
      <c r="B1136">
        <v>192</v>
      </c>
      <c r="C1136" t="s">
        <v>5338</v>
      </c>
      <c r="D1136" t="s">
        <v>259</v>
      </c>
      <c r="E1136" t="s">
        <v>6210</v>
      </c>
      <c r="F1136">
        <v>46219.870138888888</v>
      </c>
      <c r="G1136">
        <v>264</v>
      </c>
      <c r="H1136" t="s">
        <v>6152</v>
      </c>
      <c r="I1136" t="s">
        <v>5358</v>
      </c>
      <c r="J1136">
        <v>60</v>
      </c>
      <c r="K1136">
        <v>369</v>
      </c>
      <c r="L1136">
        <v>10443</v>
      </c>
      <c r="M1136">
        <v>10451</v>
      </c>
      <c r="N1136">
        <v>8</v>
      </c>
      <c r="O1136">
        <v>7.5</v>
      </c>
    </row>
    <row r="1137" spans="1:15" x14ac:dyDescent="0.25">
      <c r="A1137">
        <v>5</v>
      </c>
      <c r="B1137">
        <v>192</v>
      </c>
      <c r="C1137" t="s">
        <v>5338</v>
      </c>
      <c r="D1137" t="s">
        <v>259</v>
      </c>
      <c r="E1137" t="s">
        <v>6210</v>
      </c>
      <c r="F1137">
        <v>46221.904166666667</v>
      </c>
      <c r="G1137">
        <v>264</v>
      </c>
      <c r="H1137" t="s">
        <v>6152</v>
      </c>
      <c r="I1137" t="s">
        <v>5358</v>
      </c>
      <c r="J1137">
        <v>141</v>
      </c>
      <c r="K1137">
        <v>874.2</v>
      </c>
      <c r="L1137">
        <v>10451</v>
      </c>
      <c r="M1137">
        <v>10469</v>
      </c>
      <c r="N1137">
        <v>18</v>
      </c>
      <c r="O1137">
        <v>7.8333333333333304</v>
      </c>
    </row>
    <row r="1138" spans="1:15" x14ac:dyDescent="0.25">
      <c r="A1138">
        <v>5</v>
      </c>
      <c r="B1138">
        <v>192</v>
      </c>
      <c r="C1138" t="s">
        <v>5338</v>
      </c>
      <c r="D1138" t="s">
        <v>259</v>
      </c>
      <c r="E1138" t="s">
        <v>6210</v>
      </c>
      <c r="F1138">
        <v>46224.821527777778</v>
      </c>
      <c r="G1138">
        <v>264</v>
      </c>
      <c r="H1138" t="s">
        <v>6152</v>
      </c>
      <c r="I1138" t="s">
        <v>5358</v>
      </c>
      <c r="J1138">
        <v>156</v>
      </c>
      <c r="K1138">
        <v>984.36</v>
      </c>
      <c r="L1138">
        <v>10469</v>
      </c>
      <c r="M1138">
        <v>10493</v>
      </c>
      <c r="N1138">
        <v>24</v>
      </c>
      <c r="O1138">
        <v>6.5</v>
      </c>
    </row>
    <row r="1139" spans="1:15" x14ac:dyDescent="0.25">
      <c r="A1139">
        <v>5</v>
      </c>
      <c r="B1139">
        <v>192</v>
      </c>
      <c r="C1139" t="s">
        <v>5338</v>
      </c>
      <c r="D1139" t="s">
        <v>259</v>
      </c>
      <c r="E1139" t="s">
        <v>6210</v>
      </c>
      <c r="F1139">
        <v>46225.837500000001</v>
      </c>
      <c r="G1139">
        <v>264</v>
      </c>
      <c r="H1139" t="s">
        <v>6152</v>
      </c>
      <c r="I1139" t="s">
        <v>5358</v>
      </c>
      <c r="J1139">
        <v>127</v>
      </c>
      <c r="K1139">
        <v>801.37</v>
      </c>
      <c r="L1139">
        <v>10493</v>
      </c>
      <c r="M1139">
        <v>10499</v>
      </c>
      <c r="N1139">
        <v>6</v>
      </c>
      <c r="O1139">
        <v>21.1666666666667</v>
      </c>
    </row>
    <row r="1140" spans="1:15" x14ac:dyDescent="0.25">
      <c r="A1140">
        <v>5</v>
      </c>
      <c r="B1140">
        <v>192</v>
      </c>
      <c r="C1140" t="s">
        <v>5338</v>
      </c>
      <c r="D1140" t="s">
        <v>259</v>
      </c>
      <c r="E1140" t="s">
        <v>6210</v>
      </c>
      <c r="F1140">
        <v>46227.820833333331</v>
      </c>
      <c r="G1140">
        <v>264</v>
      </c>
      <c r="H1140" t="s">
        <v>6152</v>
      </c>
      <c r="I1140" t="s">
        <v>5358</v>
      </c>
      <c r="J1140">
        <v>125</v>
      </c>
      <c r="K1140">
        <v>788.75</v>
      </c>
      <c r="L1140">
        <v>10499</v>
      </c>
      <c r="M1140">
        <v>10506</v>
      </c>
      <c r="N1140">
        <v>7</v>
      </c>
      <c r="O1140">
        <v>17.8571428571429</v>
      </c>
    </row>
    <row r="1141" spans="1:15" x14ac:dyDescent="0.25">
      <c r="A1141">
        <v>5</v>
      </c>
      <c r="B1141">
        <v>192</v>
      </c>
      <c r="C1141" t="s">
        <v>5338</v>
      </c>
      <c r="D1141" t="s">
        <v>259</v>
      </c>
      <c r="E1141" t="s">
        <v>6210</v>
      </c>
      <c r="F1141">
        <v>46230.890277777777</v>
      </c>
      <c r="G1141">
        <v>264</v>
      </c>
      <c r="H1141" t="s">
        <v>6152</v>
      </c>
      <c r="I1141" t="s">
        <v>5358</v>
      </c>
      <c r="J1141">
        <v>113</v>
      </c>
      <c r="K1141">
        <v>709.64</v>
      </c>
      <c r="L1141">
        <v>10506</v>
      </c>
      <c r="M1141">
        <v>10513</v>
      </c>
      <c r="N1141">
        <v>7</v>
      </c>
      <c r="O1141">
        <v>16.1428571428571</v>
      </c>
    </row>
    <row r="1142" spans="1:15" x14ac:dyDescent="0.25">
      <c r="A1142">
        <v>5</v>
      </c>
      <c r="B1142">
        <v>192</v>
      </c>
      <c r="C1142" t="s">
        <v>5338</v>
      </c>
      <c r="D1142" t="s">
        <v>259</v>
      </c>
      <c r="E1142" t="s">
        <v>6210</v>
      </c>
      <c r="F1142">
        <v>46231.93472222222</v>
      </c>
      <c r="G1142">
        <v>264</v>
      </c>
      <c r="H1142" t="s">
        <v>6152</v>
      </c>
      <c r="I1142" t="s">
        <v>5358</v>
      </c>
      <c r="J1142">
        <v>184</v>
      </c>
      <c r="K1142">
        <v>1155.52</v>
      </c>
      <c r="L1142">
        <v>10513</v>
      </c>
      <c r="M1142">
        <v>10524</v>
      </c>
      <c r="N1142">
        <v>11</v>
      </c>
      <c r="O1142">
        <v>16.727272727272702</v>
      </c>
    </row>
    <row r="1143" spans="1:15" x14ac:dyDescent="0.25">
      <c r="A1143">
        <v>5</v>
      </c>
      <c r="B1143">
        <v>192</v>
      </c>
      <c r="C1143" t="s">
        <v>5338</v>
      </c>
      <c r="D1143" t="s">
        <v>259</v>
      </c>
      <c r="E1143" t="s">
        <v>6210</v>
      </c>
      <c r="F1143">
        <v>46232.899305555555</v>
      </c>
      <c r="G1143">
        <v>264</v>
      </c>
      <c r="H1143" t="s">
        <v>6152</v>
      </c>
      <c r="I1143" t="s">
        <v>5358</v>
      </c>
      <c r="J1143">
        <v>239</v>
      </c>
      <c r="K1143">
        <v>1500.92</v>
      </c>
      <c r="L1143">
        <v>10524</v>
      </c>
      <c r="M1143">
        <v>10535</v>
      </c>
      <c r="N1143">
        <v>11</v>
      </c>
      <c r="O1143">
        <v>21.727272727272702</v>
      </c>
    </row>
    <row r="1144" spans="1:15" x14ac:dyDescent="0.25">
      <c r="A1144">
        <v>5</v>
      </c>
      <c r="B1144">
        <v>192</v>
      </c>
      <c r="C1144" t="s">
        <v>5338</v>
      </c>
      <c r="D1144" t="s">
        <v>259</v>
      </c>
      <c r="E1144" t="s">
        <v>6210</v>
      </c>
      <c r="F1144">
        <v>46233.861805555556</v>
      </c>
      <c r="G1144">
        <v>264</v>
      </c>
      <c r="H1144" t="s">
        <v>6152</v>
      </c>
      <c r="I1144" t="s">
        <v>5358</v>
      </c>
      <c r="J1144">
        <v>214</v>
      </c>
      <c r="K1144">
        <v>1343.92</v>
      </c>
      <c r="L1144">
        <v>10535</v>
      </c>
      <c r="M1144">
        <v>10546</v>
      </c>
      <c r="N1144">
        <v>11</v>
      </c>
      <c r="O1144">
        <v>19.454545454545499</v>
      </c>
    </row>
    <row r="1145" spans="1:15" x14ac:dyDescent="0.25">
      <c r="A1145">
        <v>5</v>
      </c>
      <c r="B1145">
        <v>192</v>
      </c>
      <c r="C1145" t="s">
        <v>5338</v>
      </c>
      <c r="D1145" t="s">
        <v>259</v>
      </c>
      <c r="E1145" t="s">
        <v>6210</v>
      </c>
      <c r="F1145">
        <v>46234.905555555553</v>
      </c>
      <c r="G1145">
        <v>264</v>
      </c>
      <c r="H1145" t="s">
        <v>6152</v>
      </c>
      <c r="I1145" t="s">
        <v>5358</v>
      </c>
      <c r="J1145">
        <v>209</v>
      </c>
      <c r="K1145">
        <v>1312.52</v>
      </c>
      <c r="L1145">
        <v>10546</v>
      </c>
      <c r="M1145">
        <v>10557</v>
      </c>
      <c r="N1145">
        <v>11</v>
      </c>
      <c r="O1145">
        <v>19</v>
      </c>
    </row>
    <row r="1146" spans="1:15" x14ac:dyDescent="0.25">
      <c r="A1146">
        <v>5</v>
      </c>
      <c r="B1146">
        <v>488</v>
      </c>
      <c r="C1146" t="s">
        <v>5299</v>
      </c>
      <c r="D1146" t="s">
        <v>182</v>
      </c>
      <c r="E1146" t="s">
        <v>6198</v>
      </c>
      <c r="F1146">
        <v>46204.523611111108</v>
      </c>
      <c r="G1146">
        <v>129</v>
      </c>
      <c r="H1146" t="s">
        <v>6164</v>
      </c>
      <c r="I1146" t="s">
        <v>5358</v>
      </c>
      <c r="J1146">
        <v>44</v>
      </c>
      <c r="K1146">
        <v>271.92</v>
      </c>
      <c r="L1146">
        <v>1130</v>
      </c>
      <c r="M1146">
        <v>1135</v>
      </c>
      <c r="N1146">
        <v>5</v>
      </c>
      <c r="O1146">
        <v>8.8000000000000007</v>
      </c>
    </row>
    <row r="1147" spans="1:15" x14ac:dyDescent="0.25">
      <c r="A1147">
        <v>5</v>
      </c>
      <c r="B1147">
        <v>488</v>
      </c>
      <c r="C1147" t="s">
        <v>5299</v>
      </c>
      <c r="D1147" t="s">
        <v>182</v>
      </c>
      <c r="E1147" t="s">
        <v>6198</v>
      </c>
      <c r="F1147">
        <v>46204.527777777781</v>
      </c>
      <c r="G1147">
        <v>129</v>
      </c>
      <c r="H1147" t="s">
        <v>6164</v>
      </c>
      <c r="I1147" t="s">
        <v>5358</v>
      </c>
      <c r="J1147">
        <v>28</v>
      </c>
      <c r="K1147">
        <v>173.04</v>
      </c>
      <c r="L1147">
        <v>1135</v>
      </c>
      <c r="M1147">
        <v>1137</v>
      </c>
      <c r="N1147">
        <v>2</v>
      </c>
      <c r="O1147">
        <v>14</v>
      </c>
    </row>
    <row r="1148" spans="1:15" x14ac:dyDescent="0.25">
      <c r="A1148">
        <v>5</v>
      </c>
      <c r="B1148">
        <v>488</v>
      </c>
      <c r="C1148" t="s">
        <v>5299</v>
      </c>
      <c r="D1148" t="s">
        <v>182</v>
      </c>
      <c r="E1148" t="s">
        <v>6198</v>
      </c>
      <c r="F1148">
        <v>46204.538888888892</v>
      </c>
      <c r="G1148">
        <v>188</v>
      </c>
      <c r="H1148" t="s">
        <v>6173</v>
      </c>
      <c r="I1148" t="s">
        <v>5358</v>
      </c>
      <c r="J1148">
        <v>44</v>
      </c>
      <c r="K1148">
        <v>0.01</v>
      </c>
      <c r="L1148">
        <v>1137</v>
      </c>
      <c r="M1148">
        <v>1135</v>
      </c>
      <c r="N1148">
        <v>0</v>
      </c>
      <c r="O1148">
        <v>0</v>
      </c>
    </row>
    <row r="1149" spans="1:15" x14ac:dyDescent="0.25">
      <c r="A1149">
        <v>5</v>
      </c>
      <c r="B1149">
        <v>488</v>
      </c>
      <c r="C1149" t="s">
        <v>5299</v>
      </c>
      <c r="D1149" t="s">
        <v>182</v>
      </c>
      <c r="E1149" t="s">
        <v>6198</v>
      </c>
      <c r="F1149">
        <v>46205.51666666667</v>
      </c>
      <c r="G1149">
        <v>129</v>
      </c>
      <c r="H1149" t="s">
        <v>6164</v>
      </c>
      <c r="I1149" t="s">
        <v>5358</v>
      </c>
      <c r="J1149">
        <v>58</v>
      </c>
      <c r="K1149">
        <v>358.44</v>
      </c>
      <c r="L1149">
        <v>1135</v>
      </c>
      <c r="M1149">
        <v>1142</v>
      </c>
      <c r="N1149">
        <v>7</v>
      </c>
      <c r="O1149">
        <v>8.28571428571429</v>
      </c>
    </row>
    <row r="1150" spans="1:15" x14ac:dyDescent="0.25">
      <c r="A1150">
        <v>5</v>
      </c>
      <c r="B1150">
        <v>488</v>
      </c>
      <c r="C1150" t="s">
        <v>5299</v>
      </c>
      <c r="D1150" t="s">
        <v>182</v>
      </c>
      <c r="E1150" t="s">
        <v>6198</v>
      </c>
      <c r="F1150">
        <v>46205.520138888889</v>
      </c>
      <c r="G1150">
        <v>129</v>
      </c>
      <c r="H1150" t="s">
        <v>6164</v>
      </c>
      <c r="I1150" t="s">
        <v>5358</v>
      </c>
      <c r="J1150">
        <v>35</v>
      </c>
      <c r="K1150">
        <v>216.3</v>
      </c>
      <c r="L1150">
        <v>1142</v>
      </c>
      <c r="M1150">
        <v>1146</v>
      </c>
      <c r="N1150">
        <v>4</v>
      </c>
      <c r="O1150">
        <v>8.75</v>
      </c>
    </row>
    <row r="1151" spans="1:15" x14ac:dyDescent="0.25">
      <c r="A1151">
        <v>5</v>
      </c>
      <c r="B1151">
        <v>488</v>
      </c>
      <c r="C1151" t="s">
        <v>5299</v>
      </c>
      <c r="D1151" t="s">
        <v>182</v>
      </c>
      <c r="E1151" t="s">
        <v>6198</v>
      </c>
      <c r="F1151">
        <v>46205.618055555555</v>
      </c>
      <c r="G1151">
        <v>188</v>
      </c>
      <c r="H1151" t="s">
        <v>6173</v>
      </c>
      <c r="I1151" t="s">
        <v>5358</v>
      </c>
      <c r="J1151">
        <v>58</v>
      </c>
      <c r="K1151">
        <v>0.01</v>
      </c>
      <c r="L1151">
        <v>1146</v>
      </c>
      <c r="M1151">
        <v>1142</v>
      </c>
      <c r="N1151">
        <v>0</v>
      </c>
      <c r="O1151">
        <v>0</v>
      </c>
    </row>
    <row r="1152" spans="1:15" x14ac:dyDescent="0.25">
      <c r="A1152">
        <v>5</v>
      </c>
      <c r="B1152">
        <v>488</v>
      </c>
      <c r="C1152" t="s">
        <v>5299</v>
      </c>
      <c r="D1152" t="s">
        <v>182</v>
      </c>
      <c r="E1152" t="s">
        <v>6198</v>
      </c>
      <c r="F1152">
        <v>46205.736805555556</v>
      </c>
      <c r="G1152">
        <v>188</v>
      </c>
      <c r="H1152" t="s">
        <v>6173</v>
      </c>
      <c r="I1152" t="s">
        <v>5358</v>
      </c>
      <c r="J1152">
        <v>35</v>
      </c>
      <c r="K1152">
        <v>0.01</v>
      </c>
      <c r="L1152">
        <v>1142</v>
      </c>
      <c r="M1152">
        <v>1146</v>
      </c>
      <c r="N1152">
        <v>4</v>
      </c>
      <c r="O1152">
        <v>8.75</v>
      </c>
    </row>
    <row r="1153" spans="1:15" x14ac:dyDescent="0.25">
      <c r="A1153">
        <v>5</v>
      </c>
      <c r="B1153">
        <v>488</v>
      </c>
      <c r="C1153" t="s">
        <v>5299</v>
      </c>
      <c r="D1153" t="s">
        <v>182</v>
      </c>
      <c r="E1153" t="s">
        <v>6198</v>
      </c>
      <c r="F1153">
        <v>46207.435416666667</v>
      </c>
      <c r="G1153">
        <v>129</v>
      </c>
      <c r="H1153" t="s">
        <v>6164</v>
      </c>
      <c r="I1153" t="s">
        <v>5358</v>
      </c>
      <c r="J1153">
        <v>68</v>
      </c>
      <c r="K1153">
        <v>418.2</v>
      </c>
      <c r="L1153">
        <v>1146</v>
      </c>
      <c r="M1153">
        <v>1151</v>
      </c>
      <c r="N1153">
        <v>5</v>
      </c>
      <c r="O1153">
        <v>13.6</v>
      </c>
    </row>
    <row r="1154" spans="1:15" x14ac:dyDescent="0.25">
      <c r="A1154">
        <v>5</v>
      </c>
      <c r="B1154">
        <v>488</v>
      </c>
      <c r="C1154" t="s">
        <v>5299</v>
      </c>
      <c r="D1154" t="s">
        <v>182</v>
      </c>
      <c r="E1154" t="s">
        <v>6198</v>
      </c>
      <c r="F1154">
        <v>46207.436805555553</v>
      </c>
      <c r="G1154">
        <v>129</v>
      </c>
      <c r="H1154" t="s">
        <v>6164</v>
      </c>
      <c r="I1154" t="s">
        <v>5358</v>
      </c>
      <c r="J1154">
        <v>20</v>
      </c>
      <c r="K1154">
        <v>123</v>
      </c>
      <c r="L1154">
        <v>1151</v>
      </c>
      <c r="M1154">
        <v>1153</v>
      </c>
      <c r="N1154">
        <v>2</v>
      </c>
      <c r="O1154">
        <v>10</v>
      </c>
    </row>
    <row r="1155" spans="1:15" x14ac:dyDescent="0.25">
      <c r="A1155">
        <v>5</v>
      </c>
      <c r="B1155">
        <v>488</v>
      </c>
      <c r="C1155" t="s">
        <v>5299</v>
      </c>
      <c r="D1155" t="s">
        <v>182</v>
      </c>
      <c r="E1155" t="s">
        <v>6198</v>
      </c>
      <c r="F1155">
        <v>46207.654861111114</v>
      </c>
      <c r="G1155">
        <v>188</v>
      </c>
      <c r="H1155" t="s">
        <v>6173</v>
      </c>
      <c r="I1155" t="s">
        <v>5358</v>
      </c>
      <c r="J1155">
        <v>68</v>
      </c>
      <c r="K1155">
        <v>0.01</v>
      </c>
      <c r="L1155">
        <v>1153</v>
      </c>
      <c r="M1155">
        <v>1151</v>
      </c>
      <c r="N1155">
        <v>0</v>
      </c>
      <c r="O1155">
        <v>0</v>
      </c>
    </row>
    <row r="1156" spans="1:15" x14ac:dyDescent="0.25">
      <c r="A1156">
        <v>5</v>
      </c>
      <c r="B1156">
        <v>488</v>
      </c>
      <c r="C1156" t="s">
        <v>5299</v>
      </c>
      <c r="D1156" t="s">
        <v>182</v>
      </c>
      <c r="E1156" t="s">
        <v>6198</v>
      </c>
      <c r="F1156">
        <v>46210.857638888891</v>
      </c>
      <c r="G1156">
        <v>129</v>
      </c>
      <c r="H1156" t="s">
        <v>6164</v>
      </c>
      <c r="I1156" t="s">
        <v>5358</v>
      </c>
      <c r="J1156">
        <v>36</v>
      </c>
      <c r="K1156">
        <v>221.4</v>
      </c>
      <c r="L1156">
        <v>1151</v>
      </c>
      <c r="M1156">
        <v>1156</v>
      </c>
      <c r="N1156">
        <v>5</v>
      </c>
      <c r="O1156">
        <v>7.2</v>
      </c>
    </row>
    <row r="1157" spans="1:15" x14ac:dyDescent="0.25">
      <c r="A1157">
        <v>5</v>
      </c>
      <c r="B1157">
        <v>488</v>
      </c>
      <c r="C1157" t="s">
        <v>5299</v>
      </c>
      <c r="D1157" t="s">
        <v>182</v>
      </c>
      <c r="E1157" t="s">
        <v>6198</v>
      </c>
      <c r="F1157">
        <v>46210.859027777777</v>
      </c>
      <c r="G1157">
        <v>129</v>
      </c>
      <c r="H1157" t="s">
        <v>6164</v>
      </c>
      <c r="I1157" t="s">
        <v>5358</v>
      </c>
      <c r="J1157">
        <v>36</v>
      </c>
      <c r="K1157">
        <v>221.4</v>
      </c>
      <c r="L1157">
        <v>1156</v>
      </c>
      <c r="M1157">
        <v>1159</v>
      </c>
      <c r="N1157">
        <v>3</v>
      </c>
      <c r="O1157">
        <v>12</v>
      </c>
    </row>
    <row r="1158" spans="1:15" x14ac:dyDescent="0.25">
      <c r="A1158">
        <v>5</v>
      </c>
      <c r="B1158">
        <v>488</v>
      </c>
      <c r="C1158" t="s">
        <v>5299</v>
      </c>
      <c r="D1158" t="s">
        <v>182</v>
      </c>
      <c r="E1158" t="s">
        <v>6198</v>
      </c>
      <c r="F1158">
        <v>46211.84375</v>
      </c>
      <c r="G1158">
        <v>129</v>
      </c>
      <c r="H1158" t="s">
        <v>6164</v>
      </c>
      <c r="I1158" t="s">
        <v>5358</v>
      </c>
      <c r="J1158">
        <v>38</v>
      </c>
      <c r="K1158">
        <v>233.7</v>
      </c>
      <c r="L1158">
        <v>1159</v>
      </c>
      <c r="M1158">
        <v>1162</v>
      </c>
      <c r="N1158">
        <v>3</v>
      </c>
      <c r="O1158">
        <v>12.6666666666667</v>
      </c>
    </row>
    <row r="1159" spans="1:15" x14ac:dyDescent="0.25">
      <c r="A1159">
        <v>5</v>
      </c>
      <c r="B1159">
        <v>488</v>
      </c>
      <c r="C1159" t="s">
        <v>5299</v>
      </c>
      <c r="D1159" t="s">
        <v>182</v>
      </c>
      <c r="E1159" t="s">
        <v>6198</v>
      </c>
      <c r="F1159">
        <v>46213.505555555559</v>
      </c>
      <c r="G1159">
        <v>129</v>
      </c>
      <c r="H1159" t="s">
        <v>6164</v>
      </c>
      <c r="I1159" t="s">
        <v>5358</v>
      </c>
      <c r="J1159">
        <v>55</v>
      </c>
      <c r="K1159">
        <v>338.25</v>
      </c>
      <c r="L1159">
        <v>1162</v>
      </c>
      <c r="M1159">
        <v>1166</v>
      </c>
      <c r="N1159">
        <v>4</v>
      </c>
      <c r="O1159">
        <v>13.75</v>
      </c>
    </row>
    <row r="1160" spans="1:15" x14ac:dyDescent="0.25">
      <c r="A1160">
        <v>5</v>
      </c>
      <c r="B1160">
        <v>488</v>
      </c>
      <c r="C1160" t="s">
        <v>5299</v>
      </c>
      <c r="D1160" t="s">
        <v>182</v>
      </c>
      <c r="E1160" t="s">
        <v>6198</v>
      </c>
      <c r="F1160">
        <v>46213.679861111108</v>
      </c>
      <c r="G1160">
        <v>129</v>
      </c>
      <c r="H1160" t="s">
        <v>6164</v>
      </c>
      <c r="I1160" t="s">
        <v>5358</v>
      </c>
      <c r="J1160">
        <v>27</v>
      </c>
      <c r="K1160">
        <v>166.05</v>
      </c>
      <c r="L1160">
        <v>1166</v>
      </c>
      <c r="M1160">
        <v>1170</v>
      </c>
      <c r="N1160">
        <v>4</v>
      </c>
      <c r="O1160">
        <v>6.75</v>
      </c>
    </row>
    <row r="1161" spans="1:15" x14ac:dyDescent="0.25">
      <c r="A1161">
        <v>5</v>
      </c>
      <c r="B1161">
        <v>488</v>
      </c>
      <c r="C1161" t="s">
        <v>5299</v>
      </c>
      <c r="D1161" t="s">
        <v>182</v>
      </c>
      <c r="E1161" t="s">
        <v>6198</v>
      </c>
      <c r="F1161">
        <v>46214.601388888892</v>
      </c>
      <c r="G1161">
        <v>129</v>
      </c>
      <c r="H1161" t="s">
        <v>6164</v>
      </c>
      <c r="I1161" t="s">
        <v>5358</v>
      </c>
      <c r="J1161">
        <v>40</v>
      </c>
      <c r="K1161">
        <v>246</v>
      </c>
      <c r="L1161">
        <v>1170</v>
      </c>
      <c r="M1161">
        <v>1174</v>
      </c>
      <c r="N1161">
        <v>4</v>
      </c>
      <c r="O1161">
        <v>10</v>
      </c>
    </row>
    <row r="1162" spans="1:15" x14ac:dyDescent="0.25">
      <c r="A1162">
        <v>5</v>
      </c>
      <c r="B1162">
        <v>488</v>
      </c>
      <c r="C1162" t="s">
        <v>5299</v>
      </c>
      <c r="D1162" t="s">
        <v>182</v>
      </c>
      <c r="E1162" t="s">
        <v>6198</v>
      </c>
      <c r="F1162">
        <v>46215.431250000001</v>
      </c>
      <c r="G1162">
        <v>232</v>
      </c>
      <c r="H1162" t="s">
        <v>6155</v>
      </c>
      <c r="I1162" t="s">
        <v>5358</v>
      </c>
      <c r="J1162">
        <v>45</v>
      </c>
      <c r="K1162">
        <v>276.75</v>
      </c>
      <c r="L1162">
        <v>1174</v>
      </c>
      <c r="M1162">
        <v>1178</v>
      </c>
      <c r="N1162">
        <v>4</v>
      </c>
      <c r="O1162">
        <v>11.25</v>
      </c>
    </row>
    <row r="1163" spans="1:15" x14ac:dyDescent="0.25">
      <c r="A1163">
        <v>5</v>
      </c>
      <c r="B1163">
        <v>488</v>
      </c>
      <c r="C1163" t="s">
        <v>5299</v>
      </c>
      <c r="D1163" t="s">
        <v>182</v>
      </c>
      <c r="E1163" t="s">
        <v>6198</v>
      </c>
      <c r="F1163">
        <v>46217.895138888889</v>
      </c>
      <c r="G1163">
        <v>129</v>
      </c>
      <c r="H1163" t="s">
        <v>6164</v>
      </c>
      <c r="I1163" t="s">
        <v>5358</v>
      </c>
      <c r="J1163">
        <v>31</v>
      </c>
      <c r="K1163">
        <v>190.65</v>
      </c>
      <c r="L1163">
        <v>1178</v>
      </c>
      <c r="M1163">
        <v>1180</v>
      </c>
      <c r="N1163">
        <v>2</v>
      </c>
      <c r="O1163">
        <v>15.5</v>
      </c>
    </row>
    <row r="1164" spans="1:15" x14ac:dyDescent="0.25">
      <c r="A1164">
        <v>5</v>
      </c>
      <c r="B1164">
        <v>488</v>
      </c>
      <c r="C1164" t="s">
        <v>5299</v>
      </c>
      <c r="D1164" t="s">
        <v>182</v>
      </c>
      <c r="E1164" t="s">
        <v>6198</v>
      </c>
      <c r="F1164">
        <v>46223.418055555558</v>
      </c>
      <c r="G1164">
        <v>129</v>
      </c>
      <c r="H1164" t="s">
        <v>6164</v>
      </c>
      <c r="I1164" t="s">
        <v>5358</v>
      </c>
      <c r="J1164">
        <v>36</v>
      </c>
      <c r="K1164">
        <v>251.64</v>
      </c>
      <c r="L1164">
        <v>1180</v>
      </c>
      <c r="M1164">
        <v>1185</v>
      </c>
      <c r="N1164">
        <v>5</v>
      </c>
      <c r="O1164">
        <v>7.2</v>
      </c>
    </row>
    <row r="1165" spans="1:15" x14ac:dyDescent="0.25">
      <c r="A1165">
        <v>5</v>
      </c>
      <c r="B1165">
        <v>488</v>
      </c>
      <c r="C1165" t="s">
        <v>5299</v>
      </c>
      <c r="D1165" t="s">
        <v>182</v>
      </c>
      <c r="E1165" t="s">
        <v>6198</v>
      </c>
      <c r="F1165">
        <v>46225.386111111111</v>
      </c>
      <c r="G1165">
        <v>232</v>
      </c>
      <c r="H1165" t="s">
        <v>6155</v>
      </c>
      <c r="I1165" t="s">
        <v>5358</v>
      </c>
      <c r="J1165">
        <v>34</v>
      </c>
      <c r="K1165">
        <v>212.5</v>
      </c>
      <c r="L1165">
        <v>1185</v>
      </c>
      <c r="M1165">
        <v>1189</v>
      </c>
      <c r="N1165">
        <v>4</v>
      </c>
      <c r="O1165">
        <v>8.5</v>
      </c>
    </row>
    <row r="1166" spans="1:15" x14ac:dyDescent="0.25">
      <c r="A1166">
        <v>5</v>
      </c>
      <c r="B1166">
        <v>488</v>
      </c>
      <c r="C1166" t="s">
        <v>5299</v>
      </c>
      <c r="D1166" t="s">
        <v>182</v>
      </c>
      <c r="E1166" t="s">
        <v>6198</v>
      </c>
      <c r="F1166">
        <v>46229.756944444445</v>
      </c>
      <c r="G1166">
        <v>129</v>
      </c>
      <c r="H1166" t="s">
        <v>6164</v>
      </c>
      <c r="I1166" t="s">
        <v>5358</v>
      </c>
      <c r="J1166">
        <v>44</v>
      </c>
      <c r="K1166">
        <v>275</v>
      </c>
      <c r="L1166">
        <v>1189</v>
      </c>
      <c r="M1166">
        <v>1193</v>
      </c>
      <c r="N1166">
        <v>4</v>
      </c>
      <c r="O1166">
        <v>11</v>
      </c>
    </row>
    <row r="1167" spans="1:15" x14ac:dyDescent="0.25">
      <c r="A1167">
        <v>5</v>
      </c>
      <c r="B1167">
        <v>488</v>
      </c>
      <c r="C1167" t="s">
        <v>5299</v>
      </c>
      <c r="D1167" t="s">
        <v>88</v>
      </c>
      <c r="E1167" t="s">
        <v>6179</v>
      </c>
      <c r="F1167">
        <v>46204.771527777775</v>
      </c>
      <c r="G1167">
        <v>264</v>
      </c>
      <c r="H1167" t="s">
        <v>6152</v>
      </c>
      <c r="I1167" t="s">
        <v>5358</v>
      </c>
      <c r="J1167">
        <v>19</v>
      </c>
      <c r="K1167">
        <v>116.85</v>
      </c>
      <c r="L1167">
        <v>903</v>
      </c>
      <c r="M1167">
        <v>908</v>
      </c>
      <c r="N1167">
        <v>5</v>
      </c>
      <c r="O1167">
        <v>3.8</v>
      </c>
    </row>
    <row r="1168" spans="1:15" x14ac:dyDescent="0.25">
      <c r="A1168">
        <v>5</v>
      </c>
      <c r="B1168">
        <v>488</v>
      </c>
      <c r="C1168" t="s">
        <v>5299</v>
      </c>
      <c r="D1168" t="s">
        <v>88</v>
      </c>
      <c r="E1168" t="s">
        <v>6179</v>
      </c>
      <c r="F1168">
        <v>46205.831944444442</v>
      </c>
      <c r="G1168">
        <v>264</v>
      </c>
      <c r="H1168" t="s">
        <v>6152</v>
      </c>
      <c r="I1168" t="s">
        <v>5358</v>
      </c>
      <c r="J1168">
        <v>16</v>
      </c>
      <c r="K1168">
        <v>98.4</v>
      </c>
      <c r="L1168">
        <v>908</v>
      </c>
      <c r="M1168">
        <v>912</v>
      </c>
      <c r="N1168">
        <v>4</v>
      </c>
      <c r="O1168">
        <v>4</v>
      </c>
    </row>
    <row r="1169" spans="1:15" x14ac:dyDescent="0.25">
      <c r="A1169">
        <v>5</v>
      </c>
      <c r="B1169">
        <v>488</v>
      </c>
      <c r="C1169" t="s">
        <v>5299</v>
      </c>
      <c r="D1169" t="s">
        <v>88</v>
      </c>
      <c r="E1169" t="s">
        <v>6179</v>
      </c>
      <c r="F1169">
        <v>46208.65347222222</v>
      </c>
      <c r="G1169">
        <v>264</v>
      </c>
      <c r="H1169" t="s">
        <v>6152</v>
      </c>
      <c r="I1169" t="s">
        <v>5358</v>
      </c>
      <c r="J1169">
        <v>26</v>
      </c>
      <c r="K1169">
        <v>159.9</v>
      </c>
      <c r="L1169">
        <v>912</v>
      </c>
      <c r="M1169">
        <v>919</v>
      </c>
      <c r="N1169">
        <v>7</v>
      </c>
      <c r="O1169">
        <v>3.71428571428571</v>
      </c>
    </row>
    <row r="1170" spans="1:15" x14ac:dyDescent="0.25">
      <c r="A1170">
        <v>5</v>
      </c>
      <c r="B1170">
        <v>488</v>
      </c>
      <c r="C1170" t="s">
        <v>5299</v>
      </c>
      <c r="D1170" t="s">
        <v>88</v>
      </c>
      <c r="E1170" t="s">
        <v>6179</v>
      </c>
      <c r="F1170">
        <v>46209.830555555556</v>
      </c>
      <c r="G1170">
        <v>264</v>
      </c>
      <c r="H1170" t="s">
        <v>6152</v>
      </c>
      <c r="I1170" t="s">
        <v>5358</v>
      </c>
      <c r="J1170">
        <v>34</v>
      </c>
      <c r="K1170">
        <v>209.1</v>
      </c>
      <c r="L1170">
        <v>919</v>
      </c>
      <c r="M1170">
        <v>925</v>
      </c>
      <c r="N1170">
        <v>6</v>
      </c>
      <c r="O1170">
        <v>5.6666666666666696</v>
      </c>
    </row>
    <row r="1171" spans="1:15" x14ac:dyDescent="0.25">
      <c r="A1171">
        <v>5</v>
      </c>
      <c r="B1171">
        <v>488</v>
      </c>
      <c r="C1171" t="s">
        <v>5299</v>
      </c>
      <c r="D1171" t="s">
        <v>88</v>
      </c>
      <c r="E1171" t="s">
        <v>6179</v>
      </c>
      <c r="F1171">
        <v>46210.781944444447</v>
      </c>
      <c r="G1171">
        <v>264</v>
      </c>
      <c r="H1171" t="s">
        <v>6152</v>
      </c>
      <c r="I1171" t="s">
        <v>5358</v>
      </c>
      <c r="J1171">
        <v>35</v>
      </c>
      <c r="K1171">
        <v>215.25</v>
      </c>
      <c r="L1171">
        <v>925</v>
      </c>
      <c r="M1171">
        <v>932</v>
      </c>
      <c r="N1171">
        <v>7</v>
      </c>
      <c r="O1171">
        <v>5</v>
      </c>
    </row>
    <row r="1172" spans="1:15" x14ac:dyDescent="0.25">
      <c r="A1172">
        <v>5</v>
      </c>
      <c r="B1172">
        <v>488</v>
      </c>
      <c r="C1172" t="s">
        <v>5299</v>
      </c>
      <c r="D1172" t="s">
        <v>88</v>
      </c>
      <c r="E1172" t="s">
        <v>6179</v>
      </c>
      <c r="F1172">
        <v>46211.831944444442</v>
      </c>
      <c r="G1172">
        <v>264</v>
      </c>
      <c r="H1172" t="s">
        <v>6152</v>
      </c>
      <c r="I1172" t="s">
        <v>5358</v>
      </c>
      <c r="J1172">
        <v>35</v>
      </c>
      <c r="K1172">
        <v>215.25</v>
      </c>
      <c r="L1172">
        <v>932</v>
      </c>
      <c r="M1172">
        <v>941</v>
      </c>
      <c r="N1172">
        <v>9</v>
      </c>
      <c r="O1172">
        <v>3.8888888888888902</v>
      </c>
    </row>
    <row r="1173" spans="1:15" x14ac:dyDescent="0.25">
      <c r="A1173">
        <v>5</v>
      </c>
      <c r="B1173">
        <v>488</v>
      </c>
      <c r="C1173" t="s">
        <v>5299</v>
      </c>
      <c r="D1173" t="s">
        <v>88</v>
      </c>
      <c r="E1173" t="s">
        <v>6179</v>
      </c>
      <c r="F1173">
        <v>46212.779166666667</v>
      </c>
      <c r="G1173">
        <v>264</v>
      </c>
      <c r="H1173" t="s">
        <v>6152</v>
      </c>
      <c r="I1173" t="s">
        <v>5358</v>
      </c>
      <c r="J1173">
        <v>40</v>
      </c>
      <c r="K1173">
        <v>246</v>
      </c>
      <c r="L1173">
        <v>941</v>
      </c>
      <c r="M1173">
        <v>949</v>
      </c>
      <c r="N1173">
        <v>8</v>
      </c>
      <c r="O1173">
        <v>5</v>
      </c>
    </row>
    <row r="1174" spans="1:15" x14ac:dyDescent="0.25">
      <c r="A1174">
        <v>5</v>
      </c>
      <c r="B1174">
        <v>488</v>
      </c>
      <c r="C1174" t="s">
        <v>5299</v>
      </c>
      <c r="D1174" t="s">
        <v>88</v>
      </c>
      <c r="E1174" t="s">
        <v>6179</v>
      </c>
      <c r="F1174">
        <v>46213.82708333333</v>
      </c>
      <c r="G1174">
        <v>264</v>
      </c>
      <c r="H1174" t="s">
        <v>6152</v>
      </c>
      <c r="I1174" t="s">
        <v>5358</v>
      </c>
      <c r="J1174">
        <v>42</v>
      </c>
      <c r="K1174">
        <v>258.3</v>
      </c>
      <c r="L1174">
        <v>949</v>
      </c>
      <c r="M1174">
        <v>958</v>
      </c>
      <c r="N1174">
        <v>9</v>
      </c>
      <c r="O1174">
        <v>4.6666666666666696</v>
      </c>
    </row>
    <row r="1175" spans="1:15" x14ac:dyDescent="0.25">
      <c r="A1175">
        <v>5</v>
      </c>
      <c r="B1175">
        <v>488</v>
      </c>
      <c r="C1175" t="s">
        <v>5299</v>
      </c>
      <c r="D1175" t="s">
        <v>88</v>
      </c>
      <c r="E1175" t="s">
        <v>6179</v>
      </c>
      <c r="F1175">
        <v>46216.856249999997</v>
      </c>
      <c r="G1175">
        <v>264</v>
      </c>
      <c r="H1175" t="s">
        <v>6152</v>
      </c>
      <c r="I1175" t="s">
        <v>5358</v>
      </c>
      <c r="J1175">
        <v>41</v>
      </c>
      <c r="K1175">
        <v>252.15</v>
      </c>
      <c r="L1175">
        <v>958</v>
      </c>
      <c r="M1175">
        <v>964</v>
      </c>
      <c r="N1175">
        <v>6</v>
      </c>
      <c r="O1175">
        <v>6.8333333333333304</v>
      </c>
    </row>
    <row r="1176" spans="1:15" x14ac:dyDescent="0.25">
      <c r="A1176">
        <v>5</v>
      </c>
      <c r="B1176">
        <v>488</v>
      </c>
      <c r="C1176" t="s">
        <v>5299</v>
      </c>
      <c r="D1176" t="s">
        <v>88</v>
      </c>
      <c r="E1176" t="s">
        <v>6179</v>
      </c>
      <c r="F1176">
        <v>46219.856944444444</v>
      </c>
      <c r="G1176">
        <v>264</v>
      </c>
      <c r="H1176" t="s">
        <v>6152</v>
      </c>
      <c r="I1176" t="s">
        <v>5358</v>
      </c>
      <c r="J1176">
        <v>16</v>
      </c>
      <c r="K1176">
        <v>98.4</v>
      </c>
      <c r="L1176">
        <v>964</v>
      </c>
      <c r="M1176">
        <v>980</v>
      </c>
      <c r="N1176">
        <v>16</v>
      </c>
      <c r="O1176">
        <v>1</v>
      </c>
    </row>
    <row r="1177" spans="1:15" x14ac:dyDescent="0.25">
      <c r="A1177">
        <v>5</v>
      </c>
      <c r="B1177">
        <v>488</v>
      </c>
      <c r="C1177" t="s">
        <v>5299</v>
      </c>
      <c r="D1177" t="s">
        <v>88</v>
      </c>
      <c r="E1177" t="s">
        <v>6179</v>
      </c>
      <c r="F1177">
        <v>46220.843055555553</v>
      </c>
      <c r="G1177">
        <v>264</v>
      </c>
      <c r="H1177" t="s">
        <v>6152</v>
      </c>
      <c r="I1177" t="s">
        <v>5358</v>
      </c>
      <c r="J1177">
        <v>51</v>
      </c>
      <c r="K1177">
        <v>316.2</v>
      </c>
      <c r="L1177">
        <v>980</v>
      </c>
      <c r="M1177">
        <v>981</v>
      </c>
      <c r="N1177">
        <v>1</v>
      </c>
      <c r="O1177">
        <v>51</v>
      </c>
    </row>
    <row r="1178" spans="1:15" x14ac:dyDescent="0.25">
      <c r="A1178">
        <v>5</v>
      </c>
      <c r="B1178">
        <v>488</v>
      </c>
      <c r="C1178" t="s">
        <v>5299</v>
      </c>
      <c r="D1178" t="s">
        <v>88</v>
      </c>
      <c r="E1178" t="s">
        <v>6179</v>
      </c>
      <c r="F1178">
        <v>46221.899305555555</v>
      </c>
      <c r="G1178">
        <v>264</v>
      </c>
      <c r="H1178" t="s">
        <v>6152</v>
      </c>
      <c r="I1178" t="s">
        <v>5358</v>
      </c>
      <c r="J1178">
        <v>50</v>
      </c>
      <c r="K1178">
        <v>310</v>
      </c>
      <c r="L1178">
        <v>981</v>
      </c>
      <c r="M1178">
        <v>992</v>
      </c>
      <c r="N1178">
        <v>11</v>
      </c>
      <c r="O1178">
        <v>4.5454545454545503</v>
      </c>
    </row>
    <row r="1179" spans="1:15" x14ac:dyDescent="0.25">
      <c r="A1179">
        <v>5</v>
      </c>
      <c r="B1179">
        <v>488</v>
      </c>
      <c r="C1179" t="s">
        <v>5299</v>
      </c>
      <c r="D1179" t="s">
        <v>88</v>
      </c>
      <c r="E1179" t="s">
        <v>6179</v>
      </c>
      <c r="F1179">
        <v>46222.722916666666</v>
      </c>
      <c r="G1179">
        <v>264</v>
      </c>
      <c r="H1179" t="s">
        <v>6152</v>
      </c>
      <c r="I1179" t="s">
        <v>5358</v>
      </c>
      <c r="J1179">
        <v>30</v>
      </c>
      <c r="K1179">
        <v>186</v>
      </c>
      <c r="L1179">
        <v>992</v>
      </c>
      <c r="M1179">
        <v>997</v>
      </c>
      <c r="N1179">
        <v>5</v>
      </c>
      <c r="O1179">
        <v>6</v>
      </c>
    </row>
    <row r="1180" spans="1:15" x14ac:dyDescent="0.25">
      <c r="A1180">
        <v>5</v>
      </c>
      <c r="B1180">
        <v>488</v>
      </c>
      <c r="C1180" t="s">
        <v>5299</v>
      </c>
      <c r="D1180" t="s">
        <v>88</v>
      </c>
      <c r="E1180" t="s">
        <v>6179</v>
      </c>
      <c r="F1180">
        <v>46223.865972222222</v>
      </c>
      <c r="G1180">
        <v>264</v>
      </c>
      <c r="H1180" t="s">
        <v>6152</v>
      </c>
      <c r="I1180" t="s">
        <v>5358</v>
      </c>
      <c r="J1180">
        <v>46</v>
      </c>
      <c r="K1180">
        <v>290.26</v>
      </c>
      <c r="L1180">
        <v>997</v>
      </c>
      <c r="M1180">
        <v>1005</v>
      </c>
      <c r="N1180">
        <v>8</v>
      </c>
      <c r="O1180">
        <v>5.75</v>
      </c>
    </row>
    <row r="1181" spans="1:15" x14ac:dyDescent="0.25">
      <c r="A1181">
        <v>5</v>
      </c>
      <c r="B1181">
        <v>488</v>
      </c>
      <c r="C1181" t="s">
        <v>5299</v>
      </c>
      <c r="D1181" t="s">
        <v>88</v>
      </c>
      <c r="E1181" t="s">
        <v>6179</v>
      </c>
      <c r="F1181">
        <v>46224.814583333333</v>
      </c>
      <c r="G1181">
        <v>264</v>
      </c>
      <c r="H1181" t="s">
        <v>6152</v>
      </c>
      <c r="I1181" t="s">
        <v>5358</v>
      </c>
      <c r="J1181">
        <v>39</v>
      </c>
      <c r="K1181">
        <v>246.09</v>
      </c>
      <c r="L1181">
        <v>1005</v>
      </c>
      <c r="M1181">
        <v>1013</v>
      </c>
      <c r="N1181">
        <v>8</v>
      </c>
      <c r="O1181">
        <v>4.875</v>
      </c>
    </row>
    <row r="1182" spans="1:15" x14ac:dyDescent="0.25">
      <c r="A1182">
        <v>5</v>
      </c>
      <c r="B1182">
        <v>488</v>
      </c>
      <c r="C1182" t="s">
        <v>5299</v>
      </c>
      <c r="D1182" t="s">
        <v>88</v>
      </c>
      <c r="E1182" t="s">
        <v>6179</v>
      </c>
      <c r="F1182">
        <v>46228.776388888888</v>
      </c>
      <c r="G1182">
        <v>264</v>
      </c>
      <c r="H1182" t="s">
        <v>6152</v>
      </c>
      <c r="I1182" t="s">
        <v>5358</v>
      </c>
      <c r="J1182">
        <v>38</v>
      </c>
      <c r="K1182">
        <v>238.64</v>
      </c>
      <c r="L1182">
        <v>1013</v>
      </c>
      <c r="M1182">
        <v>1023</v>
      </c>
      <c r="N1182">
        <v>10</v>
      </c>
      <c r="O1182">
        <v>3.8</v>
      </c>
    </row>
    <row r="1183" spans="1:15" x14ac:dyDescent="0.25">
      <c r="A1183">
        <v>5</v>
      </c>
      <c r="B1183">
        <v>488</v>
      </c>
      <c r="C1183" t="s">
        <v>5299</v>
      </c>
      <c r="D1183" t="s">
        <v>88</v>
      </c>
      <c r="E1183" t="s">
        <v>6179</v>
      </c>
      <c r="F1183">
        <v>46231.926388888889</v>
      </c>
      <c r="G1183">
        <v>264</v>
      </c>
      <c r="H1183" t="s">
        <v>6152</v>
      </c>
      <c r="I1183" t="s">
        <v>5358</v>
      </c>
      <c r="J1183">
        <v>31</v>
      </c>
      <c r="K1183">
        <v>194.68</v>
      </c>
      <c r="L1183">
        <v>1023</v>
      </c>
      <c r="M1183">
        <v>1029</v>
      </c>
      <c r="N1183">
        <v>6</v>
      </c>
      <c r="O1183">
        <v>5.1666666666666696</v>
      </c>
    </row>
    <row r="1184" spans="1:15" x14ac:dyDescent="0.25">
      <c r="A1184">
        <v>5</v>
      </c>
      <c r="B1184">
        <v>488</v>
      </c>
      <c r="C1184" t="s">
        <v>5299</v>
      </c>
      <c r="D1184" t="s">
        <v>88</v>
      </c>
      <c r="E1184" t="s">
        <v>6179</v>
      </c>
      <c r="F1184">
        <v>46233.84652777778</v>
      </c>
      <c r="G1184">
        <v>264</v>
      </c>
      <c r="H1184" t="s">
        <v>6152</v>
      </c>
      <c r="I1184" t="s">
        <v>5358</v>
      </c>
      <c r="J1184">
        <v>46</v>
      </c>
      <c r="K1184">
        <v>288.88</v>
      </c>
      <c r="L1184">
        <v>1029</v>
      </c>
      <c r="M1184">
        <v>1036</v>
      </c>
      <c r="N1184">
        <v>7</v>
      </c>
      <c r="O1184">
        <v>6.5714285714285703</v>
      </c>
    </row>
    <row r="1185" spans="1:15" x14ac:dyDescent="0.25">
      <c r="A1185">
        <v>5</v>
      </c>
      <c r="B1185">
        <v>488</v>
      </c>
      <c r="C1185" t="s">
        <v>5299</v>
      </c>
      <c r="D1185" t="s">
        <v>88</v>
      </c>
      <c r="E1185" t="s">
        <v>6179</v>
      </c>
      <c r="F1185">
        <v>46234.890277777777</v>
      </c>
      <c r="G1185">
        <v>264</v>
      </c>
      <c r="H1185" t="s">
        <v>6152</v>
      </c>
      <c r="I1185" t="s">
        <v>5358</v>
      </c>
      <c r="J1185">
        <v>10</v>
      </c>
      <c r="K1185">
        <v>62.8</v>
      </c>
      <c r="L1185">
        <v>1036</v>
      </c>
      <c r="M1185">
        <v>1038</v>
      </c>
      <c r="N1185">
        <v>2</v>
      </c>
      <c r="O1185">
        <v>5</v>
      </c>
    </row>
    <row r="1186" spans="1:15" x14ac:dyDescent="0.25">
      <c r="A1186">
        <v>5</v>
      </c>
      <c r="B1186">
        <v>539</v>
      </c>
      <c r="C1186" t="s">
        <v>5305</v>
      </c>
      <c r="D1186" t="s">
        <v>5306</v>
      </c>
      <c r="E1186" t="s">
        <v>6211</v>
      </c>
      <c r="F1186">
        <v>46204.658333333333</v>
      </c>
      <c r="G1186">
        <v>232</v>
      </c>
      <c r="H1186" t="s">
        <v>6155</v>
      </c>
      <c r="I1186" t="s">
        <v>5358</v>
      </c>
      <c r="J1186">
        <v>144</v>
      </c>
      <c r="K1186">
        <v>885.6</v>
      </c>
      <c r="L1186">
        <v>9202</v>
      </c>
      <c r="M1186">
        <v>9219</v>
      </c>
      <c r="N1186">
        <v>17</v>
      </c>
      <c r="O1186">
        <v>0.118055555555556</v>
      </c>
    </row>
    <row r="1187" spans="1:15" x14ac:dyDescent="0.25">
      <c r="A1187">
        <v>5</v>
      </c>
      <c r="B1187">
        <v>539</v>
      </c>
      <c r="C1187" t="s">
        <v>5305</v>
      </c>
      <c r="D1187" t="s">
        <v>5306</v>
      </c>
      <c r="E1187" t="s">
        <v>6211</v>
      </c>
      <c r="F1187">
        <v>46207.473611111112</v>
      </c>
      <c r="G1187">
        <v>232</v>
      </c>
      <c r="H1187" t="s">
        <v>6155</v>
      </c>
      <c r="I1187" t="s">
        <v>5358</v>
      </c>
      <c r="J1187">
        <v>56</v>
      </c>
      <c r="K1187">
        <v>344.4</v>
      </c>
      <c r="L1187">
        <v>9219</v>
      </c>
      <c r="M1187">
        <v>9223</v>
      </c>
      <c r="N1187">
        <v>4</v>
      </c>
      <c r="O1187">
        <v>7.1428571428571397E-2</v>
      </c>
    </row>
    <row r="1188" spans="1:15" x14ac:dyDescent="0.25">
      <c r="A1188">
        <v>5</v>
      </c>
      <c r="B1188">
        <v>539</v>
      </c>
      <c r="C1188" t="s">
        <v>5305</v>
      </c>
      <c r="D1188" t="s">
        <v>5306</v>
      </c>
      <c r="E1188" t="s">
        <v>6211</v>
      </c>
      <c r="F1188">
        <v>46208.388194444444</v>
      </c>
      <c r="G1188">
        <v>264</v>
      </c>
      <c r="H1188" t="s">
        <v>6152</v>
      </c>
      <c r="I1188" t="s">
        <v>5358</v>
      </c>
      <c r="J1188">
        <v>77</v>
      </c>
      <c r="K1188">
        <v>473.55</v>
      </c>
      <c r="L1188">
        <v>9223</v>
      </c>
      <c r="M1188">
        <v>9225</v>
      </c>
      <c r="N1188">
        <v>2</v>
      </c>
      <c r="O1188">
        <v>2.5974025974026E-2</v>
      </c>
    </row>
    <row r="1189" spans="1:15" x14ac:dyDescent="0.25">
      <c r="A1189">
        <v>5</v>
      </c>
      <c r="B1189">
        <v>539</v>
      </c>
      <c r="C1189" t="s">
        <v>5305</v>
      </c>
      <c r="D1189" t="s">
        <v>5306</v>
      </c>
      <c r="E1189" t="s">
        <v>6211</v>
      </c>
      <c r="F1189">
        <v>46209.455555555556</v>
      </c>
      <c r="G1189">
        <v>232</v>
      </c>
      <c r="H1189" t="s">
        <v>6155</v>
      </c>
      <c r="I1189" t="s">
        <v>5358</v>
      </c>
      <c r="J1189">
        <v>65</v>
      </c>
      <c r="K1189">
        <v>399.75</v>
      </c>
      <c r="L1189">
        <v>9225</v>
      </c>
      <c r="M1189">
        <v>9235</v>
      </c>
      <c r="N1189">
        <v>10</v>
      </c>
      <c r="O1189">
        <v>0.15384615384615399</v>
      </c>
    </row>
    <row r="1190" spans="1:15" x14ac:dyDescent="0.25">
      <c r="A1190">
        <v>5</v>
      </c>
      <c r="B1190">
        <v>539</v>
      </c>
      <c r="C1190" t="s">
        <v>5305</v>
      </c>
      <c r="D1190" t="s">
        <v>5306</v>
      </c>
      <c r="E1190" t="s">
        <v>6211</v>
      </c>
      <c r="F1190">
        <v>46210.372916666667</v>
      </c>
      <c r="G1190">
        <v>232</v>
      </c>
      <c r="H1190" t="s">
        <v>6155</v>
      </c>
      <c r="I1190" t="s">
        <v>5358</v>
      </c>
      <c r="J1190">
        <v>71</v>
      </c>
      <c r="K1190">
        <v>436.65</v>
      </c>
      <c r="L1190">
        <v>9235</v>
      </c>
      <c r="M1190">
        <v>9242</v>
      </c>
      <c r="N1190">
        <v>7</v>
      </c>
      <c r="O1190">
        <v>9.85915492957746E-2</v>
      </c>
    </row>
    <row r="1191" spans="1:15" x14ac:dyDescent="0.25">
      <c r="A1191">
        <v>5</v>
      </c>
      <c r="B1191">
        <v>539</v>
      </c>
      <c r="C1191" t="s">
        <v>5305</v>
      </c>
      <c r="D1191" t="s">
        <v>5306</v>
      </c>
      <c r="E1191" t="s">
        <v>6211</v>
      </c>
      <c r="F1191">
        <v>46212.421527777777</v>
      </c>
      <c r="G1191">
        <v>232</v>
      </c>
      <c r="H1191" t="s">
        <v>6155</v>
      </c>
      <c r="I1191" t="s">
        <v>5358</v>
      </c>
      <c r="J1191">
        <v>107</v>
      </c>
      <c r="K1191">
        <v>658.05</v>
      </c>
      <c r="L1191">
        <v>9242</v>
      </c>
      <c r="M1191">
        <v>9251</v>
      </c>
      <c r="N1191">
        <v>9</v>
      </c>
      <c r="O1191">
        <v>8.4112149532710304E-2</v>
      </c>
    </row>
    <row r="1192" spans="1:15" x14ac:dyDescent="0.25">
      <c r="A1192">
        <v>5</v>
      </c>
      <c r="B1192">
        <v>539</v>
      </c>
      <c r="C1192" t="s">
        <v>5305</v>
      </c>
      <c r="D1192" t="s">
        <v>5306</v>
      </c>
      <c r="E1192" t="s">
        <v>6211</v>
      </c>
      <c r="F1192">
        <v>46217.535416666666</v>
      </c>
      <c r="G1192">
        <v>232</v>
      </c>
      <c r="H1192" t="s">
        <v>6155</v>
      </c>
      <c r="I1192" t="s">
        <v>5358</v>
      </c>
      <c r="J1192">
        <v>112</v>
      </c>
      <c r="K1192">
        <v>688.8</v>
      </c>
      <c r="L1192">
        <v>9251</v>
      </c>
      <c r="M1192">
        <v>9266</v>
      </c>
      <c r="N1192">
        <v>15</v>
      </c>
      <c r="O1192">
        <v>0.13392857142857101</v>
      </c>
    </row>
    <row r="1193" spans="1:15" x14ac:dyDescent="0.25">
      <c r="A1193">
        <v>5</v>
      </c>
      <c r="B1193">
        <v>539</v>
      </c>
      <c r="C1193" t="s">
        <v>5305</v>
      </c>
      <c r="D1193" t="s">
        <v>5306</v>
      </c>
      <c r="E1193" t="s">
        <v>6211</v>
      </c>
      <c r="F1193">
        <v>46220.506944444445</v>
      </c>
      <c r="G1193">
        <v>129</v>
      </c>
      <c r="H1193" t="s">
        <v>6164</v>
      </c>
      <c r="I1193" t="s">
        <v>5358</v>
      </c>
      <c r="J1193">
        <v>85</v>
      </c>
      <c r="K1193">
        <v>522.75</v>
      </c>
      <c r="L1193">
        <v>9266</v>
      </c>
      <c r="M1193">
        <v>9280</v>
      </c>
      <c r="N1193">
        <v>14</v>
      </c>
      <c r="O1193">
        <v>0.16470588235294101</v>
      </c>
    </row>
    <row r="1194" spans="1:15" x14ac:dyDescent="0.25">
      <c r="A1194">
        <v>5</v>
      </c>
      <c r="B1194">
        <v>569</v>
      </c>
      <c r="C1194" t="s">
        <v>5348</v>
      </c>
      <c r="D1194" t="s">
        <v>143</v>
      </c>
      <c r="E1194" t="s">
        <v>6212</v>
      </c>
      <c r="F1194">
        <v>46210.725694444445</v>
      </c>
      <c r="G1194">
        <v>129</v>
      </c>
      <c r="H1194" t="s">
        <v>6164</v>
      </c>
      <c r="I1194" t="s">
        <v>5358</v>
      </c>
      <c r="J1194">
        <v>442</v>
      </c>
      <c r="K1194">
        <v>2718.3</v>
      </c>
      <c r="L1194">
        <v>786770</v>
      </c>
      <c r="M1194">
        <v>787212</v>
      </c>
      <c r="N1194">
        <v>442</v>
      </c>
      <c r="O1194">
        <v>1</v>
      </c>
    </row>
    <row r="1195" spans="1:15" x14ac:dyDescent="0.25">
      <c r="A1195">
        <v>5</v>
      </c>
      <c r="B1195">
        <v>569</v>
      </c>
      <c r="C1195" t="s">
        <v>5348</v>
      </c>
      <c r="D1195" t="s">
        <v>143</v>
      </c>
      <c r="E1195" t="s">
        <v>6212</v>
      </c>
      <c r="F1195">
        <v>46217.461111111108</v>
      </c>
      <c r="G1195">
        <v>129</v>
      </c>
      <c r="H1195" t="s">
        <v>6164</v>
      </c>
      <c r="I1195" t="s">
        <v>5358</v>
      </c>
      <c r="J1195">
        <v>770</v>
      </c>
      <c r="K1195">
        <v>4735.5</v>
      </c>
      <c r="L1195">
        <v>787212</v>
      </c>
      <c r="M1195">
        <v>787982</v>
      </c>
      <c r="N1195">
        <v>770</v>
      </c>
      <c r="O1195">
        <v>1</v>
      </c>
    </row>
    <row r="1196" spans="1:15" x14ac:dyDescent="0.25">
      <c r="A1196">
        <v>5</v>
      </c>
      <c r="B1196">
        <v>569</v>
      </c>
      <c r="C1196" t="s">
        <v>5348</v>
      </c>
      <c r="D1196" t="s">
        <v>143</v>
      </c>
      <c r="E1196" t="s">
        <v>6212</v>
      </c>
      <c r="F1196">
        <v>46223.408333333333</v>
      </c>
      <c r="G1196">
        <v>129</v>
      </c>
      <c r="H1196" t="s">
        <v>6164</v>
      </c>
      <c r="I1196" t="s">
        <v>5358</v>
      </c>
      <c r="J1196">
        <v>443</v>
      </c>
      <c r="K1196">
        <v>3096.57</v>
      </c>
      <c r="L1196">
        <v>787982</v>
      </c>
      <c r="M1196">
        <v>788425</v>
      </c>
      <c r="N1196">
        <v>443</v>
      </c>
      <c r="O1196">
        <v>1</v>
      </c>
    </row>
    <row r="1197" spans="1:15" x14ac:dyDescent="0.25">
      <c r="A1197">
        <v>5</v>
      </c>
      <c r="B1197">
        <v>569</v>
      </c>
      <c r="C1197" t="s">
        <v>5348</v>
      </c>
      <c r="D1197" t="s">
        <v>143</v>
      </c>
      <c r="E1197" t="s">
        <v>6212</v>
      </c>
      <c r="F1197">
        <v>46229.595138888886</v>
      </c>
      <c r="G1197">
        <v>129</v>
      </c>
      <c r="H1197" t="s">
        <v>6164</v>
      </c>
      <c r="I1197" t="s">
        <v>5358</v>
      </c>
      <c r="J1197">
        <v>616</v>
      </c>
      <c r="K1197">
        <v>3850</v>
      </c>
      <c r="L1197">
        <v>788425</v>
      </c>
      <c r="M1197">
        <v>789041</v>
      </c>
      <c r="N1197">
        <v>616</v>
      </c>
      <c r="O1197">
        <v>1</v>
      </c>
    </row>
    <row r="1198" spans="1:15" x14ac:dyDescent="0.25">
      <c r="A1198">
        <v>5</v>
      </c>
      <c r="B1198">
        <v>569</v>
      </c>
      <c r="C1198" t="s">
        <v>5348</v>
      </c>
      <c r="D1198" t="s">
        <v>143</v>
      </c>
      <c r="E1198" t="s">
        <v>6212</v>
      </c>
      <c r="F1198">
        <v>46231.606944444444</v>
      </c>
      <c r="G1198">
        <v>129</v>
      </c>
      <c r="H1198" t="s">
        <v>6164</v>
      </c>
      <c r="I1198" t="s">
        <v>5358</v>
      </c>
      <c r="J1198">
        <v>404</v>
      </c>
      <c r="K1198">
        <v>2525</v>
      </c>
      <c r="L1198">
        <v>789041</v>
      </c>
      <c r="M1198">
        <v>789418</v>
      </c>
      <c r="N1198">
        <v>377</v>
      </c>
      <c r="O1198">
        <v>0.933168316831683</v>
      </c>
    </row>
    <row r="1199" spans="1:15" x14ac:dyDescent="0.25">
      <c r="A1199">
        <v>5</v>
      </c>
      <c r="B1199">
        <v>569</v>
      </c>
      <c r="C1199" t="s">
        <v>5348</v>
      </c>
      <c r="D1199" t="s">
        <v>143</v>
      </c>
      <c r="E1199" t="s">
        <v>6212</v>
      </c>
      <c r="F1199">
        <v>46233.628472222219</v>
      </c>
      <c r="G1199">
        <v>129</v>
      </c>
      <c r="H1199" t="s">
        <v>6164</v>
      </c>
      <c r="I1199" t="s">
        <v>5358</v>
      </c>
      <c r="J1199">
        <v>498</v>
      </c>
      <c r="K1199">
        <v>3481.02</v>
      </c>
      <c r="L1199">
        <v>789418</v>
      </c>
      <c r="M1199">
        <v>789916</v>
      </c>
      <c r="N1199">
        <v>498</v>
      </c>
      <c r="O1199">
        <v>1</v>
      </c>
    </row>
    <row r="1200" spans="1:15" x14ac:dyDescent="0.25">
      <c r="A1200">
        <v>5</v>
      </c>
      <c r="B1200">
        <v>612</v>
      </c>
      <c r="C1200" t="s">
        <v>5354</v>
      </c>
      <c r="D1200" t="s">
        <v>896</v>
      </c>
      <c r="E1200" t="s">
        <v>6205</v>
      </c>
      <c r="F1200">
        <v>46217.574305555558</v>
      </c>
      <c r="G1200">
        <v>264</v>
      </c>
      <c r="H1200" t="s">
        <v>6152</v>
      </c>
      <c r="I1200" t="s">
        <v>5358</v>
      </c>
      <c r="J1200">
        <v>68</v>
      </c>
      <c r="K1200">
        <v>427.72</v>
      </c>
      <c r="L1200">
        <v>0</v>
      </c>
      <c r="M1200">
        <v>3248</v>
      </c>
      <c r="N1200">
        <v>3248</v>
      </c>
      <c r="O1200">
        <v>2.0935960591133E-2</v>
      </c>
    </row>
    <row r="1201" spans="1:15" x14ac:dyDescent="0.25">
      <c r="A1201">
        <v>5</v>
      </c>
      <c r="B1201">
        <v>612</v>
      </c>
      <c r="C1201" t="s">
        <v>5354</v>
      </c>
      <c r="D1201" t="s">
        <v>896</v>
      </c>
      <c r="E1201" t="s">
        <v>6205</v>
      </c>
      <c r="F1201">
        <v>46226.665972222225</v>
      </c>
      <c r="G1201">
        <v>264</v>
      </c>
      <c r="H1201" t="s">
        <v>6152</v>
      </c>
      <c r="I1201" t="s">
        <v>5358</v>
      </c>
      <c r="J1201">
        <v>71</v>
      </c>
      <c r="K1201">
        <v>446.59</v>
      </c>
      <c r="L1201">
        <v>3248</v>
      </c>
      <c r="M1201">
        <v>3261</v>
      </c>
      <c r="N1201">
        <v>13</v>
      </c>
      <c r="O1201">
        <v>5.4615384615384599</v>
      </c>
    </row>
    <row r="1202" spans="1:15" x14ac:dyDescent="0.25">
      <c r="A1202">
        <v>5</v>
      </c>
      <c r="B1202">
        <v>618</v>
      </c>
      <c r="C1202" t="s">
        <v>5325</v>
      </c>
      <c r="D1202" t="s">
        <v>509</v>
      </c>
      <c r="E1202" t="s">
        <v>6213</v>
      </c>
      <c r="F1202">
        <v>46205.461805555555</v>
      </c>
      <c r="G1202">
        <v>232</v>
      </c>
      <c r="H1202" t="s">
        <v>6155</v>
      </c>
      <c r="I1202" t="s">
        <v>5358</v>
      </c>
      <c r="J1202">
        <v>38</v>
      </c>
      <c r="K1202">
        <v>233.7</v>
      </c>
      <c r="L1202">
        <v>179</v>
      </c>
      <c r="M1202">
        <v>256</v>
      </c>
      <c r="N1202">
        <v>77</v>
      </c>
      <c r="O1202">
        <v>0.493506493506494</v>
      </c>
    </row>
    <row r="1203" spans="1:15" x14ac:dyDescent="0.25">
      <c r="A1203">
        <v>5</v>
      </c>
      <c r="B1203">
        <v>618</v>
      </c>
      <c r="C1203" t="s">
        <v>5325</v>
      </c>
      <c r="D1203" t="s">
        <v>509</v>
      </c>
      <c r="E1203" t="s">
        <v>6213</v>
      </c>
      <c r="F1203">
        <v>46227.811111111114</v>
      </c>
      <c r="G1203">
        <v>264</v>
      </c>
      <c r="H1203" t="s">
        <v>6152</v>
      </c>
      <c r="I1203" t="s">
        <v>5358</v>
      </c>
      <c r="J1203">
        <v>77</v>
      </c>
      <c r="K1203">
        <v>485.87</v>
      </c>
      <c r="L1203">
        <v>256</v>
      </c>
      <c r="M1203">
        <v>466</v>
      </c>
      <c r="N1203">
        <v>210</v>
      </c>
      <c r="O1203">
        <v>0.36666666666666697</v>
      </c>
    </row>
    <row r="1204" spans="1:15" x14ac:dyDescent="0.25">
      <c r="A1204">
        <v>5</v>
      </c>
      <c r="B1204">
        <v>652</v>
      </c>
      <c r="C1204" t="s">
        <v>5331</v>
      </c>
      <c r="D1204" t="s">
        <v>5339</v>
      </c>
      <c r="E1204" t="s">
        <v>6214</v>
      </c>
      <c r="F1204">
        <v>46205.832638888889</v>
      </c>
      <c r="G1204">
        <v>264</v>
      </c>
      <c r="H1204" t="s">
        <v>6152</v>
      </c>
      <c r="I1204" t="s">
        <v>5358</v>
      </c>
      <c r="J1204">
        <v>72</v>
      </c>
      <c r="K1204">
        <v>442.8</v>
      </c>
      <c r="L1204">
        <v>2868</v>
      </c>
      <c r="M1204">
        <v>2881</v>
      </c>
      <c r="N1204">
        <v>13</v>
      </c>
      <c r="O1204">
        <v>0.180555555555556</v>
      </c>
    </row>
    <row r="1205" spans="1:15" x14ac:dyDescent="0.25">
      <c r="A1205">
        <v>5</v>
      </c>
      <c r="B1205">
        <v>652</v>
      </c>
      <c r="C1205" t="s">
        <v>5331</v>
      </c>
      <c r="D1205" t="s">
        <v>5339</v>
      </c>
      <c r="E1205" t="s">
        <v>6214</v>
      </c>
      <c r="F1205">
        <v>46209.697916666664</v>
      </c>
      <c r="G1205">
        <v>264</v>
      </c>
      <c r="H1205" t="s">
        <v>6152</v>
      </c>
      <c r="I1205" t="s">
        <v>5358</v>
      </c>
      <c r="J1205">
        <v>85</v>
      </c>
      <c r="K1205">
        <v>522.75</v>
      </c>
      <c r="L1205">
        <v>2881</v>
      </c>
      <c r="M1205">
        <v>2893</v>
      </c>
      <c r="N1205">
        <v>12</v>
      </c>
      <c r="O1205">
        <v>0.14117647058823499</v>
      </c>
    </row>
    <row r="1206" spans="1:15" x14ac:dyDescent="0.25">
      <c r="A1206">
        <v>5</v>
      </c>
      <c r="B1206">
        <v>652</v>
      </c>
      <c r="C1206" t="s">
        <v>5331</v>
      </c>
      <c r="D1206" t="s">
        <v>5339</v>
      </c>
      <c r="E1206" t="s">
        <v>6214</v>
      </c>
      <c r="F1206">
        <v>46211.822916666664</v>
      </c>
      <c r="G1206">
        <v>264</v>
      </c>
      <c r="H1206" t="s">
        <v>6152</v>
      </c>
      <c r="I1206" t="s">
        <v>5358</v>
      </c>
      <c r="J1206">
        <v>55</v>
      </c>
      <c r="K1206">
        <v>338.25</v>
      </c>
      <c r="L1206">
        <v>2893</v>
      </c>
      <c r="M1206">
        <v>2902</v>
      </c>
      <c r="N1206">
        <v>9</v>
      </c>
      <c r="O1206">
        <v>0.163636363636364</v>
      </c>
    </row>
    <row r="1207" spans="1:15" x14ac:dyDescent="0.25">
      <c r="A1207">
        <v>5</v>
      </c>
      <c r="B1207">
        <v>652</v>
      </c>
      <c r="C1207" t="s">
        <v>5331</v>
      </c>
      <c r="D1207" t="s">
        <v>5339</v>
      </c>
      <c r="E1207" t="s">
        <v>6214</v>
      </c>
      <c r="F1207">
        <v>46213.824305555558</v>
      </c>
      <c r="G1207">
        <v>264</v>
      </c>
      <c r="H1207" t="s">
        <v>6152</v>
      </c>
      <c r="I1207" t="s">
        <v>5358</v>
      </c>
      <c r="J1207">
        <v>45</v>
      </c>
      <c r="K1207">
        <v>276.75</v>
      </c>
      <c r="L1207">
        <v>2902</v>
      </c>
      <c r="M1207">
        <v>2910</v>
      </c>
      <c r="N1207">
        <v>8</v>
      </c>
      <c r="O1207">
        <v>0.17777777777777801</v>
      </c>
    </row>
    <row r="1208" spans="1:15" x14ac:dyDescent="0.25">
      <c r="A1208">
        <v>5</v>
      </c>
      <c r="B1208">
        <v>652</v>
      </c>
      <c r="C1208" t="s">
        <v>5331</v>
      </c>
      <c r="D1208" t="s">
        <v>5339</v>
      </c>
      <c r="E1208" t="s">
        <v>6214</v>
      </c>
      <c r="F1208">
        <v>46218.845138888886</v>
      </c>
      <c r="G1208">
        <v>264</v>
      </c>
      <c r="H1208" t="s">
        <v>6152</v>
      </c>
      <c r="I1208" t="s">
        <v>5358</v>
      </c>
      <c r="J1208">
        <v>86</v>
      </c>
      <c r="K1208">
        <v>528.9</v>
      </c>
      <c r="L1208">
        <v>2910</v>
      </c>
      <c r="M1208">
        <v>2925</v>
      </c>
      <c r="N1208">
        <v>15</v>
      </c>
      <c r="O1208">
        <v>0.17441860465116299</v>
      </c>
    </row>
    <row r="1209" spans="1:15" x14ac:dyDescent="0.25">
      <c r="A1209">
        <v>5</v>
      </c>
      <c r="B1209">
        <v>652</v>
      </c>
      <c r="C1209" t="s">
        <v>5331</v>
      </c>
      <c r="D1209" t="s">
        <v>5339</v>
      </c>
      <c r="E1209" t="s">
        <v>6214</v>
      </c>
      <c r="F1209">
        <v>46219.85833333333</v>
      </c>
      <c r="G1209">
        <v>264</v>
      </c>
      <c r="H1209" t="s">
        <v>6152</v>
      </c>
      <c r="I1209" t="s">
        <v>5358</v>
      </c>
      <c r="J1209">
        <v>43</v>
      </c>
      <c r="K1209">
        <v>264.45</v>
      </c>
      <c r="L1209">
        <v>2925</v>
      </c>
      <c r="M1209">
        <v>2931</v>
      </c>
      <c r="N1209">
        <v>6</v>
      </c>
      <c r="O1209">
        <v>0.13953488372093001</v>
      </c>
    </row>
    <row r="1210" spans="1:15" x14ac:dyDescent="0.25">
      <c r="A1210">
        <v>5</v>
      </c>
      <c r="B1210">
        <v>652</v>
      </c>
      <c r="C1210" t="s">
        <v>5331</v>
      </c>
      <c r="D1210" t="s">
        <v>5339</v>
      </c>
      <c r="E1210" t="s">
        <v>6214</v>
      </c>
      <c r="F1210">
        <v>46222.723611111112</v>
      </c>
      <c r="G1210">
        <v>264</v>
      </c>
      <c r="H1210" t="s">
        <v>6152</v>
      </c>
      <c r="I1210" t="s">
        <v>5358</v>
      </c>
      <c r="J1210">
        <v>79</v>
      </c>
      <c r="K1210">
        <v>489.8</v>
      </c>
      <c r="L1210">
        <v>2931</v>
      </c>
      <c r="M1210">
        <v>2947</v>
      </c>
      <c r="N1210">
        <v>16</v>
      </c>
      <c r="O1210">
        <v>0.20253164556962</v>
      </c>
    </row>
    <row r="1211" spans="1:15" x14ac:dyDescent="0.25">
      <c r="A1211">
        <v>5</v>
      </c>
      <c r="B1211">
        <v>652</v>
      </c>
      <c r="C1211" t="s">
        <v>5331</v>
      </c>
      <c r="D1211" t="s">
        <v>5339</v>
      </c>
      <c r="E1211" t="s">
        <v>6214</v>
      </c>
      <c r="F1211">
        <v>46224.814583333333</v>
      </c>
      <c r="G1211">
        <v>264</v>
      </c>
      <c r="H1211" t="s">
        <v>6152</v>
      </c>
      <c r="I1211" t="s">
        <v>5358</v>
      </c>
      <c r="J1211">
        <v>53</v>
      </c>
      <c r="K1211">
        <v>334.43</v>
      </c>
      <c r="L1211">
        <v>2947</v>
      </c>
      <c r="M1211">
        <v>2959</v>
      </c>
      <c r="N1211">
        <v>12</v>
      </c>
      <c r="O1211">
        <v>0.22641509433962301</v>
      </c>
    </row>
    <row r="1212" spans="1:15" x14ac:dyDescent="0.25">
      <c r="A1212">
        <v>5</v>
      </c>
      <c r="B1212">
        <v>652</v>
      </c>
      <c r="C1212" t="s">
        <v>5331</v>
      </c>
      <c r="D1212" t="s">
        <v>5339</v>
      </c>
      <c r="E1212" t="s">
        <v>6214</v>
      </c>
      <c r="F1212">
        <v>46228.76666666667</v>
      </c>
      <c r="G1212">
        <v>264</v>
      </c>
      <c r="H1212" t="s">
        <v>6152</v>
      </c>
      <c r="I1212" t="s">
        <v>5358</v>
      </c>
      <c r="J1212">
        <v>67</v>
      </c>
      <c r="K1212">
        <v>420.76</v>
      </c>
      <c r="L1212">
        <v>2959</v>
      </c>
      <c r="M1212">
        <v>2969</v>
      </c>
      <c r="N1212">
        <v>10</v>
      </c>
      <c r="O1212">
        <v>0.14925373134328401</v>
      </c>
    </row>
    <row r="1213" spans="1:15" x14ac:dyDescent="0.25">
      <c r="A1213">
        <v>5</v>
      </c>
      <c r="B1213">
        <v>652</v>
      </c>
      <c r="C1213" t="s">
        <v>5331</v>
      </c>
      <c r="D1213" t="s">
        <v>5339</v>
      </c>
      <c r="E1213" t="s">
        <v>6214</v>
      </c>
      <c r="F1213">
        <v>46231.925694444442</v>
      </c>
      <c r="G1213">
        <v>264</v>
      </c>
      <c r="H1213" t="s">
        <v>6152</v>
      </c>
      <c r="I1213" t="s">
        <v>5358</v>
      </c>
      <c r="J1213">
        <v>78</v>
      </c>
      <c r="K1213">
        <v>489.84</v>
      </c>
      <c r="L1213">
        <v>2969</v>
      </c>
      <c r="M1213">
        <v>2983</v>
      </c>
      <c r="N1213">
        <v>14</v>
      </c>
      <c r="O1213">
        <v>0.17948717948717899</v>
      </c>
    </row>
    <row r="1214" spans="1:15" x14ac:dyDescent="0.25">
      <c r="A1214">
        <v>5</v>
      </c>
      <c r="B1214">
        <v>652</v>
      </c>
      <c r="C1214" t="s">
        <v>5331</v>
      </c>
      <c r="D1214" t="s">
        <v>5339</v>
      </c>
      <c r="E1214" t="s">
        <v>6214</v>
      </c>
      <c r="F1214">
        <v>46233.861111111109</v>
      </c>
      <c r="G1214">
        <v>264</v>
      </c>
      <c r="H1214" t="s">
        <v>6152</v>
      </c>
      <c r="I1214" t="s">
        <v>5358</v>
      </c>
      <c r="J1214">
        <v>62</v>
      </c>
      <c r="K1214">
        <v>389.36</v>
      </c>
      <c r="L1214">
        <v>2983</v>
      </c>
      <c r="M1214">
        <v>2996</v>
      </c>
      <c r="N1214">
        <v>13</v>
      </c>
      <c r="O1214">
        <v>0.209677419354839</v>
      </c>
    </row>
    <row r="1215" spans="1:15" x14ac:dyDescent="0.25">
      <c r="A1215">
        <v>5</v>
      </c>
      <c r="B1215">
        <v>652</v>
      </c>
      <c r="C1215" t="s">
        <v>5331</v>
      </c>
      <c r="D1215" t="s">
        <v>318</v>
      </c>
      <c r="E1215" t="s">
        <v>6215</v>
      </c>
      <c r="F1215">
        <v>46205.470138888886</v>
      </c>
      <c r="G1215">
        <v>232</v>
      </c>
      <c r="H1215" t="s">
        <v>6155</v>
      </c>
      <c r="I1215" t="s">
        <v>5358</v>
      </c>
      <c r="J1215">
        <v>86</v>
      </c>
      <c r="K1215">
        <v>528.9</v>
      </c>
      <c r="L1215">
        <v>590</v>
      </c>
      <c r="M1215">
        <v>605</v>
      </c>
      <c r="N1215">
        <v>15</v>
      </c>
      <c r="O1215">
        <v>5.7333333333333298</v>
      </c>
    </row>
    <row r="1216" spans="1:15" x14ac:dyDescent="0.25">
      <c r="A1216">
        <v>5</v>
      </c>
      <c r="B1216">
        <v>652</v>
      </c>
      <c r="C1216" t="s">
        <v>5331</v>
      </c>
      <c r="D1216" t="s">
        <v>318</v>
      </c>
      <c r="E1216" t="s">
        <v>6215</v>
      </c>
      <c r="F1216">
        <v>46207.996527777781</v>
      </c>
      <c r="G1216">
        <v>232</v>
      </c>
      <c r="H1216" t="s">
        <v>6155</v>
      </c>
      <c r="I1216" t="s">
        <v>5358</v>
      </c>
      <c r="J1216">
        <v>44</v>
      </c>
      <c r="K1216">
        <v>270.60000000000002</v>
      </c>
      <c r="L1216">
        <v>605</v>
      </c>
      <c r="M1216">
        <v>621</v>
      </c>
      <c r="N1216">
        <v>16</v>
      </c>
      <c r="O1216">
        <v>2.75</v>
      </c>
    </row>
    <row r="1217" spans="1:15" x14ac:dyDescent="0.25">
      <c r="A1217">
        <v>5</v>
      </c>
      <c r="B1217">
        <v>652</v>
      </c>
      <c r="C1217" t="s">
        <v>5331</v>
      </c>
      <c r="D1217" t="s">
        <v>318</v>
      </c>
      <c r="E1217" t="s">
        <v>6215</v>
      </c>
      <c r="F1217">
        <v>46208.956944444442</v>
      </c>
      <c r="G1217">
        <v>232</v>
      </c>
      <c r="H1217" t="s">
        <v>6155</v>
      </c>
      <c r="I1217" t="s">
        <v>5358</v>
      </c>
      <c r="J1217">
        <v>31</v>
      </c>
      <c r="K1217">
        <v>199.02</v>
      </c>
      <c r="L1217">
        <v>621</v>
      </c>
      <c r="M1217">
        <v>627</v>
      </c>
      <c r="N1217">
        <v>6</v>
      </c>
      <c r="O1217">
        <v>5.1666666666666696</v>
      </c>
    </row>
    <row r="1218" spans="1:15" x14ac:dyDescent="0.25">
      <c r="A1218">
        <v>5</v>
      </c>
      <c r="B1218">
        <v>652</v>
      </c>
      <c r="C1218" t="s">
        <v>5331</v>
      </c>
      <c r="D1218" t="s">
        <v>318</v>
      </c>
      <c r="E1218" t="s">
        <v>6215</v>
      </c>
      <c r="F1218">
        <v>46209.930555555555</v>
      </c>
      <c r="G1218">
        <v>232</v>
      </c>
      <c r="H1218" t="s">
        <v>6155</v>
      </c>
      <c r="I1218" t="s">
        <v>5358</v>
      </c>
      <c r="J1218">
        <v>38</v>
      </c>
      <c r="K1218">
        <v>233.7</v>
      </c>
      <c r="L1218">
        <v>627</v>
      </c>
      <c r="M1218">
        <v>633</v>
      </c>
      <c r="N1218">
        <v>6</v>
      </c>
      <c r="O1218">
        <v>6.3333333333333304</v>
      </c>
    </row>
    <row r="1219" spans="1:15" x14ac:dyDescent="0.25">
      <c r="A1219">
        <v>5</v>
      </c>
      <c r="B1219">
        <v>652</v>
      </c>
      <c r="C1219" t="s">
        <v>5331</v>
      </c>
      <c r="D1219" t="s">
        <v>318</v>
      </c>
      <c r="E1219" t="s">
        <v>6215</v>
      </c>
      <c r="F1219">
        <v>46210.980555555558</v>
      </c>
      <c r="G1219">
        <v>232</v>
      </c>
      <c r="H1219" t="s">
        <v>6155</v>
      </c>
      <c r="I1219" t="s">
        <v>5358</v>
      </c>
      <c r="J1219">
        <v>34</v>
      </c>
      <c r="K1219">
        <v>209.1</v>
      </c>
      <c r="L1219">
        <v>633</v>
      </c>
      <c r="M1219">
        <v>638</v>
      </c>
      <c r="N1219">
        <v>5</v>
      </c>
      <c r="O1219">
        <v>6.8</v>
      </c>
    </row>
    <row r="1220" spans="1:15" x14ac:dyDescent="0.25">
      <c r="A1220">
        <v>5</v>
      </c>
      <c r="B1220">
        <v>652</v>
      </c>
      <c r="C1220" t="s">
        <v>5331</v>
      </c>
      <c r="D1220" t="s">
        <v>318</v>
      </c>
      <c r="E1220" t="s">
        <v>6215</v>
      </c>
      <c r="F1220">
        <v>46211.011805555558</v>
      </c>
      <c r="G1220">
        <v>232</v>
      </c>
      <c r="H1220" t="s">
        <v>6155</v>
      </c>
      <c r="I1220" t="s">
        <v>5358</v>
      </c>
      <c r="J1220">
        <v>82</v>
      </c>
      <c r="K1220">
        <v>504.3</v>
      </c>
      <c r="L1220">
        <v>638</v>
      </c>
      <c r="M1220">
        <v>652</v>
      </c>
      <c r="N1220">
        <v>14</v>
      </c>
      <c r="O1220">
        <v>5.8571428571428603</v>
      </c>
    </row>
    <row r="1221" spans="1:15" x14ac:dyDescent="0.25">
      <c r="A1221">
        <v>5</v>
      </c>
      <c r="B1221">
        <v>652</v>
      </c>
      <c r="C1221" t="s">
        <v>5331</v>
      </c>
      <c r="D1221" t="s">
        <v>318</v>
      </c>
      <c r="E1221" t="s">
        <v>6215</v>
      </c>
      <c r="F1221">
        <v>46212.004861111112</v>
      </c>
      <c r="G1221">
        <v>232</v>
      </c>
      <c r="H1221" t="s">
        <v>6155</v>
      </c>
      <c r="I1221" t="s">
        <v>5358</v>
      </c>
      <c r="J1221">
        <v>44</v>
      </c>
      <c r="K1221">
        <v>270.60000000000002</v>
      </c>
      <c r="L1221">
        <v>652</v>
      </c>
      <c r="M1221">
        <v>662</v>
      </c>
      <c r="N1221">
        <v>10</v>
      </c>
      <c r="O1221">
        <v>4.4000000000000004</v>
      </c>
    </row>
    <row r="1222" spans="1:15" x14ac:dyDescent="0.25">
      <c r="A1222">
        <v>5</v>
      </c>
      <c r="B1222">
        <v>652</v>
      </c>
      <c r="C1222" t="s">
        <v>5331</v>
      </c>
      <c r="D1222" t="s">
        <v>318</v>
      </c>
      <c r="E1222" t="s">
        <v>6215</v>
      </c>
      <c r="F1222">
        <v>46213.075694444444</v>
      </c>
      <c r="G1222">
        <v>232</v>
      </c>
      <c r="H1222" t="s">
        <v>6155</v>
      </c>
      <c r="I1222" t="s">
        <v>5358</v>
      </c>
      <c r="J1222">
        <v>47</v>
      </c>
      <c r="K1222">
        <v>289.05</v>
      </c>
      <c r="L1222">
        <v>662</v>
      </c>
      <c r="M1222">
        <v>683</v>
      </c>
      <c r="N1222">
        <v>21</v>
      </c>
      <c r="O1222">
        <v>2.2380952380952399</v>
      </c>
    </row>
    <row r="1223" spans="1:15" x14ac:dyDescent="0.25">
      <c r="A1223">
        <v>5</v>
      </c>
      <c r="B1223">
        <v>652</v>
      </c>
      <c r="C1223" t="s">
        <v>5331</v>
      </c>
      <c r="D1223" t="s">
        <v>318</v>
      </c>
      <c r="E1223" t="s">
        <v>6215</v>
      </c>
      <c r="F1223">
        <v>46214.009722222225</v>
      </c>
      <c r="G1223">
        <v>232</v>
      </c>
      <c r="H1223" t="s">
        <v>6155</v>
      </c>
      <c r="I1223" t="s">
        <v>5358</v>
      </c>
      <c r="J1223">
        <v>30</v>
      </c>
      <c r="K1223">
        <v>184.5</v>
      </c>
      <c r="L1223">
        <v>683</v>
      </c>
      <c r="M1223">
        <v>686</v>
      </c>
      <c r="N1223">
        <v>3</v>
      </c>
      <c r="O1223">
        <v>10</v>
      </c>
    </row>
    <row r="1224" spans="1:15" x14ac:dyDescent="0.25">
      <c r="A1224">
        <v>5</v>
      </c>
      <c r="B1224">
        <v>652</v>
      </c>
      <c r="C1224" t="s">
        <v>5331</v>
      </c>
      <c r="D1224" t="s">
        <v>318</v>
      </c>
      <c r="E1224" t="s">
        <v>6215</v>
      </c>
      <c r="F1224">
        <v>46215.95</v>
      </c>
      <c r="G1224">
        <v>232</v>
      </c>
      <c r="H1224" t="s">
        <v>6155</v>
      </c>
      <c r="I1224" t="s">
        <v>5358</v>
      </c>
      <c r="J1224">
        <v>81</v>
      </c>
      <c r="K1224">
        <v>498.15</v>
      </c>
      <c r="L1224">
        <v>686</v>
      </c>
      <c r="M1224">
        <v>694</v>
      </c>
      <c r="N1224">
        <v>8</v>
      </c>
      <c r="O1224">
        <v>10.125</v>
      </c>
    </row>
    <row r="1225" spans="1:15" x14ac:dyDescent="0.25">
      <c r="A1225">
        <v>5</v>
      </c>
      <c r="B1225">
        <v>652</v>
      </c>
      <c r="C1225" t="s">
        <v>5331</v>
      </c>
      <c r="D1225" t="s">
        <v>318</v>
      </c>
      <c r="E1225" t="s">
        <v>6215</v>
      </c>
      <c r="F1225">
        <v>46216.969444444447</v>
      </c>
      <c r="G1225">
        <v>232</v>
      </c>
      <c r="H1225" t="s">
        <v>6155</v>
      </c>
      <c r="I1225" t="s">
        <v>5358</v>
      </c>
      <c r="J1225">
        <v>30</v>
      </c>
      <c r="K1225">
        <v>184.5</v>
      </c>
      <c r="L1225">
        <v>694</v>
      </c>
      <c r="M1225">
        <v>702</v>
      </c>
      <c r="N1225">
        <v>8</v>
      </c>
      <c r="O1225">
        <v>3.75</v>
      </c>
    </row>
    <row r="1226" spans="1:15" x14ac:dyDescent="0.25">
      <c r="A1226">
        <v>5</v>
      </c>
      <c r="B1226">
        <v>652</v>
      </c>
      <c r="C1226" t="s">
        <v>5331</v>
      </c>
      <c r="D1226" t="s">
        <v>318</v>
      </c>
      <c r="E1226" t="s">
        <v>6215</v>
      </c>
      <c r="F1226">
        <v>46217.48541666667</v>
      </c>
      <c r="G1226">
        <v>232</v>
      </c>
      <c r="H1226" t="s">
        <v>6155</v>
      </c>
      <c r="I1226" t="s">
        <v>5358</v>
      </c>
      <c r="J1226">
        <v>56</v>
      </c>
      <c r="K1226">
        <v>344.4</v>
      </c>
      <c r="L1226">
        <v>702</v>
      </c>
      <c r="M1226">
        <v>715</v>
      </c>
      <c r="N1226">
        <v>13</v>
      </c>
      <c r="O1226">
        <v>4.3076923076923102</v>
      </c>
    </row>
    <row r="1227" spans="1:15" x14ac:dyDescent="0.25">
      <c r="A1227">
        <v>5</v>
      </c>
      <c r="B1227">
        <v>652</v>
      </c>
      <c r="C1227" t="s">
        <v>5331</v>
      </c>
      <c r="D1227" t="s">
        <v>318</v>
      </c>
      <c r="E1227" t="s">
        <v>6215</v>
      </c>
      <c r="F1227">
        <v>46218.10833333333</v>
      </c>
      <c r="G1227">
        <v>232</v>
      </c>
      <c r="H1227" t="s">
        <v>6155</v>
      </c>
      <c r="I1227" t="s">
        <v>5358</v>
      </c>
      <c r="J1227">
        <v>56</v>
      </c>
      <c r="K1227">
        <v>344.4</v>
      </c>
      <c r="L1227">
        <v>715</v>
      </c>
      <c r="M1227">
        <v>726</v>
      </c>
      <c r="N1227">
        <v>11</v>
      </c>
      <c r="O1227">
        <v>5.0909090909090899</v>
      </c>
    </row>
    <row r="1228" spans="1:15" x14ac:dyDescent="0.25">
      <c r="A1228">
        <v>5</v>
      </c>
      <c r="B1228">
        <v>652</v>
      </c>
      <c r="C1228" t="s">
        <v>5331</v>
      </c>
      <c r="D1228" t="s">
        <v>318</v>
      </c>
      <c r="E1228" t="s">
        <v>6215</v>
      </c>
      <c r="F1228">
        <v>46219.109722222223</v>
      </c>
      <c r="G1228">
        <v>232</v>
      </c>
      <c r="H1228" t="s">
        <v>6155</v>
      </c>
      <c r="I1228" t="s">
        <v>5358</v>
      </c>
      <c r="J1228">
        <v>59</v>
      </c>
      <c r="K1228">
        <v>362.85</v>
      </c>
      <c r="L1228">
        <v>726</v>
      </c>
      <c r="M1228">
        <v>737</v>
      </c>
      <c r="N1228">
        <v>11</v>
      </c>
      <c r="O1228">
        <v>5.3636363636363598</v>
      </c>
    </row>
    <row r="1229" spans="1:15" x14ac:dyDescent="0.25">
      <c r="A1229">
        <v>5</v>
      </c>
      <c r="B1229">
        <v>652</v>
      </c>
      <c r="C1229" t="s">
        <v>5331</v>
      </c>
      <c r="D1229" t="s">
        <v>318</v>
      </c>
      <c r="E1229" t="s">
        <v>6215</v>
      </c>
      <c r="F1229">
        <v>46221.925000000003</v>
      </c>
      <c r="G1229">
        <v>232</v>
      </c>
      <c r="H1229" t="s">
        <v>6155</v>
      </c>
      <c r="I1229" t="s">
        <v>5358</v>
      </c>
      <c r="J1229">
        <v>94</v>
      </c>
      <c r="K1229">
        <v>578.1</v>
      </c>
      <c r="L1229">
        <v>737</v>
      </c>
      <c r="M1229">
        <v>758</v>
      </c>
      <c r="N1229">
        <v>21</v>
      </c>
      <c r="O1229">
        <v>4.4761904761904798</v>
      </c>
    </row>
    <row r="1230" spans="1:15" x14ac:dyDescent="0.25">
      <c r="A1230">
        <v>5</v>
      </c>
      <c r="B1230">
        <v>652</v>
      </c>
      <c r="C1230" t="s">
        <v>5331</v>
      </c>
      <c r="D1230" t="s">
        <v>318</v>
      </c>
      <c r="E1230" t="s">
        <v>6215</v>
      </c>
      <c r="F1230">
        <v>46233.012499999997</v>
      </c>
      <c r="G1230">
        <v>232</v>
      </c>
      <c r="H1230" t="s">
        <v>6155</v>
      </c>
      <c r="I1230" t="s">
        <v>5358</v>
      </c>
      <c r="J1230">
        <v>53</v>
      </c>
      <c r="K1230">
        <v>331.25</v>
      </c>
      <c r="L1230">
        <v>758</v>
      </c>
      <c r="M1230">
        <v>862</v>
      </c>
      <c r="N1230">
        <v>104</v>
      </c>
      <c r="O1230">
        <v>0.50961538461538503</v>
      </c>
    </row>
    <row r="1231" spans="1:15" x14ac:dyDescent="0.25">
      <c r="A1231">
        <v>5</v>
      </c>
      <c r="B1231">
        <v>14452</v>
      </c>
      <c r="C1231" t="s">
        <v>5314</v>
      </c>
      <c r="D1231" t="s">
        <v>844</v>
      </c>
      <c r="E1231" t="s">
        <v>6216</v>
      </c>
      <c r="F1231">
        <v>46204.775000000001</v>
      </c>
      <c r="G1231">
        <v>264</v>
      </c>
      <c r="H1231" t="s">
        <v>6152</v>
      </c>
      <c r="I1231" t="s">
        <v>5358</v>
      </c>
      <c r="J1231">
        <v>118</v>
      </c>
      <c r="K1231">
        <v>725.7</v>
      </c>
      <c r="L1231">
        <v>2880</v>
      </c>
      <c r="M1231">
        <v>2889</v>
      </c>
      <c r="N1231">
        <v>9</v>
      </c>
      <c r="O1231">
        <v>13.1111111111111</v>
      </c>
    </row>
    <row r="1232" spans="1:15" x14ac:dyDescent="0.25">
      <c r="A1232">
        <v>5</v>
      </c>
      <c r="B1232">
        <v>14452</v>
      </c>
      <c r="C1232" t="s">
        <v>5314</v>
      </c>
      <c r="D1232" t="s">
        <v>844</v>
      </c>
      <c r="E1232" t="s">
        <v>6216</v>
      </c>
      <c r="F1232">
        <v>46205.836111111108</v>
      </c>
      <c r="G1232">
        <v>264</v>
      </c>
      <c r="H1232" t="s">
        <v>6152</v>
      </c>
      <c r="I1232" t="s">
        <v>5358</v>
      </c>
      <c r="J1232">
        <v>84</v>
      </c>
      <c r="K1232">
        <v>516.6</v>
      </c>
      <c r="L1232">
        <v>2889</v>
      </c>
      <c r="M1232">
        <v>2895</v>
      </c>
      <c r="N1232">
        <v>6</v>
      </c>
      <c r="O1232">
        <v>14</v>
      </c>
    </row>
    <row r="1233" spans="1:15" x14ac:dyDescent="0.25">
      <c r="A1233">
        <v>5</v>
      </c>
      <c r="B1233">
        <v>14452</v>
      </c>
      <c r="C1233" t="s">
        <v>5314</v>
      </c>
      <c r="D1233" t="s">
        <v>844</v>
      </c>
      <c r="E1233" t="s">
        <v>6216</v>
      </c>
      <c r="F1233">
        <v>46207.897222222222</v>
      </c>
      <c r="G1233">
        <v>264</v>
      </c>
      <c r="H1233" t="s">
        <v>6152</v>
      </c>
      <c r="I1233" t="s">
        <v>5358</v>
      </c>
      <c r="J1233">
        <v>102</v>
      </c>
      <c r="K1233">
        <v>627.29999999999995</v>
      </c>
      <c r="L1233">
        <v>2895</v>
      </c>
      <c r="M1233">
        <v>2901</v>
      </c>
      <c r="N1233">
        <v>6</v>
      </c>
      <c r="O1233">
        <v>17</v>
      </c>
    </row>
    <row r="1234" spans="1:15" x14ac:dyDescent="0.25">
      <c r="A1234">
        <v>5</v>
      </c>
      <c r="B1234">
        <v>14452</v>
      </c>
      <c r="C1234" t="s">
        <v>5314</v>
      </c>
      <c r="D1234" t="s">
        <v>844</v>
      </c>
      <c r="E1234" t="s">
        <v>6216</v>
      </c>
      <c r="F1234">
        <v>46209.695833333331</v>
      </c>
      <c r="G1234">
        <v>264</v>
      </c>
      <c r="H1234" t="s">
        <v>6152</v>
      </c>
      <c r="I1234" t="s">
        <v>5358</v>
      </c>
      <c r="J1234">
        <v>47</v>
      </c>
      <c r="K1234">
        <v>289.05</v>
      </c>
      <c r="L1234">
        <v>2901</v>
      </c>
      <c r="M1234">
        <v>2903</v>
      </c>
      <c r="N1234">
        <v>2</v>
      </c>
      <c r="O1234">
        <v>23.5</v>
      </c>
    </row>
    <row r="1235" spans="1:15" x14ac:dyDescent="0.25">
      <c r="A1235">
        <v>5</v>
      </c>
      <c r="B1235">
        <v>14452</v>
      </c>
      <c r="C1235" t="s">
        <v>5314</v>
      </c>
      <c r="D1235" t="s">
        <v>844</v>
      </c>
      <c r="E1235" t="s">
        <v>6216</v>
      </c>
      <c r="F1235">
        <v>46210.849305555559</v>
      </c>
      <c r="G1235">
        <v>264</v>
      </c>
      <c r="H1235" t="s">
        <v>6152</v>
      </c>
      <c r="I1235" t="s">
        <v>5358</v>
      </c>
      <c r="J1235">
        <v>73</v>
      </c>
      <c r="K1235">
        <v>448.95</v>
      </c>
      <c r="L1235">
        <v>2903</v>
      </c>
      <c r="M1235">
        <v>2910</v>
      </c>
      <c r="N1235">
        <v>7</v>
      </c>
      <c r="O1235">
        <v>10.4285714285714</v>
      </c>
    </row>
    <row r="1236" spans="1:15" x14ac:dyDescent="0.25">
      <c r="A1236">
        <v>5</v>
      </c>
      <c r="B1236">
        <v>14452</v>
      </c>
      <c r="C1236" t="s">
        <v>5314</v>
      </c>
      <c r="D1236" t="s">
        <v>844</v>
      </c>
      <c r="E1236" t="s">
        <v>6216</v>
      </c>
      <c r="F1236">
        <v>46212.775694444441</v>
      </c>
      <c r="G1236">
        <v>264</v>
      </c>
      <c r="H1236" t="s">
        <v>6152</v>
      </c>
      <c r="I1236" t="s">
        <v>5358</v>
      </c>
      <c r="J1236">
        <v>125</v>
      </c>
      <c r="K1236">
        <v>768.75</v>
      </c>
      <c r="L1236">
        <v>2910</v>
      </c>
      <c r="M1236">
        <v>2921</v>
      </c>
      <c r="N1236">
        <v>11</v>
      </c>
      <c r="O1236">
        <v>11.363636363636401</v>
      </c>
    </row>
    <row r="1237" spans="1:15" x14ac:dyDescent="0.25">
      <c r="A1237">
        <v>5</v>
      </c>
      <c r="B1237">
        <v>14452</v>
      </c>
      <c r="C1237" t="s">
        <v>5314</v>
      </c>
      <c r="D1237" t="s">
        <v>844</v>
      </c>
      <c r="E1237" t="s">
        <v>6216</v>
      </c>
      <c r="F1237">
        <v>46213.823611111111</v>
      </c>
      <c r="G1237">
        <v>264</v>
      </c>
      <c r="H1237" t="s">
        <v>6152</v>
      </c>
      <c r="I1237" t="s">
        <v>5358</v>
      </c>
      <c r="J1237">
        <v>53</v>
      </c>
      <c r="K1237">
        <v>325.95</v>
      </c>
      <c r="L1237">
        <v>2921</v>
      </c>
      <c r="M1237">
        <v>2926</v>
      </c>
      <c r="N1237">
        <v>5</v>
      </c>
      <c r="O1237">
        <v>10.6</v>
      </c>
    </row>
    <row r="1238" spans="1:15" x14ac:dyDescent="0.25">
      <c r="A1238">
        <v>5</v>
      </c>
      <c r="B1238">
        <v>14452</v>
      </c>
      <c r="C1238" t="s">
        <v>5314</v>
      </c>
      <c r="D1238" t="s">
        <v>844</v>
      </c>
      <c r="E1238" t="s">
        <v>6216</v>
      </c>
      <c r="F1238">
        <v>46218.848611111112</v>
      </c>
      <c r="G1238">
        <v>264</v>
      </c>
      <c r="H1238" t="s">
        <v>6152</v>
      </c>
      <c r="I1238" t="s">
        <v>5358</v>
      </c>
      <c r="J1238">
        <v>78</v>
      </c>
      <c r="K1238">
        <v>479.7</v>
      </c>
      <c r="L1238">
        <v>2926</v>
      </c>
      <c r="M1238">
        <v>2932</v>
      </c>
      <c r="N1238">
        <v>6</v>
      </c>
      <c r="O1238">
        <v>13</v>
      </c>
    </row>
    <row r="1239" spans="1:15" x14ac:dyDescent="0.25">
      <c r="A1239">
        <v>5</v>
      </c>
      <c r="B1239">
        <v>14452</v>
      </c>
      <c r="C1239" t="s">
        <v>5314</v>
      </c>
      <c r="D1239" t="s">
        <v>844</v>
      </c>
      <c r="E1239" t="s">
        <v>6216</v>
      </c>
      <c r="F1239">
        <v>46219.859722222223</v>
      </c>
      <c r="G1239">
        <v>264</v>
      </c>
      <c r="H1239" t="s">
        <v>6152</v>
      </c>
      <c r="I1239" t="s">
        <v>5358</v>
      </c>
      <c r="J1239">
        <v>20</v>
      </c>
      <c r="K1239">
        <v>123</v>
      </c>
      <c r="L1239">
        <v>2932</v>
      </c>
      <c r="M1239">
        <v>2934</v>
      </c>
      <c r="N1239">
        <v>2</v>
      </c>
      <c r="O1239">
        <v>10</v>
      </c>
    </row>
    <row r="1240" spans="1:15" x14ac:dyDescent="0.25">
      <c r="A1240">
        <v>5</v>
      </c>
      <c r="B1240">
        <v>14452</v>
      </c>
      <c r="C1240" t="s">
        <v>5314</v>
      </c>
      <c r="D1240" t="s">
        <v>844</v>
      </c>
      <c r="E1240" t="s">
        <v>6216</v>
      </c>
      <c r="F1240">
        <v>46221.897222222222</v>
      </c>
      <c r="G1240">
        <v>264</v>
      </c>
      <c r="H1240" t="s">
        <v>6152</v>
      </c>
      <c r="I1240" t="s">
        <v>5358</v>
      </c>
      <c r="J1240">
        <v>61</v>
      </c>
      <c r="K1240">
        <v>378.2</v>
      </c>
      <c r="L1240">
        <v>2934</v>
      </c>
      <c r="M1240">
        <v>2939</v>
      </c>
      <c r="N1240">
        <v>5</v>
      </c>
      <c r="O1240">
        <v>12.2</v>
      </c>
    </row>
    <row r="1241" spans="1:15" x14ac:dyDescent="0.25">
      <c r="A1241">
        <v>5</v>
      </c>
      <c r="B1241">
        <v>14452</v>
      </c>
      <c r="C1241" t="s">
        <v>5314</v>
      </c>
      <c r="D1241" t="s">
        <v>844</v>
      </c>
      <c r="E1241" t="s">
        <v>6216</v>
      </c>
      <c r="F1241">
        <v>46223.863888888889</v>
      </c>
      <c r="G1241">
        <v>264</v>
      </c>
      <c r="H1241" t="s">
        <v>6152</v>
      </c>
      <c r="I1241" t="s">
        <v>5358</v>
      </c>
      <c r="J1241">
        <v>88</v>
      </c>
      <c r="K1241">
        <v>555.28</v>
      </c>
      <c r="L1241">
        <v>2939</v>
      </c>
      <c r="M1241">
        <v>2946</v>
      </c>
      <c r="N1241">
        <v>7</v>
      </c>
      <c r="O1241">
        <v>12.5714285714286</v>
      </c>
    </row>
    <row r="1242" spans="1:15" x14ac:dyDescent="0.25">
      <c r="A1242">
        <v>5</v>
      </c>
      <c r="B1242">
        <v>14452</v>
      </c>
      <c r="C1242" t="s">
        <v>5314</v>
      </c>
      <c r="D1242" t="s">
        <v>844</v>
      </c>
      <c r="E1242" t="s">
        <v>6216</v>
      </c>
      <c r="F1242">
        <v>46224.808333333334</v>
      </c>
      <c r="G1242">
        <v>264</v>
      </c>
      <c r="H1242" t="s">
        <v>6152</v>
      </c>
      <c r="I1242" t="s">
        <v>5358</v>
      </c>
      <c r="J1242">
        <v>40</v>
      </c>
      <c r="K1242">
        <v>252.4</v>
      </c>
      <c r="L1242">
        <v>2946</v>
      </c>
      <c r="M1242">
        <v>2949</v>
      </c>
      <c r="N1242">
        <v>3</v>
      </c>
      <c r="O1242">
        <v>13.3333333333333</v>
      </c>
    </row>
    <row r="1243" spans="1:15" x14ac:dyDescent="0.25">
      <c r="A1243">
        <v>5</v>
      </c>
      <c r="B1243">
        <v>14452</v>
      </c>
      <c r="C1243" t="s">
        <v>5314</v>
      </c>
      <c r="D1243" t="s">
        <v>844</v>
      </c>
      <c r="E1243" t="s">
        <v>6216</v>
      </c>
      <c r="F1243">
        <v>46230.89166666667</v>
      </c>
      <c r="G1243">
        <v>264</v>
      </c>
      <c r="H1243" t="s">
        <v>6152</v>
      </c>
      <c r="I1243" t="s">
        <v>5358</v>
      </c>
      <c r="J1243">
        <v>64</v>
      </c>
      <c r="K1243">
        <v>401.92</v>
      </c>
      <c r="L1243">
        <v>2949</v>
      </c>
      <c r="M1243">
        <v>2956</v>
      </c>
      <c r="N1243">
        <v>7</v>
      </c>
      <c r="O1243">
        <v>9.1428571428571406</v>
      </c>
    </row>
    <row r="1244" spans="1:15" x14ac:dyDescent="0.25">
      <c r="A1244">
        <v>5</v>
      </c>
      <c r="B1244">
        <v>14452</v>
      </c>
      <c r="C1244" t="s">
        <v>5314</v>
      </c>
      <c r="D1244" t="s">
        <v>844</v>
      </c>
      <c r="E1244" t="s">
        <v>6216</v>
      </c>
      <c r="F1244">
        <v>46231.927083333336</v>
      </c>
      <c r="G1244">
        <v>264</v>
      </c>
      <c r="H1244" t="s">
        <v>6152</v>
      </c>
      <c r="I1244" t="s">
        <v>5358</v>
      </c>
      <c r="J1244">
        <v>79</v>
      </c>
      <c r="K1244">
        <v>496.12</v>
      </c>
      <c r="L1244">
        <v>2956</v>
      </c>
      <c r="M1244">
        <v>2963</v>
      </c>
      <c r="N1244">
        <v>7</v>
      </c>
      <c r="O1244">
        <v>11.285714285714301</v>
      </c>
    </row>
    <row r="1245" spans="1:15" x14ac:dyDescent="0.25">
      <c r="A1245">
        <v>5</v>
      </c>
      <c r="B1245">
        <v>14452</v>
      </c>
      <c r="C1245" t="s">
        <v>5314</v>
      </c>
      <c r="D1245" t="s">
        <v>844</v>
      </c>
      <c r="E1245" t="s">
        <v>6216</v>
      </c>
      <c r="F1245">
        <v>46232.88958333333</v>
      </c>
      <c r="G1245">
        <v>264</v>
      </c>
      <c r="H1245" t="s">
        <v>6152</v>
      </c>
      <c r="I1245" t="s">
        <v>5358</v>
      </c>
      <c r="J1245">
        <v>68</v>
      </c>
      <c r="K1245">
        <v>427.04</v>
      </c>
      <c r="L1245">
        <v>2963</v>
      </c>
      <c r="M1245">
        <v>2968</v>
      </c>
      <c r="N1245">
        <v>5</v>
      </c>
      <c r="O1245">
        <v>13.6</v>
      </c>
    </row>
    <row r="1246" spans="1:15" x14ac:dyDescent="0.25">
      <c r="A1246">
        <v>5</v>
      </c>
      <c r="B1246">
        <v>14452</v>
      </c>
      <c r="C1246" t="s">
        <v>5314</v>
      </c>
      <c r="D1246" t="s">
        <v>844</v>
      </c>
      <c r="E1246" t="s">
        <v>6216</v>
      </c>
      <c r="F1246">
        <v>46233.85</v>
      </c>
      <c r="G1246">
        <v>264</v>
      </c>
      <c r="H1246" t="s">
        <v>6152</v>
      </c>
      <c r="I1246" t="s">
        <v>5358</v>
      </c>
      <c r="J1246">
        <v>69</v>
      </c>
      <c r="K1246">
        <v>433.32</v>
      </c>
      <c r="L1246">
        <v>2968</v>
      </c>
      <c r="M1246">
        <v>2973</v>
      </c>
      <c r="N1246">
        <v>5</v>
      </c>
      <c r="O1246">
        <v>13.8</v>
      </c>
    </row>
    <row r="1247" spans="1:15" x14ac:dyDescent="0.25">
      <c r="A1247">
        <v>5</v>
      </c>
      <c r="B1247">
        <v>14452</v>
      </c>
      <c r="C1247" t="s">
        <v>5314</v>
      </c>
      <c r="D1247" t="s">
        <v>844</v>
      </c>
      <c r="E1247" t="s">
        <v>6216</v>
      </c>
      <c r="F1247">
        <v>46234.892361111109</v>
      </c>
      <c r="G1247">
        <v>264</v>
      </c>
      <c r="H1247" t="s">
        <v>6152</v>
      </c>
      <c r="I1247" t="s">
        <v>5358</v>
      </c>
      <c r="J1247">
        <v>68</v>
      </c>
      <c r="K1247">
        <v>427.04</v>
      </c>
      <c r="L1247">
        <v>2973</v>
      </c>
      <c r="M1247">
        <v>2978</v>
      </c>
      <c r="N1247">
        <v>5</v>
      </c>
      <c r="O1247">
        <v>13.6</v>
      </c>
    </row>
    <row r="1248" spans="1:15" x14ac:dyDescent="0.25">
      <c r="A1248">
        <v>5</v>
      </c>
      <c r="B1248">
        <v>14476</v>
      </c>
      <c r="C1248" t="s">
        <v>5304</v>
      </c>
      <c r="D1248" t="s">
        <v>447</v>
      </c>
      <c r="E1248" t="s">
        <v>6217</v>
      </c>
      <c r="F1248">
        <v>46204.65625</v>
      </c>
      <c r="G1248">
        <v>232</v>
      </c>
      <c r="H1248" t="s">
        <v>6155</v>
      </c>
      <c r="I1248" t="s">
        <v>5358</v>
      </c>
      <c r="J1248">
        <v>407</v>
      </c>
      <c r="K1248">
        <v>2503.0500000000002</v>
      </c>
      <c r="L1248">
        <v>2029</v>
      </c>
      <c r="M1248">
        <v>2043</v>
      </c>
      <c r="N1248">
        <v>14</v>
      </c>
      <c r="O1248">
        <v>29.071428571428601</v>
      </c>
    </row>
    <row r="1249" spans="1:15" x14ac:dyDescent="0.25">
      <c r="A1249">
        <v>5</v>
      </c>
      <c r="B1249">
        <v>14476</v>
      </c>
      <c r="C1249" t="s">
        <v>5304</v>
      </c>
      <c r="D1249" t="s">
        <v>447</v>
      </c>
      <c r="E1249" t="s">
        <v>6217</v>
      </c>
      <c r="F1249">
        <v>46208.964583333334</v>
      </c>
      <c r="G1249">
        <v>232</v>
      </c>
      <c r="H1249" t="s">
        <v>6155</v>
      </c>
      <c r="I1249" t="s">
        <v>5358</v>
      </c>
      <c r="J1249">
        <v>309</v>
      </c>
      <c r="K1249">
        <v>1983.78</v>
      </c>
      <c r="L1249">
        <v>2043</v>
      </c>
      <c r="M1249">
        <v>2055</v>
      </c>
      <c r="N1249">
        <v>12</v>
      </c>
      <c r="O1249">
        <v>25.75</v>
      </c>
    </row>
    <row r="1250" spans="1:15" x14ac:dyDescent="0.25">
      <c r="A1250">
        <v>5</v>
      </c>
      <c r="B1250">
        <v>14476</v>
      </c>
      <c r="C1250" t="s">
        <v>5304</v>
      </c>
      <c r="D1250" t="s">
        <v>447</v>
      </c>
      <c r="E1250" t="s">
        <v>6217</v>
      </c>
      <c r="F1250">
        <v>46209.944444444445</v>
      </c>
      <c r="G1250">
        <v>232</v>
      </c>
      <c r="H1250" t="s">
        <v>6155</v>
      </c>
      <c r="I1250" t="s">
        <v>5358</v>
      </c>
      <c r="J1250">
        <v>131</v>
      </c>
      <c r="K1250">
        <v>805.65</v>
      </c>
      <c r="L1250">
        <v>2055</v>
      </c>
      <c r="M1250">
        <v>2061</v>
      </c>
      <c r="N1250">
        <v>6</v>
      </c>
      <c r="O1250">
        <v>21.8333333333333</v>
      </c>
    </row>
    <row r="1251" spans="1:15" x14ac:dyDescent="0.25">
      <c r="A1251">
        <v>5</v>
      </c>
      <c r="B1251">
        <v>14476</v>
      </c>
      <c r="C1251" t="s">
        <v>5304</v>
      </c>
      <c r="D1251" t="s">
        <v>447</v>
      </c>
      <c r="E1251" t="s">
        <v>6217</v>
      </c>
      <c r="F1251">
        <v>46211.006249999999</v>
      </c>
      <c r="G1251">
        <v>232</v>
      </c>
      <c r="H1251" t="s">
        <v>6155</v>
      </c>
      <c r="I1251" t="s">
        <v>5358</v>
      </c>
      <c r="J1251">
        <v>431</v>
      </c>
      <c r="K1251">
        <v>2650.65</v>
      </c>
      <c r="L1251">
        <v>2061</v>
      </c>
      <c r="M1251">
        <v>2074</v>
      </c>
      <c r="N1251">
        <v>13</v>
      </c>
      <c r="O1251">
        <v>33.153846153846203</v>
      </c>
    </row>
    <row r="1252" spans="1:15" x14ac:dyDescent="0.25">
      <c r="A1252">
        <v>5</v>
      </c>
      <c r="B1252">
        <v>14476</v>
      </c>
      <c r="C1252" t="s">
        <v>5304</v>
      </c>
      <c r="D1252" t="s">
        <v>447</v>
      </c>
      <c r="E1252" t="s">
        <v>6217</v>
      </c>
      <c r="F1252">
        <v>46213.07708333333</v>
      </c>
      <c r="G1252">
        <v>232</v>
      </c>
      <c r="H1252" t="s">
        <v>6155</v>
      </c>
      <c r="I1252" t="s">
        <v>5358</v>
      </c>
      <c r="J1252">
        <v>554</v>
      </c>
      <c r="K1252">
        <v>3407.1</v>
      </c>
      <c r="L1252">
        <v>2074</v>
      </c>
      <c r="M1252">
        <v>2089</v>
      </c>
      <c r="N1252">
        <v>15</v>
      </c>
      <c r="O1252">
        <v>36.933333333333302</v>
      </c>
    </row>
    <row r="1253" spans="1:15" x14ac:dyDescent="0.25">
      <c r="A1253">
        <v>5</v>
      </c>
      <c r="B1253">
        <v>14476</v>
      </c>
      <c r="C1253" t="s">
        <v>5304</v>
      </c>
      <c r="D1253" t="s">
        <v>447</v>
      </c>
      <c r="E1253" t="s">
        <v>6217</v>
      </c>
      <c r="F1253">
        <v>46215.947916666664</v>
      </c>
      <c r="G1253">
        <v>232</v>
      </c>
      <c r="H1253" t="s">
        <v>6155</v>
      </c>
      <c r="I1253" t="s">
        <v>5358</v>
      </c>
      <c r="J1253">
        <v>291</v>
      </c>
      <c r="K1253">
        <v>1789.65</v>
      </c>
      <c r="L1253">
        <v>2089</v>
      </c>
      <c r="M1253">
        <v>2098</v>
      </c>
      <c r="N1253">
        <v>9</v>
      </c>
      <c r="O1253">
        <v>32.3333333333333</v>
      </c>
    </row>
    <row r="1254" spans="1:15" x14ac:dyDescent="0.25">
      <c r="A1254">
        <v>5</v>
      </c>
      <c r="B1254">
        <v>14476</v>
      </c>
      <c r="C1254" t="s">
        <v>5304</v>
      </c>
      <c r="D1254" t="s">
        <v>447</v>
      </c>
      <c r="E1254" t="s">
        <v>6217</v>
      </c>
      <c r="F1254">
        <v>46217.530555555553</v>
      </c>
      <c r="G1254">
        <v>232</v>
      </c>
      <c r="H1254" t="s">
        <v>6155</v>
      </c>
      <c r="I1254" t="s">
        <v>5358</v>
      </c>
      <c r="J1254">
        <v>747</v>
      </c>
      <c r="K1254">
        <v>4594.05</v>
      </c>
      <c r="L1254">
        <v>2098</v>
      </c>
      <c r="M1254">
        <v>2116</v>
      </c>
      <c r="N1254">
        <v>18</v>
      </c>
      <c r="O1254">
        <v>41.5</v>
      </c>
    </row>
    <row r="1255" spans="1:15" x14ac:dyDescent="0.25">
      <c r="A1255">
        <v>5</v>
      </c>
      <c r="B1255">
        <v>14476</v>
      </c>
      <c r="C1255" t="s">
        <v>5304</v>
      </c>
      <c r="D1255" t="s">
        <v>447</v>
      </c>
      <c r="E1255" t="s">
        <v>6217</v>
      </c>
      <c r="F1255">
        <v>46218.464583333334</v>
      </c>
      <c r="G1255">
        <v>129</v>
      </c>
      <c r="H1255" t="s">
        <v>6164</v>
      </c>
      <c r="I1255" t="s">
        <v>5358</v>
      </c>
      <c r="J1255">
        <v>377</v>
      </c>
      <c r="K1255">
        <v>2318.5500000000002</v>
      </c>
      <c r="L1255">
        <v>2116</v>
      </c>
      <c r="M1255">
        <v>2125</v>
      </c>
      <c r="N1255">
        <v>9</v>
      </c>
      <c r="O1255">
        <v>41.8888888888889</v>
      </c>
    </row>
    <row r="1256" spans="1:15" x14ac:dyDescent="0.25">
      <c r="A1256">
        <v>5</v>
      </c>
      <c r="B1256">
        <v>14476</v>
      </c>
      <c r="C1256" t="s">
        <v>5304</v>
      </c>
      <c r="D1256" t="s">
        <v>447</v>
      </c>
      <c r="E1256" t="s">
        <v>6217</v>
      </c>
      <c r="F1256">
        <v>46219.11041666667</v>
      </c>
      <c r="G1256">
        <v>232</v>
      </c>
      <c r="H1256" t="s">
        <v>6155</v>
      </c>
      <c r="I1256" t="s">
        <v>5358</v>
      </c>
      <c r="J1256">
        <v>628</v>
      </c>
      <c r="K1256">
        <v>3862.2</v>
      </c>
      <c r="L1256">
        <v>2125</v>
      </c>
      <c r="M1256">
        <v>2138</v>
      </c>
      <c r="N1256">
        <v>13</v>
      </c>
      <c r="O1256">
        <v>48.307692307692299</v>
      </c>
    </row>
    <row r="1257" spans="1:15" x14ac:dyDescent="0.25">
      <c r="A1257">
        <v>5</v>
      </c>
      <c r="B1257">
        <v>14476</v>
      </c>
      <c r="C1257" t="s">
        <v>5304</v>
      </c>
      <c r="D1257" t="s">
        <v>447</v>
      </c>
      <c r="E1257" t="s">
        <v>6217</v>
      </c>
      <c r="F1257">
        <v>46220.036111111112</v>
      </c>
      <c r="G1257">
        <v>232</v>
      </c>
      <c r="H1257" t="s">
        <v>6155</v>
      </c>
      <c r="I1257" t="s">
        <v>5358</v>
      </c>
      <c r="J1257">
        <v>275</v>
      </c>
      <c r="K1257">
        <v>1691.25</v>
      </c>
      <c r="L1257">
        <v>2138</v>
      </c>
      <c r="M1257">
        <v>2145</v>
      </c>
      <c r="N1257">
        <v>7</v>
      </c>
      <c r="O1257">
        <v>39.285714285714299</v>
      </c>
    </row>
    <row r="1258" spans="1:15" x14ac:dyDescent="0.25">
      <c r="A1258">
        <v>5</v>
      </c>
      <c r="B1258">
        <v>14476</v>
      </c>
      <c r="C1258" t="s">
        <v>5304</v>
      </c>
      <c r="D1258" t="s">
        <v>447</v>
      </c>
      <c r="E1258" t="s">
        <v>6217</v>
      </c>
      <c r="F1258">
        <v>46222.068055555559</v>
      </c>
      <c r="G1258">
        <v>232</v>
      </c>
      <c r="H1258" t="s">
        <v>6155</v>
      </c>
      <c r="I1258" t="s">
        <v>5358</v>
      </c>
      <c r="J1258">
        <v>311</v>
      </c>
      <c r="K1258">
        <v>1959.3</v>
      </c>
      <c r="L1258">
        <v>2145</v>
      </c>
      <c r="M1258">
        <v>2155</v>
      </c>
      <c r="N1258">
        <v>10</v>
      </c>
      <c r="O1258">
        <v>31.1</v>
      </c>
    </row>
    <row r="1259" spans="1:15" x14ac:dyDescent="0.25">
      <c r="A1259">
        <v>5</v>
      </c>
      <c r="B1259">
        <v>14476</v>
      </c>
      <c r="C1259" t="s">
        <v>5304</v>
      </c>
      <c r="D1259" t="s">
        <v>447</v>
      </c>
      <c r="E1259" t="s">
        <v>6217</v>
      </c>
      <c r="F1259">
        <v>46223.09652777778</v>
      </c>
      <c r="G1259">
        <v>232</v>
      </c>
      <c r="H1259" t="s">
        <v>6155</v>
      </c>
      <c r="I1259" t="s">
        <v>5358</v>
      </c>
      <c r="J1259">
        <v>323</v>
      </c>
      <c r="K1259">
        <v>2018.75</v>
      </c>
      <c r="L1259">
        <v>2155</v>
      </c>
      <c r="M1259">
        <v>2160</v>
      </c>
      <c r="N1259">
        <v>5</v>
      </c>
      <c r="O1259">
        <v>64.599999999999994</v>
      </c>
    </row>
    <row r="1260" spans="1:15" x14ac:dyDescent="0.25">
      <c r="A1260">
        <v>5</v>
      </c>
      <c r="B1260">
        <v>14476</v>
      </c>
      <c r="C1260" t="s">
        <v>5304</v>
      </c>
      <c r="D1260" t="s">
        <v>447</v>
      </c>
      <c r="E1260" t="s">
        <v>6217</v>
      </c>
      <c r="F1260">
        <v>46227.086805555555</v>
      </c>
      <c r="G1260">
        <v>232</v>
      </c>
      <c r="H1260" t="s">
        <v>6155</v>
      </c>
      <c r="I1260" t="s">
        <v>5358</v>
      </c>
      <c r="J1260">
        <v>306</v>
      </c>
      <c r="K1260">
        <v>1912.5</v>
      </c>
      <c r="L1260">
        <v>2160</v>
      </c>
      <c r="M1260">
        <v>2170</v>
      </c>
      <c r="N1260">
        <v>10</v>
      </c>
      <c r="O1260">
        <v>30.6</v>
      </c>
    </row>
    <row r="1261" spans="1:15" x14ac:dyDescent="0.25">
      <c r="A1261">
        <v>5</v>
      </c>
      <c r="B1261">
        <v>14476</v>
      </c>
      <c r="C1261" t="s">
        <v>5304</v>
      </c>
      <c r="D1261" t="s">
        <v>447</v>
      </c>
      <c r="E1261" t="s">
        <v>6217</v>
      </c>
      <c r="F1261">
        <v>46229.021527777775</v>
      </c>
      <c r="G1261">
        <v>232</v>
      </c>
      <c r="H1261" t="s">
        <v>6155</v>
      </c>
      <c r="I1261" t="s">
        <v>5358</v>
      </c>
      <c r="J1261">
        <v>359</v>
      </c>
      <c r="K1261">
        <v>2261.6999999999998</v>
      </c>
      <c r="L1261">
        <v>2170</v>
      </c>
      <c r="M1261">
        <v>2181</v>
      </c>
      <c r="N1261">
        <v>11</v>
      </c>
      <c r="O1261">
        <v>32.636363636363598</v>
      </c>
    </row>
    <row r="1262" spans="1:15" x14ac:dyDescent="0.25">
      <c r="A1262">
        <v>5</v>
      </c>
      <c r="B1262">
        <v>14476</v>
      </c>
      <c r="C1262" t="s">
        <v>5304</v>
      </c>
      <c r="D1262" t="s">
        <v>447</v>
      </c>
      <c r="E1262" t="s">
        <v>6217</v>
      </c>
      <c r="F1262">
        <v>46230.995833333334</v>
      </c>
      <c r="G1262">
        <v>232</v>
      </c>
      <c r="H1262" t="s">
        <v>6155</v>
      </c>
      <c r="I1262" t="s">
        <v>5358</v>
      </c>
      <c r="J1262">
        <v>148</v>
      </c>
      <c r="K1262">
        <v>925</v>
      </c>
      <c r="L1262">
        <v>2181</v>
      </c>
      <c r="M1262">
        <v>2184</v>
      </c>
      <c r="N1262">
        <v>3</v>
      </c>
      <c r="O1262">
        <v>49.3333333333333</v>
      </c>
    </row>
    <row r="1263" spans="1:15" x14ac:dyDescent="0.25">
      <c r="A1263">
        <v>5</v>
      </c>
      <c r="B1263">
        <v>14476</v>
      </c>
      <c r="C1263" t="s">
        <v>5304</v>
      </c>
      <c r="D1263" t="s">
        <v>447</v>
      </c>
      <c r="E1263" t="s">
        <v>6217</v>
      </c>
      <c r="F1263">
        <v>46232.662499999999</v>
      </c>
      <c r="G1263">
        <v>129</v>
      </c>
      <c r="H1263" t="s">
        <v>6164</v>
      </c>
      <c r="I1263" t="s">
        <v>5358</v>
      </c>
      <c r="J1263">
        <v>716</v>
      </c>
      <c r="K1263">
        <v>5004.84</v>
      </c>
      <c r="L1263">
        <v>2184</v>
      </c>
      <c r="M1263">
        <v>2205</v>
      </c>
      <c r="N1263">
        <v>21</v>
      </c>
      <c r="O1263">
        <v>34.095238095238102</v>
      </c>
    </row>
    <row r="1264" spans="1:15" x14ac:dyDescent="0.25">
      <c r="A1264">
        <v>5</v>
      </c>
      <c r="B1264">
        <v>14476</v>
      </c>
      <c r="C1264" t="s">
        <v>5304</v>
      </c>
      <c r="D1264" t="s">
        <v>447</v>
      </c>
      <c r="E1264" t="s">
        <v>6217</v>
      </c>
      <c r="F1264">
        <v>46233.627083333333</v>
      </c>
      <c r="G1264">
        <v>129</v>
      </c>
      <c r="H1264" t="s">
        <v>6164</v>
      </c>
      <c r="I1264" t="s">
        <v>5358</v>
      </c>
      <c r="J1264">
        <v>300</v>
      </c>
      <c r="K1264">
        <v>2097</v>
      </c>
      <c r="L1264">
        <v>2205</v>
      </c>
      <c r="M1264">
        <v>2211</v>
      </c>
      <c r="N1264">
        <v>6</v>
      </c>
      <c r="O1264">
        <v>50</v>
      </c>
    </row>
    <row r="1265" spans="1:15" x14ac:dyDescent="0.25">
      <c r="A1265">
        <v>5</v>
      </c>
      <c r="B1265">
        <v>14476</v>
      </c>
      <c r="C1265" t="s">
        <v>5304</v>
      </c>
      <c r="D1265" t="s">
        <v>447</v>
      </c>
      <c r="E1265" t="s">
        <v>6217</v>
      </c>
      <c r="F1265">
        <v>46234.414583333331</v>
      </c>
      <c r="G1265">
        <v>129</v>
      </c>
      <c r="H1265" t="s">
        <v>6164</v>
      </c>
      <c r="I1265" t="s">
        <v>5358</v>
      </c>
      <c r="J1265">
        <v>356</v>
      </c>
      <c r="K1265">
        <v>2488.44</v>
      </c>
      <c r="L1265">
        <v>2211</v>
      </c>
      <c r="M1265">
        <v>2224</v>
      </c>
      <c r="N1265">
        <v>13</v>
      </c>
      <c r="O1265">
        <v>27.384615384615401</v>
      </c>
    </row>
    <row r="1266" spans="1:15" x14ac:dyDescent="0.25">
      <c r="A1266">
        <v>5</v>
      </c>
      <c r="B1266">
        <v>14476</v>
      </c>
      <c r="C1266" t="s">
        <v>5304</v>
      </c>
      <c r="D1266" t="s">
        <v>607</v>
      </c>
      <c r="E1266" t="s">
        <v>6194</v>
      </c>
      <c r="F1266">
        <v>46207.472916666666</v>
      </c>
      <c r="G1266">
        <v>232</v>
      </c>
      <c r="H1266" t="s">
        <v>6155</v>
      </c>
      <c r="I1266" t="s">
        <v>5358</v>
      </c>
      <c r="J1266">
        <v>78</v>
      </c>
      <c r="K1266">
        <v>479.7</v>
      </c>
      <c r="L1266">
        <v>3376</v>
      </c>
      <c r="M1266">
        <v>3403</v>
      </c>
      <c r="N1266">
        <v>27</v>
      </c>
      <c r="O1266">
        <v>2.8888888888888902</v>
      </c>
    </row>
    <row r="1267" spans="1:15" x14ac:dyDescent="0.25">
      <c r="A1267">
        <v>5</v>
      </c>
      <c r="B1267">
        <v>14476</v>
      </c>
      <c r="C1267" t="s">
        <v>5304</v>
      </c>
      <c r="D1267" t="s">
        <v>607</v>
      </c>
      <c r="E1267" t="s">
        <v>6194</v>
      </c>
      <c r="F1267">
        <v>46211.46597222222</v>
      </c>
      <c r="G1267">
        <v>232</v>
      </c>
      <c r="H1267" t="s">
        <v>6155</v>
      </c>
      <c r="I1267" t="s">
        <v>5358</v>
      </c>
      <c r="J1267">
        <v>90</v>
      </c>
      <c r="K1267">
        <v>553.5</v>
      </c>
      <c r="L1267">
        <v>3403</v>
      </c>
      <c r="M1267">
        <v>3413</v>
      </c>
      <c r="N1267">
        <v>10</v>
      </c>
      <c r="O1267">
        <v>9</v>
      </c>
    </row>
    <row r="1268" spans="1:15" x14ac:dyDescent="0.25">
      <c r="A1268">
        <v>5</v>
      </c>
      <c r="B1268">
        <v>14476</v>
      </c>
      <c r="C1268" t="s">
        <v>5304</v>
      </c>
      <c r="D1268" t="s">
        <v>607</v>
      </c>
      <c r="E1268" t="s">
        <v>6194</v>
      </c>
      <c r="F1268">
        <v>46218.46875</v>
      </c>
      <c r="G1268">
        <v>129</v>
      </c>
      <c r="H1268" t="s">
        <v>6164</v>
      </c>
      <c r="I1268" t="s">
        <v>5358</v>
      </c>
      <c r="J1268">
        <v>34</v>
      </c>
      <c r="K1268">
        <v>209.1</v>
      </c>
      <c r="L1268">
        <v>3413</v>
      </c>
      <c r="M1268">
        <v>3419</v>
      </c>
      <c r="N1268">
        <v>6</v>
      </c>
      <c r="O1268">
        <v>5.6666666666666696</v>
      </c>
    </row>
    <row r="1269" spans="1:15" x14ac:dyDescent="0.25">
      <c r="A1269">
        <v>5</v>
      </c>
      <c r="B1269">
        <v>14476</v>
      </c>
      <c r="C1269" t="s">
        <v>5304</v>
      </c>
      <c r="D1269" t="s">
        <v>607</v>
      </c>
      <c r="E1269" t="s">
        <v>6194</v>
      </c>
      <c r="F1269">
        <v>46223.411111111112</v>
      </c>
      <c r="G1269">
        <v>129</v>
      </c>
      <c r="H1269" t="s">
        <v>6164</v>
      </c>
      <c r="I1269" t="s">
        <v>5358</v>
      </c>
      <c r="J1269">
        <v>78</v>
      </c>
      <c r="K1269">
        <v>545.22</v>
      </c>
      <c r="L1269">
        <v>3419</v>
      </c>
      <c r="M1269">
        <v>3430</v>
      </c>
      <c r="N1269">
        <v>11</v>
      </c>
      <c r="O1269">
        <v>7.0909090909090899</v>
      </c>
    </row>
    <row r="1270" spans="1:15" x14ac:dyDescent="0.25">
      <c r="A1270">
        <v>5</v>
      </c>
      <c r="B1270">
        <v>14514</v>
      </c>
      <c r="C1270" t="s">
        <v>5340</v>
      </c>
      <c r="D1270" t="s">
        <v>521</v>
      </c>
      <c r="E1270" t="s">
        <v>6218</v>
      </c>
      <c r="F1270">
        <v>46207.474999999999</v>
      </c>
      <c r="G1270">
        <v>232</v>
      </c>
      <c r="H1270" t="s">
        <v>6155</v>
      </c>
      <c r="I1270" t="s">
        <v>5358</v>
      </c>
      <c r="J1270">
        <v>27</v>
      </c>
      <c r="K1270">
        <v>169.83</v>
      </c>
      <c r="L1270">
        <v>94488</v>
      </c>
      <c r="M1270">
        <v>94568</v>
      </c>
      <c r="N1270">
        <v>80</v>
      </c>
      <c r="O1270">
        <v>2.9629629629629601</v>
      </c>
    </row>
    <row r="1271" spans="1:15" x14ac:dyDescent="0.25">
      <c r="A1271">
        <v>5</v>
      </c>
      <c r="B1271">
        <v>14514</v>
      </c>
      <c r="C1271" t="s">
        <v>5340</v>
      </c>
      <c r="D1271" t="s">
        <v>521</v>
      </c>
      <c r="E1271" t="s">
        <v>6218</v>
      </c>
      <c r="F1271">
        <v>46211.490277777775</v>
      </c>
      <c r="G1271">
        <v>232</v>
      </c>
      <c r="H1271" t="s">
        <v>6155</v>
      </c>
      <c r="I1271" t="s">
        <v>5358</v>
      </c>
      <c r="J1271">
        <v>141</v>
      </c>
      <c r="K1271">
        <v>886.89</v>
      </c>
      <c r="L1271">
        <v>94568</v>
      </c>
      <c r="M1271">
        <v>95141</v>
      </c>
      <c r="N1271">
        <v>573</v>
      </c>
      <c r="O1271">
        <v>4.0638297872340399</v>
      </c>
    </row>
    <row r="1272" spans="1:15" x14ac:dyDescent="0.25">
      <c r="A1272">
        <v>5</v>
      </c>
      <c r="B1272">
        <v>14514</v>
      </c>
      <c r="C1272" t="s">
        <v>5340</v>
      </c>
      <c r="D1272" t="s">
        <v>521</v>
      </c>
      <c r="E1272" t="s">
        <v>6218</v>
      </c>
      <c r="F1272">
        <v>46218.487500000003</v>
      </c>
      <c r="G1272">
        <v>232</v>
      </c>
      <c r="H1272" t="s">
        <v>6155</v>
      </c>
      <c r="I1272" t="s">
        <v>5358</v>
      </c>
      <c r="J1272">
        <v>85</v>
      </c>
      <c r="K1272">
        <v>534.65</v>
      </c>
      <c r="L1272">
        <v>95141</v>
      </c>
      <c r="M1272">
        <v>95226</v>
      </c>
      <c r="N1272">
        <v>85</v>
      </c>
      <c r="O1272">
        <v>1</v>
      </c>
    </row>
    <row r="1273" spans="1:15" x14ac:dyDescent="0.25">
      <c r="A1273">
        <v>5</v>
      </c>
      <c r="B1273">
        <v>14514</v>
      </c>
      <c r="C1273" t="s">
        <v>5340</v>
      </c>
      <c r="D1273" t="s">
        <v>521</v>
      </c>
      <c r="E1273" t="s">
        <v>6218</v>
      </c>
      <c r="F1273">
        <v>46223.468055555553</v>
      </c>
      <c r="G1273">
        <v>232</v>
      </c>
      <c r="H1273" t="s">
        <v>6155</v>
      </c>
      <c r="I1273" t="s">
        <v>5358</v>
      </c>
      <c r="J1273">
        <v>77</v>
      </c>
      <c r="K1273">
        <v>484.33</v>
      </c>
      <c r="L1273">
        <v>95226</v>
      </c>
      <c r="M1273">
        <v>95658</v>
      </c>
      <c r="N1273">
        <v>432</v>
      </c>
      <c r="O1273">
        <v>5.6103896103896096</v>
      </c>
    </row>
    <row r="1274" spans="1:15" x14ac:dyDescent="0.25">
      <c r="A1274">
        <v>5</v>
      </c>
      <c r="B1274">
        <v>14571</v>
      </c>
      <c r="C1274" t="s">
        <v>5319</v>
      </c>
      <c r="D1274" t="s">
        <v>769</v>
      </c>
      <c r="E1274" t="s">
        <v>770</v>
      </c>
      <c r="F1274">
        <v>46228.770138888889</v>
      </c>
      <c r="G1274">
        <v>264</v>
      </c>
      <c r="H1274" t="s">
        <v>6152</v>
      </c>
      <c r="I1274" t="s">
        <v>5358</v>
      </c>
      <c r="J1274">
        <v>384</v>
      </c>
      <c r="K1274">
        <v>2411.52</v>
      </c>
      <c r="L1274">
        <v>7296</v>
      </c>
      <c r="M1274">
        <v>7296</v>
      </c>
      <c r="N1274">
        <v>0</v>
      </c>
      <c r="O1274">
        <v>0</v>
      </c>
    </row>
    <row r="1275" spans="1:15" x14ac:dyDescent="0.25">
      <c r="A1275">
        <v>5</v>
      </c>
      <c r="B1275">
        <v>14571</v>
      </c>
      <c r="C1275" t="s">
        <v>5319</v>
      </c>
      <c r="D1275" t="s">
        <v>769</v>
      </c>
      <c r="E1275" t="s">
        <v>770</v>
      </c>
      <c r="F1275">
        <v>46233.677083333336</v>
      </c>
      <c r="G1275">
        <v>264</v>
      </c>
      <c r="H1275" t="s">
        <v>6152</v>
      </c>
      <c r="I1275" t="s">
        <v>5358</v>
      </c>
      <c r="J1275">
        <v>222</v>
      </c>
      <c r="K1275">
        <v>1394.16</v>
      </c>
      <c r="L1275">
        <v>7296</v>
      </c>
      <c r="M1275">
        <v>7309</v>
      </c>
      <c r="N1275">
        <v>13</v>
      </c>
      <c r="O1275">
        <v>17.076923076923102</v>
      </c>
    </row>
    <row r="1276" spans="1:15" x14ac:dyDescent="0.25">
      <c r="A1276">
        <v>5</v>
      </c>
      <c r="B1276">
        <v>14571</v>
      </c>
      <c r="C1276" t="s">
        <v>5319</v>
      </c>
      <c r="D1276" t="s">
        <v>827</v>
      </c>
      <c r="E1276" t="s">
        <v>830</v>
      </c>
      <c r="F1276">
        <v>46204.780555555553</v>
      </c>
      <c r="G1276">
        <v>264</v>
      </c>
      <c r="H1276" t="s">
        <v>6152</v>
      </c>
      <c r="I1276" t="s">
        <v>5358</v>
      </c>
      <c r="J1276">
        <v>160</v>
      </c>
      <c r="K1276">
        <v>984</v>
      </c>
      <c r="L1276">
        <v>809</v>
      </c>
      <c r="M1276">
        <v>820</v>
      </c>
      <c r="N1276">
        <v>11</v>
      </c>
      <c r="O1276">
        <v>14.545454545454501</v>
      </c>
    </row>
    <row r="1277" spans="1:15" x14ac:dyDescent="0.25">
      <c r="A1277">
        <v>5</v>
      </c>
      <c r="B1277">
        <v>14571</v>
      </c>
      <c r="C1277" t="s">
        <v>5319</v>
      </c>
      <c r="D1277" t="s">
        <v>827</v>
      </c>
      <c r="E1277" t="s">
        <v>830</v>
      </c>
      <c r="F1277">
        <v>46205.838888888888</v>
      </c>
      <c r="G1277">
        <v>264</v>
      </c>
      <c r="H1277" t="s">
        <v>6152</v>
      </c>
      <c r="I1277" t="s">
        <v>5358</v>
      </c>
      <c r="J1277">
        <v>102</v>
      </c>
      <c r="K1277">
        <v>627.29999999999995</v>
      </c>
      <c r="L1277">
        <v>820</v>
      </c>
      <c r="M1277">
        <v>825</v>
      </c>
      <c r="N1277">
        <v>5</v>
      </c>
      <c r="O1277">
        <v>20.399999999999999</v>
      </c>
    </row>
    <row r="1278" spans="1:15" x14ac:dyDescent="0.25">
      <c r="A1278">
        <v>5</v>
      </c>
      <c r="B1278">
        <v>14571</v>
      </c>
      <c r="C1278" t="s">
        <v>5319</v>
      </c>
      <c r="D1278" t="s">
        <v>827</v>
      </c>
      <c r="E1278" t="s">
        <v>830</v>
      </c>
      <c r="F1278">
        <v>46207.890277777777</v>
      </c>
      <c r="G1278">
        <v>264</v>
      </c>
      <c r="H1278" t="s">
        <v>6152</v>
      </c>
      <c r="I1278" t="s">
        <v>5358</v>
      </c>
      <c r="J1278">
        <v>120</v>
      </c>
      <c r="K1278">
        <v>738</v>
      </c>
      <c r="L1278">
        <v>825</v>
      </c>
      <c r="M1278">
        <v>833</v>
      </c>
      <c r="N1278">
        <v>8</v>
      </c>
      <c r="O1278">
        <v>15</v>
      </c>
    </row>
    <row r="1279" spans="1:15" x14ac:dyDescent="0.25">
      <c r="A1279">
        <v>5</v>
      </c>
      <c r="B1279">
        <v>14571</v>
      </c>
      <c r="C1279" t="s">
        <v>5319</v>
      </c>
      <c r="D1279" t="s">
        <v>827</v>
      </c>
      <c r="E1279" t="s">
        <v>830</v>
      </c>
      <c r="F1279">
        <v>46208.654861111114</v>
      </c>
      <c r="G1279">
        <v>264</v>
      </c>
      <c r="H1279" t="s">
        <v>6152</v>
      </c>
      <c r="I1279" t="s">
        <v>5358</v>
      </c>
      <c r="J1279">
        <v>106</v>
      </c>
      <c r="K1279">
        <v>651.9</v>
      </c>
      <c r="L1279">
        <v>833</v>
      </c>
      <c r="M1279">
        <v>838</v>
      </c>
      <c r="N1279">
        <v>5</v>
      </c>
      <c r="O1279">
        <v>21.2</v>
      </c>
    </row>
    <row r="1280" spans="1:15" x14ac:dyDescent="0.25">
      <c r="A1280">
        <v>5</v>
      </c>
      <c r="B1280">
        <v>14571</v>
      </c>
      <c r="C1280" t="s">
        <v>5319</v>
      </c>
      <c r="D1280" t="s">
        <v>827</v>
      </c>
      <c r="E1280" t="s">
        <v>830</v>
      </c>
      <c r="F1280">
        <v>46209.831944444442</v>
      </c>
      <c r="G1280">
        <v>264</v>
      </c>
      <c r="H1280" t="s">
        <v>6152</v>
      </c>
      <c r="I1280" t="s">
        <v>5358</v>
      </c>
      <c r="J1280">
        <v>44</v>
      </c>
      <c r="K1280">
        <v>270.60000000000002</v>
      </c>
      <c r="L1280">
        <v>838</v>
      </c>
      <c r="M1280">
        <v>843</v>
      </c>
      <c r="N1280">
        <v>5</v>
      </c>
      <c r="O1280">
        <v>8.8000000000000007</v>
      </c>
    </row>
    <row r="1281" spans="1:15" x14ac:dyDescent="0.25">
      <c r="A1281">
        <v>5</v>
      </c>
      <c r="B1281">
        <v>14571</v>
      </c>
      <c r="C1281" t="s">
        <v>5319</v>
      </c>
      <c r="D1281" t="s">
        <v>827</v>
      </c>
      <c r="E1281" t="s">
        <v>830</v>
      </c>
      <c r="F1281">
        <v>46210.786805555559</v>
      </c>
      <c r="G1281">
        <v>264</v>
      </c>
      <c r="H1281" t="s">
        <v>6152</v>
      </c>
      <c r="I1281" t="s">
        <v>5358</v>
      </c>
      <c r="J1281">
        <v>120</v>
      </c>
      <c r="K1281">
        <v>738</v>
      </c>
      <c r="L1281">
        <v>843</v>
      </c>
      <c r="M1281">
        <v>851</v>
      </c>
      <c r="N1281">
        <v>8</v>
      </c>
      <c r="O1281">
        <v>15</v>
      </c>
    </row>
    <row r="1282" spans="1:15" x14ac:dyDescent="0.25">
      <c r="A1282">
        <v>5</v>
      </c>
      <c r="B1282">
        <v>14571</v>
      </c>
      <c r="C1282" t="s">
        <v>5319</v>
      </c>
      <c r="D1282" t="s">
        <v>827</v>
      </c>
      <c r="E1282" t="s">
        <v>830</v>
      </c>
      <c r="F1282">
        <v>46211.836111111108</v>
      </c>
      <c r="G1282">
        <v>264</v>
      </c>
      <c r="H1282" t="s">
        <v>6152</v>
      </c>
      <c r="I1282" t="s">
        <v>5358</v>
      </c>
      <c r="J1282">
        <v>107</v>
      </c>
      <c r="K1282">
        <v>658.05</v>
      </c>
      <c r="L1282">
        <v>851</v>
      </c>
      <c r="M1282">
        <v>858</v>
      </c>
      <c r="N1282">
        <v>7</v>
      </c>
      <c r="O1282">
        <v>15.285714285714301</v>
      </c>
    </row>
    <row r="1283" spans="1:15" x14ac:dyDescent="0.25">
      <c r="A1283">
        <v>5</v>
      </c>
      <c r="B1283">
        <v>14571</v>
      </c>
      <c r="C1283" t="s">
        <v>5319</v>
      </c>
      <c r="D1283" t="s">
        <v>827</v>
      </c>
      <c r="E1283" t="s">
        <v>830</v>
      </c>
      <c r="F1283">
        <v>46212.780555555553</v>
      </c>
      <c r="G1283">
        <v>264</v>
      </c>
      <c r="H1283" t="s">
        <v>6152</v>
      </c>
      <c r="I1283" t="s">
        <v>5358</v>
      </c>
      <c r="J1283">
        <v>124</v>
      </c>
      <c r="K1283">
        <v>762.6</v>
      </c>
      <c r="L1283">
        <v>858</v>
      </c>
      <c r="M1283">
        <v>866</v>
      </c>
      <c r="N1283">
        <v>8</v>
      </c>
      <c r="O1283">
        <v>15.5</v>
      </c>
    </row>
    <row r="1284" spans="1:15" x14ac:dyDescent="0.25">
      <c r="A1284">
        <v>5</v>
      </c>
      <c r="B1284">
        <v>14571</v>
      </c>
      <c r="C1284" t="s">
        <v>5319</v>
      </c>
      <c r="D1284" t="s">
        <v>827</v>
      </c>
      <c r="E1284" t="s">
        <v>830</v>
      </c>
      <c r="F1284">
        <v>46213.831250000003</v>
      </c>
      <c r="G1284">
        <v>264</v>
      </c>
      <c r="H1284" t="s">
        <v>6152</v>
      </c>
      <c r="I1284" t="s">
        <v>5358</v>
      </c>
      <c r="J1284">
        <v>126</v>
      </c>
      <c r="K1284">
        <v>774.9</v>
      </c>
      <c r="L1284">
        <v>866</v>
      </c>
      <c r="M1284">
        <v>874</v>
      </c>
      <c r="N1284">
        <v>8</v>
      </c>
      <c r="O1284">
        <v>15.75</v>
      </c>
    </row>
    <row r="1285" spans="1:15" x14ac:dyDescent="0.25">
      <c r="A1285">
        <v>5</v>
      </c>
      <c r="B1285">
        <v>14571</v>
      </c>
      <c r="C1285" t="s">
        <v>5319</v>
      </c>
      <c r="D1285" t="s">
        <v>827</v>
      </c>
      <c r="E1285" t="s">
        <v>830</v>
      </c>
      <c r="F1285">
        <v>46214.746527777781</v>
      </c>
      <c r="G1285">
        <v>264</v>
      </c>
      <c r="H1285" t="s">
        <v>6152</v>
      </c>
      <c r="I1285" t="s">
        <v>5358</v>
      </c>
      <c r="J1285">
        <v>26</v>
      </c>
      <c r="K1285">
        <v>159.9</v>
      </c>
      <c r="L1285">
        <v>874</v>
      </c>
      <c r="M1285">
        <v>876</v>
      </c>
      <c r="N1285">
        <v>2</v>
      </c>
      <c r="O1285">
        <v>13</v>
      </c>
    </row>
    <row r="1286" spans="1:15" x14ac:dyDescent="0.25">
      <c r="A1286">
        <v>5</v>
      </c>
      <c r="B1286">
        <v>14571</v>
      </c>
      <c r="C1286" t="s">
        <v>5319</v>
      </c>
      <c r="D1286" t="s">
        <v>827</v>
      </c>
      <c r="E1286" t="s">
        <v>830</v>
      </c>
      <c r="F1286">
        <v>46216.863888888889</v>
      </c>
      <c r="G1286">
        <v>264</v>
      </c>
      <c r="H1286" t="s">
        <v>6152</v>
      </c>
      <c r="I1286" t="s">
        <v>5358</v>
      </c>
      <c r="J1286">
        <v>90</v>
      </c>
      <c r="K1286">
        <v>553.5</v>
      </c>
      <c r="L1286">
        <v>876</v>
      </c>
      <c r="M1286">
        <v>882</v>
      </c>
      <c r="N1286">
        <v>6</v>
      </c>
      <c r="O1286">
        <v>15</v>
      </c>
    </row>
    <row r="1287" spans="1:15" x14ac:dyDescent="0.25">
      <c r="A1287">
        <v>5</v>
      </c>
      <c r="B1287">
        <v>14571</v>
      </c>
      <c r="C1287" t="s">
        <v>5319</v>
      </c>
      <c r="D1287" t="s">
        <v>827</v>
      </c>
      <c r="E1287" t="s">
        <v>830</v>
      </c>
      <c r="F1287">
        <v>46217.797222222223</v>
      </c>
      <c r="G1287">
        <v>264</v>
      </c>
      <c r="H1287" t="s">
        <v>6152</v>
      </c>
      <c r="I1287" t="s">
        <v>5358</v>
      </c>
      <c r="J1287">
        <v>106</v>
      </c>
      <c r="K1287">
        <v>651.9</v>
      </c>
      <c r="L1287">
        <v>882</v>
      </c>
      <c r="M1287">
        <v>889</v>
      </c>
      <c r="N1287">
        <v>7</v>
      </c>
      <c r="O1287">
        <v>15.1428571428571</v>
      </c>
    </row>
    <row r="1288" spans="1:15" x14ac:dyDescent="0.25">
      <c r="A1288">
        <v>5</v>
      </c>
      <c r="B1288">
        <v>14571</v>
      </c>
      <c r="C1288" t="s">
        <v>5319</v>
      </c>
      <c r="D1288" t="s">
        <v>827</v>
      </c>
      <c r="E1288" t="s">
        <v>830</v>
      </c>
      <c r="F1288">
        <v>46218.857638888891</v>
      </c>
      <c r="G1288">
        <v>264</v>
      </c>
      <c r="H1288" t="s">
        <v>6152</v>
      </c>
      <c r="I1288" t="s">
        <v>5358</v>
      </c>
      <c r="J1288">
        <v>64</v>
      </c>
      <c r="K1288">
        <v>393.6</v>
      </c>
      <c r="L1288">
        <v>889</v>
      </c>
      <c r="M1288">
        <v>894</v>
      </c>
      <c r="N1288">
        <v>5</v>
      </c>
      <c r="O1288">
        <v>12.8</v>
      </c>
    </row>
    <row r="1289" spans="1:15" x14ac:dyDescent="0.25">
      <c r="A1289">
        <v>5</v>
      </c>
      <c r="B1289">
        <v>14571</v>
      </c>
      <c r="C1289" t="s">
        <v>5319</v>
      </c>
      <c r="D1289" t="s">
        <v>827</v>
      </c>
      <c r="E1289" t="s">
        <v>830</v>
      </c>
      <c r="F1289">
        <v>46219.868055555555</v>
      </c>
      <c r="G1289">
        <v>264</v>
      </c>
      <c r="H1289" t="s">
        <v>6152</v>
      </c>
      <c r="I1289" t="s">
        <v>5358</v>
      </c>
      <c r="J1289">
        <v>80</v>
      </c>
      <c r="K1289">
        <v>492</v>
      </c>
      <c r="L1289">
        <v>894</v>
      </c>
      <c r="M1289">
        <v>901</v>
      </c>
      <c r="N1289">
        <v>7</v>
      </c>
      <c r="O1289">
        <v>11.4285714285714</v>
      </c>
    </row>
    <row r="1290" spans="1:15" x14ac:dyDescent="0.25">
      <c r="A1290">
        <v>5</v>
      </c>
      <c r="B1290">
        <v>14571</v>
      </c>
      <c r="C1290" t="s">
        <v>5319</v>
      </c>
      <c r="D1290" t="s">
        <v>827</v>
      </c>
      <c r="E1290" t="s">
        <v>830</v>
      </c>
      <c r="F1290">
        <v>46220.85</v>
      </c>
      <c r="G1290">
        <v>264</v>
      </c>
      <c r="H1290" t="s">
        <v>6152</v>
      </c>
      <c r="I1290" t="s">
        <v>5358</v>
      </c>
      <c r="J1290">
        <v>108</v>
      </c>
      <c r="K1290">
        <v>669.6</v>
      </c>
      <c r="L1290">
        <v>901</v>
      </c>
      <c r="M1290">
        <v>908</v>
      </c>
      <c r="N1290">
        <v>7</v>
      </c>
      <c r="O1290">
        <v>15.4285714285714</v>
      </c>
    </row>
    <row r="1291" spans="1:15" x14ac:dyDescent="0.25">
      <c r="A1291">
        <v>5</v>
      </c>
      <c r="B1291">
        <v>14571</v>
      </c>
      <c r="C1291" t="s">
        <v>5319</v>
      </c>
      <c r="D1291" t="s">
        <v>827</v>
      </c>
      <c r="E1291" t="s">
        <v>830</v>
      </c>
      <c r="F1291">
        <v>46221.902083333334</v>
      </c>
      <c r="G1291">
        <v>264</v>
      </c>
      <c r="H1291" t="s">
        <v>6152</v>
      </c>
      <c r="I1291" t="s">
        <v>5358</v>
      </c>
      <c r="J1291">
        <v>110</v>
      </c>
      <c r="K1291">
        <v>682</v>
      </c>
      <c r="L1291">
        <v>908</v>
      </c>
      <c r="M1291">
        <v>917</v>
      </c>
      <c r="N1291">
        <v>9</v>
      </c>
      <c r="O1291">
        <v>12.2222222222222</v>
      </c>
    </row>
    <row r="1292" spans="1:15" x14ac:dyDescent="0.25">
      <c r="A1292">
        <v>5</v>
      </c>
      <c r="B1292">
        <v>14571</v>
      </c>
      <c r="C1292" t="s">
        <v>5319</v>
      </c>
      <c r="D1292" t="s">
        <v>827</v>
      </c>
      <c r="E1292" t="s">
        <v>830</v>
      </c>
      <c r="F1292">
        <v>46222.725694444445</v>
      </c>
      <c r="G1292">
        <v>264</v>
      </c>
      <c r="H1292" t="s">
        <v>6152</v>
      </c>
      <c r="I1292" t="s">
        <v>5358</v>
      </c>
      <c r="J1292">
        <v>126</v>
      </c>
      <c r="K1292">
        <v>781.2</v>
      </c>
      <c r="L1292">
        <v>917</v>
      </c>
      <c r="M1292">
        <v>926</v>
      </c>
      <c r="N1292">
        <v>9</v>
      </c>
      <c r="O1292">
        <v>14</v>
      </c>
    </row>
    <row r="1293" spans="1:15" x14ac:dyDescent="0.25">
      <c r="A1293">
        <v>5</v>
      </c>
      <c r="B1293">
        <v>14571</v>
      </c>
      <c r="C1293" t="s">
        <v>5319</v>
      </c>
      <c r="D1293" t="s">
        <v>827</v>
      </c>
      <c r="E1293" t="s">
        <v>830</v>
      </c>
      <c r="F1293">
        <v>46223.87222222222</v>
      </c>
      <c r="G1293">
        <v>264</v>
      </c>
      <c r="H1293" t="s">
        <v>6152</v>
      </c>
      <c r="I1293" t="s">
        <v>5358</v>
      </c>
      <c r="J1293">
        <v>96</v>
      </c>
      <c r="K1293">
        <v>605.76</v>
      </c>
      <c r="L1293">
        <v>926</v>
      </c>
      <c r="M1293">
        <v>934</v>
      </c>
      <c r="N1293">
        <v>8</v>
      </c>
      <c r="O1293">
        <v>12</v>
      </c>
    </row>
    <row r="1294" spans="1:15" x14ac:dyDescent="0.25">
      <c r="A1294">
        <v>5</v>
      </c>
      <c r="B1294">
        <v>14571</v>
      </c>
      <c r="C1294" t="s">
        <v>5319</v>
      </c>
      <c r="D1294" t="s">
        <v>827</v>
      </c>
      <c r="E1294" t="s">
        <v>830</v>
      </c>
      <c r="F1294">
        <v>46224.818055555559</v>
      </c>
      <c r="G1294">
        <v>264</v>
      </c>
      <c r="H1294" t="s">
        <v>6152</v>
      </c>
      <c r="I1294" t="s">
        <v>5358</v>
      </c>
      <c r="J1294">
        <v>32</v>
      </c>
      <c r="K1294">
        <v>201.92</v>
      </c>
      <c r="L1294">
        <v>934</v>
      </c>
      <c r="M1294">
        <v>937</v>
      </c>
      <c r="N1294">
        <v>3</v>
      </c>
      <c r="O1294">
        <v>10.6666666666667</v>
      </c>
    </row>
    <row r="1295" spans="1:15" x14ac:dyDescent="0.25">
      <c r="A1295">
        <v>5</v>
      </c>
      <c r="B1295">
        <v>14571</v>
      </c>
      <c r="C1295" t="s">
        <v>5319</v>
      </c>
      <c r="D1295" t="s">
        <v>827</v>
      </c>
      <c r="E1295" t="s">
        <v>830</v>
      </c>
      <c r="F1295">
        <v>46230.893055555556</v>
      </c>
      <c r="G1295">
        <v>264</v>
      </c>
      <c r="H1295" t="s">
        <v>6152</v>
      </c>
      <c r="I1295" t="s">
        <v>5358</v>
      </c>
      <c r="J1295">
        <v>55</v>
      </c>
      <c r="K1295">
        <v>345.4</v>
      </c>
      <c r="L1295">
        <v>937</v>
      </c>
      <c r="M1295">
        <v>942</v>
      </c>
      <c r="N1295">
        <v>5</v>
      </c>
      <c r="O1295">
        <v>11</v>
      </c>
    </row>
    <row r="1296" spans="1:15" x14ac:dyDescent="0.25">
      <c r="A1296">
        <v>5</v>
      </c>
      <c r="B1296">
        <v>14571</v>
      </c>
      <c r="C1296" t="s">
        <v>5319</v>
      </c>
      <c r="D1296" t="s">
        <v>827</v>
      </c>
      <c r="E1296" t="s">
        <v>830</v>
      </c>
      <c r="F1296">
        <v>46231.932638888888</v>
      </c>
      <c r="G1296">
        <v>264</v>
      </c>
      <c r="H1296" t="s">
        <v>6152</v>
      </c>
      <c r="I1296" t="s">
        <v>5358</v>
      </c>
      <c r="J1296">
        <v>88</v>
      </c>
      <c r="K1296">
        <v>552.64</v>
      </c>
      <c r="L1296">
        <v>942</v>
      </c>
      <c r="M1296">
        <v>947</v>
      </c>
      <c r="N1296">
        <v>5</v>
      </c>
      <c r="O1296">
        <v>17.600000000000001</v>
      </c>
    </row>
    <row r="1297" spans="1:15" x14ac:dyDescent="0.25">
      <c r="A1297">
        <v>5</v>
      </c>
      <c r="B1297">
        <v>14571</v>
      </c>
      <c r="C1297" t="s">
        <v>5319</v>
      </c>
      <c r="D1297" t="s">
        <v>827</v>
      </c>
      <c r="E1297" t="s">
        <v>830</v>
      </c>
      <c r="F1297">
        <v>46232.884027777778</v>
      </c>
      <c r="G1297">
        <v>264</v>
      </c>
      <c r="H1297" t="s">
        <v>6152</v>
      </c>
      <c r="I1297" t="s">
        <v>5358</v>
      </c>
      <c r="J1297">
        <v>97</v>
      </c>
      <c r="K1297">
        <v>609.16</v>
      </c>
      <c r="L1297">
        <v>947</v>
      </c>
      <c r="M1297">
        <v>953</v>
      </c>
      <c r="N1297">
        <v>6</v>
      </c>
      <c r="O1297">
        <v>16.1666666666667</v>
      </c>
    </row>
    <row r="1298" spans="1:15" x14ac:dyDescent="0.25">
      <c r="A1298">
        <v>5</v>
      </c>
      <c r="B1298">
        <v>14571</v>
      </c>
      <c r="C1298" t="s">
        <v>5319</v>
      </c>
      <c r="D1298" t="s">
        <v>827</v>
      </c>
      <c r="E1298" t="s">
        <v>830</v>
      </c>
      <c r="F1298">
        <v>46233.851388888892</v>
      </c>
      <c r="G1298">
        <v>264</v>
      </c>
      <c r="H1298" t="s">
        <v>6152</v>
      </c>
      <c r="I1298" t="s">
        <v>5358</v>
      </c>
      <c r="J1298">
        <v>60</v>
      </c>
      <c r="K1298">
        <v>376.8</v>
      </c>
      <c r="L1298">
        <v>953</v>
      </c>
      <c r="M1298">
        <v>957</v>
      </c>
      <c r="N1298">
        <v>4</v>
      </c>
      <c r="O1298">
        <v>15</v>
      </c>
    </row>
    <row r="1299" spans="1:15" x14ac:dyDescent="0.25">
      <c r="A1299">
        <v>5</v>
      </c>
      <c r="B1299">
        <v>14571</v>
      </c>
      <c r="C1299" t="s">
        <v>5319</v>
      </c>
      <c r="D1299" t="s">
        <v>827</v>
      </c>
      <c r="E1299" t="s">
        <v>830</v>
      </c>
      <c r="F1299">
        <v>46234.893750000003</v>
      </c>
      <c r="G1299">
        <v>264</v>
      </c>
      <c r="H1299" t="s">
        <v>6152</v>
      </c>
      <c r="I1299" t="s">
        <v>5358</v>
      </c>
      <c r="J1299">
        <v>171</v>
      </c>
      <c r="K1299">
        <v>1073.8800000000001</v>
      </c>
      <c r="L1299">
        <v>957</v>
      </c>
      <c r="M1299">
        <v>965</v>
      </c>
      <c r="N1299">
        <v>8</v>
      </c>
      <c r="O1299">
        <v>21.375</v>
      </c>
    </row>
    <row r="1300" spans="1:15" x14ac:dyDescent="0.25">
      <c r="A1300">
        <v>5</v>
      </c>
      <c r="B1300">
        <v>100041</v>
      </c>
      <c r="C1300" t="s">
        <v>5349</v>
      </c>
      <c r="D1300" t="s">
        <v>426</v>
      </c>
      <c r="E1300" t="s">
        <v>427</v>
      </c>
      <c r="F1300">
        <v>46211.382638888892</v>
      </c>
      <c r="G1300">
        <v>129</v>
      </c>
      <c r="H1300" t="s">
        <v>6164</v>
      </c>
      <c r="I1300" t="s">
        <v>5358</v>
      </c>
      <c r="J1300">
        <v>181</v>
      </c>
      <c r="K1300">
        <v>1113.1500000000001</v>
      </c>
      <c r="L1300">
        <v>2424</v>
      </c>
      <c r="M1300">
        <v>2520</v>
      </c>
      <c r="N1300">
        <v>96</v>
      </c>
      <c r="O1300">
        <v>0.53038674033149202</v>
      </c>
    </row>
    <row r="1301" spans="1:15" x14ac:dyDescent="0.25">
      <c r="A1301">
        <v>5</v>
      </c>
      <c r="B1301">
        <v>100059</v>
      </c>
      <c r="C1301" t="s">
        <v>5336</v>
      </c>
      <c r="D1301" t="s">
        <v>153</v>
      </c>
      <c r="E1301" t="s">
        <v>6189</v>
      </c>
      <c r="F1301">
        <v>46205.506249999999</v>
      </c>
      <c r="G1301">
        <v>129</v>
      </c>
      <c r="H1301" t="s">
        <v>6164</v>
      </c>
      <c r="I1301" t="s">
        <v>5358</v>
      </c>
      <c r="J1301">
        <v>75</v>
      </c>
      <c r="K1301">
        <v>463.5</v>
      </c>
      <c r="L1301">
        <v>308968</v>
      </c>
      <c r="M1301">
        <v>309043</v>
      </c>
      <c r="N1301">
        <v>75</v>
      </c>
      <c r="O1301">
        <v>1</v>
      </c>
    </row>
    <row r="1302" spans="1:15" x14ac:dyDescent="0.25">
      <c r="A1302">
        <v>5</v>
      </c>
      <c r="B1302">
        <v>100059</v>
      </c>
      <c r="C1302" t="s">
        <v>5336</v>
      </c>
      <c r="D1302" t="s">
        <v>153</v>
      </c>
      <c r="E1302" t="s">
        <v>6189</v>
      </c>
      <c r="F1302">
        <v>46210.722916666666</v>
      </c>
      <c r="G1302">
        <v>129</v>
      </c>
      <c r="H1302" t="s">
        <v>6164</v>
      </c>
      <c r="I1302" t="s">
        <v>5358</v>
      </c>
      <c r="J1302">
        <v>95</v>
      </c>
      <c r="K1302">
        <v>584.25</v>
      </c>
      <c r="L1302">
        <v>309043</v>
      </c>
      <c r="M1302">
        <v>309233</v>
      </c>
      <c r="N1302">
        <v>190</v>
      </c>
      <c r="O1302">
        <v>2</v>
      </c>
    </row>
    <row r="1303" spans="1:15" x14ac:dyDescent="0.25">
      <c r="A1303">
        <v>5</v>
      </c>
      <c r="B1303">
        <v>100059</v>
      </c>
      <c r="C1303" t="s">
        <v>5336</v>
      </c>
      <c r="D1303" t="s">
        <v>153</v>
      </c>
      <c r="E1303" t="s">
        <v>6189</v>
      </c>
      <c r="F1303">
        <v>46212.364583333336</v>
      </c>
      <c r="G1303">
        <v>129</v>
      </c>
      <c r="H1303" t="s">
        <v>6164</v>
      </c>
      <c r="I1303" t="s">
        <v>5358</v>
      </c>
      <c r="J1303">
        <v>99</v>
      </c>
      <c r="K1303">
        <v>608.85</v>
      </c>
      <c r="L1303">
        <v>309233</v>
      </c>
      <c r="M1303">
        <v>309431</v>
      </c>
      <c r="N1303">
        <v>198</v>
      </c>
      <c r="O1303">
        <v>2</v>
      </c>
    </row>
    <row r="1304" spans="1:15" x14ac:dyDescent="0.25">
      <c r="A1304">
        <v>5</v>
      </c>
      <c r="B1304">
        <v>100059</v>
      </c>
      <c r="C1304" t="s">
        <v>5336</v>
      </c>
      <c r="D1304" t="s">
        <v>153</v>
      </c>
      <c r="E1304" t="s">
        <v>6189</v>
      </c>
      <c r="F1304">
        <v>46216.598611111112</v>
      </c>
      <c r="G1304">
        <v>188</v>
      </c>
      <c r="H1304" t="s">
        <v>6173</v>
      </c>
      <c r="I1304" t="s">
        <v>5358</v>
      </c>
      <c r="J1304">
        <v>84.89</v>
      </c>
      <c r="K1304">
        <v>593.38</v>
      </c>
      <c r="L1304">
        <v>309431</v>
      </c>
      <c r="M1304">
        <v>125241</v>
      </c>
      <c r="N1304">
        <v>0</v>
      </c>
      <c r="O1304">
        <v>0</v>
      </c>
    </row>
    <row r="1305" spans="1:15" x14ac:dyDescent="0.25">
      <c r="A1305">
        <v>5</v>
      </c>
      <c r="B1305">
        <v>100059</v>
      </c>
      <c r="C1305" t="s">
        <v>5336</v>
      </c>
      <c r="D1305" t="s">
        <v>153</v>
      </c>
      <c r="E1305" t="s">
        <v>6189</v>
      </c>
      <c r="F1305">
        <v>46224.583333333336</v>
      </c>
      <c r="G1305">
        <v>188</v>
      </c>
      <c r="H1305" t="s">
        <v>6173</v>
      </c>
      <c r="I1305" t="s">
        <v>5358</v>
      </c>
      <c r="J1305">
        <v>88.58</v>
      </c>
      <c r="K1305">
        <v>606.77</v>
      </c>
      <c r="L1305">
        <v>125241</v>
      </c>
      <c r="M1305">
        <v>125513</v>
      </c>
      <c r="N1305">
        <v>272</v>
      </c>
      <c r="O1305">
        <v>3.0706705802664298</v>
      </c>
    </row>
    <row r="1306" spans="1:15" x14ac:dyDescent="0.25">
      <c r="A1306">
        <v>5</v>
      </c>
      <c r="B1306">
        <v>100059</v>
      </c>
      <c r="C1306" t="s">
        <v>5336</v>
      </c>
      <c r="D1306" t="s">
        <v>153</v>
      </c>
      <c r="E1306" t="s">
        <v>6189</v>
      </c>
      <c r="F1306">
        <v>46234.409722222219</v>
      </c>
      <c r="G1306">
        <v>188</v>
      </c>
      <c r="H1306" t="s">
        <v>6173</v>
      </c>
      <c r="I1306" t="s">
        <v>5358</v>
      </c>
      <c r="J1306">
        <v>97.42</v>
      </c>
      <c r="K1306">
        <v>680.97</v>
      </c>
      <c r="L1306">
        <v>125513</v>
      </c>
      <c r="M1306">
        <v>125884</v>
      </c>
      <c r="N1306">
        <v>371</v>
      </c>
      <c r="O1306">
        <v>3.8082529254773099</v>
      </c>
    </row>
    <row r="1307" spans="1:15" x14ac:dyDescent="0.25">
      <c r="A1307">
        <v>5</v>
      </c>
      <c r="B1307">
        <v>100080</v>
      </c>
      <c r="C1307" t="s">
        <v>5346</v>
      </c>
      <c r="D1307" t="s">
        <v>723</v>
      </c>
      <c r="E1307" t="s">
        <v>6219</v>
      </c>
      <c r="F1307">
        <v>46209.45416666667</v>
      </c>
      <c r="G1307">
        <v>232</v>
      </c>
      <c r="H1307" t="s">
        <v>6155</v>
      </c>
      <c r="I1307" t="s">
        <v>5358</v>
      </c>
      <c r="J1307">
        <v>88</v>
      </c>
      <c r="K1307">
        <v>541.20000000000005</v>
      </c>
      <c r="L1307">
        <v>2850</v>
      </c>
      <c r="M1307">
        <v>2661</v>
      </c>
      <c r="N1307">
        <v>0</v>
      </c>
      <c r="O1307">
        <v>0</v>
      </c>
    </row>
    <row r="1308" spans="1:15" x14ac:dyDescent="0.25">
      <c r="A1308">
        <v>5</v>
      </c>
      <c r="B1308">
        <v>100080</v>
      </c>
      <c r="C1308" t="s">
        <v>5346</v>
      </c>
      <c r="D1308" t="s">
        <v>723</v>
      </c>
      <c r="E1308" t="s">
        <v>6219</v>
      </c>
      <c r="F1308">
        <v>46213.430555555555</v>
      </c>
      <c r="G1308">
        <v>232</v>
      </c>
      <c r="H1308" t="s">
        <v>6155</v>
      </c>
      <c r="I1308" t="s">
        <v>5358</v>
      </c>
      <c r="J1308">
        <v>58</v>
      </c>
      <c r="K1308">
        <v>356.7</v>
      </c>
      <c r="L1308">
        <v>2661</v>
      </c>
      <c r="M1308">
        <v>2681</v>
      </c>
      <c r="N1308">
        <v>20</v>
      </c>
      <c r="O1308">
        <v>0.34482758620689702</v>
      </c>
    </row>
    <row r="1309" spans="1:15" x14ac:dyDescent="0.25">
      <c r="A1309">
        <v>5</v>
      </c>
      <c r="B1309">
        <v>100080</v>
      </c>
      <c r="C1309" t="s">
        <v>5346</v>
      </c>
      <c r="D1309" t="s">
        <v>723</v>
      </c>
      <c r="E1309" t="s">
        <v>6219</v>
      </c>
      <c r="F1309">
        <v>46230.420138888891</v>
      </c>
      <c r="G1309">
        <v>232</v>
      </c>
      <c r="H1309" t="s">
        <v>6155</v>
      </c>
      <c r="I1309" t="s">
        <v>5358</v>
      </c>
      <c r="J1309">
        <v>73</v>
      </c>
      <c r="K1309">
        <v>456.25</v>
      </c>
      <c r="L1309">
        <v>2681</v>
      </c>
      <c r="M1309">
        <v>2696</v>
      </c>
      <c r="N1309">
        <v>15</v>
      </c>
      <c r="O1309">
        <v>0.20547945205479501</v>
      </c>
    </row>
    <row r="1310" spans="1:15" x14ac:dyDescent="0.25">
      <c r="A1310">
        <v>5</v>
      </c>
      <c r="B1310">
        <v>100080</v>
      </c>
      <c r="C1310" t="s">
        <v>5346</v>
      </c>
      <c r="D1310" t="s">
        <v>723</v>
      </c>
      <c r="E1310" t="s">
        <v>6219</v>
      </c>
      <c r="F1310">
        <v>46233.600694444445</v>
      </c>
      <c r="G1310">
        <v>232</v>
      </c>
      <c r="H1310" t="s">
        <v>6155</v>
      </c>
      <c r="I1310" t="s">
        <v>5358</v>
      </c>
      <c r="J1310">
        <v>90</v>
      </c>
      <c r="K1310">
        <v>562.5</v>
      </c>
      <c r="L1310">
        <v>2696</v>
      </c>
      <c r="M1310">
        <v>2711</v>
      </c>
      <c r="N1310">
        <v>15</v>
      </c>
      <c r="O1310">
        <v>0.16666666666666699</v>
      </c>
    </row>
    <row r="1311" spans="1:15" x14ac:dyDescent="0.25">
      <c r="A1311">
        <v>5</v>
      </c>
      <c r="B1311">
        <v>100092</v>
      </c>
      <c r="C1311" t="s">
        <v>5337</v>
      </c>
      <c r="D1311" t="s">
        <v>218</v>
      </c>
      <c r="E1311" t="s">
        <v>6220</v>
      </c>
      <c r="F1311">
        <v>46205.522916666669</v>
      </c>
      <c r="G1311">
        <v>129</v>
      </c>
      <c r="H1311" t="s">
        <v>6164</v>
      </c>
      <c r="I1311" t="s">
        <v>5358</v>
      </c>
      <c r="J1311">
        <v>85</v>
      </c>
      <c r="K1311">
        <v>525.29999999999995</v>
      </c>
      <c r="L1311">
        <v>2590</v>
      </c>
      <c r="M1311">
        <v>2608</v>
      </c>
      <c r="N1311">
        <v>18</v>
      </c>
      <c r="O1311">
        <v>4.7222222222222197</v>
      </c>
    </row>
    <row r="1312" spans="1:15" x14ac:dyDescent="0.25">
      <c r="A1312">
        <v>5</v>
      </c>
      <c r="B1312">
        <v>100092</v>
      </c>
      <c r="C1312" t="s">
        <v>5337</v>
      </c>
      <c r="D1312" t="s">
        <v>218</v>
      </c>
      <c r="E1312" t="s">
        <v>6220</v>
      </c>
      <c r="F1312">
        <v>46210.728472222225</v>
      </c>
      <c r="G1312">
        <v>129</v>
      </c>
      <c r="H1312" t="s">
        <v>6164</v>
      </c>
      <c r="I1312" t="s">
        <v>5358</v>
      </c>
      <c r="J1312">
        <v>110</v>
      </c>
      <c r="K1312">
        <v>676.5</v>
      </c>
      <c r="L1312">
        <v>2608</v>
      </c>
      <c r="M1312">
        <v>2630</v>
      </c>
      <c r="N1312">
        <v>22</v>
      </c>
      <c r="O1312">
        <v>5</v>
      </c>
    </row>
    <row r="1313" spans="1:15" x14ac:dyDescent="0.25">
      <c r="A1313">
        <v>5</v>
      </c>
      <c r="B1313">
        <v>100092</v>
      </c>
      <c r="C1313" t="s">
        <v>5337</v>
      </c>
      <c r="D1313" t="s">
        <v>218</v>
      </c>
      <c r="E1313" t="s">
        <v>6220</v>
      </c>
      <c r="F1313">
        <v>46213.416666666664</v>
      </c>
      <c r="G1313">
        <v>129</v>
      </c>
      <c r="H1313" t="s">
        <v>6164</v>
      </c>
      <c r="I1313" t="s">
        <v>5358</v>
      </c>
      <c r="J1313">
        <v>103</v>
      </c>
      <c r="K1313">
        <v>633.45000000000005</v>
      </c>
      <c r="L1313">
        <v>2630</v>
      </c>
      <c r="M1313">
        <v>2650</v>
      </c>
      <c r="N1313">
        <v>20</v>
      </c>
      <c r="O1313">
        <v>5.15</v>
      </c>
    </row>
    <row r="1314" spans="1:15" x14ac:dyDescent="0.25">
      <c r="A1314">
        <v>5</v>
      </c>
      <c r="B1314">
        <v>100120</v>
      </c>
      <c r="C1314" t="s">
        <v>5333</v>
      </c>
      <c r="D1314" t="s">
        <v>362</v>
      </c>
      <c r="E1314" t="s">
        <v>6221</v>
      </c>
      <c r="F1314">
        <v>46205.472916666666</v>
      </c>
      <c r="G1314">
        <v>232</v>
      </c>
      <c r="H1314" t="s">
        <v>6155</v>
      </c>
      <c r="I1314" t="s">
        <v>5358</v>
      </c>
      <c r="J1314">
        <v>60</v>
      </c>
      <c r="K1314">
        <v>369</v>
      </c>
      <c r="L1314">
        <v>9844</v>
      </c>
      <c r="M1314">
        <v>9858</v>
      </c>
      <c r="N1314">
        <v>14</v>
      </c>
      <c r="O1314">
        <v>4.28571428571429</v>
      </c>
    </row>
    <row r="1315" spans="1:15" x14ac:dyDescent="0.25">
      <c r="A1315">
        <v>5</v>
      </c>
      <c r="B1315">
        <v>100120</v>
      </c>
      <c r="C1315" t="s">
        <v>5333</v>
      </c>
      <c r="D1315" t="s">
        <v>362</v>
      </c>
      <c r="E1315" t="s">
        <v>6221</v>
      </c>
      <c r="F1315">
        <v>46207.469444444447</v>
      </c>
      <c r="G1315">
        <v>232</v>
      </c>
      <c r="H1315" t="s">
        <v>6155</v>
      </c>
      <c r="I1315" t="s">
        <v>5358</v>
      </c>
      <c r="J1315">
        <v>113</v>
      </c>
      <c r="K1315">
        <v>694.95</v>
      </c>
      <c r="L1315">
        <v>9858</v>
      </c>
      <c r="M1315">
        <v>9864</v>
      </c>
      <c r="N1315">
        <v>6</v>
      </c>
      <c r="O1315">
        <v>18.8333333333333</v>
      </c>
    </row>
    <row r="1316" spans="1:15" x14ac:dyDescent="0.25">
      <c r="A1316">
        <v>5</v>
      </c>
      <c r="B1316">
        <v>100120</v>
      </c>
      <c r="C1316" t="s">
        <v>5333</v>
      </c>
      <c r="D1316" t="s">
        <v>362</v>
      </c>
      <c r="E1316" t="s">
        <v>6221</v>
      </c>
      <c r="F1316">
        <v>46208.956250000003</v>
      </c>
      <c r="G1316">
        <v>232</v>
      </c>
      <c r="H1316" t="s">
        <v>6155</v>
      </c>
      <c r="I1316" t="s">
        <v>5358</v>
      </c>
      <c r="J1316">
        <v>41</v>
      </c>
      <c r="K1316">
        <v>263.22000000000003</v>
      </c>
      <c r="L1316">
        <v>9864</v>
      </c>
      <c r="M1316">
        <v>9864</v>
      </c>
      <c r="N1316">
        <v>0</v>
      </c>
      <c r="O1316">
        <v>0</v>
      </c>
    </row>
    <row r="1317" spans="1:15" x14ac:dyDescent="0.25">
      <c r="A1317">
        <v>5</v>
      </c>
      <c r="B1317">
        <v>100120</v>
      </c>
      <c r="C1317" t="s">
        <v>5333</v>
      </c>
      <c r="D1317" t="s">
        <v>362</v>
      </c>
      <c r="E1317" t="s">
        <v>6221</v>
      </c>
      <c r="F1317">
        <v>46209.931250000001</v>
      </c>
      <c r="G1317">
        <v>232</v>
      </c>
      <c r="H1317" t="s">
        <v>6155</v>
      </c>
      <c r="I1317" t="s">
        <v>5358</v>
      </c>
      <c r="J1317">
        <v>37</v>
      </c>
      <c r="K1317">
        <v>227.55</v>
      </c>
      <c r="L1317">
        <v>9864</v>
      </c>
      <c r="M1317">
        <v>9869</v>
      </c>
      <c r="N1317">
        <v>5</v>
      </c>
      <c r="O1317">
        <v>7.4</v>
      </c>
    </row>
    <row r="1318" spans="1:15" x14ac:dyDescent="0.25">
      <c r="A1318">
        <v>5</v>
      </c>
      <c r="B1318">
        <v>100120</v>
      </c>
      <c r="C1318" t="s">
        <v>5333</v>
      </c>
      <c r="D1318" t="s">
        <v>362</v>
      </c>
      <c r="E1318" t="s">
        <v>6221</v>
      </c>
      <c r="F1318">
        <v>46210.979166666664</v>
      </c>
      <c r="G1318">
        <v>232</v>
      </c>
      <c r="H1318" t="s">
        <v>6155</v>
      </c>
      <c r="I1318" t="s">
        <v>5358</v>
      </c>
      <c r="J1318">
        <v>36</v>
      </c>
      <c r="K1318">
        <v>221.4</v>
      </c>
      <c r="L1318">
        <v>9869</v>
      </c>
      <c r="M1318">
        <v>9873</v>
      </c>
      <c r="N1318">
        <v>4</v>
      </c>
      <c r="O1318">
        <v>9</v>
      </c>
    </row>
    <row r="1319" spans="1:15" x14ac:dyDescent="0.25">
      <c r="A1319">
        <v>5</v>
      </c>
      <c r="B1319">
        <v>100120</v>
      </c>
      <c r="C1319" t="s">
        <v>5333</v>
      </c>
      <c r="D1319" t="s">
        <v>362</v>
      </c>
      <c r="E1319" t="s">
        <v>6221</v>
      </c>
      <c r="F1319">
        <v>46212</v>
      </c>
      <c r="G1319">
        <v>232</v>
      </c>
      <c r="H1319" t="s">
        <v>6155</v>
      </c>
      <c r="I1319" t="s">
        <v>5358</v>
      </c>
      <c r="J1319">
        <v>44</v>
      </c>
      <c r="K1319">
        <v>270.60000000000002</v>
      </c>
      <c r="L1319">
        <v>9873</v>
      </c>
      <c r="M1319">
        <v>9882</v>
      </c>
      <c r="N1319">
        <v>9</v>
      </c>
      <c r="O1319">
        <v>4.8888888888888902</v>
      </c>
    </row>
    <row r="1320" spans="1:15" x14ac:dyDescent="0.25">
      <c r="A1320">
        <v>5</v>
      </c>
      <c r="B1320">
        <v>100120</v>
      </c>
      <c r="C1320" t="s">
        <v>5333</v>
      </c>
      <c r="D1320" t="s">
        <v>362</v>
      </c>
      <c r="E1320" t="s">
        <v>6221</v>
      </c>
      <c r="F1320">
        <v>46214.010416666664</v>
      </c>
      <c r="G1320">
        <v>232</v>
      </c>
      <c r="H1320" t="s">
        <v>6155</v>
      </c>
      <c r="I1320" t="s">
        <v>5358</v>
      </c>
      <c r="J1320">
        <v>52</v>
      </c>
      <c r="K1320">
        <v>319.8</v>
      </c>
      <c r="L1320">
        <v>9882</v>
      </c>
      <c r="M1320">
        <v>9890</v>
      </c>
      <c r="N1320">
        <v>8</v>
      </c>
      <c r="O1320">
        <v>6.5</v>
      </c>
    </row>
    <row r="1321" spans="1:15" x14ac:dyDescent="0.25">
      <c r="A1321">
        <v>5</v>
      </c>
      <c r="B1321">
        <v>100120</v>
      </c>
      <c r="C1321" t="s">
        <v>5333</v>
      </c>
      <c r="D1321" t="s">
        <v>362</v>
      </c>
      <c r="E1321" t="s">
        <v>6221</v>
      </c>
      <c r="F1321">
        <v>46216.969444444447</v>
      </c>
      <c r="G1321">
        <v>232</v>
      </c>
      <c r="H1321" t="s">
        <v>6155</v>
      </c>
      <c r="I1321" t="s">
        <v>5358</v>
      </c>
      <c r="J1321">
        <v>40</v>
      </c>
      <c r="K1321">
        <v>246</v>
      </c>
      <c r="L1321">
        <v>9890</v>
      </c>
      <c r="M1321">
        <v>9900</v>
      </c>
      <c r="N1321">
        <v>10</v>
      </c>
      <c r="O1321">
        <v>4</v>
      </c>
    </row>
    <row r="1322" spans="1:15" x14ac:dyDescent="0.25">
      <c r="A1322">
        <v>5</v>
      </c>
      <c r="B1322">
        <v>100120</v>
      </c>
      <c r="C1322" t="s">
        <v>5333</v>
      </c>
      <c r="D1322" t="s">
        <v>362</v>
      </c>
      <c r="E1322" t="s">
        <v>6221</v>
      </c>
      <c r="F1322">
        <v>46218.107638888891</v>
      </c>
      <c r="G1322">
        <v>232</v>
      </c>
      <c r="H1322" t="s">
        <v>6155</v>
      </c>
      <c r="I1322" t="s">
        <v>5358</v>
      </c>
      <c r="J1322">
        <v>40</v>
      </c>
      <c r="K1322">
        <v>246</v>
      </c>
      <c r="L1322">
        <v>9900</v>
      </c>
      <c r="M1322">
        <v>9912</v>
      </c>
      <c r="N1322">
        <v>12</v>
      </c>
      <c r="O1322">
        <v>3.3333333333333299</v>
      </c>
    </row>
    <row r="1323" spans="1:15" x14ac:dyDescent="0.25">
      <c r="A1323">
        <v>5</v>
      </c>
      <c r="B1323">
        <v>100120</v>
      </c>
      <c r="C1323" t="s">
        <v>5333</v>
      </c>
      <c r="D1323" t="s">
        <v>362</v>
      </c>
      <c r="E1323" t="s">
        <v>6221</v>
      </c>
      <c r="F1323">
        <v>46220.02847222222</v>
      </c>
      <c r="G1323">
        <v>232</v>
      </c>
      <c r="H1323" t="s">
        <v>6155</v>
      </c>
      <c r="I1323" t="s">
        <v>5358</v>
      </c>
      <c r="J1323">
        <v>53</v>
      </c>
      <c r="K1323">
        <v>325.95</v>
      </c>
      <c r="L1323">
        <v>9912</v>
      </c>
      <c r="M1323">
        <v>9923</v>
      </c>
      <c r="N1323">
        <v>11</v>
      </c>
      <c r="O1323">
        <v>4.8181818181818201</v>
      </c>
    </row>
    <row r="1324" spans="1:15" x14ac:dyDescent="0.25">
      <c r="A1324">
        <v>5</v>
      </c>
      <c r="B1324">
        <v>100120</v>
      </c>
      <c r="C1324" t="s">
        <v>5333</v>
      </c>
      <c r="D1324" t="s">
        <v>775</v>
      </c>
      <c r="E1324" t="s">
        <v>6189</v>
      </c>
      <c r="F1324">
        <v>46205.832638888889</v>
      </c>
      <c r="G1324">
        <v>264</v>
      </c>
      <c r="H1324" t="s">
        <v>6152</v>
      </c>
      <c r="I1324" t="s">
        <v>5358</v>
      </c>
      <c r="J1324">
        <v>38</v>
      </c>
      <c r="K1324">
        <v>233.7</v>
      </c>
      <c r="L1324">
        <v>8439</v>
      </c>
      <c r="M1324">
        <v>8447</v>
      </c>
      <c r="N1324">
        <v>8</v>
      </c>
      <c r="O1324">
        <v>0.21052631578947401</v>
      </c>
    </row>
    <row r="1325" spans="1:15" x14ac:dyDescent="0.25">
      <c r="A1325">
        <v>5</v>
      </c>
      <c r="B1325">
        <v>100120</v>
      </c>
      <c r="C1325" t="s">
        <v>5333</v>
      </c>
      <c r="D1325" t="s">
        <v>775</v>
      </c>
      <c r="E1325" t="s">
        <v>6189</v>
      </c>
      <c r="F1325">
        <v>46208.650694444441</v>
      </c>
      <c r="G1325">
        <v>264</v>
      </c>
      <c r="H1325" t="s">
        <v>6152</v>
      </c>
      <c r="I1325" t="s">
        <v>5358</v>
      </c>
      <c r="J1325">
        <v>55</v>
      </c>
      <c r="K1325">
        <v>338.25</v>
      </c>
      <c r="L1325">
        <v>8447</v>
      </c>
      <c r="M1325">
        <v>8456</v>
      </c>
      <c r="N1325">
        <v>9</v>
      </c>
      <c r="O1325">
        <v>0.163636363636364</v>
      </c>
    </row>
    <row r="1326" spans="1:15" x14ac:dyDescent="0.25">
      <c r="A1326">
        <v>5</v>
      </c>
      <c r="B1326">
        <v>100120</v>
      </c>
      <c r="C1326" t="s">
        <v>5333</v>
      </c>
      <c r="D1326" t="s">
        <v>775</v>
      </c>
      <c r="E1326" t="s">
        <v>6189</v>
      </c>
      <c r="F1326">
        <v>46210.627083333333</v>
      </c>
      <c r="G1326">
        <v>264</v>
      </c>
      <c r="H1326" t="s">
        <v>6152</v>
      </c>
      <c r="I1326" t="s">
        <v>5358</v>
      </c>
      <c r="J1326">
        <v>65</v>
      </c>
      <c r="K1326">
        <v>399.75</v>
      </c>
      <c r="L1326">
        <v>8456</v>
      </c>
      <c r="M1326">
        <v>8466</v>
      </c>
      <c r="N1326">
        <v>10</v>
      </c>
      <c r="O1326">
        <v>0.15384615384615399</v>
      </c>
    </row>
    <row r="1327" spans="1:15" x14ac:dyDescent="0.25">
      <c r="A1327">
        <v>5</v>
      </c>
      <c r="B1327">
        <v>100120</v>
      </c>
      <c r="C1327" t="s">
        <v>5333</v>
      </c>
      <c r="D1327" t="s">
        <v>775</v>
      </c>
      <c r="E1327" t="s">
        <v>6189</v>
      </c>
      <c r="F1327">
        <v>46212.777083333334</v>
      </c>
      <c r="G1327">
        <v>264</v>
      </c>
      <c r="H1327" t="s">
        <v>6152</v>
      </c>
      <c r="I1327" t="s">
        <v>5358</v>
      </c>
      <c r="J1327">
        <v>61</v>
      </c>
      <c r="K1327">
        <v>375.15</v>
      </c>
      <c r="L1327">
        <v>8466</v>
      </c>
      <c r="M1327">
        <v>8475</v>
      </c>
      <c r="N1327">
        <v>9</v>
      </c>
      <c r="O1327">
        <v>0.14754098360655701</v>
      </c>
    </row>
    <row r="1328" spans="1:15" x14ac:dyDescent="0.25">
      <c r="A1328">
        <v>5</v>
      </c>
      <c r="B1328">
        <v>100120</v>
      </c>
      <c r="C1328" t="s">
        <v>5333</v>
      </c>
      <c r="D1328" t="s">
        <v>775</v>
      </c>
      <c r="E1328" t="s">
        <v>6189</v>
      </c>
      <c r="F1328">
        <v>46216.855555555558</v>
      </c>
      <c r="G1328">
        <v>264</v>
      </c>
      <c r="H1328" t="s">
        <v>6152</v>
      </c>
      <c r="I1328" t="s">
        <v>5358</v>
      </c>
      <c r="J1328">
        <v>117</v>
      </c>
      <c r="K1328">
        <v>719.55</v>
      </c>
      <c r="L1328">
        <v>8475</v>
      </c>
      <c r="M1328">
        <v>8492</v>
      </c>
      <c r="N1328">
        <v>17</v>
      </c>
      <c r="O1328">
        <v>0.145299145299145</v>
      </c>
    </row>
    <row r="1329" spans="1:15" x14ac:dyDescent="0.25">
      <c r="A1329">
        <v>5</v>
      </c>
      <c r="B1329">
        <v>100120</v>
      </c>
      <c r="C1329" t="s">
        <v>5333</v>
      </c>
      <c r="D1329" t="s">
        <v>775</v>
      </c>
      <c r="E1329" t="s">
        <v>6189</v>
      </c>
      <c r="F1329">
        <v>46219.856249999997</v>
      </c>
      <c r="G1329">
        <v>264</v>
      </c>
      <c r="H1329" t="s">
        <v>6152</v>
      </c>
      <c r="I1329" t="s">
        <v>5358</v>
      </c>
      <c r="J1329">
        <v>57</v>
      </c>
      <c r="K1329">
        <v>350.55</v>
      </c>
      <c r="L1329">
        <v>8492</v>
      </c>
      <c r="M1329">
        <v>8506</v>
      </c>
      <c r="N1329">
        <v>14</v>
      </c>
      <c r="O1329">
        <v>0.24561403508771901</v>
      </c>
    </row>
    <row r="1330" spans="1:15" x14ac:dyDescent="0.25">
      <c r="A1330">
        <v>5</v>
      </c>
      <c r="B1330">
        <v>100120</v>
      </c>
      <c r="C1330" t="s">
        <v>5333</v>
      </c>
      <c r="D1330" t="s">
        <v>775</v>
      </c>
      <c r="E1330" t="s">
        <v>6189</v>
      </c>
      <c r="F1330">
        <v>46222.72152777778</v>
      </c>
      <c r="G1330">
        <v>264</v>
      </c>
      <c r="H1330" t="s">
        <v>6152</v>
      </c>
      <c r="I1330" t="s">
        <v>5358</v>
      </c>
      <c r="J1330">
        <v>67</v>
      </c>
      <c r="K1330">
        <v>415.4</v>
      </c>
      <c r="L1330">
        <v>8506</v>
      </c>
      <c r="M1330">
        <v>8516</v>
      </c>
      <c r="N1330">
        <v>10</v>
      </c>
      <c r="O1330">
        <v>0.14925373134328401</v>
      </c>
    </row>
    <row r="1331" spans="1:15" x14ac:dyDescent="0.25">
      <c r="A1331">
        <v>5</v>
      </c>
      <c r="B1331">
        <v>100120</v>
      </c>
      <c r="C1331" t="s">
        <v>5333</v>
      </c>
      <c r="D1331" t="s">
        <v>775</v>
      </c>
      <c r="E1331" t="s">
        <v>6189</v>
      </c>
      <c r="F1331">
        <v>46224.8125</v>
      </c>
      <c r="G1331">
        <v>264</v>
      </c>
      <c r="H1331" t="s">
        <v>6152</v>
      </c>
      <c r="I1331" t="s">
        <v>5358</v>
      </c>
      <c r="J1331">
        <v>96</v>
      </c>
      <c r="K1331">
        <v>605.76</v>
      </c>
      <c r="L1331">
        <v>8516</v>
      </c>
      <c r="M1331">
        <v>8531</v>
      </c>
      <c r="N1331">
        <v>15</v>
      </c>
      <c r="O1331">
        <v>0.15625</v>
      </c>
    </row>
    <row r="1332" spans="1:15" x14ac:dyDescent="0.25">
      <c r="A1332">
        <v>5</v>
      </c>
      <c r="B1332">
        <v>100120</v>
      </c>
      <c r="C1332" t="s">
        <v>5333</v>
      </c>
      <c r="D1332" t="s">
        <v>775</v>
      </c>
      <c r="E1332" t="s">
        <v>6189</v>
      </c>
      <c r="F1332">
        <v>46228.76458333333</v>
      </c>
      <c r="G1332">
        <v>264</v>
      </c>
      <c r="H1332" t="s">
        <v>6152</v>
      </c>
      <c r="I1332" t="s">
        <v>5358</v>
      </c>
      <c r="J1332">
        <v>89</v>
      </c>
      <c r="K1332">
        <v>558.91999999999996</v>
      </c>
      <c r="L1332">
        <v>8531</v>
      </c>
      <c r="M1332">
        <v>8547</v>
      </c>
      <c r="N1332">
        <v>16</v>
      </c>
      <c r="O1332">
        <v>0.17977528089887601</v>
      </c>
    </row>
    <row r="1333" spans="1:15" x14ac:dyDescent="0.25">
      <c r="A1333">
        <v>5</v>
      </c>
      <c r="B1333">
        <v>100120</v>
      </c>
      <c r="C1333" t="s">
        <v>5333</v>
      </c>
      <c r="D1333" t="s">
        <v>775</v>
      </c>
      <c r="E1333" t="s">
        <v>6189</v>
      </c>
      <c r="F1333">
        <v>46232.883333333331</v>
      </c>
      <c r="G1333">
        <v>264</v>
      </c>
      <c r="H1333" t="s">
        <v>6152</v>
      </c>
      <c r="I1333" t="s">
        <v>5358</v>
      </c>
      <c r="J1333">
        <v>78</v>
      </c>
      <c r="K1333">
        <v>489.84</v>
      </c>
      <c r="L1333">
        <v>8547</v>
      </c>
      <c r="M1333">
        <v>8563</v>
      </c>
      <c r="N1333">
        <v>16</v>
      </c>
      <c r="O1333">
        <v>0.20512820512820501</v>
      </c>
    </row>
    <row r="1334" spans="1:15" x14ac:dyDescent="0.25">
      <c r="A1334">
        <v>5</v>
      </c>
      <c r="B1334">
        <v>100120</v>
      </c>
      <c r="C1334" t="s">
        <v>5333</v>
      </c>
      <c r="D1334" t="s">
        <v>775</v>
      </c>
      <c r="E1334" t="s">
        <v>6189</v>
      </c>
      <c r="F1334">
        <v>46234.896527777775</v>
      </c>
      <c r="G1334">
        <v>264</v>
      </c>
      <c r="H1334" t="s">
        <v>6152</v>
      </c>
      <c r="I1334" t="s">
        <v>5358</v>
      </c>
      <c r="J1334">
        <v>74</v>
      </c>
      <c r="K1334">
        <v>464.72</v>
      </c>
      <c r="L1334">
        <v>8563</v>
      </c>
      <c r="M1334">
        <v>8574</v>
      </c>
      <c r="N1334">
        <v>11</v>
      </c>
      <c r="O1334">
        <v>0.14864864864864899</v>
      </c>
    </row>
    <row r="1335" spans="1:15" x14ac:dyDescent="0.25">
      <c r="A1335">
        <v>5</v>
      </c>
      <c r="B1335">
        <v>100121</v>
      </c>
      <c r="C1335" t="s">
        <v>6222</v>
      </c>
      <c r="D1335" t="s">
        <v>162</v>
      </c>
      <c r="E1335" t="s">
        <v>6223</v>
      </c>
      <c r="F1335">
        <v>46209.342361111114</v>
      </c>
      <c r="G1335">
        <v>188</v>
      </c>
      <c r="H1335" t="s">
        <v>6173</v>
      </c>
      <c r="I1335" t="s">
        <v>5358</v>
      </c>
      <c r="J1335">
        <v>350</v>
      </c>
      <c r="K1335">
        <v>2446.5</v>
      </c>
      <c r="L1335">
        <v>444817</v>
      </c>
      <c r="M1335">
        <v>446065</v>
      </c>
      <c r="N1335">
        <v>1248</v>
      </c>
      <c r="O1335">
        <v>3.5657142857142898</v>
      </c>
    </row>
    <row r="1336" spans="1:15" x14ac:dyDescent="0.25">
      <c r="A1336">
        <v>5</v>
      </c>
      <c r="B1336">
        <v>100121</v>
      </c>
      <c r="C1336" t="s">
        <v>6222</v>
      </c>
      <c r="D1336" t="s">
        <v>162</v>
      </c>
      <c r="E1336" t="s">
        <v>6223</v>
      </c>
      <c r="F1336">
        <v>46213.67083333333</v>
      </c>
      <c r="G1336">
        <v>188</v>
      </c>
      <c r="H1336" t="s">
        <v>6173</v>
      </c>
      <c r="I1336" t="s">
        <v>5358</v>
      </c>
      <c r="J1336">
        <v>350</v>
      </c>
      <c r="K1336">
        <v>2411.5</v>
      </c>
      <c r="L1336">
        <v>446065</v>
      </c>
      <c r="M1336">
        <v>447088</v>
      </c>
      <c r="N1336">
        <v>1023</v>
      </c>
      <c r="O1336">
        <v>2.9228571428571399</v>
      </c>
    </row>
    <row r="1337" spans="1:15" x14ac:dyDescent="0.25">
      <c r="A1337">
        <v>5</v>
      </c>
      <c r="B1337">
        <v>100121</v>
      </c>
      <c r="C1337" t="s">
        <v>6222</v>
      </c>
      <c r="D1337" t="s">
        <v>162</v>
      </c>
      <c r="E1337" t="s">
        <v>6223</v>
      </c>
      <c r="F1337">
        <v>46226.418055555558</v>
      </c>
      <c r="G1337">
        <v>188</v>
      </c>
      <c r="H1337" t="s">
        <v>6173</v>
      </c>
      <c r="I1337" t="s">
        <v>5358</v>
      </c>
      <c r="J1337">
        <v>300</v>
      </c>
      <c r="K1337">
        <v>2097</v>
      </c>
      <c r="L1337">
        <v>447088</v>
      </c>
      <c r="M1337">
        <v>448052</v>
      </c>
      <c r="N1337">
        <v>964</v>
      </c>
      <c r="O1337">
        <v>3.2133333333333298</v>
      </c>
    </row>
    <row r="1338" spans="1:15" x14ac:dyDescent="0.25">
      <c r="A1338">
        <v>5</v>
      </c>
      <c r="B1338">
        <v>100121</v>
      </c>
      <c r="C1338" t="s">
        <v>6222</v>
      </c>
      <c r="D1338" t="s">
        <v>162</v>
      </c>
      <c r="E1338" t="s">
        <v>6223</v>
      </c>
      <c r="F1338">
        <v>46234.740972222222</v>
      </c>
      <c r="G1338">
        <v>188</v>
      </c>
      <c r="H1338" t="s">
        <v>6173</v>
      </c>
      <c r="I1338" t="s">
        <v>5358</v>
      </c>
      <c r="J1338">
        <v>300</v>
      </c>
      <c r="K1338">
        <v>2097</v>
      </c>
      <c r="L1338">
        <v>448052</v>
      </c>
      <c r="M1338">
        <v>448733</v>
      </c>
      <c r="N1338">
        <v>681</v>
      </c>
      <c r="O1338">
        <v>2.27</v>
      </c>
    </row>
    <row r="1339" spans="1:15" x14ac:dyDescent="0.25">
      <c r="A1339">
        <v>5</v>
      </c>
      <c r="B1339">
        <v>100126</v>
      </c>
      <c r="C1339" t="s">
        <v>5323</v>
      </c>
      <c r="D1339" t="s">
        <v>457</v>
      </c>
      <c r="E1339" t="s">
        <v>6202</v>
      </c>
      <c r="F1339">
        <v>46205.458333333336</v>
      </c>
      <c r="G1339">
        <v>232</v>
      </c>
      <c r="H1339" t="s">
        <v>6155</v>
      </c>
      <c r="I1339" t="s">
        <v>5358</v>
      </c>
      <c r="J1339">
        <v>43</v>
      </c>
      <c r="K1339">
        <v>264.45</v>
      </c>
      <c r="L1339">
        <v>1164</v>
      </c>
      <c r="M1339">
        <v>1170</v>
      </c>
      <c r="N1339">
        <v>6</v>
      </c>
      <c r="O1339">
        <v>7.1666666666666696</v>
      </c>
    </row>
    <row r="1340" spans="1:15" x14ac:dyDescent="0.25">
      <c r="A1340">
        <v>5</v>
      </c>
      <c r="B1340">
        <v>100126</v>
      </c>
      <c r="C1340" t="s">
        <v>5323</v>
      </c>
      <c r="D1340" t="s">
        <v>457</v>
      </c>
      <c r="E1340" t="s">
        <v>6202</v>
      </c>
      <c r="F1340">
        <v>46207.600694444445</v>
      </c>
      <c r="G1340">
        <v>232</v>
      </c>
      <c r="H1340" t="s">
        <v>6155</v>
      </c>
      <c r="I1340" t="s">
        <v>5358</v>
      </c>
      <c r="J1340">
        <v>60</v>
      </c>
      <c r="K1340">
        <v>369</v>
      </c>
      <c r="L1340">
        <v>1170</v>
      </c>
      <c r="M1340">
        <v>1179</v>
      </c>
      <c r="N1340">
        <v>9</v>
      </c>
      <c r="O1340">
        <v>6.6666666666666696</v>
      </c>
    </row>
    <row r="1341" spans="1:15" x14ac:dyDescent="0.25">
      <c r="A1341">
        <v>5</v>
      </c>
      <c r="B1341">
        <v>100126</v>
      </c>
      <c r="C1341" t="s">
        <v>5323</v>
      </c>
      <c r="D1341" t="s">
        <v>457</v>
      </c>
      <c r="E1341" t="s">
        <v>6202</v>
      </c>
      <c r="F1341">
        <v>46214.015972222223</v>
      </c>
      <c r="G1341">
        <v>232</v>
      </c>
      <c r="H1341" t="s">
        <v>6155</v>
      </c>
      <c r="I1341" t="s">
        <v>5358</v>
      </c>
      <c r="J1341">
        <v>30</v>
      </c>
      <c r="K1341">
        <v>184.5</v>
      </c>
      <c r="L1341">
        <v>1179</v>
      </c>
      <c r="M1341">
        <v>1187</v>
      </c>
      <c r="N1341">
        <v>8</v>
      </c>
      <c r="O1341">
        <v>3.75</v>
      </c>
    </row>
    <row r="1342" spans="1:15" x14ac:dyDescent="0.25">
      <c r="A1342">
        <v>5</v>
      </c>
      <c r="B1342">
        <v>100126</v>
      </c>
      <c r="C1342" t="s">
        <v>5323</v>
      </c>
      <c r="D1342" t="s">
        <v>457</v>
      </c>
      <c r="E1342" t="s">
        <v>6202</v>
      </c>
      <c r="F1342">
        <v>46215.931944444441</v>
      </c>
      <c r="G1342">
        <v>232</v>
      </c>
      <c r="H1342" t="s">
        <v>6155</v>
      </c>
      <c r="I1342" t="s">
        <v>5358</v>
      </c>
      <c r="J1342">
        <v>31</v>
      </c>
      <c r="K1342">
        <v>190.65</v>
      </c>
      <c r="L1342">
        <v>1187</v>
      </c>
      <c r="M1342">
        <v>1192</v>
      </c>
      <c r="N1342">
        <v>5</v>
      </c>
      <c r="O1342">
        <v>6.2</v>
      </c>
    </row>
    <row r="1343" spans="1:15" x14ac:dyDescent="0.25">
      <c r="A1343">
        <v>5</v>
      </c>
      <c r="B1343">
        <v>100126</v>
      </c>
      <c r="C1343" t="s">
        <v>5323</v>
      </c>
      <c r="D1343" t="s">
        <v>457</v>
      </c>
      <c r="E1343" t="s">
        <v>6202</v>
      </c>
      <c r="F1343">
        <v>46216.970833333333</v>
      </c>
      <c r="G1343">
        <v>232</v>
      </c>
      <c r="H1343" t="s">
        <v>6155</v>
      </c>
      <c r="I1343" t="s">
        <v>5358</v>
      </c>
      <c r="J1343">
        <v>61</v>
      </c>
      <c r="K1343">
        <v>375.15</v>
      </c>
      <c r="L1343">
        <v>1192</v>
      </c>
      <c r="M1343">
        <v>1200</v>
      </c>
      <c r="N1343">
        <v>8</v>
      </c>
      <c r="O1343">
        <v>7.625</v>
      </c>
    </row>
    <row r="1344" spans="1:15" x14ac:dyDescent="0.25">
      <c r="A1344">
        <v>5</v>
      </c>
      <c r="B1344">
        <v>100126</v>
      </c>
      <c r="C1344" t="s">
        <v>5323</v>
      </c>
      <c r="D1344" t="s">
        <v>457</v>
      </c>
      <c r="E1344" t="s">
        <v>6202</v>
      </c>
      <c r="F1344">
        <v>46217.488888888889</v>
      </c>
      <c r="G1344">
        <v>232</v>
      </c>
      <c r="H1344" t="s">
        <v>6155</v>
      </c>
      <c r="I1344" t="s">
        <v>5358</v>
      </c>
      <c r="J1344">
        <v>48</v>
      </c>
      <c r="K1344">
        <v>295.2</v>
      </c>
      <c r="L1344">
        <v>1200</v>
      </c>
      <c r="M1344">
        <v>1208</v>
      </c>
      <c r="N1344">
        <v>8</v>
      </c>
      <c r="O1344">
        <v>6</v>
      </c>
    </row>
    <row r="1345" spans="1:15" x14ac:dyDescent="0.25">
      <c r="A1345">
        <v>5</v>
      </c>
      <c r="B1345">
        <v>100126</v>
      </c>
      <c r="C1345" t="s">
        <v>5323</v>
      </c>
      <c r="D1345" t="s">
        <v>457</v>
      </c>
      <c r="E1345" t="s">
        <v>6202</v>
      </c>
      <c r="F1345">
        <v>46218.113194444442</v>
      </c>
      <c r="G1345">
        <v>232</v>
      </c>
      <c r="H1345" t="s">
        <v>6155</v>
      </c>
      <c r="I1345" t="s">
        <v>5358</v>
      </c>
      <c r="J1345">
        <v>49</v>
      </c>
      <c r="K1345">
        <v>301.35000000000002</v>
      </c>
      <c r="L1345">
        <v>1208</v>
      </c>
      <c r="M1345">
        <v>1216</v>
      </c>
      <c r="N1345">
        <v>8</v>
      </c>
      <c r="O1345">
        <v>6.125</v>
      </c>
    </row>
    <row r="1346" spans="1:15" x14ac:dyDescent="0.25">
      <c r="A1346">
        <v>5</v>
      </c>
      <c r="B1346">
        <v>100126</v>
      </c>
      <c r="C1346" t="s">
        <v>5323</v>
      </c>
      <c r="D1346" t="s">
        <v>457</v>
      </c>
      <c r="E1346" t="s">
        <v>6202</v>
      </c>
      <c r="F1346">
        <v>46219.01666666667</v>
      </c>
      <c r="G1346">
        <v>232</v>
      </c>
      <c r="H1346" t="s">
        <v>6155</v>
      </c>
      <c r="I1346" t="s">
        <v>5358</v>
      </c>
      <c r="J1346">
        <v>61</v>
      </c>
      <c r="K1346">
        <v>375.15</v>
      </c>
      <c r="L1346">
        <v>1216</v>
      </c>
      <c r="M1346">
        <v>1224</v>
      </c>
      <c r="N1346">
        <v>8</v>
      </c>
      <c r="O1346">
        <v>7.625</v>
      </c>
    </row>
    <row r="1347" spans="1:15" x14ac:dyDescent="0.25">
      <c r="A1347">
        <v>5</v>
      </c>
      <c r="B1347">
        <v>100126</v>
      </c>
      <c r="C1347" t="s">
        <v>5323</v>
      </c>
      <c r="D1347" t="s">
        <v>457</v>
      </c>
      <c r="E1347" t="s">
        <v>6202</v>
      </c>
      <c r="F1347">
        <v>46220.030555555553</v>
      </c>
      <c r="G1347">
        <v>232</v>
      </c>
      <c r="H1347" t="s">
        <v>6155</v>
      </c>
      <c r="I1347" t="s">
        <v>5358</v>
      </c>
      <c r="J1347">
        <v>48</v>
      </c>
      <c r="K1347">
        <v>295.2</v>
      </c>
      <c r="L1347">
        <v>1224</v>
      </c>
      <c r="M1347">
        <v>1231</v>
      </c>
      <c r="N1347">
        <v>7</v>
      </c>
      <c r="O1347">
        <v>6.8571428571428603</v>
      </c>
    </row>
    <row r="1348" spans="1:15" x14ac:dyDescent="0.25">
      <c r="A1348">
        <v>5</v>
      </c>
      <c r="B1348">
        <v>100126</v>
      </c>
      <c r="C1348" t="s">
        <v>5323</v>
      </c>
      <c r="D1348" t="s">
        <v>457</v>
      </c>
      <c r="E1348" t="s">
        <v>6202</v>
      </c>
      <c r="F1348">
        <v>46221.926388888889</v>
      </c>
      <c r="G1348">
        <v>232</v>
      </c>
      <c r="H1348" t="s">
        <v>6155</v>
      </c>
      <c r="I1348" t="s">
        <v>5358</v>
      </c>
      <c r="J1348">
        <v>30</v>
      </c>
      <c r="K1348">
        <v>184.5</v>
      </c>
      <c r="L1348">
        <v>1231</v>
      </c>
      <c r="M1348">
        <v>1239</v>
      </c>
      <c r="N1348">
        <v>8</v>
      </c>
      <c r="O1348">
        <v>3.75</v>
      </c>
    </row>
    <row r="1349" spans="1:15" x14ac:dyDescent="0.25">
      <c r="A1349">
        <v>5</v>
      </c>
      <c r="B1349">
        <v>100126</v>
      </c>
      <c r="C1349" t="s">
        <v>5323</v>
      </c>
      <c r="D1349" t="s">
        <v>457</v>
      </c>
      <c r="E1349" t="s">
        <v>6202</v>
      </c>
      <c r="F1349">
        <v>46222.064583333333</v>
      </c>
      <c r="G1349">
        <v>232</v>
      </c>
      <c r="H1349" t="s">
        <v>6155</v>
      </c>
      <c r="I1349" t="s">
        <v>5358</v>
      </c>
      <c r="J1349">
        <v>64</v>
      </c>
      <c r="K1349">
        <v>403.2</v>
      </c>
      <c r="L1349">
        <v>1239</v>
      </c>
      <c r="M1349">
        <v>1246</v>
      </c>
      <c r="N1349">
        <v>7</v>
      </c>
      <c r="O1349">
        <v>9.1428571428571406</v>
      </c>
    </row>
    <row r="1350" spans="1:15" x14ac:dyDescent="0.25">
      <c r="A1350">
        <v>5</v>
      </c>
      <c r="B1350">
        <v>100126</v>
      </c>
      <c r="C1350" t="s">
        <v>5323</v>
      </c>
      <c r="D1350" t="s">
        <v>457</v>
      </c>
      <c r="E1350" t="s">
        <v>6202</v>
      </c>
      <c r="F1350">
        <v>46223.092361111114</v>
      </c>
      <c r="G1350">
        <v>232</v>
      </c>
      <c r="H1350" t="s">
        <v>6155</v>
      </c>
      <c r="I1350" t="s">
        <v>5358</v>
      </c>
      <c r="J1350">
        <v>40</v>
      </c>
      <c r="K1350">
        <v>250</v>
      </c>
      <c r="L1350">
        <v>1246</v>
      </c>
      <c r="M1350">
        <v>1250</v>
      </c>
      <c r="N1350">
        <v>4</v>
      </c>
      <c r="O1350">
        <v>10</v>
      </c>
    </row>
    <row r="1351" spans="1:15" x14ac:dyDescent="0.25">
      <c r="A1351">
        <v>5</v>
      </c>
      <c r="B1351">
        <v>100126</v>
      </c>
      <c r="C1351" t="s">
        <v>5323</v>
      </c>
      <c r="D1351" t="s">
        <v>457</v>
      </c>
      <c r="E1351" t="s">
        <v>6202</v>
      </c>
      <c r="F1351">
        <v>46225.020138888889</v>
      </c>
      <c r="G1351">
        <v>232</v>
      </c>
      <c r="H1351" t="s">
        <v>6155</v>
      </c>
      <c r="I1351" t="s">
        <v>5358</v>
      </c>
      <c r="J1351">
        <v>27</v>
      </c>
      <c r="K1351">
        <v>168.75</v>
      </c>
      <c r="L1351">
        <v>1250</v>
      </c>
      <c r="M1351">
        <v>1254</v>
      </c>
      <c r="N1351">
        <v>4</v>
      </c>
      <c r="O1351">
        <v>6.75</v>
      </c>
    </row>
    <row r="1352" spans="1:15" x14ac:dyDescent="0.25">
      <c r="A1352">
        <v>5</v>
      </c>
      <c r="B1352">
        <v>100126</v>
      </c>
      <c r="C1352" t="s">
        <v>5323</v>
      </c>
      <c r="D1352" t="s">
        <v>457</v>
      </c>
      <c r="E1352" t="s">
        <v>6202</v>
      </c>
      <c r="F1352">
        <v>46227.077777777777</v>
      </c>
      <c r="G1352">
        <v>232</v>
      </c>
      <c r="H1352" t="s">
        <v>6155</v>
      </c>
      <c r="I1352" t="s">
        <v>5358</v>
      </c>
      <c r="J1352">
        <v>50</v>
      </c>
      <c r="K1352">
        <v>312.5</v>
      </c>
      <c r="L1352">
        <v>1254</v>
      </c>
      <c r="M1352">
        <v>1262</v>
      </c>
      <c r="N1352">
        <v>8</v>
      </c>
      <c r="O1352">
        <v>6.25</v>
      </c>
    </row>
    <row r="1353" spans="1:15" x14ac:dyDescent="0.25">
      <c r="A1353">
        <v>5</v>
      </c>
      <c r="B1353">
        <v>100126</v>
      </c>
      <c r="C1353" t="s">
        <v>5323</v>
      </c>
      <c r="D1353" t="s">
        <v>457</v>
      </c>
      <c r="E1353" t="s">
        <v>6202</v>
      </c>
      <c r="F1353">
        <v>46228.977777777778</v>
      </c>
      <c r="G1353">
        <v>232</v>
      </c>
      <c r="H1353" t="s">
        <v>6155</v>
      </c>
      <c r="I1353" t="s">
        <v>5358</v>
      </c>
      <c r="J1353">
        <v>51</v>
      </c>
      <c r="K1353">
        <v>318.75</v>
      </c>
      <c r="L1353">
        <v>1262</v>
      </c>
      <c r="M1353">
        <v>1269</v>
      </c>
      <c r="N1353">
        <v>7</v>
      </c>
      <c r="O1353">
        <v>7.28571428571429</v>
      </c>
    </row>
    <row r="1354" spans="1:15" x14ac:dyDescent="0.25">
      <c r="A1354">
        <v>5</v>
      </c>
      <c r="B1354">
        <v>100126</v>
      </c>
      <c r="C1354" t="s">
        <v>5323</v>
      </c>
      <c r="D1354" t="s">
        <v>457</v>
      </c>
      <c r="E1354" t="s">
        <v>6202</v>
      </c>
      <c r="F1354">
        <v>46229.01666666667</v>
      </c>
      <c r="G1354">
        <v>232</v>
      </c>
      <c r="H1354" t="s">
        <v>6155</v>
      </c>
      <c r="I1354" t="s">
        <v>5358</v>
      </c>
      <c r="J1354">
        <v>46</v>
      </c>
      <c r="K1354">
        <v>289.8</v>
      </c>
      <c r="L1354">
        <v>1269</v>
      </c>
      <c r="M1354">
        <v>1276</v>
      </c>
      <c r="N1354">
        <v>7</v>
      </c>
      <c r="O1354">
        <v>6.5714285714285703</v>
      </c>
    </row>
    <row r="1355" spans="1:15" x14ac:dyDescent="0.25">
      <c r="A1355">
        <v>5</v>
      </c>
      <c r="B1355">
        <v>100126</v>
      </c>
      <c r="C1355" t="s">
        <v>5323</v>
      </c>
      <c r="D1355" t="s">
        <v>457</v>
      </c>
      <c r="E1355" t="s">
        <v>6202</v>
      </c>
      <c r="F1355">
        <v>46230.991666666669</v>
      </c>
      <c r="G1355">
        <v>232</v>
      </c>
      <c r="H1355" t="s">
        <v>6155</v>
      </c>
      <c r="I1355" t="s">
        <v>5358</v>
      </c>
      <c r="J1355">
        <v>17</v>
      </c>
      <c r="K1355">
        <v>106.25</v>
      </c>
      <c r="L1355">
        <v>1276</v>
      </c>
      <c r="M1355">
        <v>1280</v>
      </c>
      <c r="N1355">
        <v>4</v>
      </c>
      <c r="O1355">
        <v>4.25</v>
      </c>
    </row>
    <row r="1356" spans="1:15" x14ac:dyDescent="0.25">
      <c r="A1356">
        <v>5</v>
      </c>
      <c r="B1356">
        <v>100126</v>
      </c>
      <c r="C1356" t="s">
        <v>5323</v>
      </c>
      <c r="D1356" t="s">
        <v>457</v>
      </c>
      <c r="E1356" t="s">
        <v>6202</v>
      </c>
      <c r="F1356">
        <v>46231.025000000001</v>
      </c>
      <c r="G1356">
        <v>232</v>
      </c>
      <c r="H1356" t="s">
        <v>6155</v>
      </c>
      <c r="I1356" t="s">
        <v>5358</v>
      </c>
      <c r="J1356">
        <v>52</v>
      </c>
      <c r="K1356">
        <v>325</v>
      </c>
      <c r="L1356">
        <v>1280</v>
      </c>
      <c r="M1356">
        <v>1287</v>
      </c>
      <c r="N1356">
        <v>7</v>
      </c>
      <c r="O1356">
        <v>7.4285714285714297</v>
      </c>
    </row>
    <row r="1357" spans="1:15" x14ac:dyDescent="0.25">
      <c r="A1357">
        <v>5</v>
      </c>
      <c r="B1357">
        <v>100126</v>
      </c>
      <c r="C1357" t="s">
        <v>5323</v>
      </c>
      <c r="D1357" t="s">
        <v>457</v>
      </c>
      <c r="E1357" t="s">
        <v>6202</v>
      </c>
      <c r="F1357">
        <v>46232.976388888892</v>
      </c>
      <c r="G1357">
        <v>232</v>
      </c>
      <c r="H1357" t="s">
        <v>6155</v>
      </c>
      <c r="I1357" t="s">
        <v>5358</v>
      </c>
      <c r="J1357">
        <v>43</v>
      </c>
      <c r="K1357">
        <v>268.75</v>
      </c>
      <c r="L1357">
        <v>1287</v>
      </c>
      <c r="M1357">
        <v>1294</v>
      </c>
      <c r="N1357">
        <v>7</v>
      </c>
      <c r="O1357">
        <v>6.1428571428571397</v>
      </c>
    </row>
    <row r="1358" spans="1:15" x14ac:dyDescent="0.25">
      <c r="A1358">
        <v>5</v>
      </c>
      <c r="B1358">
        <v>100126</v>
      </c>
      <c r="C1358" t="s">
        <v>5323</v>
      </c>
      <c r="D1358" t="s">
        <v>457</v>
      </c>
      <c r="E1358" t="s">
        <v>6202</v>
      </c>
      <c r="F1358">
        <v>46234.070138888892</v>
      </c>
      <c r="G1358">
        <v>232</v>
      </c>
      <c r="H1358" t="s">
        <v>6155</v>
      </c>
      <c r="I1358" t="s">
        <v>5358</v>
      </c>
      <c r="J1358">
        <v>57</v>
      </c>
      <c r="K1358">
        <v>356.25</v>
      </c>
      <c r="L1358">
        <v>1294</v>
      </c>
      <c r="M1358">
        <v>1302</v>
      </c>
      <c r="N1358">
        <v>8</v>
      </c>
      <c r="O1358">
        <v>7.125</v>
      </c>
    </row>
    <row r="1359" spans="1:15" x14ac:dyDescent="0.25">
      <c r="A1359">
        <v>5</v>
      </c>
      <c r="B1359">
        <v>100126</v>
      </c>
      <c r="C1359" t="s">
        <v>5323</v>
      </c>
      <c r="D1359" t="s">
        <v>603</v>
      </c>
      <c r="E1359" t="s">
        <v>6224</v>
      </c>
      <c r="F1359">
        <v>46207.470833333333</v>
      </c>
      <c r="G1359">
        <v>232</v>
      </c>
      <c r="H1359" t="s">
        <v>6155</v>
      </c>
      <c r="I1359" t="s">
        <v>5358</v>
      </c>
      <c r="J1359">
        <v>66</v>
      </c>
      <c r="K1359">
        <v>405.9</v>
      </c>
      <c r="L1359">
        <v>162</v>
      </c>
      <c r="M1359">
        <v>170</v>
      </c>
      <c r="N1359">
        <v>8</v>
      </c>
      <c r="O1359">
        <v>8.25</v>
      </c>
    </row>
    <row r="1360" spans="1:15" x14ac:dyDescent="0.25">
      <c r="A1360">
        <v>5</v>
      </c>
      <c r="B1360">
        <v>100126</v>
      </c>
      <c r="C1360" t="s">
        <v>5323</v>
      </c>
      <c r="D1360" t="s">
        <v>603</v>
      </c>
      <c r="E1360" t="s">
        <v>6224</v>
      </c>
      <c r="F1360">
        <v>46209.447222222225</v>
      </c>
      <c r="G1360">
        <v>232</v>
      </c>
      <c r="H1360" t="s">
        <v>6155</v>
      </c>
      <c r="I1360" t="s">
        <v>5358</v>
      </c>
      <c r="J1360">
        <v>63</v>
      </c>
      <c r="K1360">
        <v>387.45</v>
      </c>
      <c r="L1360">
        <v>170</v>
      </c>
      <c r="M1360">
        <v>177</v>
      </c>
      <c r="N1360">
        <v>7</v>
      </c>
      <c r="O1360">
        <v>9</v>
      </c>
    </row>
    <row r="1361" spans="1:15" x14ac:dyDescent="0.25">
      <c r="A1361">
        <v>5</v>
      </c>
      <c r="B1361">
        <v>100126</v>
      </c>
      <c r="C1361" t="s">
        <v>5323</v>
      </c>
      <c r="D1361" t="s">
        <v>603</v>
      </c>
      <c r="E1361" t="s">
        <v>6224</v>
      </c>
      <c r="F1361">
        <v>46210.368750000001</v>
      </c>
      <c r="G1361">
        <v>232</v>
      </c>
      <c r="H1361" t="s">
        <v>6155</v>
      </c>
      <c r="I1361" t="s">
        <v>5358</v>
      </c>
      <c r="J1361">
        <v>25</v>
      </c>
      <c r="K1361">
        <v>153.75</v>
      </c>
      <c r="L1361">
        <v>177</v>
      </c>
      <c r="M1361">
        <v>181</v>
      </c>
      <c r="N1361">
        <v>4</v>
      </c>
      <c r="O1361">
        <v>6.25</v>
      </c>
    </row>
    <row r="1362" spans="1:15" x14ac:dyDescent="0.25">
      <c r="A1362">
        <v>5</v>
      </c>
      <c r="B1362">
        <v>100126</v>
      </c>
      <c r="C1362" t="s">
        <v>5323</v>
      </c>
      <c r="D1362" t="s">
        <v>603</v>
      </c>
      <c r="E1362" t="s">
        <v>6224</v>
      </c>
      <c r="F1362">
        <v>46211.489583333336</v>
      </c>
      <c r="G1362">
        <v>232</v>
      </c>
      <c r="H1362" t="s">
        <v>6155</v>
      </c>
      <c r="I1362" t="s">
        <v>5358</v>
      </c>
      <c r="J1362">
        <v>33</v>
      </c>
      <c r="K1362">
        <v>202.95</v>
      </c>
      <c r="L1362">
        <v>181</v>
      </c>
      <c r="M1362">
        <v>185</v>
      </c>
      <c r="N1362">
        <v>4</v>
      </c>
      <c r="O1362">
        <v>8.25</v>
      </c>
    </row>
    <row r="1363" spans="1:15" x14ac:dyDescent="0.25">
      <c r="A1363">
        <v>5</v>
      </c>
      <c r="B1363">
        <v>100126</v>
      </c>
      <c r="C1363" t="s">
        <v>5323</v>
      </c>
      <c r="D1363" t="s">
        <v>603</v>
      </c>
      <c r="E1363" t="s">
        <v>6224</v>
      </c>
      <c r="F1363">
        <v>46212.418055555558</v>
      </c>
      <c r="G1363">
        <v>232</v>
      </c>
      <c r="H1363" t="s">
        <v>6155</v>
      </c>
      <c r="I1363" t="s">
        <v>5358</v>
      </c>
      <c r="J1363">
        <v>16</v>
      </c>
      <c r="K1363">
        <v>98.4</v>
      </c>
      <c r="L1363">
        <v>185</v>
      </c>
      <c r="M1363">
        <v>191</v>
      </c>
      <c r="N1363">
        <v>6</v>
      </c>
      <c r="O1363">
        <v>2.6666666666666701</v>
      </c>
    </row>
    <row r="1364" spans="1:15" x14ac:dyDescent="0.25">
      <c r="A1364">
        <v>5</v>
      </c>
      <c r="B1364">
        <v>100126</v>
      </c>
      <c r="C1364" t="s">
        <v>5323</v>
      </c>
      <c r="D1364" t="s">
        <v>603</v>
      </c>
      <c r="E1364" t="s">
        <v>6224</v>
      </c>
      <c r="F1364">
        <v>46218.468055555553</v>
      </c>
      <c r="G1364">
        <v>129</v>
      </c>
      <c r="H1364" t="s">
        <v>6164</v>
      </c>
      <c r="I1364" t="s">
        <v>5358</v>
      </c>
      <c r="J1364">
        <v>122</v>
      </c>
      <c r="K1364">
        <v>750.3</v>
      </c>
      <c r="L1364">
        <v>191</v>
      </c>
      <c r="M1364">
        <v>199</v>
      </c>
      <c r="N1364">
        <v>8</v>
      </c>
      <c r="O1364">
        <v>15.25</v>
      </c>
    </row>
    <row r="1365" spans="1:15" x14ac:dyDescent="0.25">
      <c r="A1365">
        <v>5</v>
      </c>
      <c r="B1365">
        <v>100126</v>
      </c>
      <c r="C1365" t="s">
        <v>5323</v>
      </c>
      <c r="D1365" t="s">
        <v>603</v>
      </c>
      <c r="E1365" t="s">
        <v>6224</v>
      </c>
      <c r="F1365">
        <v>46220.508333333331</v>
      </c>
      <c r="G1365">
        <v>129</v>
      </c>
      <c r="H1365" t="s">
        <v>6164</v>
      </c>
      <c r="I1365" t="s">
        <v>5358</v>
      </c>
      <c r="J1365">
        <v>80</v>
      </c>
      <c r="K1365">
        <v>492</v>
      </c>
      <c r="L1365">
        <v>199</v>
      </c>
      <c r="M1365">
        <v>203</v>
      </c>
      <c r="N1365">
        <v>4</v>
      </c>
      <c r="O1365">
        <v>20</v>
      </c>
    </row>
    <row r="1366" spans="1:15" x14ac:dyDescent="0.25">
      <c r="A1366">
        <v>5</v>
      </c>
      <c r="B1366">
        <v>100126</v>
      </c>
      <c r="C1366" t="s">
        <v>5323</v>
      </c>
      <c r="D1366" t="s">
        <v>603</v>
      </c>
      <c r="E1366" t="s">
        <v>6224</v>
      </c>
      <c r="F1366">
        <v>46222.397916666669</v>
      </c>
      <c r="G1366">
        <v>129</v>
      </c>
      <c r="H1366" t="s">
        <v>6164</v>
      </c>
      <c r="I1366" t="s">
        <v>5358</v>
      </c>
      <c r="J1366">
        <v>37</v>
      </c>
      <c r="K1366">
        <v>258.63</v>
      </c>
      <c r="L1366">
        <v>203</v>
      </c>
      <c r="M1366">
        <v>206</v>
      </c>
      <c r="N1366">
        <v>3</v>
      </c>
      <c r="O1366">
        <v>12.3333333333333</v>
      </c>
    </row>
    <row r="1367" spans="1:15" x14ac:dyDescent="0.25">
      <c r="A1367">
        <v>5</v>
      </c>
      <c r="B1367">
        <v>100126</v>
      </c>
      <c r="C1367" t="s">
        <v>5323</v>
      </c>
      <c r="D1367" t="s">
        <v>603</v>
      </c>
      <c r="E1367" t="s">
        <v>6224</v>
      </c>
      <c r="F1367">
        <v>46224.479861111111</v>
      </c>
      <c r="G1367">
        <v>232</v>
      </c>
      <c r="H1367" t="s">
        <v>6155</v>
      </c>
      <c r="I1367" t="s">
        <v>5358</v>
      </c>
      <c r="J1367">
        <v>33</v>
      </c>
      <c r="K1367">
        <v>206.25</v>
      </c>
      <c r="L1367">
        <v>206</v>
      </c>
      <c r="M1367">
        <v>217</v>
      </c>
      <c r="N1367">
        <v>11</v>
      </c>
      <c r="O1367">
        <v>3</v>
      </c>
    </row>
    <row r="1368" spans="1:15" x14ac:dyDescent="0.25">
      <c r="A1368">
        <v>5</v>
      </c>
      <c r="B1368">
        <v>100126</v>
      </c>
      <c r="C1368" t="s">
        <v>5323</v>
      </c>
      <c r="D1368" t="s">
        <v>603</v>
      </c>
      <c r="E1368" t="s">
        <v>6224</v>
      </c>
      <c r="F1368">
        <v>46227.63958333333</v>
      </c>
      <c r="G1368">
        <v>232</v>
      </c>
      <c r="H1368" t="s">
        <v>6155</v>
      </c>
      <c r="I1368" t="s">
        <v>5358</v>
      </c>
      <c r="J1368">
        <v>38</v>
      </c>
      <c r="K1368">
        <v>237.5</v>
      </c>
      <c r="L1368">
        <v>217</v>
      </c>
      <c r="M1368">
        <v>220</v>
      </c>
      <c r="N1368">
        <v>3</v>
      </c>
      <c r="O1368">
        <v>12.6666666666667</v>
      </c>
    </row>
    <row r="1369" spans="1:15" x14ac:dyDescent="0.25">
      <c r="A1369">
        <v>5</v>
      </c>
      <c r="B1369">
        <v>100126</v>
      </c>
      <c r="C1369" t="s">
        <v>5323</v>
      </c>
      <c r="D1369" t="s">
        <v>603</v>
      </c>
      <c r="E1369" t="s">
        <v>6224</v>
      </c>
      <c r="F1369">
        <v>46234.413888888892</v>
      </c>
      <c r="G1369">
        <v>129</v>
      </c>
      <c r="H1369" t="s">
        <v>6164</v>
      </c>
      <c r="I1369" t="s">
        <v>5358</v>
      </c>
      <c r="J1369">
        <v>41</v>
      </c>
      <c r="K1369">
        <v>286.58999999999997</v>
      </c>
      <c r="L1369">
        <v>220</v>
      </c>
      <c r="M1369">
        <v>225</v>
      </c>
      <c r="N1369">
        <v>5</v>
      </c>
      <c r="O1369">
        <v>8.1999999999999993</v>
      </c>
    </row>
    <row r="1370" spans="1:15" x14ac:dyDescent="0.25">
      <c r="A1370">
        <v>5</v>
      </c>
      <c r="B1370">
        <v>100132</v>
      </c>
      <c r="C1370" t="s">
        <v>5330</v>
      </c>
      <c r="D1370" t="s">
        <v>566</v>
      </c>
      <c r="E1370" t="s">
        <v>438</v>
      </c>
      <c r="F1370">
        <v>46207.470138888886</v>
      </c>
      <c r="G1370">
        <v>232</v>
      </c>
      <c r="H1370" t="s">
        <v>6155</v>
      </c>
      <c r="I1370" t="s">
        <v>5358</v>
      </c>
      <c r="J1370">
        <v>450</v>
      </c>
      <c r="K1370">
        <v>2767.5</v>
      </c>
      <c r="L1370">
        <v>5447</v>
      </c>
      <c r="M1370">
        <v>5452</v>
      </c>
      <c r="N1370">
        <v>5</v>
      </c>
      <c r="O1370">
        <v>1.1111111111111099E-2</v>
      </c>
    </row>
    <row r="1371" spans="1:15" x14ac:dyDescent="0.25">
      <c r="A1371">
        <v>5</v>
      </c>
      <c r="B1371">
        <v>100132</v>
      </c>
      <c r="C1371" t="s">
        <v>5330</v>
      </c>
      <c r="D1371" t="s">
        <v>566</v>
      </c>
      <c r="E1371" t="s">
        <v>438</v>
      </c>
      <c r="F1371">
        <v>46209.448611111111</v>
      </c>
      <c r="G1371">
        <v>232</v>
      </c>
      <c r="H1371" t="s">
        <v>6155</v>
      </c>
      <c r="I1371" t="s">
        <v>5358</v>
      </c>
      <c r="J1371">
        <v>503</v>
      </c>
      <c r="K1371">
        <v>3093.45</v>
      </c>
      <c r="L1371">
        <v>5452</v>
      </c>
      <c r="M1371">
        <v>5473</v>
      </c>
      <c r="N1371">
        <v>21</v>
      </c>
      <c r="O1371">
        <v>4.1749502982107403E-2</v>
      </c>
    </row>
    <row r="1372" spans="1:15" x14ac:dyDescent="0.25">
      <c r="A1372">
        <v>5</v>
      </c>
      <c r="B1372">
        <v>100132</v>
      </c>
      <c r="C1372" t="s">
        <v>5330</v>
      </c>
      <c r="D1372" t="s">
        <v>566</v>
      </c>
      <c r="E1372" t="s">
        <v>438</v>
      </c>
      <c r="F1372">
        <v>46213.429861111108</v>
      </c>
      <c r="G1372">
        <v>232</v>
      </c>
      <c r="H1372" t="s">
        <v>6155</v>
      </c>
      <c r="I1372" t="s">
        <v>5358</v>
      </c>
      <c r="J1372">
        <v>330</v>
      </c>
      <c r="K1372">
        <v>2029.5</v>
      </c>
      <c r="L1372">
        <v>5473</v>
      </c>
      <c r="M1372">
        <v>5497</v>
      </c>
      <c r="N1372">
        <v>24</v>
      </c>
      <c r="O1372">
        <v>7.2727272727272696E-2</v>
      </c>
    </row>
    <row r="1373" spans="1:15" x14ac:dyDescent="0.25">
      <c r="A1373">
        <v>5</v>
      </c>
      <c r="B1373">
        <v>100132</v>
      </c>
      <c r="C1373" t="s">
        <v>5330</v>
      </c>
      <c r="D1373" t="s">
        <v>566</v>
      </c>
      <c r="E1373" t="s">
        <v>438</v>
      </c>
      <c r="F1373">
        <v>46217.533333333333</v>
      </c>
      <c r="G1373">
        <v>232</v>
      </c>
      <c r="H1373" t="s">
        <v>6155</v>
      </c>
      <c r="I1373" t="s">
        <v>5358</v>
      </c>
      <c r="J1373">
        <v>304</v>
      </c>
      <c r="K1373">
        <v>1869.6</v>
      </c>
      <c r="L1373">
        <v>5497</v>
      </c>
      <c r="M1373">
        <v>5517</v>
      </c>
      <c r="N1373">
        <v>20</v>
      </c>
      <c r="O1373">
        <v>6.5789473684210495E-2</v>
      </c>
    </row>
    <row r="1374" spans="1:15" x14ac:dyDescent="0.25">
      <c r="A1374">
        <v>5</v>
      </c>
      <c r="B1374">
        <v>100132</v>
      </c>
      <c r="C1374" t="s">
        <v>5330</v>
      </c>
      <c r="D1374" t="s">
        <v>566</v>
      </c>
      <c r="E1374" t="s">
        <v>438</v>
      </c>
      <c r="F1374">
        <v>46223.409722222219</v>
      </c>
      <c r="G1374">
        <v>129</v>
      </c>
      <c r="H1374" t="s">
        <v>6164</v>
      </c>
      <c r="I1374" t="s">
        <v>5358</v>
      </c>
      <c r="J1374">
        <v>178</v>
      </c>
      <c r="K1374">
        <v>1244.22</v>
      </c>
      <c r="L1374">
        <v>5517</v>
      </c>
      <c r="M1374">
        <v>5538</v>
      </c>
      <c r="N1374">
        <v>21</v>
      </c>
      <c r="O1374">
        <v>0.117977528089888</v>
      </c>
    </row>
    <row r="1375" spans="1:15" x14ac:dyDescent="0.25">
      <c r="A1375">
        <v>5</v>
      </c>
      <c r="B1375">
        <v>100132</v>
      </c>
      <c r="C1375" t="s">
        <v>5330</v>
      </c>
      <c r="D1375" t="s">
        <v>566</v>
      </c>
      <c r="E1375" t="s">
        <v>438</v>
      </c>
      <c r="F1375">
        <v>46229.775000000001</v>
      </c>
      <c r="G1375">
        <v>264</v>
      </c>
      <c r="H1375" t="s">
        <v>6152</v>
      </c>
      <c r="I1375" t="s">
        <v>5358</v>
      </c>
      <c r="J1375">
        <v>393</v>
      </c>
      <c r="K1375">
        <v>2468.04</v>
      </c>
      <c r="L1375">
        <v>5538</v>
      </c>
      <c r="M1375">
        <v>5557</v>
      </c>
      <c r="N1375">
        <v>19</v>
      </c>
      <c r="O1375">
        <v>4.8346055979643802E-2</v>
      </c>
    </row>
    <row r="1376" spans="1:15" x14ac:dyDescent="0.25">
      <c r="A1376">
        <v>5</v>
      </c>
      <c r="B1376">
        <v>100132</v>
      </c>
      <c r="C1376" t="s">
        <v>5330</v>
      </c>
      <c r="D1376" t="s">
        <v>437</v>
      </c>
      <c r="E1376" t="s">
        <v>438</v>
      </c>
      <c r="F1376">
        <v>46205.46875</v>
      </c>
      <c r="G1376">
        <v>232</v>
      </c>
      <c r="H1376" t="s">
        <v>6155</v>
      </c>
      <c r="I1376" t="s">
        <v>5358</v>
      </c>
      <c r="J1376">
        <v>542</v>
      </c>
      <c r="K1376">
        <v>3333.3</v>
      </c>
      <c r="L1376">
        <v>5403</v>
      </c>
      <c r="M1376">
        <v>5477</v>
      </c>
      <c r="N1376">
        <v>74</v>
      </c>
      <c r="O1376">
        <v>7.3243243243243201</v>
      </c>
    </row>
    <row r="1377" spans="1:15" x14ac:dyDescent="0.25">
      <c r="A1377">
        <v>5</v>
      </c>
      <c r="B1377">
        <v>100132</v>
      </c>
      <c r="C1377" t="s">
        <v>5330</v>
      </c>
      <c r="D1377" t="s">
        <v>437</v>
      </c>
      <c r="E1377" t="s">
        <v>438</v>
      </c>
      <c r="F1377">
        <v>46208.972222222219</v>
      </c>
      <c r="G1377">
        <v>232</v>
      </c>
      <c r="H1377" t="s">
        <v>6155</v>
      </c>
      <c r="I1377" t="s">
        <v>5358</v>
      </c>
      <c r="J1377">
        <v>367</v>
      </c>
      <c r="K1377">
        <v>2356.14</v>
      </c>
      <c r="L1377">
        <v>5477</v>
      </c>
      <c r="M1377">
        <v>5495</v>
      </c>
      <c r="N1377">
        <v>18</v>
      </c>
      <c r="O1377">
        <v>20.3888888888889</v>
      </c>
    </row>
    <row r="1378" spans="1:15" x14ac:dyDescent="0.25">
      <c r="A1378">
        <v>5</v>
      </c>
      <c r="B1378">
        <v>100132</v>
      </c>
      <c r="C1378" t="s">
        <v>5330</v>
      </c>
      <c r="D1378" t="s">
        <v>437</v>
      </c>
      <c r="E1378" t="s">
        <v>438</v>
      </c>
      <c r="F1378">
        <v>46211.009722222225</v>
      </c>
      <c r="G1378">
        <v>232</v>
      </c>
      <c r="H1378" t="s">
        <v>6155</v>
      </c>
      <c r="I1378" t="s">
        <v>5358</v>
      </c>
      <c r="J1378">
        <v>278</v>
      </c>
      <c r="K1378">
        <v>1709.7</v>
      </c>
      <c r="L1378">
        <v>5495</v>
      </c>
      <c r="M1378">
        <v>5522</v>
      </c>
      <c r="N1378">
        <v>27</v>
      </c>
      <c r="O1378">
        <v>10.296296296296299</v>
      </c>
    </row>
    <row r="1379" spans="1:15" x14ac:dyDescent="0.25">
      <c r="A1379">
        <v>5</v>
      </c>
      <c r="B1379">
        <v>100132</v>
      </c>
      <c r="C1379" t="s">
        <v>5330</v>
      </c>
      <c r="D1379" t="s">
        <v>437</v>
      </c>
      <c r="E1379" t="s">
        <v>438</v>
      </c>
      <c r="F1379">
        <v>46213.081250000003</v>
      </c>
      <c r="G1379">
        <v>232</v>
      </c>
      <c r="H1379" t="s">
        <v>6155</v>
      </c>
      <c r="I1379" t="s">
        <v>5358</v>
      </c>
      <c r="J1379">
        <v>211</v>
      </c>
      <c r="K1379">
        <v>1297.6500000000001</v>
      </c>
      <c r="L1379">
        <v>5522</v>
      </c>
      <c r="M1379">
        <v>5542</v>
      </c>
      <c r="N1379">
        <v>20</v>
      </c>
      <c r="O1379">
        <v>10.55</v>
      </c>
    </row>
    <row r="1380" spans="1:15" x14ac:dyDescent="0.25">
      <c r="A1380">
        <v>5</v>
      </c>
      <c r="B1380">
        <v>100132</v>
      </c>
      <c r="C1380" t="s">
        <v>5330</v>
      </c>
      <c r="D1380" t="s">
        <v>437</v>
      </c>
      <c r="E1380" t="s">
        <v>438</v>
      </c>
      <c r="F1380">
        <v>46220.027083333334</v>
      </c>
      <c r="G1380">
        <v>232</v>
      </c>
      <c r="H1380" t="s">
        <v>6155</v>
      </c>
      <c r="I1380" t="s">
        <v>5358</v>
      </c>
      <c r="J1380">
        <v>337</v>
      </c>
      <c r="K1380">
        <v>2072.5500000000002</v>
      </c>
      <c r="L1380">
        <v>5542</v>
      </c>
      <c r="M1380">
        <v>5568</v>
      </c>
      <c r="N1380">
        <v>26</v>
      </c>
      <c r="O1380">
        <v>12.961538461538501</v>
      </c>
    </row>
    <row r="1381" spans="1:15" x14ac:dyDescent="0.25">
      <c r="A1381">
        <v>5</v>
      </c>
      <c r="B1381">
        <v>100132</v>
      </c>
      <c r="C1381" t="s">
        <v>5330</v>
      </c>
      <c r="D1381" t="s">
        <v>437</v>
      </c>
      <c r="E1381" t="s">
        <v>438</v>
      </c>
      <c r="F1381">
        <v>46226.665277777778</v>
      </c>
      <c r="G1381">
        <v>264</v>
      </c>
      <c r="H1381" t="s">
        <v>6152</v>
      </c>
      <c r="I1381" t="s">
        <v>5358</v>
      </c>
      <c r="J1381">
        <v>313</v>
      </c>
      <c r="K1381">
        <v>1975.03</v>
      </c>
      <c r="L1381">
        <v>5568</v>
      </c>
      <c r="M1381">
        <v>5589</v>
      </c>
      <c r="N1381">
        <v>21</v>
      </c>
      <c r="O1381">
        <v>14.9047619047619</v>
      </c>
    </row>
    <row r="1382" spans="1:15" x14ac:dyDescent="0.25">
      <c r="A1382">
        <v>5</v>
      </c>
      <c r="B1382">
        <v>100132</v>
      </c>
      <c r="C1382" t="s">
        <v>5330</v>
      </c>
      <c r="D1382" t="s">
        <v>460</v>
      </c>
      <c r="E1382" t="s">
        <v>6225</v>
      </c>
      <c r="F1382">
        <v>46227.634722222225</v>
      </c>
      <c r="G1382">
        <v>232</v>
      </c>
      <c r="H1382" t="s">
        <v>6155</v>
      </c>
      <c r="I1382" t="s">
        <v>5358</v>
      </c>
      <c r="J1382">
        <v>132</v>
      </c>
      <c r="K1382">
        <v>825</v>
      </c>
      <c r="L1382">
        <v>5251</v>
      </c>
      <c r="M1382">
        <v>5272</v>
      </c>
      <c r="N1382">
        <v>21</v>
      </c>
      <c r="O1382">
        <v>6.28571428571429</v>
      </c>
    </row>
    <row r="1383" spans="1:15" x14ac:dyDescent="0.25">
      <c r="A1383">
        <v>5</v>
      </c>
      <c r="B1383">
        <v>100132</v>
      </c>
      <c r="C1383" t="s">
        <v>5330</v>
      </c>
      <c r="D1383" t="s">
        <v>460</v>
      </c>
      <c r="E1383" t="s">
        <v>6225</v>
      </c>
      <c r="F1383">
        <v>46231.618750000001</v>
      </c>
      <c r="G1383">
        <v>232</v>
      </c>
      <c r="H1383" t="s">
        <v>6155</v>
      </c>
      <c r="I1383" t="s">
        <v>5358</v>
      </c>
      <c r="J1383">
        <v>58</v>
      </c>
      <c r="K1383">
        <v>362.5</v>
      </c>
      <c r="L1383">
        <v>5272</v>
      </c>
      <c r="M1383">
        <v>5279</v>
      </c>
      <c r="N1383">
        <v>7</v>
      </c>
      <c r="O1383">
        <v>8.28571428571429</v>
      </c>
    </row>
    <row r="1384" spans="1:15" x14ac:dyDescent="0.25">
      <c r="A1384">
        <v>5</v>
      </c>
      <c r="B1384">
        <v>100149</v>
      </c>
      <c r="C1384" t="s">
        <v>6226</v>
      </c>
      <c r="D1384" t="s">
        <v>157</v>
      </c>
      <c r="E1384" t="s">
        <v>6223</v>
      </c>
      <c r="F1384">
        <v>46210.669444444444</v>
      </c>
      <c r="G1384">
        <v>188</v>
      </c>
      <c r="H1384" t="s">
        <v>6173</v>
      </c>
      <c r="I1384" t="s">
        <v>5358</v>
      </c>
      <c r="J1384">
        <v>300</v>
      </c>
      <c r="K1384">
        <v>2097</v>
      </c>
      <c r="L1384">
        <v>505463</v>
      </c>
      <c r="M1384">
        <v>506410</v>
      </c>
      <c r="N1384">
        <v>947</v>
      </c>
      <c r="O1384">
        <v>0.31678986272439302</v>
      </c>
    </row>
    <row r="1385" spans="1:15" x14ac:dyDescent="0.25">
      <c r="A1385">
        <v>5</v>
      </c>
      <c r="B1385">
        <v>100149</v>
      </c>
      <c r="C1385" t="s">
        <v>6226</v>
      </c>
      <c r="D1385" t="s">
        <v>157</v>
      </c>
      <c r="E1385" t="s">
        <v>6223</v>
      </c>
      <c r="F1385">
        <v>46218.742361111108</v>
      </c>
      <c r="G1385">
        <v>188</v>
      </c>
      <c r="H1385" t="s">
        <v>6173</v>
      </c>
      <c r="I1385" t="s">
        <v>5358</v>
      </c>
      <c r="J1385">
        <v>300</v>
      </c>
      <c r="K1385">
        <v>2097</v>
      </c>
      <c r="L1385">
        <v>506410</v>
      </c>
      <c r="M1385">
        <v>507084</v>
      </c>
      <c r="N1385">
        <v>674</v>
      </c>
      <c r="O1385">
        <v>0.44510385756676601</v>
      </c>
    </row>
    <row r="1386" spans="1:15" x14ac:dyDescent="0.25">
      <c r="A1386">
        <v>5</v>
      </c>
      <c r="B1386">
        <v>100149</v>
      </c>
      <c r="C1386" t="s">
        <v>6226</v>
      </c>
      <c r="D1386" t="s">
        <v>157</v>
      </c>
      <c r="E1386" t="s">
        <v>6223</v>
      </c>
      <c r="F1386">
        <v>46232.744444444441</v>
      </c>
      <c r="G1386">
        <v>188</v>
      </c>
      <c r="H1386" t="s">
        <v>6173</v>
      </c>
      <c r="I1386" t="s">
        <v>5358</v>
      </c>
      <c r="J1386">
        <v>300</v>
      </c>
      <c r="K1386">
        <v>2097</v>
      </c>
      <c r="L1386">
        <v>507084</v>
      </c>
      <c r="M1386">
        <v>507930</v>
      </c>
      <c r="N1386">
        <v>846</v>
      </c>
      <c r="O1386">
        <v>0.35460992907801397</v>
      </c>
    </row>
    <row r="1387" spans="1:15" x14ac:dyDescent="0.25">
      <c r="A1387">
        <v>5</v>
      </c>
      <c r="B1387">
        <v>100188</v>
      </c>
      <c r="C1387" t="s">
        <v>5298</v>
      </c>
      <c r="D1387" t="s">
        <v>43</v>
      </c>
      <c r="E1387" t="s">
        <v>6203</v>
      </c>
      <c r="F1387">
        <v>46204.522222222222</v>
      </c>
      <c r="G1387">
        <v>264</v>
      </c>
      <c r="H1387" t="s">
        <v>6152</v>
      </c>
      <c r="I1387" t="s">
        <v>5358</v>
      </c>
      <c r="J1387">
        <v>65</v>
      </c>
      <c r="K1387">
        <v>399.75</v>
      </c>
      <c r="L1387">
        <v>205668</v>
      </c>
      <c r="M1387">
        <v>206058</v>
      </c>
      <c r="N1387">
        <v>390</v>
      </c>
      <c r="O1387">
        <v>6</v>
      </c>
    </row>
    <row r="1388" spans="1:15" x14ac:dyDescent="0.25">
      <c r="A1388">
        <v>5</v>
      </c>
      <c r="B1388">
        <v>100188</v>
      </c>
      <c r="C1388" t="s">
        <v>5298</v>
      </c>
      <c r="D1388" t="s">
        <v>43</v>
      </c>
      <c r="E1388" t="s">
        <v>6203</v>
      </c>
      <c r="F1388">
        <v>46210.499305555553</v>
      </c>
      <c r="G1388">
        <v>264</v>
      </c>
      <c r="H1388" t="s">
        <v>6152</v>
      </c>
      <c r="I1388" t="s">
        <v>5358</v>
      </c>
      <c r="J1388">
        <v>54</v>
      </c>
      <c r="K1388">
        <v>332.1</v>
      </c>
      <c r="L1388">
        <v>206058</v>
      </c>
      <c r="M1388">
        <v>206360</v>
      </c>
      <c r="N1388">
        <v>302</v>
      </c>
      <c r="O1388">
        <v>5.5925925925925899</v>
      </c>
    </row>
    <row r="1389" spans="1:15" x14ac:dyDescent="0.25">
      <c r="A1389">
        <v>5</v>
      </c>
      <c r="B1389">
        <v>100188</v>
      </c>
      <c r="C1389" t="s">
        <v>5298</v>
      </c>
      <c r="D1389" t="s">
        <v>43</v>
      </c>
      <c r="E1389" t="s">
        <v>6203</v>
      </c>
      <c r="F1389">
        <v>46211.362500000003</v>
      </c>
      <c r="G1389">
        <v>264</v>
      </c>
      <c r="H1389" t="s">
        <v>6152</v>
      </c>
      <c r="I1389" t="s">
        <v>5358</v>
      </c>
      <c r="J1389">
        <v>12</v>
      </c>
      <c r="K1389">
        <v>73.8</v>
      </c>
      <c r="L1389">
        <v>206360</v>
      </c>
      <c r="M1389">
        <v>206425</v>
      </c>
      <c r="N1389">
        <v>65</v>
      </c>
      <c r="O1389">
        <v>5.4166666666666696</v>
      </c>
    </row>
    <row r="1390" spans="1:15" x14ac:dyDescent="0.25">
      <c r="A1390">
        <v>5</v>
      </c>
      <c r="B1390">
        <v>100188</v>
      </c>
      <c r="C1390" t="s">
        <v>5298</v>
      </c>
      <c r="D1390" t="s">
        <v>43</v>
      </c>
      <c r="E1390" t="s">
        <v>6203</v>
      </c>
      <c r="F1390">
        <v>46214.355555555558</v>
      </c>
      <c r="G1390">
        <v>264</v>
      </c>
      <c r="H1390" t="s">
        <v>6152</v>
      </c>
      <c r="I1390" t="s">
        <v>5358</v>
      </c>
      <c r="J1390">
        <v>63</v>
      </c>
      <c r="K1390">
        <v>387.45</v>
      </c>
      <c r="L1390">
        <v>206425</v>
      </c>
      <c r="M1390">
        <v>206752</v>
      </c>
      <c r="N1390">
        <v>327</v>
      </c>
      <c r="O1390">
        <v>5.1904761904761898</v>
      </c>
    </row>
    <row r="1391" spans="1:15" x14ac:dyDescent="0.25">
      <c r="A1391">
        <v>5</v>
      </c>
      <c r="B1391">
        <v>100188</v>
      </c>
      <c r="C1391" t="s">
        <v>5298</v>
      </c>
      <c r="D1391" t="s">
        <v>43</v>
      </c>
      <c r="E1391" t="s">
        <v>6203</v>
      </c>
      <c r="F1391">
        <v>46217.47152777778</v>
      </c>
      <c r="G1391">
        <v>264</v>
      </c>
      <c r="H1391" t="s">
        <v>6152</v>
      </c>
      <c r="I1391" t="s">
        <v>5358</v>
      </c>
      <c r="J1391">
        <v>52</v>
      </c>
      <c r="K1391">
        <v>319.8</v>
      </c>
      <c r="L1391">
        <v>206752</v>
      </c>
      <c r="M1391">
        <v>207011</v>
      </c>
      <c r="N1391">
        <v>259</v>
      </c>
      <c r="O1391">
        <v>4.9807692307692299</v>
      </c>
    </row>
    <row r="1392" spans="1:15" x14ac:dyDescent="0.25">
      <c r="A1392">
        <v>5</v>
      </c>
      <c r="B1392">
        <v>100188</v>
      </c>
      <c r="C1392" t="s">
        <v>5298</v>
      </c>
      <c r="D1392" t="s">
        <v>43</v>
      </c>
      <c r="E1392" t="s">
        <v>6203</v>
      </c>
      <c r="F1392">
        <v>46218.44027777778</v>
      </c>
      <c r="G1392">
        <v>264</v>
      </c>
      <c r="H1392" t="s">
        <v>6152</v>
      </c>
      <c r="I1392" t="s">
        <v>5358</v>
      </c>
      <c r="J1392">
        <v>96</v>
      </c>
      <c r="K1392">
        <v>590.4</v>
      </c>
      <c r="L1392">
        <v>207011</v>
      </c>
      <c r="M1392">
        <v>207599</v>
      </c>
      <c r="N1392">
        <v>588</v>
      </c>
      <c r="O1392">
        <v>6.125</v>
      </c>
    </row>
    <row r="1393" spans="1:15" x14ac:dyDescent="0.25">
      <c r="A1393">
        <v>5</v>
      </c>
      <c r="B1393">
        <v>100188</v>
      </c>
      <c r="C1393" t="s">
        <v>5298</v>
      </c>
      <c r="D1393" t="s">
        <v>43</v>
      </c>
      <c r="E1393" t="s">
        <v>6203</v>
      </c>
      <c r="F1393">
        <v>46220.494444444441</v>
      </c>
      <c r="G1393">
        <v>264</v>
      </c>
      <c r="H1393" t="s">
        <v>6152</v>
      </c>
      <c r="I1393" t="s">
        <v>5358</v>
      </c>
      <c r="J1393">
        <v>120</v>
      </c>
      <c r="K1393">
        <v>744</v>
      </c>
      <c r="L1393">
        <v>207599</v>
      </c>
      <c r="M1393">
        <v>208245</v>
      </c>
      <c r="N1393">
        <v>646</v>
      </c>
      <c r="O1393">
        <v>5.3833333333333302</v>
      </c>
    </row>
    <row r="1394" spans="1:15" x14ac:dyDescent="0.25">
      <c r="A1394">
        <v>5</v>
      </c>
      <c r="B1394">
        <v>100188</v>
      </c>
      <c r="C1394" t="s">
        <v>5298</v>
      </c>
      <c r="D1394" t="s">
        <v>43</v>
      </c>
      <c r="E1394" t="s">
        <v>6203</v>
      </c>
      <c r="F1394">
        <v>46223.67083333333</v>
      </c>
      <c r="G1394">
        <v>264</v>
      </c>
      <c r="H1394" t="s">
        <v>6152</v>
      </c>
      <c r="I1394" t="s">
        <v>5358</v>
      </c>
      <c r="J1394">
        <v>86</v>
      </c>
      <c r="K1394">
        <v>542.66</v>
      </c>
      <c r="L1394">
        <v>208245</v>
      </c>
      <c r="M1394">
        <v>208683</v>
      </c>
      <c r="N1394">
        <v>438</v>
      </c>
      <c r="O1394">
        <v>5.0930232558139501</v>
      </c>
    </row>
    <row r="1395" spans="1:15" x14ac:dyDescent="0.25">
      <c r="A1395">
        <v>5</v>
      </c>
      <c r="B1395">
        <v>100188</v>
      </c>
      <c r="C1395" t="s">
        <v>5298</v>
      </c>
      <c r="D1395" t="s">
        <v>43</v>
      </c>
      <c r="E1395" t="s">
        <v>6203</v>
      </c>
      <c r="F1395">
        <v>46226.67083333333</v>
      </c>
      <c r="G1395">
        <v>264</v>
      </c>
      <c r="H1395" t="s">
        <v>6152</v>
      </c>
      <c r="I1395" t="s">
        <v>5358</v>
      </c>
      <c r="J1395">
        <v>60</v>
      </c>
      <c r="K1395">
        <v>378.6</v>
      </c>
      <c r="L1395">
        <v>208683</v>
      </c>
      <c r="M1395">
        <v>208986</v>
      </c>
      <c r="N1395">
        <v>303</v>
      </c>
      <c r="O1395">
        <v>5.05</v>
      </c>
    </row>
    <row r="1396" spans="1:15" x14ac:dyDescent="0.25">
      <c r="A1396">
        <v>5</v>
      </c>
      <c r="B1396">
        <v>100188</v>
      </c>
      <c r="C1396" t="s">
        <v>5298</v>
      </c>
      <c r="D1396" t="s">
        <v>43</v>
      </c>
      <c r="E1396" t="s">
        <v>6203</v>
      </c>
      <c r="F1396">
        <v>46228.770833333336</v>
      </c>
      <c r="G1396">
        <v>264</v>
      </c>
      <c r="H1396" t="s">
        <v>6152</v>
      </c>
      <c r="I1396" t="s">
        <v>5358</v>
      </c>
      <c r="J1396">
        <v>54</v>
      </c>
      <c r="K1396">
        <v>339.12</v>
      </c>
      <c r="L1396">
        <v>208986</v>
      </c>
      <c r="M1396">
        <v>209265</v>
      </c>
      <c r="N1396">
        <v>279</v>
      </c>
      <c r="O1396">
        <v>5.1666666666666696</v>
      </c>
    </row>
    <row r="1397" spans="1:15" x14ac:dyDescent="0.25">
      <c r="A1397">
        <v>5</v>
      </c>
      <c r="B1397">
        <v>100188</v>
      </c>
      <c r="C1397" t="s">
        <v>5298</v>
      </c>
      <c r="D1397" t="s">
        <v>43</v>
      </c>
      <c r="E1397" t="s">
        <v>6203</v>
      </c>
      <c r="F1397">
        <v>46230.452777777777</v>
      </c>
      <c r="G1397">
        <v>264</v>
      </c>
      <c r="H1397" t="s">
        <v>6152</v>
      </c>
      <c r="I1397" t="s">
        <v>5358</v>
      </c>
      <c r="J1397">
        <v>51</v>
      </c>
      <c r="K1397">
        <v>320.27999999999997</v>
      </c>
      <c r="L1397">
        <v>209265</v>
      </c>
      <c r="M1397">
        <v>209583</v>
      </c>
      <c r="N1397">
        <v>318</v>
      </c>
      <c r="O1397">
        <v>6.2352941176470598</v>
      </c>
    </row>
    <row r="1398" spans="1:15" x14ac:dyDescent="0.25">
      <c r="A1398">
        <v>5</v>
      </c>
      <c r="B1398">
        <v>100188</v>
      </c>
      <c r="C1398" t="s">
        <v>5298</v>
      </c>
      <c r="D1398" t="s">
        <v>43</v>
      </c>
      <c r="E1398" t="s">
        <v>6203</v>
      </c>
      <c r="F1398">
        <v>46231.711805555555</v>
      </c>
      <c r="G1398">
        <v>264</v>
      </c>
      <c r="H1398" t="s">
        <v>6152</v>
      </c>
      <c r="I1398" t="s">
        <v>5358</v>
      </c>
      <c r="J1398">
        <v>36</v>
      </c>
      <c r="K1398">
        <v>226.08</v>
      </c>
      <c r="L1398">
        <v>209583</v>
      </c>
      <c r="M1398">
        <v>209725</v>
      </c>
      <c r="N1398">
        <v>142</v>
      </c>
      <c r="O1398">
        <v>3.9444444444444402</v>
      </c>
    </row>
    <row r="1399" spans="1:15" x14ac:dyDescent="0.25">
      <c r="A1399">
        <v>5</v>
      </c>
      <c r="B1399">
        <v>100188</v>
      </c>
      <c r="C1399" t="s">
        <v>5298</v>
      </c>
      <c r="D1399" t="s">
        <v>116</v>
      </c>
      <c r="E1399" t="s">
        <v>6215</v>
      </c>
      <c r="F1399">
        <v>46207.434027777781</v>
      </c>
      <c r="G1399">
        <v>129</v>
      </c>
      <c r="H1399" t="s">
        <v>6164</v>
      </c>
      <c r="I1399" t="s">
        <v>5358</v>
      </c>
      <c r="J1399">
        <v>98</v>
      </c>
      <c r="K1399">
        <v>602.70000000000005</v>
      </c>
      <c r="L1399">
        <v>577</v>
      </c>
      <c r="M1399">
        <v>604</v>
      </c>
      <c r="N1399">
        <v>27</v>
      </c>
      <c r="O1399">
        <v>3.6296296296296302</v>
      </c>
    </row>
    <row r="1400" spans="1:15" x14ac:dyDescent="0.25">
      <c r="A1400">
        <v>5</v>
      </c>
      <c r="B1400">
        <v>100188</v>
      </c>
      <c r="C1400" t="s">
        <v>5298</v>
      </c>
      <c r="D1400" t="s">
        <v>116</v>
      </c>
      <c r="E1400" t="s">
        <v>6215</v>
      </c>
      <c r="F1400">
        <v>46213.412499999999</v>
      </c>
      <c r="G1400">
        <v>129</v>
      </c>
      <c r="H1400" t="s">
        <v>6164</v>
      </c>
      <c r="I1400" t="s">
        <v>5358</v>
      </c>
      <c r="J1400">
        <v>108</v>
      </c>
      <c r="K1400">
        <v>664.2</v>
      </c>
      <c r="L1400">
        <v>604</v>
      </c>
      <c r="M1400">
        <v>625</v>
      </c>
      <c r="N1400">
        <v>21</v>
      </c>
      <c r="O1400">
        <v>5.1428571428571397</v>
      </c>
    </row>
    <row r="1401" spans="1:15" x14ac:dyDescent="0.25">
      <c r="A1401">
        <v>5</v>
      </c>
      <c r="B1401">
        <v>100188</v>
      </c>
      <c r="C1401" t="s">
        <v>5298</v>
      </c>
      <c r="D1401" t="s">
        <v>116</v>
      </c>
      <c r="E1401" t="s">
        <v>6215</v>
      </c>
      <c r="F1401">
        <v>46217.451388888891</v>
      </c>
      <c r="G1401">
        <v>129</v>
      </c>
      <c r="H1401" t="s">
        <v>6164</v>
      </c>
      <c r="I1401" t="s">
        <v>5358</v>
      </c>
      <c r="J1401">
        <v>118</v>
      </c>
      <c r="K1401">
        <v>725.7</v>
      </c>
      <c r="L1401">
        <v>625</v>
      </c>
      <c r="M1401">
        <v>641</v>
      </c>
      <c r="N1401">
        <v>16</v>
      </c>
      <c r="O1401">
        <v>7.375</v>
      </c>
    </row>
    <row r="1402" spans="1:15" x14ac:dyDescent="0.25">
      <c r="A1402">
        <v>5</v>
      </c>
      <c r="B1402">
        <v>100188</v>
      </c>
      <c r="C1402" t="s">
        <v>5298</v>
      </c>
      <c r="D1402" t="s">
        <v>116</v>
      </c>
      <c r="E1402" t="s">
        <v>6215</v>
      </c>
      <c r="F1402">
        <v>46232.660416666666</v>
      </c>
      <c r="G1402">
        <v>129</v>
      </c>
      <c r="H1402" t="s">
        <v>6164</v>
      </c>
      <c r="I1402" t="s">
        <v>5358</v>
      </c>
      <c r="J1402">
        <v>70</v>
      </c>
      <c r="K1402">
        <v>489.3</v>
      </c>
      <c r="L1402">
        <v>641</v>
      </c>
      <c r="M1402">
        <v>660</v>
      </c>
      <c r="N1402">
        <v>19</v>
      </c>
      <c r="O1402">
        <v>3.6842105263157898</v>
      </c>
    </row>
    <row r="1403" spans="1:15" x14ac:dyDescent="0.25">
      <c r="A1403">
        <v>5</v>
      </c>
      <c r="B1403">
        <v>100229</v>
      </c>
      <c r="C1403" t="s">
        <v>5311</v>
      </c>
      <c r="D1403" t="s">
        <v>5320</v>
      </c>
      <c r="E1403" t="s">
        <v>6227</v>
      </c>
      <c r="F1403">
        <v>46204.78125</v>
      </c>
      <c r="G1403">
        <v>264</v>
      </c>
      <c r="H1403" t="s">
        <v>6152</v>
      </c>
      <c r="I1403" t="s">
        <v>5358</v>
      </c>
      <c r="J1403">
        <v>40</v>
      </c>
      <c r="K1403">
        <v>246</v>
      </c>
      <c r="L1403">
        <v>2239</v>
      </c>
      <c r="M1403">
        <v>2247</v>
      </c>
      <c r="N1403">
        <v>8</v>
      </c>
      <c r="O1403">
        <v>0.2</v>
      </c>
    </row>
    <row r="1404" spans="1:15" x14ac:dyDescent="0.25">
      <c r="A1404">
        <v>5</v>
      </c>
      <c r="B1404">
        <v>100229</v>
      </c>
      <c r="C1404" t="s">
        <v>5311</v>
      </c>
      <c r="D1404" t="s">
        <v>5320</v>
      </c>
      <c r="E1404" t="s">
        <v>6227</v>
      </c>
      <c r="F1404">
        <v>46207.884027777778</v>
      </c>
      <c r="G1404">
        <v>264</v>
      </c>
      <c r="H1404" t="s">
        <v>6152</v>
      </c>
      <c r="I1404" t="s">
        <v>5358</v>
      </c>
      <c r="J1404">
        <v>72</v>
      </c>
      <c r="K1404">
        <v>442.8</v>
      </c>
      <c r="L1404">
        <v>2247</v>
      </c>
      <c r="M1404">
        <v>2256</v>
      </c>
      <c r="N1404">
        <v>9</v>
      </c>
      <c r="O1404">
        <v>0.125</v>
      </c>
    </row>
    <row r="1405" spans="1:15" x14ac:dyDescent="0.25">
      <c r="A1405">
        <v>5</v>
      </c>
      <c r="B1405">
        <v>100229</v>
      </c>
      <c r="C1405" t="s">
        <v>5311</v>
      </c>
      <c r="D1405" t="s">
        <v>5320</v>
      </c>
      <c r="E1405" t="s">
        <v>6227</v>
      </c>
      <c r="F1405">
        <v>46209.841666666667</v>
      </c>
      <c r="G1405">
        <v>264</v>
      </c>
      <c r="H1405" t="s">
        <v>6152</v>
      </c>
      <c r="I1405" t="s">
        <v>5358</v>
      </c>
      <c r="J1405">
        <v>74</v>
      </c>
      <c r="K1405">
        <v>455.1</v>
      </c>
      <c r="L1405">
        <v>2256</v>
      </c>
      <c r="M1405">
        <v>2265</v>
      </c>
      <c r="N1405">
        <v>9</v>
      </c>
      <c r="O1405">
        <v>0.121621621621622</v>
      </c>
    </row>
    <row r="1406" spans="1:15" x14ac:dyDescent="0.25">
      <c r="A1406">
        <v>5</v>
      </c>
      <c r="B1406">
        <v>100229</v>
      </c>
      <c r="C1406" t="s">
        <v>5311</v>
      </c>
      <c r="D1406" t="s">
        <v>5320</v>
      </c>
      <c r="E1406" t="s">
        <v>6227</v>
      </c>
      <c r="F1406">
        <v>46210.859027777777</v>
      </c>
      <c r="G1406">
        <v>264</v>
      </c>
      <c r="H1406" t="s">
        <v>6152</v>
      </c>
      <c r="I1406" t="s">
        <v>5358</v>
      </c>
      <c r="J1406">
        <v>17</v>
      </c>
      <c r="K1406">
        <v>104.55</v>
      </c>
      <c r="L1406">
        <v>2265</v>
      </c>
      <c r="M1406">
        <v>2267</v>
      </c>
      <c r="N1406">
        <v>2</v>
      </c>
      <c r="O1406">
        <v>0.11764705882352899</v>
      </c>
    </row>
    <row r="1407" spans="1:15" x14ac:dyDescent="0.25">
      <c r="A1407">
        <v>5</v>
      </c>
      <c r="B1407">
        <v>100229</v>
      </c>
      <c r="C1407" t="s">
        <v>5311</v>
      </c>
      <c r="D1407" t="s">
        <v>5320</v>
      </c>
      <c r="E1407" t="s">
        <v>6227</v>
      </c>
      <c r="F1407">
        <v>46211.841666666667</v>
      </c>
      <c r="G1407">
        <v>264</v>
      </c>
      <c r="H1407" t="s">
        <v>6152</v>
      </c>
      <c r="I1407" t="s">
        <v>5358</v>
      </c>
      <c r="J1407">
        <v>41</v>
      </c>
      <c r="K1407">
        <v>252.15</v>
      </c>
      <c r="L1407">
        <v>2267</v>
      </c>
      <c r="M1407">
        <v>2271</v>
      </c>
      <c r="N1407">
        <v>4</v>
      </c>
      <c r="O1407">
        <v>9.7560975609756101E-2</v>
      </c>
    </row>
    <row r="1408" spans="1:15" x14ac:dyDescent="0.25">
      <c r="A1408">
        <v>5</v>
      </c>
      <c r="B1408">
        <v>100229</v>
      </c>
      <c r="C1408" t="s">
        <v>5311</v>
      </c>
      <c r="D1408" t="s">
        <v>5320</v>
      </c>
      <c r="E1408" t="s">
        <v>6227</v>
      </c>
      <c r="F1408">
        <v>46216.870833333334</v>
      </c>
      <c r="G1408">
        <v>264</v>
      </c>
      <c r="H1408" t="s">
        <v>6152</v>
      </c>
      <c r="I1408" t="s">
        <v>5358</v>
      </c>
      <c r="J1408">
        <v>70</v>
      </c>
      <c r="K1408">
        <v>430.5</v>
      </c>
      <c r="L1408">
        <v>2271</v>
      </c>
      <c r="M1408">
        <v>2282</v>
      </c>
      <c r="N1408">
        <v>11</v>
      </c>
      <c r="O1408">
        <v>0.157142857142857</v>
      </c>
    </row>
    <row r="1409" spans="1:15" x14ac:dyDescent="0.25">
      <c r="A1409">
        <v>5</v>
      </c>
      <c r="B1409">
        <v>100229</v>
      </c>
      <c r="C1409" t="s">
        <v>5311</v>
      </c>
      <c r="D1409" t="s">
        <v>5320</v>
      </c>
      <c r="E1409" t="s">
        <v>6227</v>
      </c>
      <c r="F1409">
        <v>46217.803472222222</v>
      </c>
      <c r="G1409">
        <v>264</v>
      </c>
      <c r="H1409" t="s">
        <v>6152</v>
      </c>
      <c r="I1409" t="s">
        <v>5358</v>
      </c>
      <c r="J1409">
        <v>69</v>
      </c>
      <c r="K1409">
        <v>424.35</v>
      </c>
      <c r="L1409">
        <v>2282</v>
      </c>
      <c r="M1409">
        <v>2291</v>
      </c>
      <c r="N1409">
        <v>9</v>
      </c>
      <c r="O1409">
        <v>0.13043478260869601</v>
      </c>
    </row>
    <row r="1410" spans="1:15" x14ac:dyDescent="0.25">
      <c r="A1410">
        <v>5</v>
      </c>
      <c r="B1410">
        <v>100229</v>
      </c>
      <c r="C1410" t="s">
        <v>5311</v>
      </c>
      <c r="D1410" t="s">
        <v>5320</v>
      </c>
      <c r="E1410" t="s">
        <v>6227</v>
      </c>
      <c r="F1410">
        <v>46218.861111111109</v>
      </c>
      <c r="G1410">
        <v>264</v>
      </c>
      <c r="H1410" t="s">
        <v>6152</v>
      </c>
      <c r="I1410" t="s">
        <v>5358</v>
      </c>
      <c r="J1410">
        <v>58</v>
      </c>
      <c r="K1410">
        <v>356.7</v>
      </c>
      <c r="L1410">
        <v>2291</v>
      </c>
      <c r="M1410">
        <v>2299</v>
      </c>
      <c r="N1410">
        <v>8</v>
      </c>
      <c r="O1410">
        <v>0.13793103448275901</v>
      </c>
    </row>
    <row r="1411" spans="1:15" x14ac:dyDescent="0.25">
      <c r="A1411">
        <v>5</v>
      </c>
      <c r="B1411">
        <v>100229</v>
      </c>
      <c r="C1411" t="s">
        <v>5311</v>
      </c>
      <c r="D1411" t="s">
        <v>5320</v>
      </c>
      <c r="E1411" t="s">
        <v>6227</v>
      </c>
      <c r="F1411">
        <v>46220.853472222225</v>
      </c>
      <c r="G1411">
        <v>264</v>
      </c>
      <c r="H1411" t="s">
        <v>6152</v>
      </c>
      <c r="I1411" t="s">
        <v>5358</v>
      </c>
      <c r="J1411">
        <v>91</v>
      </c>
      <c r="K1411">
        <v>564.20000000000005</v>
      </c>
      <c r="L1411">
        <v>2299</v>
      </c>
      <c r="M1411">
        <v>2312</v>
      </c>
      <c r="N1411">
        <v>13</v>
      </c>
      <c r="O1411">
        <v>0.14285714285714299</v>
      </c>
    </row>
    <row r="1412" spans="1:15" x14ac:dyDescent="0.25">
      <c r="A1412">
        <v>5</v>
      </c>
      <c r="B1412">
        <v>100229</v>
      </c>
      <c r="C1412" t="s">
        <v>5311</v>
      </c>
      <c r="D1412" t="s">
        <v>5320</v>
      </c>
      <c r="E1412" t="s">
        <v>6227</v>
      </c>
      <c r="F1412">
        <v>46223.876388888886</v>
      </c>
      <c r="G1412">
        <v>264</v>
      </c>
      <c r="H1412" t="s">
        <v>6152</v>
      </c>
      <c r="I1412" t="s">
        <v>5358</v>
      </c>
      <c r="J1412">
        <v>113</v>
      </c>
      <c r="K1412">
        <v>713.03</v>
      </c>
      <c r="L1412">
        <v>2312</v>
      </c>
      <c r="M1412">
        <v>2327</v>
      </c>
      <c r="N1412">
        <v>15</v>
      </c>
      <c r="O1412">
        <v>0.132743362831858</v>
      </c>
    </row>
    <row r="1413" spans="1:15" x14ac:dyDescent="0.25">
      <c r="A1413">
        <v>5</v>
      </c>
      <c r="B1413">
        <v>100229</v>
      </c>
      <c r="C1413" t="s">
        <v>5311</v>
      </c>
      <c r="D1413" t="s">
        <v>5320</v>
      </c>
      <c r="E1413" t="s">
        <v>6227</v>
      </c>
      <c r="F1413">
        <v>46229.62222222222</v>
      </c>
      <c r="G1413">
        <v>264</v>
      </c>
      <c r="H1413" t="s">
        <v>6152</v>
      </c>
      <c r="I1413" t="s">
        <v>5358</v>
      </c>
      <c r="J1413">
        <v>74</v>
      </c>
      <c r="K1413">
        <v>464.72</v>
      </c>
      <c r="L1413">
        <v>2327</v>
      </c>
      <c r="M1413">
        <v>2337</v>
      </c>
      <c r="N1413">
        <v>10</v>
      </c>
      <c r="O1413">
        <v>0.135135135135135</v>
      </c>
    </row>
    <row r="1414" spans="1:15" x14ac:dyDescent="0.25">
      <c r="A1414">
        <v>5</v>
      </c>
      <c r="B1414">
        <v>100229</v>
      </c>
      <c r="C1414" t="s">
        <v>5311</v>
      </c>
      <c r="D1414" t="s">
        <v>5320</v>
      </c>
      <c r="E1414" t="s">
        <v>6227</v>
      </c>
      <c r="F1414">
        <v>46230.896527777775</v>
      </c>
      <c r="G1414">
        <v>264</v>
      </c>
      <c r="H1414" t="s">
        <v>6152</v>
      </c>
      <c r="I1414" t="s">
        <v>5358</v>
      </c>
      <c r="J1414">
        <v>58</v>
      </c>
      <c r="K1414">
        <v>364.24</v>
      </c>
      <c r="L1414">
        <v>2337</v>
      </c>
      <c r="M1414">
        <v>2344</v>
      </c>
      <c r="N1414">
        <v>7</v>
      </c>
      <c r="O1414">
        <v>0.12068965517241401</v>
      </c>
    </row>
    <row r="1415" spans="1:15" x14ac:dyDescent="0.25">
      <c r="A1415">
        <v>5</v>
      </c>
      <c r="B1415">
        <v>100229</v>
      </c>
      <c r="C1415" t="s">
        <v>5311</v>
      </c>
      <c r="D1415" t="s">
        <v>5320</v>
      </c>
      <c r="E1415" t="s">
        <v>6227</v>
      </c>
      <c r="F1415">
        <v>46232.898611111108</v>
      </c>
      <c r="G1415">
        <v>264</v>
      </c>
      <c r="H1415" t="s">
        <v>6152</v>
      </c>
      <c r="I1415" t="s">
        <v>5358</v>
      </c>
      <c r="J1415">
        <v>120</v>
      </c>
      <c r="K1415">
        <v>753.6</v>
      </c>
      <c r="L1415">
        <v>2344</v>
      </c>
      <c r="M1415">
        <v>2361</v>
      </c>
      <c r="N1415">
        <v>17</v>
      </c>
      <c r="O1415">
        <v>0.141666666666667</v>
      </c>
    </row>
    <row r="1416" spans="1:15" x14ac:dyDescent="0.25">
      <c r="A1416">
        <v>5</v>
      </c>
      <c r="B1416">
        <v>100229</v>
      </c>
      <c r="C1416" t="s">
        <v>5311</v>
      </c>
      <c r="D1416" t="s">
        <v>5320</v>
      </c>
      <c r="E1416" t="s">
        <v>6227</v>
      </c>
      <c r="F1416">
        <v>46234.904861111114</v>
      </c>
      <c r="G1416">
        <v>264</v>
      </c>
      <c r="H1416" t="s">
        <v>6152</v>
      </c>
      <c r="I1416" t="s">
        <v>5358</v>
      </c>
      <c r="J1416">
        <v>66</v>
      </c>
      <c r="K1416">
        <v>414.48</v>
      </c>
      <c r="L1416">
        <v>2361</v>
      </c>
      <c r="M1416">
        <v>2370</v>
      </c>
      <c r="N1416">
        <v>9</v>
      </c>
      <c r="O1416">
        <v>0.13636363636363599</v>
      </c>
    </row>
    <row r="1417" spans="1:15" x14ac:dyDescent="0.25">
      <c r="A1417">
        <v>5</v>
      </c>
      <c r="B1417">
        <v>100229</v>
      </c>
      <c r="C1417" t="s">
        <v>5311</v>
      </c>
      <c r="D1417" t="s">
        <v>5355</v>
      </c>
      <c r="E1417" t="s">
        <v>6228</v>
      </c>
      <c r="F1417">
        <v>46227.591666666667</v>
      </c>
      <c r="G1417">
        <v>264</v>
      </c>
      <c r="H1417" t="s">
        <v>6152</v>
      </c>
      <c r="I1417" t="s">
        <v>5358</v>
      </c>
      <c r="J1417">
        <v>236</v>
      </c>
      <c r="K1417">
        <v>1489.16</v>
      </c>
      <c r="L1417">
        <v>258230</v>
      </c>
      <c r="M1417">
        <v>258466</v>
      </c>
      <c r="N1417">
        <v>236</v>
      </c>
      <c r="O1417">
        <v>1</v>
      </c>
    </row>
    <row r="1418" spans="1:15" x14ac:dyDescent="0.25">
      <c r="A1418">
        <v>5</v>
      </c>
      <c r="B1418">
        <v>100229</v>
      </c>
      <c r="C1418" t="s">
        <v>5311</v>
      </c>
      <c r="D1418" t="s">
        <v>761</v>
      </c>
      <c r="E1418" t="s">
        <v>438</v>
      </c>
      <c r="F1418">
        <v>46204.767361111109</v>
      </c>
      <c r="G1418">
        <v>264</v>
      </c>
      <c r="H1418" t="s">
        <v>6152</v>
      </c>
      <c r="I1418" t="s">
        <v>5358</v>
      </c>
      <c r="J1418">
        <v>208</v>
      </c>
      <c r="K1418">
        <v>1279.2</v>
      </c>
      <c r="L1418">
        <v>8895</v>
      </c>
      <c r="M1418">
        <v>8912</v>
      </c>
      <c r="N1418">
        <v>17</v>
      </c>
      <c r="O1418">
        <v>8.1730769230769204E-2</v>
      </c>
    </row>
    <row r="1419" spans="1:15" x14ac:dyDescent="0.25">
      <c r="A1419">
        <v>5</v>
      </c>
      <c r="B1419">
        <v>100229</v>
      </c>
      <c r="C1419" t="s">
        <v>5311</v>
      </c>
      <c r="D1419" t="s">
        <v>761</v>
      </c>
      <c r="E1419" t="s">
        <v>438</v>
      </c>
      <c r="F1419">
        <v>46209.836805555555</v>
      </c>
      <c r="G1419">
        <v>264</v>
      </c>
      <c r="H1419" t="s">
        <v>6152</v>
      </c>
      <c r="I1419" t="s">
        <v>5358</v>
      </c>
      <c r="J1419">
        <v>431</v>
      </c>
      <c r="K1419">
        <v>2650.65</v>
      </c>
      <c r="L1419">
        <v>8912</v>
      </c>
      <c r="M1419">
        <v>8940</v>
      </c>
      <c r="N1419">
        <v>28</v>
      </c>
      <c r="O1419">
        <v>6.4965197215777301E-2</v>
      </c>
    </row>
    <row r="1420" spans="1:15" x14ac:dyDescent="0.25">
      <c r="A1420">
        <v>5</v>
      </c>
      <c r="B1420">
        <v>100229</v>
      </c>
      <c r="C1420" t="s">
        <v>5311</v>
      </c>
      <c r="D1420" t="s">
        <v>761</v>
      </c>
      <c r="E1420" t="s">
        <v>438</v>
      </c>
      <c r="F1420">
        <v>46210.850694444445</v>
      </c>
      <c r="G1420">
        <v>264</v>
      </c>
      <c r="H1420" t="s">
        <v>6152</v>
      </c>
      <c r="I1420" t="s">
        <v>5358</v>
      </c>
      <c r="J1420">
        <v>140</v>
      </c>
      <c r="K1420">
        <v>861</v>
      </c>
      <c r="L1420">
        <v>8940</v>
      </c>
      <c r="M1420">
        <v>8947</v>
      </c>
      <c r="N1420">
        <v>7</v>
      </c>
      <c r="O1420">
        <v>0.05</v>
      </c>
    </row>
    <row r="1421" spans="1:15" x14ac:dyDescent="0.25">
      <c r="A1421">
        <v>5</v>
      </c>
      <c r="B1421">
        <v>100229</v>
      </c>
      <c r="C1421" t="s">
        <v>5311</v>
      </c>
      <c r="D1421" t="s">
        <v>761</v>
      </c>
      <c r="E1421" t="s">
        <v>438</v>
      </c>
      <c r="F1421">
        <v>46214.749305555553</v>
      </c>
      <c r="G1421">
        <v>264</v>
      </c>
      <c r="H1421" t="s">
        <v>6152</v>
      </c>
      <c r="I1421" t="s">
        <v>5358</v>
      </c>
      <c r="J1421">
        <v>528</v>
      </c>
      <c r="K1421">
        <v>3247.2</v>
      </c>
      <c r="L1421">
        <v>8947</v>
      </c>
      <c r="M1421">
        <v>8979</v>
      </c>
      <c r="N1421">
        <v>32</v>
      </c>
      <c r="O1421">
        <v>6.0606060606060601E-2</v>
      </c>
    </row>
    <row r="1422" spans="1:15" x14ac:dyDescent="0.25">
      <c r="A1422">
        <v>5</v>
      </c>
      <c r="B1422">
        <v>100229</v>
      </c>
      <c r="C1422" t="s">
        <v>5311</v>
      </c>
      <c r="D1422" t="s">
        <v>761</v>
      </c>
      <c r="E1422" t="s">
        <v>438</v>
      </c>
      <c r="F1422">
        <v>46219.873611111114</v>
      </c>
      <c r="G1422">
        <v>264</v>
      </c>
      <c r="H1422" t="s">
        <v>6152</v>
      </c>
      <c r="I1422" t="s">
        <v>5358</v>
      </c>
      <c r="J1422">
        <v>317</v>
      </c>
      <c r="K1422">
        <v>1949.55</v>
      </c>
      <c r="L1422">
        <v>8979</v>
      </c>
      <c r="M1422">
        <v>9002</v>
      </c>
      <c r="N1422">
        <v>23</v>
      </c>
      <c r="O1422">
        <v>7.2555205047318605E-2</v>
      </c>
    </row>
    <row r="1423" spans="1:15" x14ac:dyDescent="0.25">
      <c r="A1423">
        <v>5</v>
      </c>
      <c r="B1423">
        <v>100229</v>
      </c>
      <c r="C1423" t="s">
        <v>5311</v>
      </c>
      <c r="D1423" t="s">
        <v>761</v>
      </c>
      <c r="E1423" t="s">
        <v>438</v>
      </c>
      <c r="F1423">
        <v>46220.852777777778</v>
      </c>
      <c r="G1423">
        <v>264</v>
      </c>
      <c r="H1423" t="s">
        <v>6152</v>
      </c>
      <c r="I1423" t="s">
        <v>5358</v>
      </c>
      <c r="J1423">
        <v>264</v>
      </c>
      <c r="K1423">
        <v>1636.8</v>
      </c>
      <c r="L1423">
        <v>9002</v>
      </c>
      <c r="M1423">
        <v>9013</v>
      </c>
      <c r="N1423">
        <v>11</v>
      </c>
      <c r="O1423">
        <v>4.1666666666666699E-2</v>
      </c>
    </row>
    <row r="1424" spans="1:15" x14ac:dyDescent="0.25">
      <c r="A1424">
        <v>5</v>
      </c>
      <c r="B1424">
        <v>100229</v>
      </c>
      <c r="C1424" t="s">
        <v>5311</v>
      </c>
      <c r="D1424" t="s">
        <v>761</v>
      </c>
      <c r="E1424" t="s">
        <v>438</v>
      </c>
      <c r="F1424">
        <v>46221.493750000001</v>
      </c>
      <c r="G1424">
        <v>264</v>
      </c>
      <c r="H1424" t="s">
        <v>6152</v>
      </c>
      <c r="I1424" t="s">
        <v>5358</v>
      </c>
      <c r="J1424">
        <v>223</v>
      </c>
      <c r="K1424">
        <v>1382.6</v>
      </c>
      <c r="L1424">
        <v>9013</v>
      </c>
      <c r="M1424">
        <v>9024</v>
      </c>
      <c r="N1424">
        <v>11</v>
      </c>
      <c r="O1424">
        <v>4.9327354260089697E-2</v>
      </c>
    </row>
    <row r="1425" spans="1:15" x14ac:dyDescent="0.25">
      <c r="A1425">
        <v>5</v>
      </c>
      <c r="B1425">
        <v>100229</v>
      </c>
      <c r="C1425" t="s">
        <v>5311</v>
      </c>
      <c r="D1425" t="s">
        <v>761</v>
      </c>
      <c r="E1425" t="s">
        <v>438</v>
      </c>
      <c r="F1425">
        <v>46227.806250000001</v>
      </c>
      <c r="G1425">
        <v>264</v>
      </c>
      <c r="H1425" t="s">
        <v>6152</v>
      </c>
      <c r="I1425" t="s">
        <v>5358</v>
      </c>
      <c r="J1425">
        <v>262</v>
      </c>
      <c r="K1425">
        <v>1653.22</v>
      </c>
      <c r="L1425">
        <v>9024</v>
      </c>
      <c r="M1425">
        <v>9047</v>
      </c>
      <c r="N1425">
        <v>23</v>
      </c>
      <c r="O1425">
        <v>8.7786259541984699E-2</v>
      </c>
    </row>
    <row r="1426" spans="1:15" x14ac:dyDescent="0.25">
      <c r="A1426">
        <v>5</v>
      </c>
      <c r="B1426">
        <v>100229</v>
      </c>
      <c r="C1426" t="s">
        <v>5311</v>
      </c>
      <c r="D1426" t="s">
        <v>761</v>
      </c>
      <c r="E1426" t="s">
        <v>438</v>
      </c>
      <c r="F1426">
        <v>46230.894444444442</v>
      </c>
      <c r="G1426">
        <v>264</v>
      </c>
      <c r="H1426" t="s">
        <v>6152</v>
      </c>
      <c r="I1426" t="s">
        <v>5358</v>
      </c>
      <c r="J1426">
        <v>122</v>
      </c>
      <c r="K1426">
        <v>766.16</v>
      </c>
      <c r="L1426">
        <v>9047</v>
      </c>
      <c r="M1426">
        <v>9057</v>
      </c>
      <c r="N1426">
        <v>10</v>
      </c>
      <c r="O1426">
        <v>8.1967213114754106E-2</v>
      </c>
    </row>
    <row r="1427" spans="1:15" x14ac:dyDescent="0.25">
      <c r="A1427">
        <v>5</v>
      </c>
      <c r="B1427">
        <v>100229</v>
      </c>
      <c r="C1427" t="s">
        <v>5311</v>
      </c>
      <c r="D1427" t="s">
        <v>761</v>
      </c>
      <c r="E1427" t="s">
        <v>438</v>
      </c>
      <c r="F1427">
        <v>46231.933333333334</v>
      </c>
      <c r="G1427">
        <v>264</v>
      </c>
      <c r="H1427" t="s">
        <v>6152</v>
      </c>
      <c r="I1427" t="s">
        <v>5358</v>
      </c>
      <c r="J1427">
        <v>79</v>
      </c>
      <c r="K1427">
        <v>496.12</v>
      </c>
      <c r="L1427">
        <v>9057</v>
      </c>
      <c r="M1427">
        <v>9062</v>
      </c>
      <c r="N1427">
        <v>5</v>
      </c>
      <c r="O1427">
        <v>6.3291139240506306E-2</v>
      </c>
    </row>
    <row r="1428" spans="1:15" x14ac:dyDescent="0.25">
      <c r="A1428">
        <v>5</v>
      </c>
      <c r="B1428">
        <v>100229</v>
      </c>
      <c r="C1428" t="s">
        <v>5311</v>
      </c>
      <c r="D1428" t="s">
        <v>761</v>
      </c>
      <c r="E1428" t="s">
        <v>438</v>
      </c>
      <c r="F1428">
        <v>46234.904166666667</v>
      </c>
      <c r="G1428">
        <v>264</v>
      </c>
      <c r="H1428" t="s">
        <v>6152</v>
      </c>
      <c r="I1428" t="s">
        <v>5358</v>
      </c>
      <c r="J1428">
        <v>386</v>
      </c>
      <c r="K1428">
        <v>2424.08</v>
      </c>
      <c r="L1428">
        <v>9062</v>
      </c>
      <c r="M1428">
        <v>9085</v>
      </c>
      <c r="N1428">
        <v>23</v>
      </c>
      <c r="O1428">
        <v>5.9585492227979299E-2</v>
      </c>
    </row>
    <row r="1429" spans="1:15" x14ac:dyDescent="0.25">
      <c r="A1429">
        <v>5</v>
      </c>
      <c r="B1429">
        <v>100255</v>
      </c>
      <c r="C1429" t="s">
        <v>5352</v>
      </c>
      <c r="D1429" t="s">
        <v>656</v>
      </c>
      <c r="E1429" t="s">
        <v>6229</v>
      </c>
      <c r="F1429">
        <v>46205.317361111112</v>
      </c>
      <c r="G1429">
        <v>188</v>
      </c>
      <c r="H1429" t="s">
        <v>6173</v>
      </c>
      <c r="I1429" t="s">
        <v>5358</v>
      </c>
      <c r="J1429">
        <v>57.01</v>
      </c>
      <c r="K1429">
        <v>409.91</v>
      </c>
      <c r="L1429">
        <v>1369</v>
      </c>
      <c r="M1429">
        <v>1379</v>
      </c>
      <c r="N1429">
        <v>10</v>
      </c>
      <c r="O1429">
        <v>5.7009999999999996</v>
      </c>
    </row>
    <row r="1430" spans="1:15" x14ac:dyDescent="0.25">
      <c r="A1430">
        <v>5</v>
      </c>
      <c r="B1430">
        <v>100255</v>
      </c>
      <c r="C1430" t="s">
        <v>5352</v>
      </c>
      <c r="D1430" t="s">
        <v>656</v>
      </c>
      <c r="E1430" t="s">
        <v>6229</v>
      </c>
      <c r="F1430">
        <v>46207.372916666667</v>
      </c>
      <c r="G1430">
        <v>188</v>
      </c>
      <c r="H1430" t="s">
        <v>6173</v>
      </c>
      <c r="I1430" t="s">
        <v>5358</v>
      </c>
      <c r="J1430">
        <v>59</v>
      </c>
      <c r="K1430">
        <v>389.4</v>
      </c>
      <c r="L1430">
        <v>1379</v>
      </c>
      <c r="M1430">
        <v>1388</v>
      </c>
      <c r="N1430">
        <v>9</v>
      </c>
      <c r="O1430">
        <v>6.5555555555555598</v>
      </c>
    </row>
    <row r="1431" spans="1:15" x14ac:dyDescent="0.25">
      <c r="A1431">
        <v>5</v>
      </c>
      <c r="B1431">
        <v>100255</v>
      </c>
      <c r="C1431" t="s">
        <v>5352</v>
      </c>
      <c r="D1431" t="s">
        <v>656</v>
      </c>
      <c r="E1431" t="s">
        <v>6229</v>
      </c>
      <c r="F1431">
        <v>46209.540277777778</v>
      </c>
      <c r="G1431">
        <v>188</v>
      </c>
      <c r="H1431" t="s">
        <v>6173</v>
      </c>
      <c r="I1431" t="s">
        <v>5358</v>
      </c>
      <c r="J1431">
        <v>43</v>
      </c>
      <c r="K1431">
        <v>334.11</v>
      </c>
      <c r="L1431">
        <v>1388</v>
      </c>
      <c r="M1431">
        <v>1397</v>
      </c>
      <c r="N1431">
        <v>9</v>
      </c>
      <c r="O1431">
        <v>4.7777777777777803</v>
      </c>
    </row>
    <row r="1432" spans="1:15" x14ac:dyDescent="0.25">
      <c r="A1432">
        <v>5</v>
      </c>
      <c r="B1432">
        <v>100255</v>
      </c>
      <c r="C1432" t="s">
        <v>5352</v>
      </c>
      <c r="D1432" t="s">
        <v>656</v>
      </c>
      <c r="E1432" t="s">
        <v>6229</v>
      </c>
      <c r="F1432">
        <v>46210.743750000001</v>
      </c>
      <c r="G1432">
        <v>188</v>
      </c>
      <c r="H1432" t="s">
        <v>6173</v>
      </c>
      <c r="I1432" t="s">
        <v>5358</v>
      </c>
      <c r="J1432">
        <v>44</v>
      </c>
      <c r="K1432">
        <v>316.36</v>
      </c>
      <c r="L1432">
        <v>1397</v>
      </c>
      <c r="M1432">
        <v>1406</v>
      </c>
      <c r="N1432">
        <v>9</v>
      </c>
      <c r="O1432">
        <v>4.8888888888888902</v>
      </c>
    </row>
    <row r="1433" spans="1:15" x14ac:dyDescent="0.25">
      <c r="A1433">
        <v>5</v>
      </c>
      <c r="B1433">
        <v>100255</v>
      </c>
      <c r="C1433" t="s">
        <v>5352</v>
      </c>
      <c r="D1433" t="s">
        <v>656</v>
      </c>
      <c r="E1433" t="s">
        <v>6229</v>
      </c>
      <c r="F1433">
        <v>46213.310416666667</v>
      </c>
      <c r="G1433">
        <v>188</v>
      </c>
      <c r="H1433" t="s">
        <v>6173</v>
      </c>
      <c r="I1433" t="s">
        <v>5358</v>
      </c>
      <c r="J1433">
        <v>51.69</v>
      </c>
      <c r="K1433">
        <v>371.65</v>
      </c>
      <c r="L1433">
        <v>1406</v>
      </c>
      <c r="M1433">
        <v>1410</v>
      </c>
      <c r="N1433">
        <v>4</v>
      </c>
      <c r="O1433">
        <v>12.922499999999999</v>
      </c>
    </row>
    <row r="1434" spans="1:15" x14ac:dyDescent="0.25">
      <c r="A1434">
        <v>5</v>
      </c>
      <c r="B1434">
        <v>100255</v>
      </c>
      <c r="C1434" t="s">
        <v>5352</v>
      </c>
      <c r="D1434" t="s">
        <v>656</v>
      </c>
      <c r="E1434" t="s">
        <v>6229</v>
      </c>
      <c r="F1434">
        <v>46214.314583333333</v>
      </c>
      <c r="G1434">
        <v>188</v>
      </c>
      <c r="H1434" t="s">
        <v>6173</v>
      </c>
      <c r="I1434" t="s">
        <v>5358</v>
      </c>
      <c r="J1434">
        <v>25.85</v>
      </c>
      <c r="K1434">
        <v>185.86</v>
      </c>
      <c r="L1434">
        <v>1410</v>
      </c>
      <c r="M1434">
        <v>1412</v>
      </c>
      <c r="N1434">
        <v>2</v>
      </c>
      <c r="O1434">
        <v>12.925000000000001</v>
      </c>
    </row>
    <row r="1435" spans="1:15" x14ac:dyDescent="0.25">
      <c r="A1435">
        <v>5</v>
      </c>
      <c r="B1435">
        <v>100255</v>
      </c>
      <c r="C1435" t="s">
        <v>5352</v>
      </c>
      <c r="D1435" t="s">
        <v>656</v>
      </c>
      <c r="E1435" t="s">
        <v>6229</v>
      </c>
      <c r="F1435">
        <v>46214.35833333333</v>
      </c>
      <c r="G1435">
        <v>264</v>
      </c>
      <c r="H1435" t="s">
        <v>6152</v>
      </c>
      <c r="I1435" t="s">
        <v>5358</v>
      </c>
      <c r="J1435">
        <v>41</v>
      </c>
      <c r="K1435">
        <v>252.15</v>
      </c>
      <c r="L1435">
        <v>1412</v>
      </c>
      <c r="M1435">
        <v>1416</v>
      </c>
      <c r="N1435">
        <v>4</v>
      </c>
      <c r="O1435">
        <v>10.25</v>
      </c>
    </row>
    <row r="1436" spans="1:15" x14ac:dyDescent="0.25">
      <c r="A1436">
        <v>5</v>
      </c>
      <c r="B1436">
        <v>100255</v>
      </c>
      <c r="C1436" t="s">
        <v>5352</v>
      </c>
      <c r="D1436" t="s">
        <v>656</v>
      </c>
      <c r="E1436" t="s">
        <v>6229</v>
      </c>
      <c r="F1436">
        <v>46217.316666666666</v>
      </c>
      <c r="G1436">
        <v>188</v>
      </c>
      <c r="H1436" t="s">
        <v>6173</v>
      </c>
      <c r="I1436" t="s">
        <v>5358</v>
      </c>
      <c r="J1436">
        <v>50.01</v>
      </c>
      <c r="K1436">
        <v>359.58</v>
      </c>
      <c r="L1436">
        <v>1416</v>
      </c>
      <c r="M1436">
        <v>1421</v>
      </c>
      <c r="N1436">
        <v>5</v>
      </c>
      <c r="O1436">
        <v>10.002000000000001</v>
      </c>
    </row>
    <row r="1437" spans="1:15" x14ac:dyDescent="0.25">
      <c r="A1437">
        <v>5</v>
      </c>
      <c r="B1437">
        <v>100255</v>
      </c>
      <c r="C1437" t="s">
        <v>5352</v>
      </c>
      <c r="D1437" t="s">
        <v>656</v>
      </c>
      <c r="E1437" t="s">
        <v>6229</v>
      </c>
      <c r="F1437">
        <v>46218.356249999997</v>
      </c>
      <c r="G1437">
        <v>188</v>
      </c>
      <c r="H1437" t="s">
        <v>6173</v>
      </c>
      <c r="I1437" t="s">
        <v>5358</v>
      </c>
      <c r="J1437">
        <v>53</v>
      </c>
      <c r="K1437">
        <v>402.27</v>
      </c>
      <c r="L1437">
        <v>1421</v>
      </c>
      <c r="M1437">
        <v>1428</v>
      </c>
      <c r="N1437">
        <v>7</v>
      </c>
      <c r="O1437">
        <v>7.5714285714285703</v>
      </c>
    </row>
    <row r="1438" spans="1:15" x14ac:dyDescent="0.25">
      <c r="A1438">
        <v>5</v>
      </c>
      <c r="B1438">
        <v>100255</v>
      </c>
      <c r="C1438" t="s">
        <v>5352</v>
      </c>
      <c r="D1438" t="s">
        <v>656</v>
      </c>
      <c r="E1438" t="s">
        <v>6229</v>
      </c>
      <c r="F1438">
        <v>46219.311805555553</v>
      </c>
      <c r="G1438">
        <v>188</v>
      </c>
      <c r="H1438" t="s">
        <v>6173</v>
      </c>
      <c r="I1438" t="s">
        <v>5358</v>
      </c>
      <c r="J1438">
        <v>41.01</v>
      </c>
      <c r="K1438">
        <v>294.87</v>
      </c>
      <c r="L1438">
        <v>1428</v>
      </c>
      <c r="M1438">
        <v>57870</v>
      </c>
      <c r="N1438">
        <v>56442</v>
      </c>
      <c r="O1438">
        <v>7.2658658445838196E-4</v>
      </c>
    </row>
    <row r="1439" spans="1:15" x14ac:dyDescent="0.25">
      <c r="A1439">
        <v>5</v>
      </c>
      <c r="B1439">
        <v>100255</v>
      </c>
      <c r="C1439" t="s">
        <v>5352</v>
      </c>
      <c r="D1439" t="s">
        <v>656</v>
      </c>
      <c r="E1439" t="s">
        <v>6229</v>
      </c>
      <c r="F1439">
        <v>46220.495138888888</v>
      </c>
      <c r="G1439">
        <v>264</v>
      </c>
      <c r="H1439" t="s">
        <v>6152</v>
      </c>
      <c r="I1439" t="s">
        <v>5358</v>
      </c>
      <c r="J1439">
        <v>54</v>
      </c>
      <c r="K1439">
        <v>334.8</v>
      </c>
      <c r="L1439">
        <v>57870</v>
      </c>
      <c r="M1439">
        <v>57924</v>
      </c>
      <c r="N1439">
        <v>54</v>
      </c>
      <c r="O1439">
        <v>1</v>
      </c>
    </row>
    <row r="1440" spans="1:15" x14ac:dyDescent="0.25">
      <c r="A1440">
        <v>5</v>
      </c>
      <c r="B1440">
        <v>100255</v>
      </c>
      <c r="C1440" t="s">
        <v>5352</v>
      </c>
      <c r="D1440" t="s">
        <v>656</v>
      </c>
      <c r="E1440" t="s">
        <v>6229</v>
      </c>
      <c r="F1440">
        <v>46223.374305555553</v>
      </c>
      <c r="G1440">
        <v>188</v>
      </c>
      <c r="H1440" t="s">
        <v>6173</v>
      </c>
      <c r="I1440" t="s">
        <v>5358</v>
      </c>
      <c r="J1440">
        <v>44.32</v>
      </c>
      <c r="K1440">
        <v>292.51</v>
      </c>
      <c r="L1440">
        <v>57924</v>
      </c>
      <c r="M1440">
        <v>58355</v>
      </c>
      <c r="N1440">
        <v>431</v>
      </c>
      <c r="O1440">
        <v>0.10283062645011599</v>
      </c>
    </row>
    <row r="1441" spans="1:15" x14ac:dyDescent="0.25">
      <c r="A1441">
        <v>5</v>
      </c>
      <c r="B1441">
        <v>100255</v>
      </c>
      <c r="C1441" t="s">
        <v>5352</v>
      </c>
      <c r="D1441" t="s">
        <v>656</v>
      </c>
      <c r="E1441" t="s">
        <v>6229</v>
      </c>
      <c r="F1441">
        <v>46227.383333333331</v>
      </c>
      <c r="G1441">
        <v>188</v>
      </c>
      <c r="H1441" t="s">
        <v>6173</v>
      </c>
      <c r="I1441" t="s">
        <v>5358</v>
      </c>
      <c r="J1441">
        <v>44</v>
      </c>
      <c r="K1441">
        <v>290.39999999999998</v>
      </c>
      <c r="L1441">
        <v>58355</v>
      </c>
      <c r="M1441">
        <v>58662</v>
      </c>
      <c r="N1441">
        <v>307</v>
      </c>
      <c r="O1441">
        <v>0.143322475570033</v>
      </c>
    </row>
    <row r="1442" spans="1:15" x14ac:dyDescent="0.25">
      <c r="A1442">
        <v>5</v>
      </c>
      <c r="B1442">
        <v>100255</v>
      </c>
      <c r="C1442" t="s">
        <v>5352</v>
      </c>
      <c r="D1442" t="s">
        <v>656</v>
      </c>
      <c r="E1442" t="s">
        <v>6229</v>
      </c>
      <c r="F1442">
        <v>46230.495833333334</v>
      </c>
      <c r="G1442">
        <v>264</v>
      </c>
      <c r="H1442" t="s">
        <v>6152</v>
      </c>
      <c r="I1442" t="s">
        <v>5358</v>
      </c>
      <c r="J1442">
        <v>47</v>
      </c>
      <c r="K1442">
        <v>295.16000000000003</v>
      </c>
      <c r="L1442">
        <v>58662</v>
      </c>
      <c r="M1442">
        <v>59044</v>
      </c>
      <c r="N1442">
        <v>382</v>
      </c>
      <c r="O1442">
        <v>0.12303664921466</v>
      </c>
    </row>
    <row r="1443" spans="1:15" x14ac:dyDescent="0.25">
      <c r="A1443">
        <v>5</v>
      </c>
      <c r="B1443">
        <v>100255</v>
      </c>
      <c r="C1443" t="s">
        <v>5352</v>
      </c>
      <c r="D1443" t="s">
        <v>656</v>
      </c>
      <c r="E1443" t="s">
        <v>6229</v>
      </c>
      <c r="F1443">
        <v>46231.718055555553</v>
      </c>
      <c r="G1443">
        <v>264</v>
      </c>
      <c r="H1443" t="s">
        <v>6152</v>
      </c>
      <c r="I1443" t="s">
        <v>5358</v>
      </c>
      <c r="J1443">
        <v>36</v>
      </c>
      <c r="K1443">
        <v>226.08</v>
      </c>
      <c r="L1443">
        <v>59044</v>
      </c>
      <c r="M1443">
        <v>59058</v>
      </c>
      <c r="N1443">
        <v>14</v>
      </c>
      <c r="O1443">
        <v>2.5714285714285698</v>
      </c>
    </row>
    <row r="1444" spans="1:15" x14ac:dyDescent="0.25">
      <c r="A1444">
        <v>5</v>
      </c>
      <c r="B1444">
        <v>100255</v>
      </c>
      <c r="C1444" t="s">
        <v>5352</v>
      </c>
      <c r="D1444" t="s">
        <v>656</v>
      </c>
      <c r="E1444" t="s">
        <v>6229</v>
      </c>
      <c r="F1444">
        <v>46232.754861111112</v>
      </c>
      <c r="G1444">
        <v>264</v>
      </c>
      <c r="H1444" t="s">
        <v>6152</v>
      </c>
      <c r="I1444" t="s">
        <v>5358</v>
      </c>
      <c r="J1444">
        <v>45</v>
      </c>
      <c r="K1444">
        <v>282.60000000000002</v>
      </c>
      <c r="L1444">
        <v>59058</v>
      </c>
      <c r="M1444">
        <v>59286</v>
      </c>
      <c r="N1444">
        <v>228</v>
      </c>
      <c r="O1444">
        <v>0.197368421052632</v>
      </c>
    </row>
    <row r="1445" spans="1:15" x14ac:dyDescent="0.25">
      <c r="A1445">
        <v>5</v>
      </c>
      <c r="B1445">
        <v>100255</v>
      </c>
      <c r="C1445" t="s">
        <v>5352</v>
      </c>
      <c r="D1445" t="s">
        <v>656</v>
      </c>
      <c r="E1445" t="s">
        <v>6229</v>
      </c>
      <c r="F1445">
        <v>46234.44027777778</v>
      </c>
      <c r="G1445">
        <v>264</v>
      </c>
      <c r="H1445" t="s">
        <v>6152</v>
      </c>
      <c r="I1445" t="s">
        <v>5358</v>
      </c>
      <c r="J1445">
        <v>28</v>
      </c>
      <c r="K1445">
        <v>175.84</v>
      </c>
      <c r="L1445">
        <v>59286</v>
      </c>
      <c r="M1445">
        <v>59443</v>
      </c>
      <c r="N1445">
        <v>157</v>
      </c>
      <c r="O1445">
        <v>0.178343949044586</v>
      </c>
    </row>
    <row r="1446" spans="1:15" x14ac:dyDescent="0.25">
      <c r="A1446">
        <v>5</v>
      </c>
      <c r="B1446">
        <v>100274</v>
      </c>
      <c r="C1446" t="s">
        <v>5344</v>
      </c>
      <c r="D1446" t="s">
        <v>578</v>
      </c>
      <c r="E1446" t="s">
        <v>6221</v>
      </c>
      <c r="F1446">
        <v>46219.413888888892</v>
      </c>
      <c r="G1446">
        <v>188</v>
      </c>
      <c r="H1446" t="s">
        <v>6173</v>
      </c>
      <c r="I1446" t="s">
        <v>5358</v>
      </c>
      <c r="J1446">
        <v>108.16</v>
      </c>
      <c r="K1446">
        <v>740.9</v>
      </c>
      <c r="L1446">
        <v>57757</v>
      </c>
      <c r="M1446">
        <v>571002</v>
      </c>
      <c r="N1446">
        <v>513245</v>
      </c>
      <c r="O1446">
        <v>4745.2385355029601</v>
      </c>
    </row>
    <row r="1447" spans="1:15" x14ac:dyDescent="0.25">
      <c r="A1447">
        <v>5</v>
      </c>
      <c r="B1447">
        <v>100274</v>
      </c>
      <c r="C1447" t="s">
        <v>5344</v>
      </c>
      <c r="D1447" t="s">
        <v>584</v>
      </c>
      <c r="E1447" t="s">
        <v>6230</v>
      </c>
      <c r="F1447">
        <v>46208.488888888889</v>
      </c>
      <c r="G1447">
        <v>232</v>
      </c>
      <c r="H1447" t="s">
        <v>6155</v>
      </c>
      <c r="I1447" t="s">
        <v>5358</v>
      </c>
      <c r="J1447">
        <v>39</v>
      </c>
      <c r="K1447">
        <v>250.38</v>
      </c>
      <c r="L1447">
        <v>12599</v>
      </c>
      <c r="M1447">
        <v>12547</v>
      </c>
      <c r="N1447">
        <v>0</v>
      </c>
      <c r="O1447">
        <v>0</v>
      </c>
    </row>
    <row r="1448" spans="1:15" x14ac:dyDescent="0.25">
      <c r="A1448">
        <v>5</v>
      </c>
      <c r="B1448">
        <v>100274</v>
      </c>
      <c r="C1448" t="s">
        <v>5344</v>
      </c>
      <c r="D1448" t="s">
        <v>584</v>
      </c>
      <c r="E1448" t="s">
        <v>6230</v>
      </c>
      <c r="F1448">
        <v>46209.445833333331</v>
      </c>
      <c r="G1448">
        <v>232</v>
      </c>
      <c r="H1448" t="s">
        <v>6155</v>
      </c>
      <c r="I1448" t="s">
        <v>5358</v>
      </c>
      <c r="J1448">
        <v>24</v>
      </c>
      <c r="K1448">
        <v>147.6</v>
      </c>
      <c r="L1448">
        <v>12547</v>
      </c>
      <c r="M1448">
        <v>12550</v>
      </c>
      <c r="N1448">
        <v>3</v>
      </c>
      <c r="O1448">
        <v>8</v>
      </c>
    </row>
    <row r="1449" spans="1:15" x14ac:dyDescent="0.25">
      <c r="A1449">
        <v>5</v>
      </c>
      <c r="B1449">
        <v>100274</v>
      </c>
      <c r="C1449" t="s">
        <v>5344</v>
      </c>
      <c r="D1449" t="s">
        <v>584</v>
      </c>
      <c r="E1449" t="s">
        <v>6230</v>
      </c>
      <c r="F1449">
        <v>46225.503472222219</v>
      </c>
      <c r="G1449">
        <v>264</v>
      </c>
      <c r="H1449" t="s">
        <v>6152</v>
      </c>
      <c r="I1449" t="s">
        <v>5358</v>
      </c>
      <c r="J1449">
        <v>44</v>
      </c>
      <c r="K1449">
        <v>277.64</v>
      </c>
      <c r="L1449">
        <v>12550</v>
      </c>
      <c r="M1449">
        <v>12600</v>
      </c>
      <c r="N1449">
        <v>50</v>
      </c>
      <c r="O1449">
        <v>0.88</v>
      </c>
    </row>
    <row r="1450" spans="1:15" x14ac:dyDescent="0.25">
      <c r="A1450">
        <v>5</v>
      </c>
      <c r="B1450">
        <v>100282</v>
      </c>
      <c r="C1450" t="s">
        <v>5307</v>
      </c>
      <c r="D1450" t="s">
        <v>550</v>
      </c>
      <c r="E1450" t="s">
        <v>310</v>
      </c>
      <c r="F1450">
        <v>46204.65902777778</v>
      </c>
      <c r="G1450">
        <v>232</v>
      </c>
      <c r="H1450" t="s">
        <v>6155</v>
      </c>
      <c r="I1450" t="s">
        <v>5358</v>
      </c>
      <c r="J1450">
        <v>86</v>
      </c>
      <c r="K1450">
        <v>528.9</v>
      </c>
      <c r="L1450">
        <v>3422</v>
      </c>
      <c r="M1450">
        <v>3457</v>
      </c>
      <c r="N1450">
        <v>35</v>
      </c>
      <c r="O1450">
        <v>0.40697674418604701</v>
      </c>
    </row>
    <row r="1451" spans="1:15" x14ac:dyDescent="0.25">
      <c r="A1451">
        <v>5</v>
      </c>
      <c r="B1451">
        <v>100282</v>
      </c>
      <c r="C1451" t="s">
        <v>5307</v>
      </c>
      <c r="D1451" t="s">
        <v>550</v>
      </c>
      <c r="E1451" t="s">
        <v>310</v>
      </c>
      <c r="F1451">
        <v>46207.597916666666</v>
      </c>
      <c r="G1451">
        <v>232</v>
      </c>
      <c r="H1451" t="s">
        <v>6155</v>
      </c>
      <c r="I1451" t="s">
        <v>5358</v>
      </c>
      <c r="J1451">
        <v>23</v>
      </c>
      <c r="K1451">
        <v>141.44999999999999</v>
      </c>
      <c r="L1451">
        <v>3457</v>
      </c>
      <c r="M1451">
        <v>3463</v>
      </c>
      <c r="N1451">
        <v>6</v>
      </c>
      <c r="O1451">
        <v>0.26086956521739102</v>
      </c>
    </row>
    <row r="1452" spans="1:15" x14ac:dyDescent="0.25">
      <c r="A1452">
        <v>5</v>
      </c>
      <c r="B1452">
        <v>100282</v>
      </c>
      <c r="C1452" t="s">
        <v>5307</v>
      </c>
      <c r="D1452" t="s">
        <v>550</v>
      </c>
      <c r="E1452" t="s">
        <v>310</v>
      </c>
      <c r="F1452">
        <v>46212.995833333334</v>
      </c>
      <c r="G1452">
        <v>232</v>
      </c>
      <c r="H1452" t="s">
        <v>6155</v>
      </c>
      <c r="I1452" t="s">
        <v>5358</v>
      </c>
      <c r="J1452">
        <v>93</v>
      </c>
      <c r="K1452">
        <v>571.95000000000005</v>
      </c>
      <c r="L1452">
        <v>3463</v>
      </c>
      <c r="M1452">
        <v>3484</v>
      </c>
      <c r="N1452">
        <v>21</v>
      </c>
      <c r="O1452">
        <v>0.225806451612903</v>
      </c>
    </row>
    <row r="1453" spans="1:15" x14ac:dyDescent="0.25">
      <c r="A1453">
        <v>5</v>
      </c>
      <c r="B1453">
        <v>100282</v>
      </c>
      <c r="C1453" t="s">
        <v>5307</v>
      </c>
      <c r="D1453" t="s">
        <v>550</v>
      </c>
      <c r="E1453" t="s">
        <v>310</v>
      </c>
      <c r="F1453">
        <v>46224.907638888886</v>
      </c>
      <c r="G1453">
        <v>232</v>
      </c>
      <c r="H1453" t="s">
        <v>6155</v>
      </c>
      <c r="I1453" t="s">
        <v>5358</v>
      </c>
      <c r="J1453">
        <v>113</v>
      </c>
      <c r="K1453">
        <v>706.25</v>
      </c>
      <c r="L1453">
        <v>3484</v>
      </c>
      <c r="M1453">
        <v>3512</v>
      </c>
      <c r="N1453">
        <v>28</v>
      </c>
      <c r="O1453">
        <v>0.247787610619469</v>
      </c>
    </row>
    <row r="1454" spans="1:15" x14ac:dyDescent="0.25">
      <c r="A1454">
        <v>5</v>
      </c>
      <c r="B1454">
        <v>100288</v>
      </c>
      <c r="C1454" t="s">
        <v>5317</v>
      </c>
      <c r="D1454" t="s">
        <v>250</v>
      </c>
      <c r="E1454" t="s">
        <v>6231</v>
      </c>
      <c r="F1454">
        <v>46204.77847222222</v>
      </c>
      <c r="G1454">
        <v>264</v>
      </c>
      <c r="H1454" t="s">
        <v>6152</v>
      </c>
      <c r="I1454" t="s">
        <v>5358</v>
      </c>
      <c r="J1454">
        <v>171</v>
      </c>
      <c r="K1454">
        <v>1051.6500000000001</v>
      </c>
      <c r="L1454">
        <v>2055</v>
      </c>
      <c r="M1454">
        <v>2073</v>
      </c>
      <c r="N1454">
        <v>18</v>
      </c>
      <c r="O1454">
        <v>9.5</v>
      </c>
    </row>
    <row r="1455" spans="1:15" x14ac:dyDescent="0.25">
      <c r="A1455">
        <v>5</v>
      </c>
      <c r="B1455">
        <v>100288</v>
      </c>
      <c r="C1455" t="s">
        <v>5317</v>
      </c>
      <c r="D1455" t="s">
        <v>250</v>
      </c>
      <c r="E1455" t="s">
        <v>6231</v>
      </c>
      <c r="F1455">
        <v>46205.844444444447</v>
      </c>
      <c r="G1455">
        <v>264</v>
      </c>
      <c r="H1455" t="s">
        <v>6152</v>
      </c>
      <c r="I1455" t="s">
        <v>5358</v>
      </c>
      <c r="J1455">
        <v>90</v>
      </c>
      <c r="K1455">
        <v>553.5</v>
      </c>
      <c r="L1455">
        <v>2073</v>
      </c>
      <c r="M1455">
        <v>2083</v>
      </c>
      <c r="N1455">
        <v>10</v>
      </c>
      <c r="O1455">
        <v>9</v>
      </c>
    </row>
    <row r="1456" spans="1:15" x14ac:dyDescent="0.25">
      <c r="A1456">
        <v>5</v>
      </c>
      <c r="B1456">
        <v>100288</v>
      </c>
      <c r="C1456" t="s">
        <v>5317</v>
      </c>
      <c r="D1456" t="s">
        <v>250</v>
      </c>
      <c r="E1456" t="s">
        <v>6231</v>
      </c>
      <c r="F1456">
        <v>46210.629166666666</v>
      </c>
      <c r="G1456">
        <v>264</v>
      </c>
      <c r="H1456" t="s">
        <v>6152</v>
      </c>
      <c r="I1456" t="s">
        <v>5358</v>
      </c>
      <c r="J1456">
        <v>196</v>
      </c>
      <c r="K1456">
        <v>1205.4000000000001</v>
      </c>
      <c r="L1456">
        <v>2083</v>
      </c>
      <c r="M1456">
        <v>2102</v>
      </c>
      <c r="N1456">
        <v>19</v>
      </c>
      <c r="O1456">
        <v>10.3157894736842</v>
      </c>
    </row>
    <row r="1457" spans="1:15" x14ac:dyDescent="0.25">
      <c r="A1457">
        <v>5</v>
      </c>
      <c r="B1457">
        <v>100288</v>
      </c>
      <c r="C1457" t="s">
        <v>5317</v>
      </c>
      <c r="D1457" t="s">
        <v>250</v>
      </c>
      <c r="E1457" t="s">
        <v>6231</v>
      </c>
      <c r="F1457">
        <v>46213.843055555553</v>
      </c>
      <c r="G1457">
        <v>264</v>
      </c>
      <c r="H1457" t="s">
        <v>6152</v>
      </c>
      <c r="I1457" t="s">
        <v>5358</v>
      </c>
      <c r="J1457">
        <v>221</v>
      </c>
      <c r="K1457">
        <v>1359.15</v>
      </c>
      <c r="L1457">
        <v>2102</v>
      </c>
      <c r="M1457">
        <v>2129</v>
      </c>
      <c r="N1457">
        <v>27</v>
      </c>
      <c r="O1457">
        <v>8.1851851851851904</v>
      </c>
    </row>
    <row r="1458" spans="1:15" x14ac:dyDescent="0.25">
      <c r="A1458">
        <v>5</v>
      </c>
      <c r="B1458">
        <v>100288</v>
      </c>
      <c r="C1458" t="s">
        <v>5317</v>
      </c>
      <c r="D1458" t="s">
        <v>250</v>
      </c>
      <c r="E1458" t="s">
        <v>6231</v>
      </c>
      <c r="F1458">
        <v>46218.849305555559</v>
      </c>
      <c r="G1458">
        <v>264</v>
      </c>
      <c r="H1458" t="s">
        <v>6152</v>
      </c>
      <c r="I1458" t="s">
        <v>5358</v>
      </c>
      <c r="J1458">
        <v>234</v>
      </c>
      <c r="K1458">
        <v>1439.1</v>
      </c>
      <c r="L1458">
        <v>2129</v>
      </c>
      <c r="M1458">
        <v>2153</v>
      </c>
      <c r="N1458">
        <v>24</v>
      </c>
      <c r="O1458">
        <v>9.75</v>
      </c>
    </row>
    <row r="1459" spans="1:15" x14ac:dyDescent="0.25">
      <c r="A1459">
        <v>5</v>
      </c>
      <c r="B1459">
        <v>100288</v>
      </c>
      <c r="C1459" t="s">
        <v>5317</v>
      </c>
      <c r="D1459" t="s">
        <v>250</v>
      </c>
      <c r="E1459" t="s">
        <v>6231</v>
      </c>
      <c r="F1459">
        <v>46221.909722222219</v>
      </c>
      <c r="G1459">
        <v>264</v>
      </c>
      <c r="H1459" t="s">
        <v>6152</v>
      </c>
      <c r="I1459" t="s">
        <v>5358</v>
      </c>
      <c r="J1459">
        <v>220</v>
      </c>
      <c r="K1459">
        <v>1364</v>
      </c>
      <c r="L1459">
        <v>2153</v>
      </c>
      <c r="M1459">
        <v>2179</v>
      </c>
      <c r="N1459">
        <v>26</v>
      </c>
      <c r="O1459">
        <v>8.4615384615384599</v>
      </c>
    </row>
    <row r="1460" spans="1:15" x14ac:dyDescent="0.25">
      <c r="A1460">
        <v>5</v>
      </c>
      <c r="B1460">
        <v>100288</v>
      </c>
      <c r="C1460" t="s">
        <v>5317</v>
      </c>
      <c r="D1460" t="s">
        <v>250</v>
      </c>
      <c r="E1460" t="s">
        <v>6231</v>
      </c>
      <c r="F1460">
        <v>46223.863888888889</v>
      </c>
      <c r="G1460">
        <v>264</v>
      </c>
      <c r="H1460" t="s">
        <v>6152</v>
      </c>
      <c r="I1460" t="s">
        <v>5358</v>
      </c>
      <c r="J1460">
        <v>114</v>
      </c>
      <c r="K1460">
        <v>719.34</v>
      </c>
      <c r="L1460">
        <v>2179</v>
      </c>
      <c r="M1460">
        <v>2188</v>
      </c>
      <c r="N1460">
        <v>9</v>
      </c>
      <c r="O1460">
        <v>12.6666666666667</v>
      </c>
    </row>
    <row r="1461" spans="1:15" x14ac:dyDescent="0.25">
      <c r="A1461">
        <v>5</v>
      </c>
      <c r="B1461">
        <v>100288</v>
      </c>
      <c r="C1461" t="s">
        <v>5317</v>
      </c>
      <c r="D1461" t="s">
        <v>250</v>
      </c>
      <c r="E1461" t="s">
        <v>6231</v>
      </c>
      <c r="F1461">
        <v>46228.767361111109</v>
      </c>
      <c r="G1461">
        <v>264</v>
      </c>
      <c r="H1461" t="s">
        <v>6152</v>
      </c>
      <c r="I1461" t="s">
        <v>5358</v>
      </c>
      <c r="J1461">
        <v>224</v>
      </c>
      <c r="K1461">
        <v>1406.72</v>
      </c>
      <c r="L1461">
        <v>2188</v>
      </c>
      <c r="M1461">
        <v>2213</v>
      </c>
      <c r="N1461">
        <v>25</v>
      </c>
      <c r="O1461">
        <v>8.9600000000000009</v>
      </c>
    </row>
    <row r="1462" spans="1:15" x14ac:dyDescent="0.25">
      <c r="A1462">
        <v>5</v>
      </c>
      <c r="B1462">
        <v>100288</v>
      </c>
      <c r="C1462" t="s">
        <v>5317</v>
      </c>
      <c r="D1462" t="s">
        <v>250</v>
      </c>
      <c r="E1462" t="s">
        <v>6231</v>
      </c>
      <c r="F1462">
        <v>46232.881944444445</v>
      </c>
      <c r="G1462">
        <v>264</v>
      </c>
      <c r="H1462" t="s">
        <v>6152</v>
      </c>
      <c r="I1462" t="s">
        <v>5358</v>
      </c>
      <c r="J1462">
        <v>254</v>
      </c>
      <c r="K1462">
        <v>1595.12</v>
      </c>
      <c r="L1462">
        <v>2213</v>
      </c>
      <c r="M1462">
        <v>2235</v>
      </c>
      <c r="N1462">
        <v>22</v>
      </c>
      <c r="O1462">
        <v>11.545454545454501</v>
      </c>
    </row>
    <row r="1463" spans="1:15" x14ac:dyDescent="0.25">
      <c r="A1463">
        <v>5</v>
      </c>
      <c r="B1463">
        <v>100289</v>
      </c>
      <c r="C1463" t="s">
        <v>5345</v>
      </c>
      <c r="D1463" t="s">
        <v>571</v>
      </c>
      <c r="E1463" t="s">
        <v>438</v>
      </c>
      <c r="F1463">
        <v>46208.537499999999</v>
      </c>
      <c r="G1463">
        <v>232</v>
      </c>
      <c r="H1463" t="s">
        <v>6155</v>
      </c>
      <c r="I1463" t="s">
        <v>5358</v>
      </c>
      <c r="J1463">
        <v>225</v>
      </c>
      <c r="K1463">
        <v>1444.5</v>
      </c>
      <c r="L1463">
        <v>6005</v>
      </c>
      <c r="M1463">
        <v>6040</v>
      </c>
      <c r="N1463">
        <v>35</v>
      </c>
      <c r="O1463">
        <v>6.4285714285714297</v>
      </c>
    </row>
    <row r="1464" spans="1:15" x14ac:dyDescent="0.25">
      <c r="A1464">
        <v>5</v>
      </c>
      <c r="B1464">
        <v>100289</v>
      </c>
      <c r="C1464" t="s">
        <v>5345</v>
      </c>
      <c r="D1464" t="s">
        <v>571</v>
      </c>
      <c r="E1464" t="s">
        <v>438</v>
      </c>
      <c r="F1464">
        <v>46211.464583333334</v>
      </c>
      <c r="G1464">
        <v>232</v>
      </c>
      <c r="H1464" t="s">
        <v>6155</v>
      </c>
      <c r="I1464" t="s">
        <v>5358</v>
      </c>
      <c r="J1464">
        <v>112</v>
      </c>
      <c r="K1464">
        <v>688.8</v>
      </c>
      <c r="L1464">
        <v>6040</v>
      </c>
      <c r="M1464">
        <v>6048</v>
      </c>
      <c r="N1464">
        <v>8</v>
      </c>
      <c r="O1464">
        <v>14</v>
      </c>
    </row>
    <row r="1465" spans="1:15" x14ac:dyDescent="0.25">
      <c r="A1465">
        <v>5</v>
      </c>
      <c r="B1465">
        <v>100289</v>
      </c>
      <c r="C1465" t="s">
        <v>5345</v>
      </c>
      <c r="D1465" t="s">
        <v>571</v>
      </c>
      <c r="E1465" t="s">
        <v>438</v>
      </c>
      <c r="F1465">
        <v>46218.469444444447</v>
      </c>
      <c r="G1465">
        <v>129</v>
      </c>
      <c r="H1465" t="s">
        <v>6164</v>
      </c>
      <c r="I1465" t="s">
        <v>5358</v>
      </c>
      <c r="J1465">
        <v>180</v>
      </c>
      <c r="K1465">
        <v>1107</v>
      </c>
      <c r="L1465">
        <v>6048</v>
      </c>
      <c r="M1465">
        <v>6066</v>
      </c>
      <c r="N1465">
        <v>18</v>
      </c>
      <c r="O1465">
        <v>10</v>
      </c>
    </row>
    <row r="1466" spans="1:15" x14ac:dyDescent="0.25">
      <c r="A1466">
        <v>5</v>
      </c>
      <c r="B1466">
        <v>100289</v>
      </c>
      <c r="C1466" t="s">
        <v>5345</v>
      </c>
      <c r="D1466" t="s">
        <v>571</v>
      </c>
      <c r="E1466" t="s">
        <v>438</v>
      </c>
      <c r="F1466">
        <v>46229.761805555558</v>
      </c>
      <c r="G1466">
        <v>232</v>
      </c>
      <c r="H1466" t="s">
        <v>6155</v>
      </c>
      <c r="I1466" t="s">
        <v>5358</v>
      </c>
      <c r="J1466">
        <v>246</v>
      </c>
      <c r="K1466">
        <v>1549.8</v>
      </c>
      <c r="L1466">
        <v>6066</v>
      </c>
      <c r="M1466">
        <v>6089</v>
      </c>
      <c r="N1466">
        <v>23</v>
      </c>
      <c r="O1466">
        <v>10.695652173913</v>
      </c>
    </row>
    <row r="1467" spans="1:15" x14ac:dyDescent="0.25">
      <c r="A1467">
        <v>5</v>
      </c>
      <c r="B1467">
        <v>100295</v>
      </c>
      <c r="C1467" t="s">
        <v>5342</v>
      </c>
      <c r="D1467" t="s">
        <v>5343</v>
      </c>
      <c r="E1467" t="s">
        <v>6232</v>
      </c>
      <c r="F1467">
        <v>46207.602777777778</v>
      </c>
      <c r="G1467">
        <v>232</v>
      </c>
      <c r="H1467" t="s">
        <v>6155</v>
      </c>
      <c r="I1467" t="s">
        <v>5358</v>
      </c>
      <c r="J1467">
        <v>255</v>
      </c>
      <c r="K1467">
        <v>1568.25</v>
      </c>
      <c r="L1467">
        <v>12976</v>
      </c>
      <c r="M1467">
        <v>13053</v>
      </c>
      <c r="N1467">
        <v>77</v>
      </c>
      <c r="O1467">
        <v>0.30196078431372497</v>
      </c>
    </row>
    <row r="1468" spans="1:15" x14ac:dyDescent="0.25">
      <c r="A1468">
        <v>5</v>
      </c>
      <c r="B1468">
        <v>100301</v>
      </c>
      <c r="C1468" t="s">
        <v>5321</v>
      </c>
      <c r="D1468" t="s">
        <v>498</v>
      </c>
      <c r="E1468" t="s">
        <v>6233</v>
      </c>
      <c r="F1468">
        <v>46205.455555555556</v>
      </c>
      <c r="G1468">
        <v>232</v>
      </c>
      <c r="H1468" t="s">
        <v>6155</v>
      </c>
      <c r="I1468" t="s">
        <v>5358</v>
      </c>
      <c r="J1468">
        <v>88</v>
      </c>
      <c r="K1468">
        <v>541.20000000000005</v>
      </c>
      <c r="L1468">
        <v>1588</v>
      </c>
      <c r="M1468">
        <v>1594</v>
      </c>
      <c r="N1468">
        <v>6</v>
      </c>
      <c r="O1468">
        <v>14.6666666666667</v>
      </c>
    </row>
    <row r="1469" spans="1:15" x14ac:dyDescent="0.25">
      <c r="A1469">
        <v>5</v>
      </c>
      <c r="B1469">
        <v>100301</v>
      </c>
      <c r="C1469" t="s">
        <v>5321</v>
      </c>
      <c r="D1469" t="s">
        <v>498</v>
      </c>
      <c r="E1469" t="s">
        <v>6233</v>
      </c>
      <c r="F1469">
        <v>46213.072222222225</v>
      </c>
      <c r="G1469">
        <v>232</v>
      </c>
      <c r="H1469" t="s">
        <v>6155</v>
      </c>
      <c r="I1469" t="s">
        <v>5358</v>
      </c>
      <c r="J1469">
        <v>113</v>
      </c>
      <c r="K1469">
        <v>694.95</v>
      </c>
      <c r="L1469">
        <v>1594</v>
      </c>
      <c r="M1469">
        <v>1604</v>
      </c>
      <c r="N1469">
        <v>10</v>
      </c>
      <c r="O1469">
        <v>11.3</v>
      </c>
    </row>
    <row r="1470" spans="1:15" x14ac:dyDescent="0.25">
      <c r="A1470">
        <v>5</v>
      </c>
      <c r="B1470">
        <v>100301</v>
      </c>
      <c r="C1470" t="s">
        <v>5321</v>
      </c>
      <c r="D1470" t="s">
        <v>498</v>
      </c>
      <c r="E1470" t="s">
        <v>6233</v>
      </c>
      <c r="F1470">
        <v>46214.011805555558</v>
      </c>
      <c r="G1470">
        <v>232</v>
      </c>
      <c r="H1470" t="s">
        <v>6155</v>
      </c>
      <c r="I1470" t="s">
        <v>5358</v>
      </c>
      <c r="J1470">
        <v>99</v>
      </c>
      <c r="K1470">
        <v>608.85</v>
      </c>
      <c r="L1470">
        <v>1604</v>
      </c>
      <c r="M1470">
        <v>1611</v>
      </c>
      <c r="N1470">
        <v>7</v>
      </c>
      <c r="O1470">
        <v>14.1428571428571</v>
      </c>
    </row>
    <row r="1471" spans="1:15" x14ac:dyDescent="0.25">
      <c r="A1471">
        <v>5</v>
      </c>
      <c r="B1471">
        <v>100301</v>
      </c>
      <c r="C1471" t="s">
        <v>5321</v>
      </c>
      <c r="D1471" t="s">
        <v>498</v>
      </c>
      <c r="E1471" t="s">
        <v>6233</v>
      </c>
      <c r="F1471">
        <v>46215.934027777781</v>
      </c>
      <c r="G1471">
        <v>232</v>
      </c>
      <c r="H1471" t="s">
        <v>6155</v>
      </c>
      <c r="I1471" t="s">
        <v>5358</v>
      </c>
      <c r="J1471">
        <v>82</v>
      </c>
      <c r="K1471">
        <v>504.3</v>
      </c>
      <c r="L1471">
        <v>1611</v>
      </c>
      <c r="M1471">
        <v>1617</v>
      </c>
      <c r="N1471">
        <v>6</v>
      </c>
      <c r="O1471">
        <v>13.6666666666667</v>
      </c>
    </row>
    <row r="1472" spans="1:15" x14ac:dyDescent="0.25">
      <c r="A1472">
        <v>5</v>
      </c>
      <c r="B1472">
        <v>100301</v>
      </c>
      <c r="C1472" t="s">
        <v>5321</v>
      </c>
      <c r="D1472" t="s">
        <v>498</v>
      </c>
      <c r="E1472" t="s">
        <v>6233</v>
      </c>
      <c r="F1472">
        <v>46216.976388888892</v>
      </c>
      <c r="G1472">
        <v>232</v>
      </c>
      <c r="H1472" t="s">
        <v>6155</v>
      </c>
      <c r="I1472" t="s">
        <v>5358</v>
      </c>
      <c r="J1472">
        <v>140</v>
      </c>
      <c r="K1472">
        <v>861</v>
      </c>
      <c r="L1472">
        <v>1617</v>
      </c>
      <c r="M1472">
        <v>1626</v>
      </c>
      <c r="N1472">
        <v>9</v>
      </c>
      <c r="O1472">
        <v>15.5555555555556</v>
      </c>
    </row>
    <row r="1473" spans="1:15" x14ac:dyDescent="0.25">
      <c r="A1473">
        <v>5</v>
      </c>
      <c r="B1473">
        <v>100301</v>
      </c>
      <c r="C1473" t="s">
        <v>5321</v>
      </c>
      <c r="D1473" t="s">
        <v>498</v>
      </c>
      <c r="E1473" t="s">
        <v>6233</v>
      </c>
      <c r="F1473">
        <v>46217.487500000003</v>
      </c>
      <c r="G1473">
        <v>232</v>
      </c>
      <c r="H1473" t="s">
        <v>6155</v>
      </c>
      <c r="I1473" t="s">
        <v>5358</v>
      </c>
      <c r="J1473">
        <v>122</v>
      </c>
      <c r="K1473">
        <v>750.3</v>
      </c>
      <c r="L1473">
        <v>1626</v>
      </c>
      <c r="M1473">
        <v>1635</v>
      </c>
      <c r="N1473">
        <v>9</v>
      </c>
      <c r="O1473">
        <v>13.5555555555556</v>
      </c>
    </row>
    <row r="1474" spans="1:15" x14ac:dyDescent="0.25">
      <c r="A1474">
        <v>5</v>
      </c>
      <c r="B1474">
        <v>100301</v>
      </c>
      <c r="C1474" t="s">
        <v>5321</v>
      </c>
      <c r="D1474" t="s">
        <v>498</v>
      </c>
      <c r="E1474" t="s">
        <v>6233</v>
      </c>
      <c r="F1474">
        <v>46218.113888888889</v>
      </c>
      <c r="G1474">
        <v>232</v>
      </c>
      <c r="H1474" t="s">
        <v>6155</v>
      </c>
      <c r="I1474" t="s">
        <v>5358</v>
      </c>
      <c r="J1474">
        <v>148</v>
      </c>
      <c r="K1474">
        <v>910.2</v>
      </c>
      <c r="L1474">
        <v>1635</v>
      </c>
      <c r="M1474">
        <v>1643</v>
      </c>
      <c r="N1474">
        <v>8</v>
      </c>
      <c r="O1474">
        <v>18.5</v>
      </c>
    </row>
    <row r="1475" spans="1:15" x14ac:dyDescent="0.25">
      <c r="A1475">
        <v>5</v>
      </c>
      <c r="B1475">
        <v>100301</v>
      </c>
      <c r="C1475" t="s">
        <v>5321</v>
      </c>
      <c r="D1475" t="s">
        <v>498</v>
      </c>
      <c r="E1475" t="s">
        <v>6233</v>
      </c>
      <c r="F1475">
        <v>46219.116666666669</v>
      </c>
      <c r="G1475">
        <v>232</v>
      </c>
      <c r="H1475" t="s">
        <v>6155</v>
      </c>
      <c r="I1475" t="s">
        <v>5358</v>
      </c>
      <c r="J1475">
        <v>147</v>
      </c>
      <c r="K1475">
        <v>904.05</v>
      </c>
      <c r="L1475">
        <v>1643</v>
      </c>
      <c r="M1475">
        <v>1654</v>
      </c>
      <c r="N1475">
        <v>11</v>
      </c>
      <c r="O1475">
        <v>13.363636363636401</v>
      </c>
    </row>
    <row r="1476" spans="1:15" x14ac:dyDescent="0.25">
      <c r="A1476">
        <v>5</v>
      </c>
      <c r="B1476">
        <v>100301</v>
      </c>
      <c r="C1476" t="s">
        <v>5321</v>
      </c>
      <c r="D1476" t="s">
        <v>498</v>
      </c>
      <c r="E1476" t="s">
        <v>6233</v>
      </c>
      <c r="F1476">
        <v>46220.029166666667</v>
      </c>
      <c r="G1476">
        <v>232</v>
      </c>
      <c r="H1476" t="s">
        <v>6155</v>
      </c>
      <c r="I1476" t="s">
        <v>5358</v>
      </c>
      <c r="J1476">
        <v>132</v>
      </c>
      <c r="K1476">
        <v>811.8</v>
      </c>
      <c r="L1476">
        <v>1654</v>
      </c>
      <c r="M1476">
        <v>1663</v>
      </c>
      <c r="N1476">
        <v>9</v>
      </c>
      <c r="O1476">
        <v>14.6666666666667</v>
      </c>
    </row>
    <row r="1477" spans="1:15" x14ac:dyDescent="0.25">
      <c r="A1477">
        <v>5</v>
      </c>
      <c r="B1477">
        <v>100301</v>
      </c>
      <c r="C1477" t="s">
        <v>5321</v>
      </c>
      <c r="D1477" t="s">
        <v>498</v>
      </c>
      <c r="E1477" t="s">
        <v>6233</v>
      </c>
      <c r="F1477">
        <v>46221.927083333336</v>
      </c>
      <c r="G1477">
        <v>232</v>
      </c>
      <c r="H1477" t="s">
        <v>6155</v>
      </c>
      <c r="I1477" t="s">
        <v>5358</v>
      </c>
      <c r="J1477">
        <v>127</v>
      </c>
      <c r="K1477">
        <v>781.05</v>
      </c>
      <c r="L1477">
        <v>1663</v>
      </c>
      <c r="M1477">
        <v>1671</v>
      </c>
      <c r="N1477">
        <v>8</v>
      </c>
      <c r="O1477">
        <v>15.875</v>
      </c>
    </row>
    <row r="1478" spans="1:15" x14ac:dyDescent="0.25">
      <c r="A1478">
        <v>5</v>
      </c>
      <c r="B1478">
        <v>100301</v>
      </c>
      <c r="C1478" t="s">
        <v>5321</v>
      </c>
      <c r="D1478" t="s">
        <v>498</v>
      </c>
      <c r="E1478" t="s">
        <v>6233</v>
      </c>
      <c r="F1478">
        <v>46222.061111111114</v>
      </c>
      <c r="G1478">
        <v>232</v>
      </c>
      <c r="H1478" t="s">
        <v>6155</v>
      </c>
      <c r="I1478" t="s">
        <v>5358</v>
      </c>
      <c r="J1478">
        <v>133</v>
      </c>
      <c r="K1478">
        <v>837.9</v>
      </c>
      <c r="L1478">
        <v>1671</v>
      </c>
      <c r="M1478">
        <v>1680</v>
      </c>
      <c r="N1478">
        <v>9</v>
      </c>
      <c r="O1478">
        <v>14.7777777777778</v>
      </c>
    </row>
    <row r="1479" spans="1:15" x14ac:dyDescent="0.25">
      <c r="A1479">
        <v>5</v>
      </c>
      <c r="B1479">
        <v>100301</v>
      </c>
      <c r="C1479" t="s">
        <v>5321</v>
      </c>
      <c r="D1479" t="s">
        <v>498</v>
      </c>
      <c r="E1479" t="s">
        <v>6233</v>
      </c>
      <c r="F1479">
        <v>46223.093055555553</v>
      </c>
      <c r="G1479">
        <v>232</v>
      </c>
      <c r="H1479" t="s">
        <v>6155</v>
      </c>
      <c r="I1479" t="s">
        <v>5358</v>
      </c>
      <c r="J1479">
        <v>107</v>
      </c>
      <c r="K1479">
        <v>668.75</v>
      </c>
      <c r="L1479">
        <v>1680</v>
      </c>
      <c r="M1479">
        <v>1687</v>
      </c>
      <c r="N1479">
        <v>7</v>
      </c>
      <c r="O1479">
        <v>15.285714285714301</v>
      </c>
    </row>
    <row r="1480" spans="1:15" x14ac:dyDescent="0.25">
      <c r="A1480">
        <v>5</v>
      </c>
      <c r="B1480">
        <v>100301</v>
      </c>
      <c r="C1480" t="s">
        <v>5321</v>
      </c>
      <c r="D1480" t="s">
        <v>498</v>
      </c>
      <c r="E1480" t="s">
        <v>6233</v>
      </c>
      <c r="F1480">
        <v>46225.022222222222</v>
      </c>
      <c r="G1480">
        <v>232</v>
      </c>
      <c r="H1480" t="s">
        <v>6155</v>
      </c>
      <c r="I1480" t="s">
        <v>5358</v>
      </c>
      <c r="J1480">
        <v>89</v>
      </c>
      <c r="K1480">
        <v>556.25</v>
      </c>
      <c r="L1480">
        <v>1687</v>
      </c>
      <c r="M1480">
        <v>1692</v>
      </c>
      <c r="N1480">
        <v>5</v>
      </c>
      <c r="O1480">
        <v>17.8</v>
      </c>
    </row>
    <row r="1481" spans="1:15" x14ac:dyDescent="0.25">
      <c r="A1481">
        <v>5</v>
      </c>
      <c r="B1481">
        <v>100301</v>
      </c>
      <c r="C1481" t="s">
        <v>5321</v>
      </c>
      <c r="D1481" t="s">
        <v>498</v>
      </c>
      <c r="E1481" t="s">
        <v>6233</v>
      </c>
      <c r="F1481">
        <v>46227.072916666664</v>
      </c>
      <c r="G1481">
        <v>232</v>
      </c>
      <c r="H1481" t="s">
        <v>6155</v>
      </c>
      <c r="I1481" t="s">
        <v>5358</v>
      </c>
      <c r="J1481">
        <v>115</v>
      </c>
      <c r="K1481">
        <v>718.75</v>
      </c>
      <c r="L1481">
        <v>1692</v>
      </c>
      <c r="M1481">
        <v>1702</v>
      </c>
      <c r="N1481">
        <v>10</v>
      </c>
      <c r="O1481">
        <v>11.5</v>
      </c>
    </row>
    <row r="1482" spans="1:15" x14ac:dyDescent="0.25">
      <c r="A1482">
        <v>5</v>
      </c>
      <c r="B1482">
        <v>100301</v>
      </c>
      <c r="C1482" t="s">
        <v>5321</v>
      </c>
      <c r="D1482" t="s">
        <v>498</v>
      </c>
      <c r="E1482" t="s">
        <v>6233</v>
      </c>
      <c r="F1482">
        <v>46228.977083333331</v>
      </c>
      <c r="G1482">
        <v>232</v>
      </c>
      <c r="H1482" t="s">
        <v>6155</v>
      </c>
      <c r="I1482" t="s">
        <v>5358</v>
      </c>
      <c r="J1482">
        <v>140</v>
      </c>
      <c r="K1482">
        <v>875</v>
      </c>
      <c r="L1482">
        <v>1702</v>
      </c>
      <c r="M1482">
        <v>1712</v>
      </c>
      <c r="N1482">
        <v>10</v>
      </c>
      <c r="O1482">
        <v>14</v>
      </c>
    </row>
    <row r="1483" spans="1:15" x14ac:dyDescent="0.25">
      <c r="A1483">
        <v>5</v>
      </c>
      <c r="B1483">
        <v>100301</v>
      </c>
      <c r="C1483" t="s">
        <v>5321</v>
      </c>
      <c r="D1483" t="s">
        <v>498</v>
      </c>
      <c r="E1483" t="s">
        <v>6233</v>
      </c>
      <c r="F1483">
        <v>46229.018055555556</v>
      </c>
      <c r="G1483">
        <v>232</v>
      </c>
      <c r="H1483" t="s">
        <v>6155</v>
      </c>
      <c r="I1483" t="s">
        <v>5358</v>
      </c>
      <c r="J1483">
        <v>124</v>
      </c>
      <c r="K1483">
        <v>781.2</v>
      </c>
      <c r="L1483">
        <v>1712</v>
      </c>
      <c r="M1483">
        <v>1720</v>
      </c>
      <c r="N1483">
        <v>8</v>
      </c>
      <c r="O1483">
        <v>15.5</v>
      </c>
    </row>
    <row r="1484" spans="1:15" x14ac:dyDescent="0.25">
      <c r="A1484">
        <v>5</v>
      </c>
      <c r="B1484">
        <v>100301</v>
      </c>
      <c r="C1484" t="s">
        <v>5321</v>
      </c>
      <c r="D1484" t="s">
        <v>498</v>
      </c>
      <c r="E1484" t="s">
        <v>6233</v>
      </c>
      <c r="F1484">
        <v>46230.993055555555</v>
      </c>
      <c r="G1484">
        <v>232</v>
      </c>
      <c r="H1484" t="s">
        <v>6155</v>
      </c>
      <c r="I1484" t="s">
        <v>5358</v>
      </c>
      <c r="J1484">
        <v>75</v>
      </c>
      <c r="K1484">
        <v>468.75</v>
      </c>
      <c r="L1484">
        <v>1720</v>
      </c>
      <c r="M1484">
        <v>1725</v>
      </c>
      <c r="N1484">
        <v>5</v>
      </c>
      <c r="O1484">
        <v>15</v>
      </c>
    </row>
    <row r="1485" spans="1:15" x14ac:dyDescent="0.25">
      <c r="A1485">
        <v>5</v>
      </c>
      <c r="B1485">
        <v>100301</v>
      </c>
      <c r="C1485" t="s">
        <v>5321</v>
      </c>
      <c r="D1485" t="s">
        <v>498</v>
      </c>
      <c r="E1485" t="s">
        <v>6233</v>
      </c>
      <c r="F1485">
        <v>46231.029166666667</v>
      </c>
      <c r="G1485">
        <v>232</v>
      </c>
      <c r="H1485" t="s">
        <v>6155</v>
      </c>
      <c r="I1485" t="s">
        <v>5358</v>
      </c>
      <c r="J1485">
        <v>126</v>
      </c>
      <c r="K1485">
        <v>787.5</v>
      </c>
      <c r="L1485">
        <v>1725</v>
      </c>
      <c r="M1485">
        <v>1734</v>
      </c>
      <c r="N1485">
        <v>9</v>
      </c>
      <c r="O1485">
        <v>14</v>
      </c>
    </row>
    <row r="1486" spans="1:15" x14ac:dyDescent="0.25">
      <c r="A1486">
        <v>5</v>
      </c>
      <c r="B1486">
        <v>100301</v>
      </c>
      <c r="C1486" t="s">
        <v>5321</v>
      </c>
      <c r="D1486" t="s">
        <v>498</v>
      </c>
      <c r="E1486" t="s">
        <v>6233</v>
      </c>
      <c r="F1486">
        <v>46232.972916666666</v>
      </c>
      <c r="G1486">
        <v>232</v>
      </c>
      <c r="H1486" t="s">
        <v>6155</v>
      </c>
      <c r="I1486" t="s">
        <v>5358</v>
      </c>
      <c r="J1486">
        <v>108</v>
      </c>
      <c r="K1486">
        <v>675</v>
      </c>
      <c r="L1486">
        <v>1734</v>
      </c>
      <c r="M1486">
        <v>1741</v>
      </c>
      <c r="N1486">
        <v>7</v>
      </c>
      <c r="O1486">
        <v>15.4285714285714</v>
      </c>
    </row>
    <row r="1487" spans="1:15" x14ac:dyDescent="0.25">
      <c r="A1487">
        <v>5</v>
      </c>
      <c r="B1487">
        <v>100301</v>
      </c>
      <c r="C1487" t="s">
        <v>5321</v>
      </c>
      <c r="D1487" t="s">
        <v>498</v>
      </c>
      <c r="E1487" t="s">
        <v>6233</v>
      </c>
      <c r="F1487">
        <v>46234.072222222225</v>
      </c>
      <c r="G1487">
        <v>232</v>
      </c>
      <c r="H1487" t="s">
        <v>6155</v>
      </c>
      <c r="I1487" t="s">
        <v>5358</v>
      </c>
      <c r="J1487">
        <v>166</v>
      </c>
      <c r="K1487">
        <v>1037.5</v>
      </c>
      <c r="L1487">
        <v>1741</v>
      </c>
      <c r="M1487">
        <v>1753</v>
      </c>
      <c r="N1487">
        <v>12</v>
      </c>
      <c r="O1487">
        <v>13.8333333333333</v>
      </c>
    </row>
    <row r="1488" spans="1:15" x14ac:dyDescent="0.25">
      <c r="A1488">
        <v>5</v>
      </c>
      <c r="B1488">
        <v>100302</v>
      </c>
      <c r="C1488" t="s">
        <v>5329</v>
      </c>
      <c r="D1488" t="s">
        <v>322</v>
      </c>
      <c r="E1488" t="s">
        <v>310</v>
      </c>
      <c r="F1488">
        <v>46205.468055555553</v>
      </c>
      <c r="G1488">
        <v>232</v>
      </c>
      <c r="H1488" t="s">
        <v>6155</v>
      </c>
      <c r="I1488" t="s">
        <v>5358</v>
      </c>
      <c r="J1488">
        <v>155</v>
      </c>
      <c r="K1488">
        <v>953.25</v>
      </c>
      <c r="L1488">
        <v>639</v>
      </c>
      <c r="M1488">
        <v>671</v>
      </c>
      <c r="N1488">
        <v>32</v>
      </c>
      <c r="O1488">
        <v>4.84375</v>
      </c>
    </row>
    <row r="1489" spans="1:15" x14ac:dyDescent="0.25">
      <c r="A1489">
        <v>5</v>
      </c>
      <c r="B1489">
        <v>100302</v>
      </c>
      <c r="C1489" t="s">
        <v>5329</v>
      </c>
      <c r="D1489" t="s">
        <v>322</v>
      </c>
      <c r="E1489" t="s">
        <v>310</v>
      </c>
      <c r="F1489">
        <v>46208.958333333336</v>
      </c>
      <c r="G1489">
        <v>232</v>
      </c>
      <c r="H1489" t="s">
        <v>6155</v>
      </c>
      <c r="I1489" t="s">
        <v>5358</v>
      </c>
      <c r="J1489">
        <v>98</v>
      </c>
      <c r="K1489">
        <v>629.16</v>
      </c>
      <c r="L1489">
        <v>671</v>
      </c>
      <c r="M1489">
        <v>694</v>
      </c>
      <c r="N1489">
        <v>23</v>
      </c>
      <c r="O1489">
        <v>4.2608695652173898</v>
      </c>
    </row>
    <row r="1490" spans="1:15" x14ac:dyDescent="0.25">
      <c r="A1490">
        <v>5</v>
      </c>
      <c r="B1490">
        <v>100302</v>
      </c>
      <c r="C1490" t="s">
        <v>5329</v>
      </c>
      <c r="D1490" t="s">
        <v>322</v>
      </c>
      <c r="E1490" t="s">
        <v>310</v>
      </c>
      <c r="F1490">
        <v>46209.931944444441</v>
      </c>
      <c r="G1490">
        <v>232</v>
      </c>
      <c r="H1490" t="s">
        <v>6155</v>
      </c>
      <c r="I1490" t="s">
        <v>5358</v>
      </c>
      <c r="J1490">
        <v>64</v>
      </c>
      <c r="K1490">
        <v>393.6</v>
      </c>
      <c r="L1490">
        <v>694</v>
      </c>
      <c r="M1490">
        <v>707</v>
      </c>
      <c r="N1490">
        <v>13</v>
      </c>
      <c r="O1490">
        <v>4.9230769230769198</v>
      </c>
    </row>
    <row r="1491" spans="1:15" x14ac:dyDescent="0.25">
      <c r="A1491">
        <v>5</v>
      </c>
      <c r="B1491">
        <v>100302</v>
      </c>
      <c r="C1491" t="s">
        <v>5329</v>
      </c>
      <c r="D1491" t="s">
        <v>322</v>
      </c>
      <c r="E1491" t="s">
        <v>310</v>
      </c>
      <c r="F1491">
        <v>46210.979861111111</v>
      </c>
      <c r="G1491">
        <v>232</v>
      </c>
      <c r="H1491" t="s">
        <v>6155</v>
      </c>
      <c r="I1491" t="s">
        <v>5358</v>
      </c>
      <c r="J1491">
        <v>58</v>
      </c>
      <c r="K1491">
        <v>356.7</v>
      </c>
      <c r="L1491">
        <v>707</v>
      </c>
      <c r="M1491">
        <v>719</v>
      </c>
      <c r="N1491">
        <v>12</v>
      </c>
      <c r="O1491">
        <v>4.8333333333333304</v>
      </c>
    </row>
    <row r="1492" spans="1:15" x14ac:dyDescent="0.25">
      <c r="A1492">
        <v>5</v>
      </c>
      <c r="B1492">
        <v>100302</v>
      </c>
      <c r="C1492" t="s">
        <v>5329</v>
      </c>
      <c r="D1492" t="s">
        <v>322</v>
      </c>
      <c r="E1492" t="s">
        <v>310</v>
      </c>
      <c r="F1492">
        <v>46234.074305555558</v>
      </c>
      <c r="G1492">
        <v>232</v>
      </c>
      <c r="H1492" t="s">
        <v>6155</v>
      </c>
      <c r="I1492" t="s">
        <v>5358</v>
      </c>
      <c r="J1492">
        <v>63</v>
      </c>
      <c r="K1492">
        <v>393.75</v>
      </c>
      <c r="L1492">
        <v>719</v>
      </c>
      <c r="M1492">
        <v>990</v>
      </c>
      <c r="N1492">
        <v>271</v>
      </c>
      <c r="O1492">
        <v>0.232472324723247</v>
      </c>
    </row>
    <row r="1493" spans="1:15" x14ac:dyDescent="0.25">
      <c r="A1493">
        <v>5</v>
      </c>
      <c r="B1493">
        <v>100307</v>
      </c>
      <c r="C1493" t="s">
        <v>5353</v>
      </c>
      <c r="D1493" t="s">
        <v>688</v>
      </c>
      <c r="E1493" t="s">
        <v>6234</v>
      </c>
      <c r="F1493">
        <v>46214.651388888888</v>
      </c>
      <c r="G1493">
        <v>264</v>
      </c>
      <c r="H1493" t="s">
        <v>6152</v>
      </c>
      <c r="I1493" t="s">
        <v>5358</v>
      </c>
      <c r="J1493">
        <v>83</v>
      </c>
      <c r="K1493">
        <v>510.45</v>
      </c>
      <c r="L1493">
        <v>10798</v>
      </c>
      <c r="M1493">
        <v>1157</v>
      </c>
      <c r="N1493">
        <v>0</v>
      </c>
      <c r="O1493">
        <v>0</v>
      </c>
    </row>
    <row r="1494" spans="1:15" x14ac:dyDescent="0.25">
      <c r="A1494">
        <v>5</v>
      </c>
      <c r="B1494">
        <v>100307</v>
      </c>
      <c r="C1494" t="s">
        <v>5353</v>
      </c>
      <c r="D1494" t="s">
        <v>688</v>
      </c>
      <c r="E1494" t="s">
        <v>6234</v>
      </c>
      <c r="F1494">
        <v>46222.724305555559</v>
      </c>
      <c r="G1494">
        <v>264</v>
      </c>
      <c r="H1494" t="s">
        <v>6152</v>
      </c>
      <c r="I1494" t="s">
        <v>5358</v>
      </c>
      <c r="J1494">
        <v>172</v>
      </c>
      <c r="K1494">
        <v>1066.4000000000001</v>
      </c>
      <c r="L1494">
        <v>1157</v>
      </c>
      <c r="M1494">
        <v>1173</v>
      </c>
      <c r="N1494">
        <v>16</v>
      </c>
      <c r="O1494">
        <v>9.3023255813953501E-2</v>
      </c>
    </row>
    <row r="1495" spans="1:15" x14ac:dyDescent="0.25">
      <c r="A1495">
        <v>5</v>
      </c>
      <c r="B1495">
        <v>100307</v>
      </c>
      <c r="C1495" t="s">
        <v>5353</v>
      </c>
      <c r="D1495" t="s">
        <v>688</v>
      </c>
      <c r="E1495" t="s">
        <v>6234</v>
      </c>
      <c r="F1495">
        <v>46231.929861111108</v>
      </c>
      <c r="G1495">
        <v>264</v>
      </c>
      <c r="H1495" t="s">
        <v>6152</v>
      </c>
      <c r="I1495" t="s">
        <v>5358</v>
      </c>
      <c r="J1495">
        <v>51</v>
      </c>
      <c r="K1495">
        <v>320.27999999999997</v>
      </c>
      <c r="L1495">
        <v>1173</v>
      </c>
      <c r="M1495">
        <v>1179</v>
      </c>
      <c r="N1495">
        <v>6</v>
      </c>
      <c r="O1495">
        <v>0.11764705882352899</v>
      </c>
    </row>
    <row r="1496" spans="1:15" x14ac:dyDescent="0.25">
      <c r="A1496">
        <v>5</v>
      </c>
      <c r="B1496">
        <v>100307</v>
      </c>
      <c r="C1496" t="s">
        <v>5353</v>
      </c>
      <c r="D1496" t="s">
        <v>688</v>
      </c>
      <c r="E1496" t="s">
        <v>6234</v>
      </c>
      <c r="F1496">
        <v>46232.881249999999</v>
      </c>
      <c r="G1496">
        <v>264</v>
      </c>
      <c r="H1496" t="s">
        <v>6152</v>
      </c>
      <c r="I1496" t="s">
        <v>5358</v>
      </c>
      <c r="J1496">
        <v>11</v>
      </c>
      <c r="K1496">
        <v>69.08</v>
      </c>
      <c r="L1496">
        <v>1179</v>
      </c>
      <c r="M1496">
        <v>1182</v>
      </c>
      <c r="N1496">
        <v>3</v>
      </c>
      <c r="O1496">
        <v>0.27272727272727298</v>
      </c>
    </row>
    <row r="1497" spans="1:15" x14ac:dyDescent="0.25">
      <c r="A1497">
        <v>5</v>
      </c>
      <c r="B1497">
        <v>100307</v>
      </c>
      <c r="C1497" t="s">
        <v>5353</v>
      </c>
      <c r="D1497" t="s">
        <v>688</v>
      </c>
      <c r="E1497" t="s">
        <v>6234</v>
      </c>
      <c r="F1497">
        <v>46232.881944444445</v>
      </c>
      <c r="G1497">
        <v>264</v>
      </c>
      <c r="H1497" t="s">
        <v>6152</v>
      </c>
      <c r="I1497" t="s">
        <v>5358</v>
      </c>
      <c r="J1497">
        <v>101</v>
      </c>
      <c r="K1497">
        <v>634.28</v>
      </c>
      <c r="L1497">
        <v>1182</v>
      </c>
      <c r="M1497">
        <v>1185</v>
      </c>
      <c r="N1497">
        <v>3</v>
      </c>
      <c r="O1497">
        <v>2.9702970297029702E-2</v>
      </c>
    </row>
    <row r="1498" spans="1:15" x14ac:dyDescent="0.25">
      <c r="A1498">
        <v>5</v>
      </c>
      <c r="B1498">
        <v>100307</v>
      </c>
      <c r="C1498" t="s">
        <v>5353</v>
      </c>
      <c r="D1498" t="s">
        <v>688</v>
      </c>
      <c r="E1498" t="s">
        <v>6234</v>
      </c>
      <c r="F1498">
        <v>46233.850694444445</v>
      </c>
      <c r="G1498">
        <v>264</v>
      </c>
      <c r="H1498" t="s">
        <v>6152</v>
      </c>
      <c r="I1498" t="s">
        <v>5358</v>
      </c>
      <c r="J1498">
        <v>39</v>
      </c>
      <c r="K1498">
        <v>244.92</v>
      </c>
      <c r="L1498">
        <v>1185</v>
      </c>
      <c r="M1498">
        <v>1190</v>
      </c>
      <c r="N1498">
        <v>5</v>
      </c>
      <c r="O1498">
        <v>0.128205128205128</v>
      </c>
    </row>
    <row r="1499" spans="1:15" x14ac:dyDescent="0.25">
      <c r="A1499">
        <v>5</v>
      </c>
      <c r="B1499">
        <v>100307</v>
      </c>
      <c r="C1499" t="s">
        <v>5353</v>
      </c>
      <c r="D1499" t="s">
        <v>688</v>
      </c>
      <c r="E1499" t="s">
        <v>6234</v>
      </c>
      <c r="F1499">
        <v>46234.897222222222</v>
      </c>
      <c r="G1499">
        <v>264</v>
      </c>
      <c r="H1499" t="s">
        <v>6152</v>
      </c>
      <c r="I1499" t="s">
        <v>5358</v>
      </c>
      <c r="J1499">
        <v>46</v>
      </c>
      <c r="K1499">
        <v>288.88</v>
      </c>
      <c r="L1499">
        <v>1190</v>
      </c>
      <c r="M1499">
        <v>1196</v>
      </c>
      <c r="N1499">
        <v>6</v>
      </c>
      <c r="O1499">
        <v>0.13043478260869601</v>
      </c>
    </row>
    <row r="1500" spans="1:15" x14ac:dyDescent="0.25">
      <c r="A1500">
        <v>5</v>
      </c>
      <c r="B1500">
        <v>100309</v>
      </c>
      <c r="C1500" t="s">
        <v>5303</v>
      </c>
      <c r="D1500" t="s">
        <v>371</v>
      </c>
      <c r="E1500" t="s">
        <v>6235</v>
      </c>
      <c r="F1500">
        <v>46204.654861111114</v>
      </c>
      <c r="G1500">
        <v>232</v>
      </c>
      <c r="H1500" t="s">
        <v>6155</v>
      </c>
      <c r="I1500" t="s">
        <v>5358</v>
      </c>
      <c r="J1500">
        <v>39</v>
      </c>
      <c r="K1500">
        <v>239.85</v>
      </c>
      <c r="L1500">
        <v>279</v>
      </c>
      <c r="M1500">
        <v>281</v>
      </c>
      <c r="N1500">
        <v>2</v>
      </c>
      <c r="O1500">
        <v>19.5</v>
      </c>
    </row>
    <row r="1501" spans="1:15" x14ac:dyDescent="0.25">
      <c r="A1501">
        <v>5</v>
      </c>
      <c r="B1501">
        <v>100309</v>
      </c>
      <c r="C1501" t="s">
        <v>5303</v>
      </c>
      <c r="D1501" t="s">
        <v>371</v>
      </c>
      <c r="E1501" t="s">
        <v>6235</v>
      </c>
      <c r="F1501">
        <v>46205.475694444445</v>
      </c>
      <c r="G1501">
        <v>232</v>
      </c>
      <c r="H1501" t="s">
        <v>6155</v>
      </c>
      <c r="I1501" t="s">
        <v>5358</v>
      </c>
      <c r="J1501">
        <v>67</v>
      </c>
      <c r="K1501">
        <v>412.05</v>
      </c>
      <c r="L1501">
        <v>281</v>
      </c>
      <c r="M1501">
        <v>293</v>
      </c>
      <c r="N1501">
        <v>12</v>
      </c>
      <c r="O1501">
        <v>5.5833333333333304</v>
      </c>
    </row>
    <row r="1502" spans="1:15" x14ac:dyDescent="0.25">
      <c r="A1502">
        <v>5</v>
      </c>
      <c r="B1502">
        <v>100309</v>
      </c>
      <c r="C1502" t="s">
        <v>5303</v>
      </c>
      <c r="D1502" t="s">
        <v>371</v>
      </c>
      <c r="E1502" t="s">
        <v>6235</v>
      </c>
      <c r="F1502">
        <v>46207.99722222222</v>
      </c>
      <c r="G1502">
        <v>232</v>
      </c>
      <c r="H1502" t="s">
        <v>6155</v>
      </c>
      <c r="I1502" t="s">
        <v>5358</v>
      </c>
      <c r="J1502">
        <v>56</v>
      </c>
      <c r="K1502">
        <v>344.4</v>
      </c>
      <c r="L1502">
        <v>293</v>
      </c>
      <c r="M1502">
        <v>302</v>
      </c>
      <c r="N1502">
        <v>9</v>
      </c>
      <c r="O1502">
        <v>6.2222222222222197</v>
      </c>
    </row>
    <row r="1503" spans="1:15" x14ac:dyDescent="0.25">
      <c r="A1503">
        <v>5</v>
      </c>
      <c r="B1503">
        <v>100309</v>
      </c>
      <c r="C1503" t="s">
        <v>5303</v>
      </c>
      <c r="D1503" t="s">
        <v>371</v>
      </c>
      <c r="E1503" t="s">
        <v>6235</v>
      </c>
      <c r="F1503">
        <v>46208.959027777775</v>
      </c>
      <c r="G1503">
        <v>232</v>
      </c>
      <c r="H1503" t="s">
        <v>6155</v>
      </c>
      <c r="I1503" t="s">
        <v>5358</v>
      </c>
      <c r="J1503">
        <v>65</v>
      </c>
      <c r="K1503">
        <v>417.3</v>
      </c>
      <c r="L1503">
        <v>302</v>
      </c>
      <c r="M1503">
        <v>308</v>
      </c>
      <c r="N1503">
        <v>6</v>
      </c>
      <c r="O1503">
        <v>10.8333333333333</v>
      </c>
    </row>
    <row r="1504" spans="1:15" x14ac:dyDescent="0.25">
      <c r="A1504">
        <v>5</v>
      </c>
      <c r="B1504">
        <v>100309</v>
      </c>
      <c r="C1504" t="s">
        <v>5303</v>
      </c>
      <c r="D1504" t="s">
        <v>371</v>
      </c>
      <c r="E1504" t="s">
        <v>6235</v>
      </c>
      <c r="F1504">
        <v>46209.944444444445</v>
      </c>
      <c r="G1504">
        <v>232</v>
      </c>
      <c r="H1504" t="s">
        <v>6155</v>
      </c>
      <c r="I1504" t="s">
        <v>5358</v>
      </c>
      <c r="J1504">
        <v>64</v>
      </c>
      <c r="K1504">
        <v>393.6</v>
      </c>
      <c r="L1504">
        <v>308</v>
      </c>
      <c r="M1504">
        <v>316</v>
      </c>
      <c r="N1504">
        <v>8</v>
      </c>
      <c r="O1504">
        <v>8</v>
      </c>
    </row>
    <row r="1505" spans="1:15" x14ac:dyDescent="0.25">
      <c r="A1505">
        <v>5</v>
      </c>
      <c r="B1505">
        <v>100309</v>
      </c>
      <c r="C1505" t="s">
        <v>5303</v>
      </c>
      <c r="D1505" t="s">
        <v>371</v>
      </c>
      <c r="E1505" t="s">
        <v>6235</v>
      </c>
      <c r="F1505">
        <v>46210.986111111109</v>
      </c>
      <c r="G1505">
        <v>232</v>
      </c>
      <c r="H1505" t="s">
        <v>6155</v>
      </c>
      <c r="I1505" t="s">
        <v>5358</v>
      </c>
      <c r="J1505">
        <v>56</v>
      </c>
      <c r="K1505">
        <v>344.4</v>
      </c>
      <c r="L1505">
        <v>316</v>
      </c>
      <c r="M1505">
        <v>323</v>
      </c>
      <c r="N1505">
        <v>7</v>
      </c>
      <c r="O1505">
        <v>8</v>
      </c>
    </row>
    <row r="1506" spans="1:15" x14ac:dyDescent="0.25">
      <c r="A1506">
        <v>5</v>
      </c>
      <c r="B1506">
        <v>100309</v>
      </c>
      <c r="C1506" t="s">
        <v>5303</v>
      </c>
      <c r="D1506" t="s">
        <v>371</v>
      </c>
      <c r="E1506" t="s">
        <v>6235</v>
      </c>
      <c r="F1506">
        <v>46211.008333333331</v>
      </c>
      <c r="G1506">
        <v>232</v>
      </c>
      <c r="H1506" t="s">
        <v>6155</v>
      </c>
      <c r="I1506" t="s">
        <v>5358</v>
      </c>
      <c r="J1506">
        <v>47</v>
      </c>
      <c r="K1506">
        <v>289.05</v>
      </c>
      <c r="L1506">
        <v>323</v>
      </c>
      <c r="M1506">
        <v>332</v>
      </c>
      <c r="N1506">
        <v>9</v>
      </c>
      <c r="O1506">
        <v>5.2222222222222197</v>
      </c>
    </row>
    <row r="1507" spans="1:15" x14ac:dyDescent="0.25">
      <c r="A1507">
        <v>5</v>
      </c>
      <c r="B1507">
        <v>100309</v>
      </c>
      <c r="C1507" t="s">
        <v>5303</v>
      </c>
      <c r="D1507" t="s">
        <v>371</v>
      </c>
      <c r="E1507" t="s">
        <v>6235</v>
      </c>
      <c r="F1507">
        <v>46212.006944444445</v>
      </c>
      <c r="G1507">
        <v>232</v>
      </c>
      <c r="H1507" t="s">
        <v>6155</v>
      </c>
      <c r="I1507" t="s">
        <v>5358</v>
      </c>
      <c r="J1507">
        <v>74</v>
      </c>
      <c r="K1507">
        <v>455.1</v>
      </c>
      <c r="L1507">
        <v>332</v>
      </c>
      <c r="M1507">
        <v>342</v>
      </c>
      <c r="N1507">
        <v>10</v>
      </c>
      <c r="O1507">
        <v>7.4</v>
      </c>
    </row>
    <row r="1508" spans="1:15" x14ac:dyDescent="0.25">
      <c r="A1508">
        <v>5</v>
      </c>
      <c r="B1508">
        <v>100309</v>
      </c>
      <c r="C1508" t="s">
        <v>5303</v>
      </c>
      <c r="D1508" t="s">
        <v>371</v>
      </c>
      <c r="E1508" t="s">
        <v>6235</v>
      </c>
      <c r="F1508">
        <v>46213.080555555556</v>
      </c>
      <c r="G1508">
        <v>232</v>
      </c>
      <c r="H1508" t="s">
        <v>6155</v>
      </c>
      <c r="I1508" t="s">
        <v>5358</v>
      </c>
      <c r="J1508">
        <v>60</v>
      </c>
      <c r="K1508">
        <v>369</v>
      </c>
      <c r="L1508">
        <v>342</v>
      </c>
      <c r="M1508">
        <v>350</v>
      </c>
      <c r="N1508">
        <v>8</v>
      </c>
      <c r="O1508">
        <v>7.5</v>
      </c>
    </row>
    <row r="1509" spans="1:15" x14ac:dyDescent="0.25">
      <c r="A1509">
        <v>5</v>
      </c>
      <c r="B1509">
        <v>100309</v>
      </c>
      <c r="C1509" t="s">
        <v>5303</v>
      </c>
      <c r="D1509" t="s">
        <v>371</v>
      </c>
      <c r="E1509" t="s">
        <v>6235</v>
      </c>
      <c r="F1509">
        <v>46214.018055555556</v>
      </c>
      <c r="G1509">
        <v>232</v>
      </c>
      <c r="H1509" t="s">
        <v>6155</v>
      </c>
      <c r="I1509" t="s">
        <v>5358</v>
      </c>
      <c r="J1509">
        <v>72</v>
      </c>
      <c r="K1509">
        <v>442.8</v>
      </c>
      <c r="L1509">
        <v>350</v>
      </c>
      <c r="M1509">
        <v>358</v>
      </c>
      <c r="N1509">
        <v>8</v>
      </c>
      <c r="O1509">
        <v>9</v>
      </c>
    </row>
    <row r="1510" spans="1:15" x14ac:dyDescent="0.25">
      <c r="A1510">
        <v>5</v>
      </c>
      <c r="B1510">
        <v>100309</v>
      </c>
      <c r="C1510" t="s">
        <v>5303</v>
      </c>
      <c r="D1510" t="s">
        <v>371</v>
      </c>
      <c r="E1510" t="s">
        <v>6235</v>
      </c>
      <c r="F1510">
        <v>46215.948611111111</v>
      </c>
      <c r="G1510">
        <v>232</v>
      </c>
      <c r="H1510" t="s">
        <v>6155</v>
      </c>
      <c r="I1510" t="s">
        <v>5358</v>
      </c>
      <c r="J1510">
        <v>70</v>
      </c>
      <c r="K1510">
        <v>430.5</v>
      </c>
      <c r="L1510">
        <v>358</v>
      </c>
      <c r="M1510">
        <v>367</v>
      </c>
      <c r="N1510">
        <v>9</v>
      </c>
      <c r="O1510">
        <v>7.7777777777777803</v>
      </c>
    </row>
    <row r="1511" spans="1:15" x14ac:dyDescent="0.25">
      <c r="A1511">
        <v>5</v>
      </c>
      <c r="B1511">
        <v>100309</v>
      </c>
      <c r="C1511" t="s">
        <v>5303</v>
      </c>
      <c r="D1511" t="s">
        <v>371</v>
      </c>
      <c r="E1511" t="s">
        <v>6235</v>
      </c>
      <c r="F1511">
        <v>46216.979166666664</v>
      </c>
      <c r="G1511">
        <v>232</v>
      </c>
      <c r="H1511" t="s">
        <v>6155</v>
      </c>
      <c r="I1511" t="s">
        <v>5358</v>
      </c>
      <c r="J1511">
        <v>75</v>
      </c>
      <c r="K1511">
        <v>461.25</v>
      </c>
      <c r="L1511">
        <v>367</v>
      </c>
      <c r="M1511">
        <v>375</v>
      </c>
      <c r="N1511">
        <v>8</v>
      </c>
      <c r="O1511">
        <v>9.375</v>
      </c>
    </row>
    <row r="1512" spans="1:15" x14ac:dyDescent="0.25">
      <c r="A1512">
        <v>5</v>
      </c>
      <c r="B1512">
        <v>100309</v>
      </c>
      <c r="C1512" t="s">
        <v>5303</v>
      </c>
      <c r="D1512" t="s">
        <v>371</v>
      </c>
      <c r="E1512" t="s">
        <v>6235</v>
      </c>
      <c r="F1512">
        <v>46217.496527777781</v>
      </c>
      <c r="G1512">
        <v>232</v>
      </c>
      <c r="H1512" t="s">
        <v>6155</v>
      </c>
      <c r="I1512" t="s">
        <v>5358</v>
      </c>
      <c r="J1512">
        <v>74</v>
      </c>
      <c r="K1512">
        <v>455.1</v>
      </c>
      <c r="L1512">
        <v>375</v>
      </c>
      <c r="M1512">
        <v>382</v>
      </c>
      <c r="N1512">
        <v>7</v>
      </c>
      <c r="O1512">
        <v>10.5714285714286</v>
      </c>
    </row>
    <row r="1513" spans="1:15" x14ac:dyDescent="0.25">
      <c r="A1513">
        <v>5</v>
      </c>
      <c r="B1513">
        <v>100309</v>
      </c>
      <c r="C1513" t="s">
        <v>5303</v>
      </c>
      <c r="D1513" t="s">
        <v>371</v>
      </c>
      <c r="E1513" t="s">
        <v>6235</v>
      </c>
      <c r="F1513">
        <v>46218.115972222222</v>
      </c>
      <c r="G1513">
        <v>232</v>
      </c>
      <c r="H1513" t="s">
        <v>6155</v>
      </c>
      <c r="I1513" t="s">
        <v>5358</v>
      </c>
      <c r="J1513">
        <v>53</v>
      </c>
      <c r="K1513">
        <v>325.95</v>
      </c>
      <c r="L1513">
        <v>382</v>
      </c>
      <c r="M1513">
        <v>390</v>
      </c>
      <c r="N1513">
        <v>8</v>
      </c>
      <c r="O1513">
        <v>6.625</v>
      </c>
    </row>
    <row r="1514" spans="1:15" x14ac:dyDescent="0.25">
      <c r="A1514">
        <v>5</v>
      </c>
      <c r="B1514">
        <v>100309</v>
      </c>
      <c r="C1514" t="s">
        <v>5303</v>
      </c>
      <c r="D1514" t="s">
        <v>371</v>
      </c>
      <c r="E1514" t="s">
        <v>6235</v>
      </c>
      <c r="F1514">
        <v>46219.118750000001</v>
      </c>
      <c r="G1514">
        <v>232</v>
      </c>
      <c r="H1514" t="s">
        <v>6155</v>
      </c>
      <c r="I1514" t="s">
        <v>5358</v>
      </c>
      <c r="J1514">
        <v>61</v>
      </c>
      <c r="K1514">
        <v>375.15</v>
      </c>
      <c r="L1514">
        <v>390</v>
      </c>
      <c r="M1514">
        <v>397</v>
      </c>
      <c r="N1514">
        <v>7</v>
      </c>
      <c r="O1514">
        <v>8.71428571428571</v>
      </c>
    </row>
    <row r="1515" spans="1:15" x14ac:dyDescent="0.25">
      <c r="A1515">
        <v>5</v>
      </c>
      <c r="B1515">
        <v>100309</v>
      </c>
      <c r="C1515" t="s">
        <v>5303</v>
      </c>
      <c r="D1515" t="s">
        <v>371</v>
      </c>
      <c r="E1515" t="s">
        <v>6235</v>
      </c>
      <c r="F1515">
        <v>46220.037499999999</v>
      </c>
      <c r="G1515">
        <v>232</v>
      </c>
      <c r="H1515" t="s">
        <v>6155</v>
      </c>
      <c r="I1515" t="s">
        <v>5358</v>
      </c>
      <c r="J1515">
        <v>64</v>
      </c>
      <c r="K1515">
        <v>393.6</v>
      </c>
      <c r="L1515">
        <v>397</v>
      </c>
      <c r="M1515">
        <v>405</v>
      </c>
      <c r="N1515">
        <v>8</v>
      </c>
      <c r="O1515">
        <v>8</v>
      </c>
    </row>
    <row r="1516" spans="1:15" x14ac:dyDescent="0.25">
      <c r="A1516">
        <v>5</v>
      </c>
      <c r="B1516">
        <v>100309</v>
      </c>
      <c r="C1516" t="s">
        <v>5303</v>
      </c>
      <c r="D1516" t="s">
        <v>371</v>
      </c>
      <c r="E1516" t="s">
        <v>6235</v>
      </c>
      <c r="F1516">
        <v>46221.931250000001</v>
      </c>
      <c r="G1516">
        <v>232</v>
      </c>
      <c r="H1516" t="s">
        <v>6155</v>
      </c>
      <c r="I1516" t="s">
        <v>5358</v>
      </c>
      <c r="J1516">
        <v>50</v>
      </c>
      <c r="K1516">
        <v>307.5</v>
      </c>
      <c r="L1516">
        <v>405</v>
      </c>
      <c r="M1516">
        <v>410</v>
      </c>
      <c r="N1516">
        <v>5</v>
      </c>
      <c r="O1516">
        <v>10</v>
      </c>
    </row>
    <row r="1517" spans="1:15" x14ac:dyDescent="0.25">
      <c r="A1517">
        <v>5</v>
      </c>
      <c r="B1517">
        <v>100309</v>
      </c>
      <c r="C1517" t="s">
        <v>5303</v>
      </c>
      <c r="D1517" t="s">
        <v>371</v>
      </c>
      <c r="E1517" t="s">
        <v>6235</v>
      </c>
      <c r="F1517">
        <v>46222.06527777778</v>
      </c>
      <c r="G1517">
        <v>232</v>
      </c>
      <c r="H1517" t="s">
        <v>6155</v>
      </c>
      <c r="I1517" t="s">
        <v>5358</v>
      </c>
      <c r="J1517">
        <v>60</v>
      </c>
      <c r="K1517">
        <v>378</v>
      </c>
      <c r="L1517">
        <v>410</v>
      </c>
      <c r="M1517">
        <v>417</v>
      </c>
      <c r="N1517">
        <v>7</v>
      </c>
      <c r="O1517">
        <v>8.5714285714285694</v>
      </c>
    </row>
    <row r="1518" spans="1:15" x14ac:dyDescent="0.25">
      <c r="A1518">
        <v>5</v>
      </c>
      <c r="B1518">
        <v>100309</v>
      </c>
      <c r="C1518" t="s">
        <v>5303</v>
      </c>
      <c r="D1518" t="s">
        <v>371</v>
      </c>
      <c r="E1518" t="s">
        <v>6235</v>
      </c>
      <c r="F1518">
        <v>46223.095138888886</v>
      </c>
      <c r="G1518">
        <v>232</v>
      </c>
      <c r="H1518" t="s">
        <v>6155</v>
      </c>
      <c r="I1518" t="s">
        <v>5358</v>
      </c>
      <c r="J1518">
        <v>52</v>
      </c>
      <c r="K1518">
        <v>325</v>
      </c>
      <c r="L1518">
        <v>417</v>
      </c>
      <c r="M1518">
        <v>423</v>
      </c>
      <c r="N1518">
        <v>6</v>
      </c>
      <c r="O1518">
        <v>8.6666666666666696</v>
      </c>
    </row>
    <row r="1519" spans="1:15" x14ac:dyDescent="0.25">
      <c r="A1519">
        <v>5</v>
      </c>
      <c r="B1519">
        <v>100309</v>
      </c>
      <c r="C1519" t="s">
        <v>5303</v>
      </c>
      <c r="D1519" t="s">
        <v>371</v>
      </c>
      <c r="E1519" t="s">
        <v>6235</v>
      </c>
      <c r="F1519">
        <v>46225.025000000001</v>
      </c>
      <c r="G1519">
        <v>232</v>
      </c>
      <c r="H1519" t="s">
        <v>6155</v>
      </c>
      <c r="I1519" t="s">
        <v>5358</v>
      </c>
      <c r="J1519">
        <v>28</v>
      </c>
      <c r="K1519">
        <v>175</v>
      </c>
      <c r="L1519">
        <v>423</v>
      </c>
      <c r="M1519">
        <v>427</v>
      </c>
      <c r="N1519">
        <v>4</v>
      </c>
      <c r="O1519">
        <v>7</v>
      </c>
    </row>
    <row r="1520" spans="1:15" x14ac:dyDescent="0.25">
      <c r="A1520">
        <v>5</v>
      </c>
      <c r="B1520">
        <v>100309</v>
      </c>
      <c r="C1520" t="s">
        <v>5303</v>
      </c>
      <c r="D1520" t="s">
        <v>371</v>
      </c>
      <c r="E1520" t="s">
        <v>6235</v>
      </c>
      <c r="F1520">
        <v>46227.084027777775</v>
      </c>
      <c r="G1520">
        <v>232</v>
      </c>
      <c r="H1520" t="s">
        <v>6155</v>
      </c>
      <c r="I1520" t="s">
        <v>5358</v>
      </c>
      <c r="J1520">
        <v>56</v>
      </c>
      <c r="K1520">
        <v>350</v>
      </c>
      <c r="L1520">
        <v>427</v>
      </c>
      <c r="M1520">
        <v>434</v>
      </c>
      <c r="N1520">
        <v>7</v>
      </c>
      <c r="O1520">
        <v>8</v>
      </c>
    </row>
    <row r="1521" spans="1:15" x14ac:dyDescent="0.25">
      <c r="A1521">
        <v>5</v>
      </c>
      <c r="B1521">
        <v>100309</v>
      </c>
      <c r="C1521" t="s">
        <v>5303</v>
      </c>
      <c r="D1521" t="s">
        <v>371</v>
      </c>
      <c r="E1521" t="s">
        <v>6235</v>
      </c>
      <c r="F1521">
        <v>46228.979861111111</v>
      </c>
      <c r="G1521">
        <v>232</v>
      </c>
      <c r="H1521" t="s">
        <v>6155</v>
      </c>
      <c r="I1521" t="s">
        <v>5358</v>
      </c>
      <c r="J1521">
        <v>26</v>
      </c>
      <c r="K1521">
        <v>162.5</v>
      </c>
      <c r="L1521">
        <v>434</v>
      </c>
      <c r="M1521">
        <v>438</v>
      </c>
      <c r="N1521">
        <v>4</v>
      </c>
      <c r="O1521">
        <v>6.5</v>
      </c>
    </row>
    <row r="1522" spans="1:15" x14ac:dyDescent="0.25">
      <c r="A1522">
        <v>5</v>
      </c>
      <c r="B1522">
        <v>100309</v>
      </c>
      <c r="C1522" t="s">
        <v>5303</v>
      </c>
      <c r="D1522" t="s">
        <v>371</v>
      </c>
      <c r="E1522" t="s">
        <v>6235</v>
      </c>
      <c r="F1522">
        <v>46229.022916666669</v>
      </c>
      <c r="G1522">
        <v>232</v>
      </c>
      <c r="H1522" t="s">
        <v>6155</v>
      </c>
      <c r="I1522" t="s">
        <v>5358</v>
      </c>
      <c r="J1522">
        <v>45</v>
      </c>
      <c r="K1522">
        <v>283.5</v>
      </c>
      <c r="L1522">
        <v>438</v>
      </c>
      <c r="M1522">
        <v>443</v>
      </c>
      <c r="N1522">
        <v>5</v>
      </c>
      <c r="O1522">
        <v>9</v>
      </c>
    </row>
    <row r="1523" spans="1:15" x14ac:dyDescent="0.25">
      <c r="A1523">
        <v>5</v>
      </c>
      <c r="B1523">
        <v>100309</v>
      </c>
      <c r="C1523" t="s">
        <v>5303</v>
      </c>
      <c r="D1523" t="s">
        <v>371</v>
      </c>
      <c r="E1523" t="s">
        <v>6235</v>
      </c>
      <c r="F1523">
        <v>46230.994444444441</v>
      </c>
      <c r="G1523">
        <v>232</v>
      </c>
      <c r="H1523" t="s">
        <v>6155</v>
      </c>
      <c r="I1523" t="s">
        <v>5358</v>
      </c>
      <c r="J1523">
        <v>38</v>
      </c>
      <c r="K1523">
        <v>237.5</v>
      </c>
      <c r="L1523">
        <v>443</v>
      </c>
      <c r="M1523">
        <v>448</v>
      </c>
      <c r="N1523">
        <v>5</v>
      </c>
      <c r="O1523">
        <v>7.6</v>
      </c>
    </row>
    <row r="1524" spans="1:15" x14ac:dyDescent="0.25">
      <c r="A1524">
        <v>5</v>
      </c>
      <c r="B1524">
        <v>100309</v>
      </c>
      <c r="C1524" t="s">
        <v>5303</v>
      </c>
      <c r="D1524" t="s">
        <v>371</v>
      </c>
      <c r="E1524" t="s">
        <v>6235</v>
      </c>
      <c r="F1524">
        <v>46231.031944444447</v>
      </c>
      <c r="G1524">
        <v>232</v>
      </c>
      <c r="H1524" t="s">
        <v>6155</v>
      </c>
      <c r="I1524" t="s">
        <v>5358</v>
      </c>
      <c r="J1524">
        <v>32</v>
      </c>
      <c r="K1524">
        <v>200</v>
      </c>
      <c r="L1524">
        <v>448</v>
      </c>
      <c r="M1524">
        <v>452</v>
      </c>
      <c r="N1524">
        <v>4</v>
      </c>
      <c r="O1524">
        <v>8</v>
      </c>
    </row>
    <row r="1525" spans="1:15" x14ac:dyDescent="0.25">
      <c r="A1525">
        <v>5</v>
      </c>
      <c r="B1525">
        <v>100309</v>
      </c>
      <c r="C1525" t="s">
        <v>5303</v>
      </c>
      <c r="D1525" t="s">
        <v>371</v>
      </c>
      <c r="E1525" t="s">
        <v>6235</v>
      </c>
      <c r="F1525">
        <v>46232.979166666664</v>
      </c>
      <c r="G1525">
        <v>232</v>
      </c>
      <c r="H1525" t="s">
        <v>6155</v>
      </c>
      <c r="I1525" t="s">
        <v>5358</v>
      </c>
      <c r="J1525">
        <v>28</v>
      </c>
      <c r="K1525">
        <v>175</v>
      </c>
      <c r="L1525">
        <v>452</v>
      </c>
      <c r="M1525">
        <v>458</v>
      </c>
      <c r="N1525">
        <v>6</v>
      </c>
      <c r="O1525">
        <v>4.6666666666666696</v>
      </c>
    </row>
    <row r="1526" spans="1:15" x14ac:dyDescent="0.25">
      <c r="A1526">
        <v>5</v>
      </c>
      <c r="B1526">
        <v>100309</v>
      </c>
      <c r="C1526" t="s">
        <v>5303</v>
      </c>
      <c r="D1526" t="s">
        <v>371</v>
      </c>
      <c r="E1526" t="s">
        <v>6235</v>
      </c>
      <c r="F1526">
        <v>46233.01458333333</v>
      </c>
      <c r="G1526">
        <v>232</v>
      </c>
      <c r="H1526" t="s">
        <v>6155</v>
      </c>
      <c r="I1526" t="s">
        <v>5358</v>
      </c>
      <c r="J1526">
        <v>69</v>
      </c>
      <c r="K1526">
        <v>431.25</v>
      </c>
      <c r="L1526">
        <v>458</v>
      </c>
      <c r="M1526">
        <v>467</v>
      </c>
      <c r="N1526">
        <v>9</v>
      </c>
      <c r="O1526">
        <v>7.6666666666666696</v>
      </c>
    </row>
    <row r="1527" spans="1:15" x14ac:dyDescent="0.25">
      <c r="A1527">
        <v>5</v>
      </c>
      <c r="B1527">
        <v>100309</v>
      </c>
      <c r="C1527" t="s">
        <v>5303</v>
      </c>
      <c r="D1527" t="s">
        <v>371</v>
      </c>
      <c r="E1527" t="s">
        <v>6235</v>
      </c>
      <c r="F1527">
        <v>46234.074999999997</v>
      </c>
      <c r="G1527">
        <v>232</v>
      </c>
      <c r="H1527" t="s">
        <v>6155</v>
      </c>
      <c r="I1527" t="s">
        <v>5358</v>
      </c>
      <c r="J1527">
        <v>40</v>
      </c>
      <c r="K1527">
        <v>250</v>
      </c>
      <c r="L1527">
        <v>467</v>
      </c>
      <c r="M1527">
        <v>472</v>
      </c>
      <c r="N1527">
        <v>5</v>
      </c>
      <c r="O1527">
        <v>8</v>
      </c>
    </row>
    <row r="1528" spans="1:15" x14ac:dyDescent="0.25">
      <c r="A1528">
        <v>5</v>
      </c>
      <c r="B1528">
        <v>100336</v>
      </c>
      <c r="C1528" t="s">
        <v>5334</v>
      </c>
      <c r="D1528" t="s">
        <v>5335</v>
      </c>
      <c r="E1528" t="s">
        <v>6225</v>
      </c>
      <c r="F1528">
        <v>46205.477777777778</v>
      </c>
      <c r="G1528">
        <v>232</v>
      </c>
      <c r="H1528" t="s">
        <v>6155</v>
      </c>
      <c r="I1528" t="s">
        <v>5358</v>
      </c>
      <c r="J1528">
        <v>57</v>
      </c>
      <c r="K1528">
        <v>350.55</v>
      </c>
      <c r="L1528">
        <v>4461</v>
      </c>
      <c r="M1528">
        <v>4471</v>
      </c>
      <c r="N1528">
        <v>10</v>
      </c>
      <c r="O1528">
        <v>5.7</v>
      </c>
    </row>
    <row r="1529" spans="1:15" x14ac:dyDescent="0.25">
      <c r="A1529">
        <v>5</v>
      </c>
      <c r="B1529">
        <v>100336</v>
      </c>
      <c r="C1529" t="s">
        <v>5334</v>
      </c>
      <c r="D1529" t="s">
        <v>5335</v>
      </c>
      <c r="E1529" t="s">
        <v>6225</v>
      </c>
      <c r="F1529">
        <v>46210.37777777778</v>
      </c>
      <c r="G1529">
        <v>232</v>
      </c>
      <c r="H1529" t="s">
        <v>6155</v>
      </c>
      <c r="I1529" t="s">
        <v>5358</v>
      </c>
      <c r="J1529">
        <v>36</v>
      </c>
      <c r="K1529">
        <v>221.4</v>
      </c>
      <c r="L1529">
        <v>4471</v>
      </c>
      <c r="M1529">
        <v>4485</v>
      </c>
      <c r="N1529">
        <v>14</v>
      </c>
      <c r="O1529">
        <v>2.5714285714285698</v>
      </c>
    </row>
    <row r="1530" spans="1:15" x14ac:dyDescent="0.25">
      <c r="A1530">
        <v>5</v>
      </c>
      <c r="B1530">
        <v>100336</v>
      </c>
      <c r="C1530" t="s">
        <v>5334</v>
      </c>
      <c r="D1530" t="s">
        <v>5335</v>
      </c>
      <c r="E1530" t="s">
        <v>6225</v>
      </c>
      <c r="F1530">
        <v>46214.38958333333</v>
      </c>
      <c r="G1530">
        <v>232</v>
      </c>
      <c r="H1530" t="s">
        <v>6155</v>
      </c>
      <c r="I1530" t="s">
        <v>5358</v>
      </c>
      <c r="J1530">
        <v>92</v>
      </c>
      <c r="K1530">
        <v>565.79999999999995</v>
      </c>
      <c r="L1530">
        <v>4485</v>
      </c>
      <c r="M1530">
        <v>4511</v>
      </c>
      <c r="N1530">
        <v>26</v>
      </c>
      <c r="O1530">
        <v>3.5384615384615401</v>
      </c>
    </row>
    <row r="1531" spans="1:15" x14ac:dyDescent="0.25">
      <c r="A1531">
        <v>5</v>
      </c>
      <c r="B1531">
        <v>100336</v>
      </c>
      <c r="C1531" t="s">
        <v>5334</v>
      </c>
      <c r="D1531" t="s">
        <v>5335</v>
      </c>
      <c r="E1531" t="s">
        <v>6225</v>
      </c>
      <c r="F1531">
        <v>46217.478472222225</v>
      </c>
      <c r="G1531">
        <v>232</v>
      </c>
      <c r="H1531" t="s">
        <v>6155</v>
      </c>
      <c r="I1531" t="s">
        <v>5358</v>
      </c>
      <c r="J1531">
        <v>41</v>
      </c>
      <c r="K1531">
        <v>252.15</v>
      </c>
      <c r="L1531">
        <v>4511</v>
      </c>
      <c r="M1531">
        <v>4526</v>
      </c>
      <c r="N1531">
        <v>15</v>
      </c>
      <c r="O1531">
        <v>2.7333333333333298</v>
      </c>
    </row>
    <row r="1532" spans="1:15" x14ac:dyDescent="0.25">
      <c r="A1532">
        <v>5</v>
      </c>
      <c r="B1532">
        <v>100336</v>
      </c>
      <c r="C1532" t="s">
        <v>5334</v>
      </c>
      <c r="D1532" t="s">
        <v>5335</v>
      </c>
      <c r="E1532" t="s">
        <v>6225</v>
      </c>
      <c r="F1532">
        <v>46218.495833333334</v>
      </c>
      <c r="G1532">
        <v>232</v>
      </c>
      <c r="H1532" t="s">
        <v>6155</v>
      </c>
      <c r="I1532" t="s">
        <v>5358</v>
      </c>
      <c r="J1532">
        <v>49</v>
      </c>
      <c r="K1532">
        <v>301.35000000000002</v>
      </c>
      <c r="L1532">
        <v>4526</v>
      </c>
      <c r="M1532">
        <v>4542</v>
      </c>
      <c r="N1532">
        <v>16</v>
      </c>
      <c r="O1532">
        <v>3.0625</v>
      </c>
    </row>
    <row r="1533" spans="1:15" x14ac:dyDescent="0.25">
      <c r="A1533">
        <v>5</v>
      </c>
      <c r="B1533">
        <v>100336</v>
      </c>
      <c r="C1533" t="s">
        <v>5334</v>
      </c>
      <c r="D1533" t="s">
        <v>5335</v>
      </c>
      <c r="E1533" t="s">
        <v>6225</v>
      </c>
      <c r="F1533">
        <v>46220.378472222219</v>
      </c>
      <c r="G1533">
        <v>232</v>
      </c>
      <c r="H1533" t="s">
        <v>6155</v>
      </c>
      <c r="I1533" t="s">
        <v>5358</v>
      </c>
      <c r="J1533">
        <v>44</v>
      </c>
      <c r="K1533">
        <v>270.60000000000002</v>
      </c>
      <c r="L1533">
        <v>4542</v>
      </c>
      <c r="M1533">
        <v>4559</v>
      </c>
      <c r="N1533">
        <v>17</v>
      </c>
      <c r="O1533">
        <v>2.5882352941176499</v>
      </c>
    </row>
    <row r="1534" spans="1:15" x14ac:dyDescent="0.25">
      <c r="A1534">
        <v>5</v>
      </c>
      <c r="B1534">
        <v>100336</v>
      </c>
      <c r="C1534" t="s">
        <v>5334</v>
      </c>
      <c r="D1534" t="s">
        <v>5335</v>
      </c>
      <c r="E1534" t="s">
        <v>6225</v>
      </c>
      <c r="F1534">
        <v>46233.602083333331</v>
      </c>
      <c r="G1534">
        <v>232</v>
      </c>
      <c r="H1534" t="s">
        <v>6155</v>
      </c>
      <c r="I1534" t="s">
        <v>5358</v>
      </c>
      <c r="J1534">
        <v>97</v>
      </c>
      <c r="K1534">
        <v>606.25</v>
      </c>
      <c r="L1534">
        <v>4559</v>
      </c>
      <c r="M1534">
        <v>4581</v>
      </c>
      <c r="N1534">
        <v>22</v>
      </c>
      <c r="O1534">
        <v>4.4090909090909101</v>
      </c>
    </row>
    <row r="1535" spans="1:15" x14ac:dyDescent="0.25">
      <c r="A1535">
        <v>5</v>
      </c>
      <c r="B1535">
        <v>100344</v>
      </c>
      <c r="C1535" t="s">
        <v>5350</v>
      </c>
      <c r="D1535" t="s">
        <v>326</v>
      </c>
      <c r="E1535" t="s">
        <v>6236</v>
      </c>
      <c r="F1535">
        <v>46213.436111111114</v>
      </c>
      <c r="G1535">
        <v>232</v>
      </c>
      <c r="H1535" t="s">
        <v>6155</v>
      </c>
      <c r="I1535" t="s">
        <v>5358</v>
      </c>
      <c r="J1535">
        <v>409</v>
      </c>
      <c r="K1535">
        <v>2515.35</v>
      </c>
      <c r="L1535">
        <v>10353</v>
      </c>
      <c r="M1535">
        <v>10424</v>
      </c>
      <c r="N1535">
        <v>71</v>
      </c>
      <c r="O1535">
        <v>5.76056338028169</v>
      </c>
    </row>
    <row r="1536" spans="1:15" x14ac:dyDescent="0.25">
      <c r="A1536">
        <v>5</v>
      </c>
      <c r="B1536">
        <v>100344</v>
      </c>
      <c r="C1536" t="s">
        <v>5350</v>
      </c>
      <c r="D1536" t="s">
        <v>326</v>
      </c>
      <c r="E1536" t="s">
        <v>6236</v>
      </c>
      <c r="F1536">
        <v>46218.492361111108</v>
      </c>
      <c r="G1536">
        <v>232</v>
      </c>
      <c r="H1536" t="s">
        <v>6155</v>
      </c>
      <c r="I1536" t="s">
        <v>5358</v>
      </c>
      <c r="J1536">
        <v>231</v>
      </c>
      <c r="K1536">
        <v>1420.65</v>
      </c>
      <c r="L1536">
        <v>10424</v>
      </c>
      <c r="M1536">
        <v>10455</v>
      </c>
      <c r="N1536">
        <v>31</v>
      </c>
      <c r="O1536">
        <v>7.4516129032258096</v>
      </c>
    </row>
    <row r="1537" spans="1:15" x14ac:dyDescent="0.25">
      <c r="A1537">
        <v>5</v>
      </c>
      <c r="B1537">
        <v>100344</v>
      </c>
      <c r="C1537" t="s">
        <v>5350</v>
      </c>
      <c r="D1537" t="s">
        <v>326</v>
      </c>
      <c r="E1537" t="s">
        <v>6236</v>
      </c>
      <c r="F1537">
        <v>46224.479166666664</v>
      </c>
      <c r="G1537">
        <v>232</v>
      </c>
      <c r="H1537" t="s">
        <v>6155</v>
      </c>
      <c r="I1537" t="s">
        <v>5358</v>
      </c>
      <c r="J1537">
        <v>350</v>
      </c>
      <c r="K1537">
        <v>2187.5</v>
      </c>
      <c r="L1537">
        <v>10455</v>
      </c>
      <c r="M1537">
        <v>10508</v>
      </c>
      <c r="N1537">
        <v>53</v>
      </c>
      <c r="O1537">
        <v>6.6037735849056602</v>
      </c>
    </row>
    <row r="1538" spans="1:15" x14ac:dyDescent="0.25">
      <c r="A1538">
        <v>5</v>
      </c>
      <c r="B1538">
        <v>100354</v>
      </c>
      <c r="C1538" t="s">
        <v>5351</v>
      </c>
      <c r="D1538" t="s">
        <v>822</v>
      </c>
      <c r="E1538" t="s">
        <v>6237</v>
      </c>
      <c r="F1538">
        <v>46214.356944444444</v>
      </c>
      <c r="G1538">
        <v>264</v>
      </c>
      <c r="H1538" t="s">
        <v>6152</v>
      </c>
      <c r="I1538" t="s">
        <v>5358</v>
      </c>
      <c r="J1538">
        <v>281</v>
      </c>
      <c r="K1538">
        <v>1728.15</v>
      </c>
      <c r="L1538">
        <v>6741</v>
      </c>
      <c r="M1538">
        <v>6742</v>
      </c>
      <c r="N1538">
        <v>1</v>
      </c>
      <c r="O1538">
        <v>281</v>
      </c>
    </row>
    <row r="1539" spans="1:15" x14ac:dyDescent="0.25">
      <c r="A1539">
        <v>5</v>
      </c>
      <c r="B1539">
        <v>100354</v>
      </c>
      <c r="C1539" t="s">
        <v>5351</v>
      </c>
      <c r="D1539" t="s">
        <v>822</v>
      </c>
      <c r="E1539" t="s">
        <v>6237</v>
      </c>
      <c r="F1539">
        <v>46216.495833333334</v>
      </c>
      <c r="G1539">
        <v>264</v>
      </c>
      <c r="H1539" t="s">
        <v>6152</v>
      </c>
      <c r="I1539" t="s">
        <v>5358</v>
      </c>
      <c r="J1539">
        <v>50</v>
      </c>
      <c r="K1539">
        <v>307.5</v>
      </c>
      <c r="L1539">
        <v>6742</v>
      </c>
      <c r="M1539">
        <v>6743</v>
      </c>
      <c r="N1539">
        <v>1</v>
      </c>
      <c r="O1539">
        <v>50</v>
      </c>
    </row>
    <row r="1540" spans="1:15" x14ac:dyDescent="0.25">
      <c r="A1540">
        <v>5</v>
      </c>
      <c r="B1540">
        <v>100354</v>
      </c>
      <c r="C1540" t="s">
        <v>5351</v>
      </c>
      <c r="D1540" t="s">
        <v>822</v>
      </c>
      <c r="E1540" t="s">
        <v>6237</v>
      </c>
      <c r="F1540">
        <v>46221.489583333336</v>
      </c>
      <c r="G1540">
        <v>264</v>
      </c>
      <c r="H1540" t="s">
        <v>6152</v>
      </c>
      <c r="I1540" t="s">
        <v>5358</v>
      </c>
      <c r="J1540">
        <v>290</v>
      </c>
      <c r="K1540">
        <v>1798</v>
      </c>
      <c r="L1540">
        <v>6743</v>
      </c>
      <c r="M1540">
        <v>6758</v>
      </c>
      <c r="N1540">
        <v>15</v>
      </c>
      <c r="O1540">
        <v>19.3333333333333</v>
      </c>
    </row>
    <row r="1541" spans="1:15" x14ac:dyDescent="0.25">
      <c r="A1541">
        <v>5</v>
      </c>
      <c r="B1541">
        <v>100354</v>
      </c>
      <c r="C1541" t="s">
        <v>5351</v>
      </c>
      <c r="D1541" t="s">
        <v>822</v>
      </c>
      <c r="E1541" t="s">
        <v>6237</v>
      </c>
      <c r="F1541">
        <v>46222.519444444442</v>
      </c>
      <c r="G1541">
        <v>264</v>
      </c>
      <c r="H1541" t="s">
        <v>6152</v>
      </c>
      <c r="I1541" t="s">
        <v>5358</v>
      </c>
      <c r="J1541">
        <v>110</v>
      </c>
      <c r="K1541">
        <v>682</v>
      </c>
      <c r="L1541">
        <v>6758</v>
      </c>
      <c r="M1541">
        <v>6765</v>
      </c>
      <c r="N1541">
        <v>7</v>
      </c>
      <c r="O1541">
        <v>15.714285714285699</v>
      </c>
    </row>
    <row r="1542" spans="1:15" x14ac:dyDescent="0.25">
      <c r="A1542">
        <v>5</v>
      </c>
      <c r="B1542">
        <v>100354</v>
      </c>
      <c r="C1542" t="s">
        <v>5351</v>
      </c>
      <c r="D1542" t="s">
        <v>822</v>
      </c>
      <c r="E1542" t="s">
        <v>6237</v>
      </c>
      <c r="F1542">
        <v>46223.668055555558</v>
      </c>
      <c r="G1542">
        <v>264</v>
      </c>
      <c r="H1542" t="s">
        <v>6152</v>
      </c>
      <c r="I1542" t="s">
        <v>5358</v>
      </c>
      <c r="J1542">
        <v>103</v>
      </c>
      <c r="K1542">
        <v>649.92999999999995</v>
      </c>
      <c r="L1542">
        <v>6765</v>
      </c>
      <c r="M1542">
        <v>6772</v>
      </c>
      <c r="N1542">
        <v>7</v>
      </c>
      <c r="O1542">
        <v>14.714285714285699</v>
      </c>
    </row>
    <row r="1543" spans="1:15" x14ac:dyDescent="0.25">
      <c r="A1543">
        <v>5</v>
      </c>
      <c r="B1543">
        <v>100354</v>
      </c>
      <c r="C1543" t="s">
        <v>5351</v>
      </c>
      <c r="D1543" t="s">
        <v>822</v>
      </c>
      <c r="E1543" t="s">
        <v>6237</v>
      </c>
      <c r="F1543">
        <v>46231.923611111109</v>
      </c>
      <c r="G1543">
        <v>264</v>
      </c>
      <c r="H1543" t="s">
        <v>6152</v>
      </c>
      <c r="I1543" t="s">
        <v>5358</v>
      </c>
      <c r="J1543">
        <v>247</v>
      </c>
      <c r="K1543">
        <v>1551.16</v>
      </c>
      <c r="L1543">
        <v>6772</v>
      </c>
      <c r="M1543">
        <v>6784</v>
      </c>
      <c r="N1543">
        <v>12</v>
      </c>
      <c r="O1543">
        <v>20.5833333333333</v>
      </c>
    </row>
    <row r="1544" spans="1:15" x14ac:dyDescent="0.25">
      <c r="A1544">
        <v>5</v>
      </c>
      <c r="B1544">
        <v>100354</v>
      </c>
      <c r="C1544" t="s">
        <v>5351</v>
      </c>
      <c r="D1544" t="s">
        <v>822</v>
      </c>
      <c r="E1544" t="s">
        <v>6237</v>
      </c>
      <c r="F1544">
        <v>46232.882638888892</v>
      </c>
      <c r="G1544">
        <v>264</v>
      </c>
      <c r="H1544" t="s">
        <v>6152</v>
      </c>
      <c r="I1544" t="s">
        <v>5358</v>
      </c>
      <c r="J1544">
        <v>185</v>
      </c>
      <c r="K1544">
        <v>1161.8</v>
      </c>
      <c r="L1544">
        <v>6784</v>
      </c>
      <c r="M1544">
        <v>6794</v>
      </c>
      <c r="N1544">
        <v>10</v>
      </c>
      <c r="O1544">
        <v>18.5</v>
      </c>
    </row>
    <row r="1545" spans="1:15" x14ac:dyDescent="0.25">
      <c r="A1545">
        <v>5</v>
      </c>
      <c r="B1545">
        <v>100354</v>
      </c>
      <c r="C1545" t="s">
        <v>5351</v>
      </c>
      <c r="D1545" t="s">
        <v>822</v>
      </c>
      <c r="E1545" t="s">
        <v>6237</v>
      </c>
      <c r="F1545">
        <v>46233.848611111112</v>
      </c>
      <c r="G1545">
        <v>264</v>
      </c>
      <c r="H1545" t="s">
        <v>6152</v>
      </c>
      <c r="I1545" t="s">
        <v>5358</v>
      </c>
      <c r="J1545">
        <v>140</v>
      </c>
      <c r="K1545">
        <v>879.2</v>
      </c>
      <c r="L1545">
        <v>6794</v>
      </c>
      <c r="M1545">
        <v>6802</v>
      </c>
      <c r="N1545">
        <v>8</v>
      </c>
      <c r="O1545">
        <v>17.5</v>
      </c>
    </row>
    <row r="1546" spans="1:15" x14ac:dyDescent="0.25">
      <c r="A1546">
        <v>5</v>
      </c>
      <c r="B1546">
        <v>100363</v>
      </c>
      <c r="C1546" t="s">
        <v>5356</v>
      </c>
      <c r="D1546" t="s">
        <v>891</v>
      </c>
      <c r="E1546" t="s">
        <v>6238</v>
      </c>
      <c r="F1546">
        <v>46230.73333333333</v>
      </c>
      <c r="G1546">
        <v>264</v>
      </c>
      <c r="H1546" t="s">
        <v>6152</v>
      </c>
      <c r="I1546" t="s">
        <v>5358</v>
      </c>
      <c r="J1546">
        <v>73</v>
      </c>
      <c r="K1546">
        <v>458.44</v>
      </c>
      <c r="L1546">
        <v>2379</v>
      </c>
      <c r="M1546">
        <v>2379</v>
      </c>
      <c r="N1546">
        <v>0</v>
      </c>
      <c r="O1546">
        <v>0</v>
      </c>
    </row>
    <row r="1547" spans="1:15" x14ac:dyDescent="0.25">
      <c r="D1547">
        <f>SUBTOTAL(103,Tabela8[Cód.2])</f>
        <v>1545</v>
      </c>
      <c r="J1547">
        <f>SUBTOTAL(109,Tabela8[Quantidade])</f>
        <v>181451.41000000006</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6497-3F8B-41BE-A53E-C33628B75201}">
  <dimension ref="A1:G51"/>
  <sheetViews>
    <sheetView topLeftCell="A19" workbookViewId="0">
      <selection activeCell="H51" sqref="H51"/>
    </sheetView>
  </sheetViews>
  <sheetFormatPr defaultRowHeight="15" x14ac:dyDescent="0.25"/>
  <cols>
    <col min="1" max="1" width="23.28515625" style="1" bestFit="1" customWidth="1"/>
    <col min="2" max="2" width="12.140625" style="1" bestFit="1" customWidth="1"/>
    <col min="3" max="3" width="17.140625" style="1" bestFit="1" customWidth="1"/>
    <col min="4" max="4" width="9.7109375" style="1" bestFit="1" customWidth="1"/>
    <col min="5" max="5" width="34" style="1" bestFit="1" customWidth="1"/>
    <col min="6" max="6" width="23.28515625" style="1" bestFit="1" customWidth="1"/>
    <col min="7" max="7" width="39.5703125" style="1" bestFit="1" customWidth="1"/>
    <col min="8" max="16384" width="9.140625" style="1"/>
  </cols>
  <sheetData>
    <row r="1" spans="1:7" x14ac:dyDescent="0.25">
      <c r="A1" s="1" t="s">
        <v>6241</v>
      </c>
      <c r="B1" s="1" t="s">
        <v>6242</v>
      </c>
      <c r="C1" s="1" t="s">
        <v>6243</v>
      </c>
      <c r="D1" s="1" t="s">
        <v>9</v>
      </c>
      <c r="E1" s="1" t="s">
        <v>2110</v>
      </c>
      <c r="F1" s="1" t="s">
        <v>6244</v>
      </c>
      <c r="G1" s="1" t="s">
        <v>6245</v>
      </c>
    </row>
    <row r="2" spans="1:7" x14ac:dyDescent="0.25">
      <c r="A2" s="1" t="s">
        <v>6246</v>
      </c>
      <c r="B2" s="1" t="s">
        <v>6247</v>
      </c>
      <c r="C2" s="5">
        <v>2950</v>
      </c>
      <c r="D2" s="1" t="s">
        <v>5897</v>
      </c>
      <c r="E2" s="1" t="s">
        <v>6248</v>
      </c>
      <c r="F2" s="1" t="s">
        <v>934</v>
      </c>
      <c r="G2" s="1" t="s">
        <v>6249</v>
      </c>
    </row>
    <row r="3" spans="1:7" x14ac:dyDescent="0.25">
      <c r="A3" s="1" t="s">
        <v>6246</v>
      </c>
      <c r="B3" s="1" t="s">
        <v>6247</v>
      </c>
      <c r="C3" s="5">
        <v>2770</v>
      </c>
      <c r="D3" s="1" t="s">
        <v>5593</v>
      </c>
      <c r="E3" s="1" t="s">
        <v>6248</v>
      </c>
      <c r="F3" s="1" t="s">
        <v>934</v>
      </c>
      <c r="G3" s="1" t="s">
        <v>5587</v>
      </c>
    </row>
    <row r="4" spans="1:7" x14ac:dyDescent="0.25">
      <c r="A4" s="1" t="s">
        <v>6250</v>
      </c>
      <c r="B4" s="1" t="s">
        <v>6251</v>
      </c>
      <c r="C4" s="5">
        <v>10383.59</v>
      </c>
      <c r="D4" s="1" t="s">
        <v>5639</v>
      </c>
      <c r="E4" s="1" t="s">
        <v>6252</v>
      </c>
      <c r="F4" s="1" t="s">
        <v>934</v>
      </c>
      <c r="G4" s="1" t="s">
        <v>6253</v>
      </c>
    </row>
    <row r="5" spans="1:7" x14ac:dyDescent="0.25">
      <c r="A5" s="1" t="s">
        <v>6250</v>
      </c>
      <c r="B5" s="1" t="s">
        <v>6251</v>
      </c>
      <c r="E5" s="1" t="s">
        <v>6254</v>
      </c>
      <c r="F5" s="1" t="s">
        <v>6255</v>
      </c>
      <c r="G5" s="1" t="s">
        <v>6256</v>
      </c>
    </row>
    <row r="6" spans="1:7" x14ac:dyDescent="0.25">
      <c r="A6" s="1" t="s">
        <v>6250</v>
      </c>
      <c r="B6" s="1" t="s">
        <v>6251</v>
      </c>
      <c r="C6" s="5">
        <v>3950</v>
      </c>
      <c r="D6" s="1" t="s">
        <v>5847</v>
      </c>
      <c r="E6" s="1" t="s">
        <v>6254</v>
      </c>
      <c r="F6" s="1" t="s">
        <v>6255</v>
      </c>
      <c r="G6" s="1" t="s">
        <v>6257</v>
      </c>
    </row>
    <row r="7" spans="1:7" x14ac:dyDescent="0.25">
      <c r="A7" s="1" t="s">
        <v>6246</v>
      </c>
      <c r="B7" s="1" t="s">
        <v>6247</v>
      </c>
      <c r="C7" s="5">
        <v>2840</v>
      </c>
      <c r="D7" s="1" t="s">
        <v>5740</v>
      </c>
      <c r="E7" s="1" t="s">
        <v>6258</v>
      </c>
      <c r="F7" s="1" t="s">
        <v>6255</v>
      </c>
      <c r="G7" s="1" t="s">
        <v>6259</v>
      </c>
    </row>
    <row r="8" spans="1:7" x14ac:dyDescent="0.25">
      <c r="D8" s="1" t="s">
        <v>6260</v>
      </c>
      <c r="E8" s="1" t="s">
        <v>6261</v>
      </c>
      <c r="F8" s="1" t="s">
        <v>6262</v>
      </c>
      <c r="G8" s="1" t="s">
        <v>6263</v>
      </c>
    </row>
    <row r="9" spans="1:7" x14ac:dyDescent="0.25">
      <c r="A9" s="1" t="s">
        <v>6264</v>
      </c>
      <c r="B9" s="1" t="s">
        <v>6265</v>
      </c>
      <c r="C9" s="5">
        <v>4100</v>
      </c>
      <c r="D9" s="1" t="s">
        <v>5689</v>
      </c>
      <c r="E9" s="1" t="s">
        <v>6266</v>
      </c>
      <c r="F9" s="1" t="s">
        <v>6262</v>
      </c>
      <c r="G9" s="1" t="s">
        <v>6267</v>
      </c>
    </row>
    <row r="10" spans="1:7" x14ac:dyDescent="0.25">
      <c r="A10" s="1" t="s">
        <v>6246</v>
      </c>
      <c r="B10" s="1" t="s">
        <v>6268</v>
      </c>
      <c r="C10" s="5">
        <v>2950</v>
      </c>
      <c r="D10" s="1" t="s">
        <v>5659</v>
      </c>
      <c r="E10" s="1" t="s">
        <v>6269</v>
      </c>
      <c r="F10" s="1" t="s">
        <v>6270</v>
      </c>
      <c r="G10" s="1" t="s">
        <v>5661</v>
      </c>
    </row>
    <row r="11" spans="1:7" x14ac:dyDescent="0.25">
      <c r="A11" s="1" t="s">
        <v>6246</v>
      </c>
      <c r="B11" s="1" t="s">
        <v>6268</v>
      </c>
      <c r="C11" s="5">
        <v>3950</v>
      </c>
      <c r="D11" s="1" t="s">
        <v>5757</v>
      </c>
      <c r="E11" s="1" t="s">
        <v>5421</v>
      </c>
      <c r="F11" s="1" t="s">
        <v>6270</v>
      </c>
      <c r="G11" s="1" t="s">
        <v>5521</v>
      </c>
    </row>
    <row r="12" spans="1:7" x14ac:dyDescent="0.25">
      <c r="A12" s="1" t="s">
        <v>6246</v>
      </c>
      <c r="B12" s="1" t="s">
        <v>6247</v>
      </c>
      <c r="C12" s="5">
        <v>4844</v>
      </c>
      <c r="D12" s="1" t="s">
        <v>5856</v>
      </c>
      <c r="E12" s="1" t="s">
        <v>6271</v>
      </c>
      <c r="F12" s="1" t="s">
        <v>6272</v>
      </c>
      <c r="G12" s="1" t="s">
        <v>5859</v>
      </c>
    </row>
    <row r="13" spans="1:7" x14ac:dyDescent="0.25">
      <c r="A13" s="1" t="s">
        <v>6246</v>
      </c>
      <c r="B13" s="1" t="s">
        <v>6273</v>
      </c>
      <c r="C13" s="5">
        <v>4800</v>
      </c>
      <c r="D13" s="1" t="s">
        <v>5534</v>
      </c>
      <c r="E13" s="1" t="s">
        <v>6274</v>
      </c>
      <c r="F13" s="1" t="s">
        <v>6272</v>
      </c>
      <c r="G13" s="1" t="s">
        <v>5536</v>
      </c>
    </row>
    <row r="14" spans="1:7" x14ac:dyDescent="0.25">
      <c r="A14" s="1" t="s">
        <v>6250</v>
      </c>
      <c r="B14" s="1" t="s">
        <v>6251</v>
      </c>
      <c r="C14" s="5">
        <v>4033.59</v>
      </c>
      <c r="D14" s="1" t="s">
        <v>5800</v>
      </c>
      <c r="E14" s="1" t="s">
        <v>6275</v>
      </c>
      <c r="F14" s="1" t="s">
        <v>6276</v>
      </c>
      <c r="G14" s="1" t="s">
        <v>5529</v>
      </c>
    </row>
    <row r="15" spans="1:7" x14ac:dyDescent="0.25">
      <c r="A15" s="1" t="s">
        <v>6250</v>
      </c>
      <c r="B15" s="1" t="s">
        <v>6277</v>
      </c>
      <c r="C15" s="5">
        <v>4034.59</v>
      </c>
      <c r="D15" s="1" t="s">
        <v>5817</v>
      </c>
      <c r="E15" s="1" t="s">
        <v>6254</v>
      </c>
      <c r="F15" s="1" t="s">
        <v>6276</v>
      </c>
      <c r="G15" s="1" t="s">
        <v>5615</v>
      </c>
    </row>
    <row r="16" spans="1:7" x14ac:dyDescent="0.25">
      <c r="A16" s="1" t="s">
        <v>6246</v>
      </c>
      <c r="B16" s="1" t="s">
        <v>6268</v>
      </c>
      <c r="C16" s="5">
        <v>2750</v>
      </c>
      <c r="D16" s="1" t="s">
        <v>6278</v>
      </c>
      <c r="E16" s="1" t="s">
        <v>6279</v>
      </c>
      <c r="F16" s="1" t="s">
        <v>817</v>
      </c>
      <c r="G16" s="1" t="s">
        <v>6280</v>
      </c>
    </row>
    <row r="17" spans="1:7" x14ac:dyDescent="0.25">
      <c r="A17" s="1" t="s">
        <v>6246</v>
      </c>
      <c r="B17" s="1" t="s">
        <v>6268</v>
      </c>
      <c r="C17" s="5">
        <v>2740</v>
      </c>
      <c r="D17" s="1" t="s">
        <v>5647</v>
      </c>
      <c r="E17" s="1" t="s">
        <v>6281</v>
      </c>
      <c r="F17" s="1" t="s">
        <v>817</v>
      </c>
      <c r="G17" s="1" t="s">
        <v>6282</v>
      </c>
    </row>
    <row r="18" spans="1:7" x14ac:dyDescent="0.25">
      <c r="A18" s="1" t="s">
        <v>6250</v>
      </c>
      <c r="B18" s="1" t="s">
        <v>6277</v>
      </c>
      <c r="C18" s="5">
        <v>3920</v>
      </c>
      <c r="D18" s="1" t="s">
        <v>5420</v>
      </c>
      <c r="E18" s="1" t="s">
        <v>6283</v>
      </c>
      <c r="F18" s="1" t="s">
        <v>817</v>
      </c>
      <c r="G18" s="1" t="s">
        <v>5423</v>
      </c>
    </row>
    <row r="19" spans="1:7" x14ac:dyDescent="0.25">
      <c r="A19" s="1" t="s">
        <v>6246</v>
      </c>
      <c r="B19" s="1" t="s">
        <v>6268</v>
      </c>
      <c r="C19" s="5">
        <v>2740</v>
      </c>
      <c r="D19" s="1" t="s">
        <v>5617</v>
      </c>
      <c r="E19" s="1" t="s">
        <v>6284</v>
      </c>
      <c r="F19" s="1" t="s">
        <v>817</v>
      </c>
      <c r="G19" s="1" t="s">
        <v>5619</v>
      </c>
    </row>
    <row r="20" spans="1:7" x14ac:dyDescent="0.25">
      <c r="A20" s="1" t="s">
        <v>6246</v>
      </c>
      <c r="B20" s="1" t="s">
        <v>6268</v>
      </c>
      <c r="C20" s="5">
        <v>2830</v>
      </c>
      <c r="D20" s="1" t="s">
        <v>5651</v>
      </c>
      <c r="E20" s="1" t="s">
        <v>6284</v>
      </c>
      <c r="F20" s="1" t="s">
        <v>817</v>
      </c>
      <c r="G20" s="1" t="s">
        <v>6285</v>
      </c>
    </row>
    <row r="21" spans="1:7" x14ac:dyDescent="0.25">
      <c r="A21" s="1" t="s">
        <v>6246</v>
      </c>
      <c r="B21" s="1" t="s">
        <v>6273</v>
      </c>
      <c r="C21" s="5">
        <v>4800</v>
      </c>
      <c r="D21" s="1" t="s">
        <v>5655</v>
      </c>
      <c r="E21" s="1" t="s">
        <v>6274</v>
      </c>
      <c r="F21" s="1" t="s">
        <v>817</v>
      </c>
      <c r="G21" s="1" t="s">
        <v>5713</v>
      </c>
    </row>
    <row r="22" spans="1:7" x14ac:dyDescent="0.25">
      <c r="A22" s="1" t="s">
        <v>6246</v>
      </c>
      <c r="B22" s="1" t="s">
        <v>6247</v>
      </c>
      <c r="C22" s="5">
        <v>2980</v>
      </c>
      <c r="D22" s="1" t="s">
        <v>5581</v>
      </c>
      <c r="E22" s="1" t="s">
        <v>6279</v>
      </c>
      <c r="F22" s="1" t="s">
        <v>6286</v>
      </c>
      <c r="G22" s="1" t="s">
        <v>5583</v>
      </c>
    </row>
    <row r="23" spans="1:7" x14ac:dyDescent="0.25">
      <c r="A23" s="1" t="s">
        <v>6246</v>
      </c>
      <c r="B23" s="1" t="s">
        <v>6247</v>
      </c>
      <c r="C23" s="5">
        <v>2750</v>
      </c>
      <c r="D23" s="1" t="s">
        <v>5613</v>
      </c>
      <c r="E23" s="1" t="s">
        <v>6279</v>
      </c>
      <c r="F23" s="1" t="s">
        <v>6286</v>
      </c>
      <c r="G23" s="1" t="s">
        <v>6287</v>
      </c>
    </row>
    <row r="24" spans="1:7" x14ac:dyDescent="0.25">
      <c r="D24" s="1" t="s">
        <v>6288</v>
      </c>
      <c r="E24" s="1" t="s">
        <v>6289</v>
      </c>
      <c r="F24" s="1" t="s">
        <v>659</v>
      </c>
      <c r="G24" s="1" t="s">
        <v>6290</v>
      </c>
    </row>
    <row r="25" spans="1:7" x14ac:dyDescent="0.25">
      <c r="A25" s="1" t="s">
        <v>6246</v>
      </c>
      <c r="B25" s="1" t="s">
        <v>6268</v>
      </c>
      <c r="D25" s="1" t="s">
        <v>5567</v>
      </c>
      <c r="E25" s="1" t="s">
        <v>6291</v>
      </c>
      <c r="F25" s="1" t="s">
        <v>487</v>
      </c>
      <c r="G25" s="1" t="s">
        <v>5437</v>
      </c>
    </row>
    <row r="26" spans="1:7" x14ac:dyDescent="0.25">
      <c r="A26" s="1" t="s">
        <v>6250</v>
      </c>
      <c r="B26" s="1" t="s">
        <v>6251</v>
      </c>
      <c r="C26" s="5">
        <v>2448</v>
      </c>
      <c r="D26" s="1" t="s">
        <v>5621</v>
      </c>
      <c r="E26" s="1" t="s">
        <v>6292</v>
      </c>
      <c r="F26" s="1" t="s">
        <v>487</v>
      </c>
      <c r="G26" s="1" t="s">
        <v>5623</v>
      </c>
    </row>
    <row r="27" spans="1:7" x14ac:dyDescent="0.25">
      <c r="A27" s="1" t="s">
        <v>6246</v>
      </c>
      <c r="B27" s="1" t="s">
        <v>6268</v>
      </c>
      <c r="C27" s="5">
        <v>2780</v>
      </c>
      <c r="D27" s="1" t="s">
        <v>5466</v>
      </c>
      <c r="E27" s="1" t="s">
        <v>6284</v>
      </c>
      <c r="F27" s="1" t="s">
        <v>487</v>
      </c>
      <c r="G27" s="1" t="s">
        <v>6293</v>
      </c>
    </row>
    <row r="28" spans="1:7" x14ac:dyDescent="0.25">
      <c r="A28" s="1" t="s">
        <v>6246</v>
      </c>
      <c r="B28" s="1" t="s">
        <v>6268</v>
      </c>
      <c r="C28" s="5">
        <v>3800</v>
      </c>
      <c r="D28" s="1" t="s">
        <v>5435</v>
      </c>
      <c r="E28" s="1" t="s">
        <v>6254</v>
      </c>
      <c r="F28" s="1" t="s">
        <v>487</v>
      </c>
      <c r="G28" s="1" t="s">
        <v>6294</v>
      </c>
    </row>
    <row r="29" spans="1:7" x14ac:dyDescent="0.25">
      <c r="A29" s="1" t="s">
        <v>6246</v>
      </c>
      <c r="B29" s="1" t="s">
        <v>6273</v>
      </c>
      <c r="C29" s="5">
        <v>3050</v>
      </c>
      <c r="D29" s="1" t="s">
        <v>5551</v>
      </c>
      <c r="E29" s="1" t="s">
        <v>6279</v>
      </c>
      <c r="F29" s="1" t="s">
        <v>487</v>
      </c>
      <c r="G29" s="1" t="s">
        <v>5554</v>
      </c>
    </row>
    <row r="30" spans="1:7" x14ac:dyDescent="0.25">
      <c r="A30" s="1" t="s">
        <v>6246</v>
      </c>
      <c r="B30" s="1" t="s">
        <v>6247</v>
      </c>
      <c r="C30" s="5">
        <v>3050</v>
      </c>
      <c r="D30" s="1" t="s">
        <v>5626</v>
      </c>
      <c r="E30" s="1" t="s">
        <v>6279</v>
      </c>
      <c r="F30" s="1" t="s">
        <v>487</v>
      </c>
      <c r="G30" s="1" t="s">
        <v>5628</v>
      </c>
    </row>
    <row r="31" spans="1:7" x14ac:dyDescent="0.25">
      <c r="A31" s="1" t="s">
        <v>6250</v>
      </c>
      <c r="B31" s="1" t="s">
        <v>6251</v>
      </c>
      <c r="C31" s="5">
        <v>3850</v>
      </c>
      <c r="D31" s="1" t="s">
        <v>5401</v>
      </c>
      <c r="E31" s="1" t="s">
        <v>6254</v>
      </c>
      <c r="F31" s="1" t="s">
        <v>487</v>
      </c>
      <c r="G31" s="1" t="s">
        <v>6295</v>
      </c>
    </row>
    <row r="32" spans="1:7" x14ac:dyDescent="0.25">
      <c r="A32" s="1" t="s">
        <v>6250</v>
      </c>
      <c r="B32" s="1" t="s">
        <v>6251</v>
      </c>
      <c r="C32" s="5">
        <v>3790</v>
      </c>
      <c r="D32" s="1" t="s">
        <v>5462</v>
      </c>
      <c r="E32" s="1" t="s">
        <v>6254</v>
      </c>
      <c r="F32" s="1" t="s">
        <v>487</v>
      </c>
      <c r="G32" s="1" t="s">
        <v>5464</v>
      </c>
    </row>
    <row r="33" spans="1:7" x14ac:dyDescent="0.25">
      <c r="A33" s="1" t="s">
        <v>6264</v>
      </c>
      <c r="B33" s="1" t="s">
        <v>6265</v>
      </c>
      <c r="C33" s="5">
        <v>4100</v>
      </c>
      <c r="D33" s="1" t="s">
        <v>5452</v>
      </c>
      <c r="E33" s="1" t="s">
        <v>6296</v>
      </c>
      <c r="F33" s="1" t="s">
        <v>487</v>
      </c>
      <c r="G33" s="1" t="s">
        <v>6297</v>
      </c>
    </row>
    <row r="34" spans="1:7" x14ac:dyDescent="0.25">
      <c r="A34" s="1" t="s">
        <v>6298</v>
      </c>
      <c r="B34" s="1" t="s">
        <v>6265</v>
      </c>
      <c r="C34" s="5">
        <v>4100</v>
      </c>
      <c r="D34" s="1" t="s">
        <v>5703</v>
      </c>
      <c r="E34" s="1" t="s">
        <v>6299</v>
      </c>
      <c r="F34" s="1" t="s">
        <v>487</v>
      </c>
      <c r="G34" s="1" t="s">
        <v>6300</v>
      </c>
    </row>
    <row r="35" spans="1:7" x14ac:dyDescent="0.25">
      <c r="A35" s="1" t="s">
        <v>6246</v>
      </c>
      <c r="B35" s="1" t="s">
        <v>6273</v>
      </c>
      <c r="C35" s="5">
        <v>2900</v>
      </c>
      <c r="D35" s="1" t="s">
        <v>6301</v>
      </c>
      <c r="E35" s="1" t="s">
        <v>6279</v>
      </c>
      <c r="F35" s="1" t="s">
        <v>487</v>
      </c>
      <c r="G35" s="1" t="s">
        <v>5469</v>
      </c>
    </row>
    <row r="36" spans="1:7" x14ac:dyDescent="0.25">
      <c r="A36" s="1" t="s">
        <v>6246</v>
      </c>
      <c r="B36" s="1" t="s">
        <v>6273</v>
      </c>
      <c r="C36" s="5">
        <v>3070</v>
      </c>
      <c r="D36" s="1" t="s">
        <v>5589</v>
      </c>
      <c r="E36" s="1" t="s">
        <v>6248</v>
      </c>
      <c r="F36" s="1" t="s">
        <v>487</v>
      </c>
      <c r="G36" s="1" t="s">
        <v>6302</v>
      </c>
    </row>
    <row r="37" spans="1:7" x14ac:dyDescent="0.25">
      <c r="A37" s="1" t="s">
        <v>6246</v>
      </c>
      <c r="B37" s="1" t="s">
        <v>6303</v>
      </c>
      <c r="C37" s="5">
        <v>3000</v>
      </c>
      <c r="D37" s="1" t="s">
        <v>6304</v>
      </c>
      <c r="E37" s="1" t="s">
        <v>5467</v>
      </c>
      <c r="F37" s="1" t="s">
        <v>487</v>
      </c>
      <c r="G37" s="1" t="s">
        <v>6305</v>
      </c>
    </row>
    <row r="38" spans="1:7" x14ac:dyDescent="0.25">
      <c r="A38" s="1" t="s">
        <v>6246</v>
      </c>
      <c r="B38" s="1" t="s">
        <v>6273</v>
      </c>
      <c r="C38" s="5">
        <v>3070</v>
      </c>
      <c r="D38" s="1" t="s">
        <v>5755</v>
      </c>
      <c r="E38" s="1" t="s">
        <v>6248</v>
      </c>
      <c r="F38" s="1" t="s">
        <v>487</v>
      </c>
      <c r="G38" s="1" t="s">
        <v>6293</v>
      </c>
    </row>
    <row r="39" spans="1:7" x14ac:dyDescent="0.25">
      <c r="A39" s="1" t="s">
        <v>6246</v>
      </c>
      <c r="D39" s="1" t="s">
        <v>6306</v>
      </c>
      <c r="E39" s="1" t="s">
        <v>6307</v>
      </c>
      <c r="F39" s="1" t="s">
        <v>487</v>
      </c>
      <c r="G39" s="1" t="s">
        <v>6308</v>
      </c>
    </row>
    <row r="40" spans="1:7" x14ac:dyDescent="0.25">
      <c r="A40" s="1" t="s">
        <v>6250</v>
      </c>
      <c r="B40" s="1" t="s">
        <v>6277</v>
      </c>
      <c r="C40" s="5">
        <v>4500</v>
      </c>
      <c r="D40" s="1" t="s">
        <v>5494</v>
      </c>
      <c r="E40" s="1" t="s">
        <v>6309</v>
      </c>
      <c r="F40" s="1" t="s">
        <v>6310</v>
      </c>
      <c r="G40" s="1" t="s">
        <v>5497</v>
      </c>
    </row>
    <row r="41" spans="1:7" x14ac:dyDescent="0.25">
      <c r="A41" s="1" t="s">
        <v>6246</v>
      </c>
      <c r="B41" s="1" t="s">
        <v>6268</v>
      </c>
      <c r="C41" s="5">
        <v>4350</v>
      </c>
      <c r="D41" s="1" t="s">
        <v>5486</v>
      </c>
      <c r="E41" s="1" t="s">
        <v>6283</v>
      </c>
      <c r="F41" s="1" t="s">
        <v>6310</v>
      </c>
      <c r="G41" s="1" t="s">
        <v>5489</v>
      </c>
    </row>
    <row r="42" spans="1:7" x14ac:dyDescent="0.25">
      <c r="A42" s="1" t="s">
        <v>6250</v>
      </c>
      <c r="B42" s="1" t="s">
        <v>6277</v>
      </c>
      <c r="C42" s="5">
        <v>2700</v>
      </c>
      <c r="D42" s="1" t="s">
        <v>5444</v>
      </c>
      <c r="E42" s="1" t="s">
        <v>6269</v>
      </c>
      <c r="F42" s="1" t="s">
        <v>6311</v>
      </c>
      <c r="G42" s="1" t="s">
        <v>5446</v>
      </c>
    </row>
    <row r="43" spans="1:7" x14ac:dyDescent="0.25">
      <c r="A43" s="1" t="s">
        <v>6312</v>
      </c>
      <c r="B43" s="1" t="s">
        <v>6265</v>
      </c>
      <c r="C43" s="5">
        <v>4100</v>
      </c>
      <c r="D43" s="1" t="s">
        <v>5635</v>
      </c>
      <c r="E43" s="1" t="s">
        <v>6296</v>
      </c>
      <c r="F43" s="1" t="s">
        <v>6313</v>
      </c>
      <c r="G43" s="1" t="s">
        <v>5637</v>
      </c>
    </row>
    <row r="44" spans="1:7" x14ac:dyDescent="0.25">
      <c r="A44" s="1" t="s">
        <v>6246</v>
      </c>
      <c r="B44" s="1" t="s">
        <v>6247</v>
      </c>
      <c r="C44" s="5">
        <v>3850</v>
      </c>
      <c r="D44" s="1" t="s">
        <v>5560</v>
      </c>
      <c r="E44" s="1" t="s">
        <v>6314</v>
      </c>
      <c r="F44" s="1" t="s">
        <v>6315</v>
      </c>
      <c r="G44" s="1" t="s">
        <v>5563</v>
      </c>
    </row>
    <row r="45" spans="1:7" x14ac:dyDescent="0.25">
      <c r="A45" s="1" t="s">
        <v>6246</v>
      </c>
      <c r="B45" s="1" t="s">
        <v>6273</v>
      </c>
      <c r="C45" s="5">
        <v>3714.29</v>
      </c>
      <c r="D45" s="1" t="s">
        <v>5505</v>
      </c>
      <c r="E45" s="1" t="s">
        <v>6275</v>
      </c>
      <c r="F45" s="1" t="s">
        <v>6316</v>
      </c>
      <c r="G45" s="1" t="s">
        <v>6317</v>
      </c>
    </row>
    <row r="46" spans="1:7" x14ac:dyDescent="0.25">
      <c r="A46" s="1" t="s">
        <v>6318</v>
      </c>
      <c r="D46" s="1" t="s">
        <v>6319</v>
      </c>
      <c r="E46" s="1" t="s">
        <v>6320</v>
      </c>
      <c r="F46" s="1" t="s">
        <v>640</v>
      </c>
      <c r="G46" s="1" t="s">
        <v>6321</v>
      </c>
    </row>
    <row r="47" spans="1:7" x14ac:dyDescent="0.25">
      <c r="A47" s="1" t="s">
        <v>6250</v>
      </c>
      <c r="B47" s="1" t="s">
        <v>6247</v>
      </c>
      <c r="C47" s="5">
        <v>3680</v>
      </c>
      <c r="D47" s="1" t="s">
        <v>5524</v>
      </c>
      <c r="E47" s="1" t="s">
        <v>6283</v>
      </c>
      <c r="F47" s="1" t="s">
        <v>640</v>
      </c>
      <c r="G47" s="1" t="s">
        <v>6322</v>
      </c>
    </row>
    <row r="48" spans="1:7" x14ac:dyDescent="0.25">
      <c r="A48" s="1" t="s">
        <v>6246</v>
      </c>
      <c r="B48" s="1" t="s">
        <v>6273</v>
      </c>
      <c r="C48" s="5">
        <v>3083.59</v>
      </c>
      <c r="D48" s="1" t="s">
        <v>5743</v>
      </c>
      <c r="E48" s="1" t="s">
        <v>6279</v>
      </c>
      <c r="F48" s="1" t="s">
        <v>640</v>
      </c>
      <c r="G48" s="1" t="s">
        <v>6323</v>
      </c>
    </row>
    <row r="49" spans="1:7" x14ac:dyDescent="0.25">
      <c r="A49" s="1" t="s">
        <v>6246</v>
      </c>
      <c r="B49" s="1" t="s">
        <v>6273</v>
      </c>
      <c r="C49" s="5">
        <v>4000</v>
      </c>
      <c r="D49" s="1" t="s">
        <v>5585</v>
      </c>
      <c r="E49" s="1" t="s">
        <v>6324</v>
      </c>
      <c r="F49" s="1" t="s">
        <v>659</v>
      </c>
      <c r="G49" s="1" t="s">
        <v>5718</v>
      </c>
    </row>
    <row r="50" spans="1:7" x14ac:dyDescent="0.25">
      <c r="C50" s="5"/>
    </row>
    <row r="51" spans="1:7" x14ac:dyDescent="0.25">
      <c r="A51" s="1">
        <f>SUBTOTAL(103,Tabela9[LOCADORA])</f>
        <v>46</v>
      </c>
      <c r="C51" s="5">
        <f>SUBTOTAL(109,Tabela9[[ LOCAÇÃO MÊS]])</f>
        <v>154101.65</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EQUIPAMENTOS</vt:lpstr>
      <vt:lpstr>GASTOS</vt:lpstr>
      <vt:lpstr>CONSUMO VEICULOS LEVES ETANOL</vt:lpstr>
      <vt:lpstr>NF DIESEL ENTRADAS</vt:lpstr>
      <vt:lpstr>ESTOQUE</vt:lpstr>
      <vt:lpstr>CONSUMO DIESEL EQUIPAMENTOS</vt:lpstr>
      <vt:lpstr>VEICULOS LEVES</vt:lpstr>
      <vt:lpstr>ESTOQUE!Area_de_impressao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 Jose de Lima Neto</dc:creator>
  <cp:lastModifiedBy>Joao Jose de Lima Neto</cp:lastModifiedBy>
  <dcterms:created xsi:type="dcterms:W3CDTF">2026-08-06T12:20:53Z</dcterms:created>
  <dcterms:modified xsi:type="dcterms:W3CDTF">2026-08-06T21:33:02Z</dcterms:modified>
</cp:coreProperties>
</file>